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1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/>
  <xr:revisionPtr revIDLastSave="0" documentId="13_ncr:1_{E7998A72-939B-4387-A9A2-E6DD782C71BE}" xr6:coauthVersionLast="47" xr6:coauthVersionMax="47" xr10:uidLastSave="{00000000-0000-0000-0000-000000000000}"/>
  <bookViews>
    <workbookView xWindow="-120" yWindow="-120" windowWidth="29040" windowHeight="15720" tabRatio="826" firstSheet="54" activeTab="63" xr2:uid="{00000000-000D-0000-FFFF-FFFF00000000}"/>
  </bookViews>
  <sheets>
    <sheet name="廠價表" sheetId="5" r:id="rId1"/>
    <sheet name="產線配置圖" sheetId="4" r:id="rId2"/>
    <sheet name="範本總" sheetId="2" state="hidden" r:id="rId3"/>
    <sheet name="範本" sheetId="3" state="hidden" r:id="rId4"/>
    <sheet name="0601總" sheetId="482" r:id="rId5"/>
    <sheet name="0601" sheetId="483" r:id="rId6"/>
    <sheet name="0602總" sheetId="544" r:id="rId7"/>
    <sheet name="0602" sheetId="545" r:id="rId8"/>
    <sheet name="0603總" sheetId="546" r:id="rId9"/>
    <sheet name="0603" sheetId="547" r:id="rId10"/>
    <sheet name="0604總" sheetId="548" r:id="rId11"/>
    <sheet name="0604" sheetId="549" r:id="rId12"/>
    <sheet name="0605總" sheetId="550" r:id="rId13"/>
    <sheet name="0605" sheetId="551" r:id="rId14"/>
    <sheet name="0606總" sheetId="552" r:id="rId15"/>
    <sheet name="0606" sheetId="553" r:id="rId16"/>
    <sheet name="0607總" sheetId="554" r:id="rId17"/>
    <sheet name="0607" sheetId="555" r:id="rId18"/>
    <sheet name="0608總" sheetId="556" r:id="rId19"/>
    <sheet name="0608" sheetId="557" r:id="rId20"/>
    <sheet name="0609總" sheetId="558" r:id="rId21"/>
    <sheet name="0609" sheetId="559" r:id="rId22"/>
    <sheet name="0610總" sheetId="562" r:id="rId23"/>
    <sheet name="0610" sheetId="563" r:id="rId24"/>
    <sheet name="0611總" sheetId="566" r:id="rId25"/>
    <sheet name="0611" sheetId="567" r:id="rId26"/>
    <sheet name="0612總" sheetId="568" r:id="rId27"/>
    <sheet name="0612" sheetId="569" r:id="rId28"/>
    <sheet name="0613總" sheetId="570" r:id="rId29"/>
    <sheet name="0613" sheetId="571" r:id="rId30"/>
    <sheet name="0614總" sheetId="572" r:id="rId31"/>
    <sheet name="0614" sheetId="573" r:id="rId32"/>
    <sheet name="0615總" sheetId="574" r:id="rId33"/>
    <sheet name="0615" sheetId="575" r:id="rId34"/>
    <sheet name="0616總" sheetId="576" r:id="rId35"/>
    <sheet name="0616" sheetId="577" r:id="rId36"/>
    <sheet name="0617總" sheetId="578" r:id="rId37"/>
    <sheet name="0617" sheetId="579" r:id="rId38"/>
    <sheet name="0618總" sheetId="580" r:id="rId39"/>
    <sheet name="0618" sheetId="581" r:id="rId40"/>
    <sheet name="0619總" sheetId="582" r:id="rId41"/>
    <sheet name="0619" sheetId="583" r:id="rId42"/>
    <sheet name="0620總" sheetId="584" r:id="rId43"/>
    <sheet name="0620" sheetId="585" r:id="rId44"/>
    <sheet name="0621總" sheetId="586" r:id="rId45"/>
    <sheet name="0621" sheetId="587" r:id="rId46"/>
    <sheet name="0622總" sheetId="588" r:id="rId47"/>
    <sheet name="0622" sheetId="589" r:id="rId48"/>
    <sheet name="0623總" sheetId="590" r:id="rId49"/>
    <sheet name="0623" sheetId="591" r:id="rId50"/>
    <sheet name="0624總" sheetId="592" r:id="rId51"/>
    <sheet name="0624" sheetId="593" r:id="rId52"/>
    <sheet name="0625總" sheetId="596" r:id="rId53"/>
    <sheet name="0625" sheetId="597" r:id="rId54"/>
    <sheet name="0626總" sheetId="598" r:id="rId55"/>
    <sheet name="0626" sheetId="599" r:id="rId56"/>
    <sheet name="0627總" sheetId="600" r:id="rId57"/>
    <sheet name="0627" sheetId="601" r:id="rId58"/>
    <sheet name="0628總" sheetId="602" r:id="rId59"/>
    <sheet name="0628" sheetId="603" r:id="rId60"/>
    <sheet name="0629總" sheetId="604" r:id="rId61"/>
    <sheet name="0629" sheetId="605" r:id="rId62"/>
    <sheet name="0630總" sheetId="606" r:id="rId63"/>
    <sheet name="0630" sheetId="607" r:id="rId64"/>
  </sheets>
  <externalReferences>
    <externalReference r:id="rId65"/>
  </externalReferences>
  <definedNames>
    <definedName name="_xlnm._FilterDatabase" localSheetId="5">'0601'!$A$4:$AJ$79</definedName>
    <definedName name="_xlnm._FilterDatabase" localSheetId="4">'0601總'!$B$10:$J$25</definedName>
    <definedName name="_xlnm._FilterDatabase" localSheetId="7">'0602'!$A$4:$AJ$79</definedName>
    <definedName name="_xlnm._FilterDatabase" localSheetId="6">'0602總'!$B$10:$J$25</definedName>
    <definedName name="_xlnm._FilterDatabase" localSheetId="9">'0603'!$A$4:$AJ$79</definedName>
    <definedName name="_xlnm._FilterDatabase" localSheetId="8">'0603總'!$B$10:$J$25</definedName>
    <definedName name="_xlnm._FilterDatabase" localSheetId="11">'0604'!$A$4:$AJ$79</definedName>
    <definedName name="_xlnm._FilterDatabase" localSheetId="10">'0604總'!$B$10:$J$25</definedName>
    <definedName name="_xlnm._FilterDatabase" localSheetId="13">'0605'!$A$4:$AJ$79</definedName>
    <definedName name="_xlnm._FilterDatabase" localSheetId="12">'0605總'!$B$10:$J$25</definedName>
    <definedName name="_xlnm._FilterDatabase" localSheetId="15">'0606'!$A$4:$AJ$79</definedName>
    <definedName name="_xlnm._FilterDatabase" localSheetId="14">'0606總'!$B$10:$J$25</definedName>
    <definedName name="_xlnm._FilterDatabase" localSheetId="17">'0607'!$A$4:$AJ$79</definedName>
    <definedName name="_xlnm._FilterDatabase" localSheetId="16">'0607總'!$B$10:$J$25</definedName>
    <definedName name="_xlnm._FilterDatabase" localSheetId="19">'0608'!$A$4:$AJ$79</definedName>
    <definedName name="_xlnm._FilterDatabase" localSheetId="18">'0608總'!$B$10:$J$25</definedName>
    <definedName name="_xlnm._FilterDatabase" localSheetId="21">'0609'!$A$4:$AJ$79</definedName>
    <definedName name="_xlnm._FilterDatabase" localSheetId="20">'0609總'!$B$10:$J$25</definedName>
    <definedName name="_xlnm._FilterDatabase" localSheetId="23">'0610'!$A$4:$AJ$79</definedName>
    <definedName name="_xlnm._FilterDatabase" localSheetId="22">'0610總'!$B$10:$J$25</definedName>
    <definedName name="_xlnm._FilterDatabase" localSheetId="25">'0611'!$A$4:$AJ$79</definedName>
    <definedName name="_xlnm._FilterDatabase" localSheetId="24">'0611總'!$B$10:$J$25</definedName>
    <definedName name="_xlnm._FilterDatabase" localSheetId="27">'0612'!$A$4:$AJ$79</definedName>
    <definedName name="_xlnm._FilterDatabase" localSheetId="26">'0612總'!$B$10:$J$25</definedName>
    <definedName name="_xlnm._FilterDatabase" localSheetId="29">'0613'!$A$4:$AJ$79</definedName>
    <definedName name="_xlnm._FilterDatabase" localSheetId="28">'0613總'!$B$10:$J$25</definedName>
    <definedName name="_xlnm._FilterDatabase" localSheetId="31">'0614'!$A$4:$AJ$79</definedName>
    <definedName name="_xlnm._FilterDatabase" localSheetId="30">'0614總'!$B$10:$J$25</definedName>
    <definedName name="_xlnm._FilterDatabase" localSheetId="33">'0615'!$A$4:$AJ$79</definedName>
    <definedName name="_xlnm._FilterDatabase" localSheetId="32">'0615總'!$B$10:$J$25</definedName>
    <definedName name="_xlnm._FilterDatabase" localSheetId="35">'0616'!$A$4:$AJ$79</definedName>
    <definedName name="_xlnm._FilterDatabase" localSheetId="34">'0616總'!$B$10:$J$25</definedName>
    <definedName name="_xlnm._FilterDatabase" localSheetId="37">'0617'!$A$4:$AJ$79</definedName>
    <definedName name="_xlnm._FilterDatabase" localSheetId="36">'0617總'!$B$10:$J$25</definedName>
    <definedName name="_xlnm._FilterDatabase" localSheetId="39">'0618'!$A$4:$AJ$79</definedName>
    <definedName name="_xlnm._FilterDatabase" localSheetId="38">'0618總'!$B$10:$J$25</definedName>
    <definedName name="_xlnm._FilterDatabase" localSheetId="41">'0619'!$A$4:$AJ$79</definedName>
    <definedName name="_xlnm._FilterDatabase" localSheetId="40">'0619總'!$B$10:$J$25</definedName>
    <definedName name="_xlnm._FilterDatabase" localSheetId="43">'0620'!$A$4:$AJ$79</definedName>
    <definedName name="_xlnm._FilterDatabase" localSheetId="42">'0620總'!$B$10:$J$25</definedName>
    <definedName name="_xlnm._FilterDatabase" localSheetId="45">'0621'!$A$4:$AJ$79</definedName>
    <definedName name="_xlnm._FilterDatabase" localSheetId="44">'0621總'!$B$10:$J$25</definedName>
    <definedName name="_xlnm._FilterDatabase" localSheetId="47">'0622'!$A$4:$AJ$79</definedName>
    <definedName name="_xlnm._FilterDatabase" localSheetId="46">'0622總'!$B$10:$J$25</definedName>
    <definedName name="_xlnm._FilterDatabase" localSheetId="49">'0623'!$A$4:$AJ$79</definedName>
    <definedName name="_xlnm._FilterDatabase" localSheetId="48">'0623總'!$B$10:$J$25</definedName>
    <definedName name="_xlnm._FilterDatabase" localSheetId="51">'0624'!$A$4:$AJ$79</definedName>
    <definedName name="_xlnm._FilterDatabase" localSheetId="50">'0624總'!$B$10:$J$25</definedName>
    <definedName name="_xlnm._FilterDatabase" localSheetId="53">'0625'!$A$4:$AJ$79</definedName>
    <definedName name="_xlnm._FilterDatabase" localSheetId="52">'0625總'!$B$10:$J$25</definedName>
    <definedName name="_xlnm._FilterDatabase" localSheetId="55">'0626'!$A$4:$AJ$79</definedName>
    <definedName name="_xlnm._FilterDatabase" localSheetId="54">'0626總'!$B$10:$J$25</definedName>
    <definedName name="_xlnm._FilterDatabase" localSheetId="57">'0627'!$A$4:$AJ$79</definedName>
    <definedName name="_xlnm._FilterDatabase" localSheetId="56">'0627總'!$B$10:$J$25</definedName>
    <definedName name="_xlnm._FilterDatabase" localSheetId="59">'0628'!$A$4:$AJ$79</definedName>
    <definedName name="_xlnm._FilterDatabase" localSheetId="58">'0628總'!$B$10:$J$25</definedName>
    <definedName name="_xlnm._FilterDatabase" localSheetId="61">'0629'!$A$4:$AJ$79</definedName>
    <definedName name="_xlnm._FilterDatabase" localSheetId="60">'0629總'!$B$10:$J$25</definedName>
    <definedName name="_xlnm._FilterDatabase" localSheetId="63">'0630'!$A$4:$AJ$79</definedName>
    <definedName name="_xlnm._FilterDatabase" localSheetId="62">'0630總'!$B$10:$J$25</definedName>
    <definedName name="_xlnm._FilterDatabase" localSheetId="3" hidden="1">範本!$A$4:$AJ$79</definedName>
    <definedName name="_xlnm._FilterDatabase" localSheetId="2" hidden="1">範本總!$B$10:$J$25</definedName>
    <definedName name="_xlnm.Print_Area" localSheetId="5">'0601'!$A$1:$AH$79</definedName>
    <definedName name="_xlnm.Print_Area" localSheetId="7">'0602'!$A$1:$AH$79</definedName>
    <definedName name="_xlnm.Print_Area" localSheetId="9">'0603'!$A$1:$AH$79</definedName>
    <definedName name="_xlnm.Print_Area" localSheetId="11">'0604'!$A$1:$AH$79</definedName>
    <definedName name="_xlnm.Print_Area" localSheetId="13">'0605'!$A$1:$AH$79</definedName>
    <definedName name="_xlnm.Print_Area" localSheetId="15">'0606'!$A$1:$AH$79</definedName>
    <definedName name="_xlnm.Print_Area" localSheetId="17">'0607'!$A$1:$AH$79</definedName>
    <definedName name="_xlnm.Print_Area" localSheetId="19">'0608'!$A$1:$AH$79</definedName>
    <definedName name="_xlnm.Print_Area" localSheetId="21">'0609'!$A$1:$AH$79</definedName>
    <definedName name="_xlnm.Print_Area" localSheetId="23">'0610'!$A$1:$AH$79</definedName>
    <definedName name="_xlnm.Print_Area" localSheetId="25">'0611'!$A$1:$AH$79</definedName>
    <definedName name="_xlnm.Print_Area" localSheetId="27">'0612'!$A$1:$AH$79</definedName>
    <definedName name="_xlnm.Print_Area" localSheetId="29">'0613'!$A$1:$AH$79</definedName>
    <definedName name="_xlnm.Print_Area" localSheetId="31">'0614'!$A$1:$AH$79</definedName>
    <definedName name="_xlnm.Print_Area" localSheetId="33">'0615'!$A$1:$AH$79</definedName>
    <definedName name="_xlnm.Print_Area" localSheetId="35">'0616'!$A$1:$AH$79</definedName>
    <definedName name="_xlnm.Print_Area" localSheetId="37">'0617'!$A$1:$AH$79</definedName>
    <definedName name="_xlnm.Print_Area" localSheetId="39">'0618'!$A$1:$AH$79</definedName>
    <definedName name="_xlnm.Print_Area" localSheetId="41">'0619'!$A$1:$AH$79</definedName>
    <definedName name="_xlnm.Print_Area" localSheetId="43">'0620'!$A$1:$AH$79</definedName>
    <definedName name="_xlnm.Print_Area" localSheetId="45">'0621'!$A$1:$AH$79</definedName>
    <definedName name="_xlnm.Print_Area" localSheetId="47">'0622'!$A$1:$AH$79</definedName>
    <definedName name="_xlnm.Print_Area" localSheetId="49">'0623'!$A$1:$AH$79</definedName>
    <definedName name="_xlnm.Print_Area" localSheetId="51">'0624'!$A$1:$AH$79</definedName>
    <definedName name="_xlnm.Print_Area" localSheetId="53">'0625'!$A$1:$AH$79</definedName>
    <definedName name="_xlnm.Print_Area" localSheetId="55">'0626'!$A$1:$AH$79</definedName>
    <definedName name="_xlnm.Print_Area" localSheetId="57">'0627'!$A$1:$AH$79</definedName>
    <definedName name="_xlnm.Print_Area" localSheetId="59">'0628'!$A$1:$AH$79</definedName>
    <definedName name="_xlnm.Print_Area" localSheetId="61">'0629'!$A$1:$AH$79</definedName>
    <definedName name="_xlnm.Print_Area" localSheetId="63">'0630'!$A$1:$AH$79</definedName>
    <definedName name="_xlnm.Print_Area" localSheetId="3">範本!$A$1:$AH$79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2" i="607" l="1"/>
  <c r="L72" i="607"/>
  <c r="J72" i="607"/>
  <c r="P72" i="607" s="1"/>
  <c r="F72" i="607"/>
  <c r="H72" i="607" s="1"/>
  <c r="N70" i="607"/>
  <c r="O70" i="607" s="1"/>
  <c r="K70" i="607"/>
  <c r="L70" i="607" s="1"/>
  <c r="J70" i="607"/>
  <c r="P70" i="607" s="1"/>
  <c r="F70" i="607"/>
  <c r="H70" i="607" s="1"/>
  <c r="G38" i="607"/>
  <c r="E1" i="607" s="1"/>
  <c r="G3" i="606" s="1"/>
  <c r="V63" i="607"/>
  <c r="N63" i="607"/>
  <c r="O63" i="607" s="1"/>
  <c r="P63" i="607"/>
  <c r="H63" i="607"/>
  <c r="J63" i="607"/>
  <c r="L63" i="607" s="1"/>
  <c r="F63" i="607"/>
  <c r="G62" i="607"/>
  <c r="AF42" i="607"/>
  <c r="AG42" i="607"/>
  <c r="G49" i="607"/>
  <c r="P43" i="607"/>
  <c r="L43" i="607"/>
  <c r="J43" i="607"/>
  <c r="G43" i="607"/>
  <c r="F43" i="607"/>
  <c r="H43" i="607" s="1"/>
  <c r="G39" i="607"/>
  <c r="P42" i="607"/>
  <c r="K42" i="607"/>
  <c r="L42" i="607" s="1"/>
  <c r="J42" i="607"/>
  <c r="F42" i="607"/>
  <c r="H42" i="607" s="1"/>
  <c r="K41" i="607"/>
  <c r="L41" i="607" s="1"/>
  <c r="J41" i="607"/>
  <c r="P41" i="607" s="1"/>
  <c r="F41" i="607"/>
  <c r="H41" i="607" s="1"/>
  <c r="P40" i="607"/>
  <c r="K40" i="607"/>
  <c r="L40" i="607" s="1"/>
  <c r="J40" i="607"/>
  <c r="F40" i="607"/>
  <c r="H40" i="607" s="1"/>
  <c r="K39" i="607"/>
  <c r="J39" i="607"/>
  <c r="P39" i="607" s="1"/>
  <c r="H39" i="607"/>
  <c r="F39" i="607"/>
  <c r="V42" i="607"/>
  <c r="V43" i="607"/>
  <c r="K28" i="607"/>
  <c r="K29" i="607"/>
  <c r="K30" i="607"/>
  <c r="K32" i="607"/>
  <c r="K37" i="607" s="1"/>
  <c r="V33" i="607"/>
  <c r="N33" i="607"/>
  <c r="O33" i="607"/>
  <c r="P33" i="607"/>
  <c r="H33" i="607"/>
  <c r="J33" i="607"/>
  <c r="L33" i="607" s="1"/>
  <c r="F33" i="607"/>
  <c r="G21" i="607"/>
  <c r="AE79" i="607"/>
  <c r="AD79" i="607"/>
  <c r="AA79" i="607"/>
  <c r="Z79" i="607"/>
  <c r="M79" i="607"/>
  <c r="J22" i="606" s="1"/>
  <c r="W78" i="607"/>
  <c r="W77" i="607"/>
  <c r="W76" i="607"/>
  <c r="W75" i="607"/>
  <c r="W74" i="607"/>
  <c r="W73" i="607"/>
  <c r="W72" i="607"/>
  <c r="N72" i="607" s="1"/>
  <c r="O72" i="607" s="1"/>
  <c r="W71" i="607"/>
  <c r="N71" i="607" s="1"/>
  <c r="V71" i="607"/>
  <c r="J71" i="607"/>
  <c r="P71" i="607" s="1"/>
  <c r="F71" i="607"/>
  <c r="H71" i="607" s="1"/>
  <c r="W70" i="607"/>
  <c r="AE69" i="607"/>
  <c r="I21" i="606" s="1"/>
  <c r="AD69" i="607"/>
  <c r="I20" i="606" s="1"/>
  <c r="AA69" i="607"/>
  <c r="I19" i="606" s="1"/>
  <c r="Z69" i="607"/>
  <c r="M69" i="607"/>
  <c r="I22" i="606" s="1"/>
  <c r="K69" i="607"/>
  <c r="W68" i="607"/>
  <c r="H68" i="607"/>
  <c r="W67" i="607"/>
  <c r="W66" i="607"/>
  <c r="W65" i="607"/>
  <c r="W64" i="607"/>
  <c r="W63" i="607"/>
  <c r="W62" i="607"/>
  <c r="N62" i="607" s="1"/>
  <c r="AG62" i="607" s="1"/>
  <c r="V62" i="607"/>
  <c r="P62" i="607"/>
  <c r="J62" i="607"/>
  <c r="L62" i="607" s="1"/>
  <c r="F62" i="607"/>
  <c r="H62" i="607" s="1"/>
  <c r="W61" i="607"/>
  <c r="V61" i="607"/>
  <c r="N61" i="607"/>
  <c r="AG61" i="607" s="1"/>
  <c r="J61" i="607"/>
  <c r="P61" i="607" s="1"/>
  <c r="F61" i="607"/>
  <c r="H61" i="607" s="1"/>
  <c r="W60" i="607"/>
  <c r="N60" i="607" s="1"/>
  <c r="V60" i="607"/>
  <c r="P60" i="607"/>
  <c r="L60" i="607"/>
  <c r="J60" i="607"/>
  <c r="F60" i="607"/>
  <c r="H60" i="607" s="1"/>
  <c r="W59" i="607"/>
  <c r="N59" i="607" s="1"/>
  <c r="P59" i="607"/>
  <c r="J59" i="607"/>
  <c r="L59" i="607" s="1"/>
  <c r="F59" i="607"/>
  <c r="H59" i="607" s="1"/>
  <c r="AE58" i="607"/>
  <c r="H21" i="606" s="1"/>
  <c r="AD58" i="607"/>
  <c r="H20" i="606" s="1"/>
  <c r="AA58" i="607"/>
  <c r="Z58" i="607"/>
  <c r="M58" i="607"/>
  <c r="W57" i="607"/>
  <c r="W56" i="607"/>
  <c r="W55" i="607"/>
  <c r="W54" i="607"/>
  <c r="W53" i="607"/>
  <c r="N53" i="607" s="1"/>
  <c r="V53" i="607"/>
  <c r="L53" i="607"/>
  <c r="J53" i="607"/>
  <c r="W52" i="607"/>
  <c r="N52" i="607" s="1"/>
  <c r="V52" i="607"/>
  <c r="J52" i="607"/>
  <c r="L52" i="607" s="1"/>
  <c r="W51" i="607"/>
  <c r="N51" i="607" s="1"/>
  <c r="V51" i="607"/>
  <c r="J51" i="607"/>
  <c r="L51" i="607" s="1"/>
  <c r="W50" i="607"/>
  <c r="N50" i="607" s="1"/>
  <c r="O50" i="607" s="1"/>
  <c r="V50" i="607"/>
  <c r="J50" i="607"/>
  <c r="F50" i="607"/>
  <c r="H50" i="607" s="1"/>
  <c r="W49" i="607"/>
  <c r="N49" i="607" s="1"/>
  <c r="K49" i="607"/>
  <c r="J49" i="607"/>
  <c r="P49" i="607" s="1"/>
  <c r="F49" i="607"/>
  <c r="H49" i="607" s="1"/>
  <c r="AE48" i="607"/>
  <c r="AD48" i="607"/>
  <c r="AA48" i="607"/>
  <c r="Z48" i="607"/>
  <c r="G18" i="606" s="1"/>
  <c r="W48" i="607"/>
  <c r="M48" i="607"/>
  <c r="G22" i="606" s="1"/>
  <c r="W47" i="607"/>
  <c r="W46" i="607"/>
  <c r="W45" i="607"/>
  <c r="W44" i="607"/>
  <c r="W43" i="607"/>
  <c r="N43" i="607" s="1"/>
  <c r="O43" i="607" s="1"/>
  <c r="W42" i="607"/>
  <c r="N42" i="607" s="1"/>
  <c r="O42" i="607" s="1"/>
  <c r="W41" i="607"/>
  <c r="N41" i="607" s="1"/>
  <c r="O41" i="607" s="1"/>
  <c r="V41" i="607"/>
  <c r="W40" i="607"/>
  <c r="N40" i="607" s="1"/>
  <c r="O40" i="607" s="1"/>
  <c r="V40" i="607"/>
  <c r="W39" i="607"/>
  <c r="N39" i="607" s="1"/>
  <c r="O39" i="607" s="1"/>
  <c r="V39" i="607"/>
  <c r="W38" i="607"/>
  <c r="P38" i="607"/>
  <c r="K38" i="607"/>
  <c r="J38" i="607"/>
  <c r="F38" i="607"/>
  <c r="H38" i="607" s="1"/>
  <c r="AE37" i="607"/>
  <c r="F21" i="606" s="1"/>
  <c r="AD37" i="607"/>
  <c r="F20" i="606" s="1"/>
  <c r="AA37" i="607"/>
  <c r="Z37" i="607"/>
  <c r="F18" i="606" s="1"/>
  <c r="M37" i="607"/>
  <c r="W36" i="607"/>
  <c r="W35" i="607"/>
  <c r="W34" i="607"/>
  <c r="W33" i="607"/>
  <c r="W32" i="607"/>
  <c r="N32" i="607" s="1"/>
  <c r="V32" i="607"/>
  <c r="P32" i="607"/>
  <c r="J32" i="607"/>
  <c r="F32" i="607"/>
  <c r="H32" i="607" s="1"/>
  <c r="W31" i="607"/>
  <c r="N31" i="607" s="1"/>
  <c r="V31" i="607"/>
  <c r="P31" i="607"/>
  <c r="L31" i="607"/>
  <c r="J31" i="607"/>
  <c r="F31" i="607"/>
  <c r="H31" i="607" s="1"/>
  <c r="W30" i="607"/>
  <c r="N30" i="607" s="1"/>
  <c r="AF30" i="607" s="1"/>
  <c r="V30" i="607"/>
  <c r="J30" i="607"/>
  <c r="F30" i="607"/>
  <c r="H30" i="607" s="1"/>
  <c r="W29" i="607"/>
  <c r="N29" i="607" s="1"/>
  <c r="V29" i="607"/>
  <c r="J29" i="607"/>
  <c r="P29" i="607" s="1"/>
  <c r="F29" i="607"/>
  <c r="H29" i="607" s="1"/>
  <c r="W28" i="607"/>
  <c r="N28" i="607" s="1"/>
  <c r="O28" i="607" s="1"/>
  <c r="V28" i="607"/>
  <c r="J28" i="607"/>
  <c r="P28" i="607" s="1"/>
  <c r="F28" i="607"/>
  <c r="H28" i="607" s="1"/>
  <c r="W27" i="607"/>
  <c r="N27" i="607" s="1"/>
  <c r="O27" i="607" s="1"/>
  <c r="K27" i="607"/>
  <c r="L27" i="607" s="1"/>
  <c r="J27" i="607"/>
  <c r="P27" i="607" s="1"/>
  <c r="F27" i="607"/>
  <c r="H27" i="607" s="1"/>
  <c r="AE26" i="607"/>
  <c r="AD26" i="607"/>
  <c r="AD2" i="607" s="1"/>
  <c r="AA26" i="607"/>
  <c r="E19" i="606" s="1"/>
  <c r="Z26" i="607"/>
  <c r="E18" i="606" s="1"/>
  <c r="M26" i="607"/>
  <c r="E22" i="606" s="1"/>
  <c r="W25" i="607"/>
  <c r="H25" i="607"/>
  <c r="W24" i="607"/>
  <c r="H24" i="607"/>
  <c r="W23" i="607"/>
  <c r="W21" i="607"/>
  <c r="N21" i="607" s="1"/>
  <c r="V21" i="607"/>
  <c r="K21" i="607"/>
  <c r="J21" i="607"/>
  <c r="P21" i="607" s="1"/>
  <c r="F21" i="607"/>
  <c r="H21" i="607" s="1"/>
  <c r="W20" i="607"/>
  <c r="N20" i="607" s="1"/>
  <c r="V20" i="607"/>
  <c r="K20" i="607"/>
  <c r="J20" i="607"/>
  <c r="P20" i="607" s="1"/>
  <c r="F20" i="607"/>
  <c r="H20" i="607" s="1"/>
  <c r="W19" i="607"/>
  <c r="N19" i="607" s="1"/>
  <c r="O19" i="607" s="1"/>
  <c r="R19" i="607" s="1"/>
  <c r="V19" i="607"/>
  <c r="K19" i="607"/>
  <c r="L19" i="607" s="1"/>
  <c r="J19" i="607"/>
  <c r="P19" i="607" s="1"/>
  <c r="H19" i="607"/>
  <c r="F19" i="607"/>
  <c r="W18" i="607"/>
  <c r="N18" i="607" s="1"/>
  <c r="V18" i="607"/>
  <c r="K18" i="607"/>
  <c r="J18" i="607"/>
  <c r="P18" i="607" s="1"/>
  <c r="F18" i="607"/>
  <c r="H18" i="607" s="1"/>
  <c r="W17" i="607"/>
  <c r="N17" i="607" s="1"/>
  <c r="V17" i="607"/>
  <c r="K17" i="607"/>
  <c r="J17" i="607"/>
  <c r="L17" i="607" s="1"/>
  <c r="F17" i="607"/>
  <c r="H17" i="607" s="1"/>
  <c r="W16" i="607"/>
  <c r="N16" i="607" s="1"/>
  <c r="K16" i="607"/>
  <c r="J16" i="607"/>
  <c r="F16" i="607"/>
  <c r="H16" i="607" s="1"/>
  <c r="AE15" i="607"/>
  <c r="D21" i="606" s="1"/>
  <c r="AD15" i="607"/>
  <c r="D20" i="606" s="1"/>
  <c r="AA15" i="607"/>
  <c r="D19" i="606" s="1"/>
  <c r="Z15" i="607"/>
  <c r="D18" i="606" s="1"/>
  <c r="M15" i="607"/>
  <c r="D22" i="606" s="1"/>
  <c r="W14" i="607"/>
  <c r="W13" i="607"/>
  <c r="W12" i="607"/>
  <c r="W11" i="607"/>
  <c r="W10" i="607"/>
  <c r="AF9" i="607"/>
  <c r="W9" i="607"/>
  <c r="W8" i="607"/>
  <c r="N8" i="607" s="1"/>
  <c r="O8" i="607" s="1"/>
  <c r="V8" i="607"/>
  <c r="K8" i="607"/>
  <c r="J8" i="607"/>
  <c r="P8" i="607" s="1"/>
  <c r="F8" i="607"/>
  <c r="H8" i="607" s="1"/>
  <c r="W7" i="607"/>
  <c r="V7" i="607"/>
  <c r="N7" i="607"/>
  <c r="K7" i="607"/>
  <c r="J7" i="607"/>
  <c r="L7" i="607" s="1"/>
  <c r="H7" i="607"/>
  <c r="F7" i="607"/>
  <c r="W6" i="607"/>
  <c r="N6" i="607" s="1"/>
  <c r="V6" i="607"/>
  <c r="P6" i="607"/>
  <c r="K6" i="607"/>
  <c r="J6" i="607"/>
  <c r="H6" i="607"/>
  <c r="F6" i="607"/>
  <c r="W5" i="607"/>
  <c r="N5" i="607"/>
  <c r="AG5" i="607" s="1"/>
  <c r="K5" i="607"/>
  <c r="L5" i="607" s="1"/>
  <c r="J5" i="607"/>
  <c r="P5" i="607" s="1"/>
  <c r="F5" i="607"/>
  <c r="H5" i="607" s="1"/>
  <c r="I2" i="607"/>
  <c r="J21" i="606"/>
  <c r="G21" i="606"/>
  <c r="E21" i="606"/>
  <c r="J20" i="606"/>
  <c r="G20" i="606"/>
  <c r="J19" i="606"/>
  <c r="H19" i="606"/>
  <c r="G19" i="606"/>
  <c r="F19" i="606"/>
  <c r="J18" i="606"/>
  <c r="I18" i="606"/>
  <c r="H18" i="606"/>
  <c r="J16" i="606"/>
  <c r="I16" i="606"/>
  <c r="H16" i="606"/>
  <c r="G16" i="606"/>
  <c r="F16" i="606"/>
  <c r="E16" i="606"/>
  <c r="D16" i="606"/>
  <c r="O8" i="606"/>
  <c r="N8" i="606"/>
  <c r="M8" i="606"/>
  <c r="L8" i="606"/>
  <c r="O7" i="606"/>
  <c r="N7" i="606"/>
  <c r="M7" i="606"/>
  <c r="L7" i="606"/>
  <c r="AE79" i="605"/>
  <c r="AD79" i="605"/>
  <c r="AA79" i="605"/>
  <c r="Z79" i="605"/>
  <c r="M79" i="605"/>
  <c r="K79" i="605"/>
  <c r="W78" i="605"/>
  <c r="W77" i="605"/>
  <c r="W76" i="605"/>
  <c r="W75" i="605"/>
  <c r="W74" i="605"/>
  <c r="W73" i="605"/>
  <c r="W72" i="605"/>
  <c r="W71" i="605"/>
  <c r="V71" i="605"/>
  <c r="P71" i="605"/>
  <c r="O71" i="605"/>
  <c r="R71" i="605" s="1"/>
  <c r="N71" i="605"/>
  <c r="AG71" i="605" s="1"/>
  <c r="L71" i="605"/>
  <c r="Q71" i="605" s="1"/>
  <c r="K71" i="605"/>
  <c r="J71" i="605"/>
  <c r="G71" i="605"/>
  <c r="H71" i="605" s="1"/>
  <c r="F71" i="605"/>
  <c r="W70" i="605"/>
  <c r="K70" i="605"/>
  <c r="J70" i="605"/>
  <c r="H70" i="605"/>
  <c r="G70" i="605"/>
  <c r="F70" i="605"/>
  <c r="AE69" i="605"/>
  <c r="AD69" i="605"/>
  <c r="I20" i="604" s="1"/>
  <c r="AA69" i="605"/>
  <c r="Z69" i="605"/>
  <c r="M69" i="605"/>
  <c r="I22" i="604" s="1"/>
  <c r="K69" i="605"/>
  <c r="W68" i="605"/>
  <c r="H68" i="605"/>
  <c r="W67" i="605"/>
  <c r="W66" i="605"/>
  <c r="W65" i="605"/>
  <c r="W64" i="605"/>
  <c r="AF63" i="605"/>
  <c r="W63" i="605"/>
  <c r="N63" i="605" s="1"/>
  <c r="O63" i="605" s="1"/>
  <c r="R63" i="605" s="1"/>
  <c r="V63" i="605"/>
  <c r="P63" i="605"/>
  <c r="L63" i="605"/>
  <c r="J63" i="605"/>
  <c r="F63" i="605"/>
  <c r="H63" i="605" s="1"/>
  <c r="W62" i="605"/>
  <c r="N62" i="605" s="1"/>
  <c r="V62" i="605"/>
  <c r="J62" i="605"/>
  <c r="F62" i="605"/>
  <c r="H62" i="605" s="1"/>
  <c r="AG61" i="605"/>
  <c r="W61" i="605"/>
  <c r="N61" i="605" s="1"/>
  <c r="O61" i="605" s="1"/>
  <c r="V61" i="605"/>
  <c r="J61" i="605"/>
  <c r="P61" i="605" s="1"/>
  <c r="H61" i="605"/>
  <c r="F61" i="605"/>
  <c r="AG60" i="605"/>
  <c r="W60" i="605"/>
  <c r="V60" i="605"/>
  <c r="N60" i="605"/>
  <c r="O60" i="605" s="1"/>
  <c r="J60" i="605"/>
  <c r="P60" i="605" s="1"/>
  <c r="H60" i="605"/>
  <c r="F60" i="605"/>
  <c r="AG59" i="605"/>
  <c r="W59" i="605"/>
  <c r="P59" i="605"/>
  <c r="O59" i="605"/>
  <c r="N59" i="605"/>
  <c r="AF59" i="605" s="1"/>
  <c r="J59" i="605"/>
  <c r="J69" i="605" s="1"/>
  <c r="F59" i="605"/>
  <c r="H59" i="605" s="1"/>
  <c r="AE58" i="605"/>
  <c r="AD58" i="605"/>
  <c r="AA58" i="605"/>
  <c r="Z58" i="605"/>
  <c r="H18" i="604" s="1"/>
  <c r="M58" i="605"/>
  <c r="K58" i="605"/>
  <c r="W57" i="605"/>
  <c r="W56" i="605"/>
  <c r="W55" i="605"/>
  <c r="W54" i="605"/>
  <c r="AG53" i="605"/>
  <c r="W53" i="605"/>
  <c r="N53" i="605" s="1"/>
  <c r="V53" i="605"/>
  <c r="L53" i="605"/>
  <c r="J53" i="605"/>
  <c r="W52" i="605"/>
  <c r="N52" i="605" s="1"/>
  <c r="AG52" i="605" s="1"/>
  <c r="V52" i="605"/>
  <c r="Q52" i="605"/>
  <c r="O52" i="605"/>
  <c r="R52" i="605" s="1"/>
  <c r="L52" i="605"/>
  <c r="J52" i="605"/>
  <c r="W51" i="605"/>
  <c r="V51" i="605"/>
  <c r="N51" i="605"/>
  <c r="L51" i="605"/>
  <c r="J51" i="605"/>
  <c r="G51" i="605"/>
  <c r="W50" i="605"/>
  <c r="V50" i="605"/>
  <c r="O50" i="605"/>
  <c r="N50" i="605"/>
  <c r="J50" i="605"/>
  <c r="P50" i="605" s="1"/>
  <c r="H50" i="605"/>
  <c r="F50" i="605"/>
  <c r="AF49" i="605"/>
  <c r="W49" i="605"/>
  <c r="P49" i="605"/>
  <c r="L49" i="605"/>
  <c r="K49" i="605"/>
  <c r="J49" i="605"/>
  <c r="G49" i="605"/>
  <c r="N49" i="605" s="1"/>
  <c r="F49" i="605"/>
  <c r="H49" i="605" s="1"/>
  <c r="AE48" i="605"/>
  <c r="AD48" i="605"/>
  <c r="AA48" i="605"/>
  <c r="Z48" i="605"/>
  <c r="W48" i="605"/>
  <c r="N48" i="605"/>
  <c r="M48" i="605"/>
  <c r="W47" i="605"/>
  <c r="H47" i="605"/>
  <c r="W46" i="605"/>
  <c r="W45" i="605"/>
  <c r="W44" i="605"/>
  <c r="W43" i="605"/>
  <c r="W42" i="605"/>
  <c r="AG41" i="605"/>
  <c r="W41" i="605"/>
  <c r="N41" i="605" s="1"/>
  <c r="O41" i="605" s="1"/>
  <c r="V41" i="605"/>
  <c r="R41" i="605"/>
  <c r="Q41" i="605"/>
  <c r="K41" i="605"/>
  <c r="J41" i="605"/>
  <c r="L41" i="605" s="1"/>
  <c r="H41" i="605"/>
  <c r="F41" i="605"/>
  <c r="W40" i="605"/>
  <c r="N40" i="605" s="1"/>
  <c r="O40" i="605" s="1"/>
  <c r="V40" i="605"/>
  <c r="K40" i="605"/>
  <c r="J40" i="605"/>
  <c r="P40" i="605" s="1"/>
  <c r="F40" i="605"/>
  <c r="H40" i="605" s="1"/>
  <c r="W39" i="605"/>
  <c r="V39" i="605"/>
  <c r="N39" i="605"/>
  <c r="AG39" i="605" s="1"/>
  <c r="K39" i="605"/>
  <c r="J39" i="605"/>
  <c r="P39" i="605" s="1"/>
  <c r="H39" i="605"/>
  <c r="F39" i="605"/>
  <c r="W38" i="605"/>
  <c r="N38" i="605"/>
  <c r="L38" i="605"/>
  <c r="K38" i="605"/>
  <c r="J38" i="605"/>
  <c r="G38" i="605"/>
  <c r="F38" i="605"/>
  <c r="H38" i="605" s="1"/>
  <c r="AE37" i="605"/>
  <c r="AD37" i="605"/>
  <c r="AA37" i="605"/>
  <c r="F19" i="604" s="1"/>
  <c r="Z37" i="605"/>
  <c r="M37" i="605"/>
  <c r="W36" i="605"/>
  <c r="W35" i="605"/>
  <c r="W34" i="605"/>
  <c r="W33" i="605"/>
  <c r="W32" i="605"/>
  <c r="N32" i="605" s="1"/>
  <c r="V32" i="605"/>
  <c r="L32" i="605"/>
  <c r="J32" i="605"/>
  <c r="P32" i="605" s="1"/>
  <c r="F32" i="605"/>
  <c r="H32" i="605" s="1"/>
  <c r="AG31" i="605"/>
  <c r="AF31" i="605"/>
  <c r="W31" i="605"/>
  <c r="V31" i="605"/>
  <c r="P31" i="605"/>
  <c r="N31" i="605"/>
  <c r="O31" i="605" s="1"/>
  <c r="R31" i="605" s="1"/>
  <c r="L31" i="605"/>
  <c r="J31" i="605"/>
  <c r="F31" i="605"/>
  <c r="H31" i="605" s="1"/>
  <c r="W30" i="605"/>
  <c r="N30" i="605" s="1"/>
  <c r="V30" i="605"/>
  <c r="P30" i="605"/>
  <c r="K30" i="605"/>
  <c r="J30" i="605"/>
  <c r="L30" i="605" s="1"/>
  <c r="H30" i="605"/>
  <c r="F30" i="605"/>
  <c r="W29" i="605"/>
  <c r="N29" i="605" s="1"/>
  <c r="V29" i="605"/>
  <c r="J29" i="605"/>
  <c r="P29" i="605" s="1"/>
  <c r="F29" i="605"/>
  <c r="H29" i="605" s="1"/>
  <c r="W28" i="605"/>
  <c r="N28" i="605" s="1"/>
  <c r="V28" i="605"/>
  <c r="P28" i="605"/>
  <c r="K28" i="605"/>
  <c r="J28" i="605"/>
  <c r="L28" i="605" s="1"/>
  <c r="F28" i="605"/>
  <c r="H28" i="605" s="1"/>
  <c r="W27" i="605"/>
  <c r="K27" i="605"/>
  <c r="J27" i="605"/>
  <c r="J37" i="605" s="1"/>
  <c r="P37" i="605" s="1"/>
  <c r="H27" i="605"/>
  <c r="G27" i="605"/>
  <c r="N27" i="605" s="1"/>
  <c r="F27" i="605"/>
  <c r="AE26" i="605"/>
  <c r="AD26" i="605"/>
  <c r="E20" i="604" s="1"/>
  <c r="AA26" i="605"/>
  <c r="Z26" i="605"/>
  <c r="M26" i="605"/>
  <c r="P26" i="605" s="1"/>
  <c r="K26" i="605"/>
  <c r="J26" i="605"/>
  <c r="W25" i="605"/>
  <c r="H25" i="605"/>
  <c r="W24" i="605"/>
  <c r="H24" i="605"/>
  <c r="W23" i="605"/>
  <c r="AF21" i="605"/>
  <c r="W21" i="605"/>
  <c r="N21" i="605" s="1"/>
  <c r="AG21" i="605" s="1"/>
  <c r="V21" i="605"/>
  <c r="P21" i="605"/>
  <c r="O21" i="605"/>
  <c r="L21" i="605"/>
  <c r="K21" i="605"/>
  <c r="J21" i="605"/>
  <c r="H21" i="605"/>
  <c r="F21" i="605"/>
  <c r="AG20" i="605"/>
  <c r="AF20" i="605"/>
  <c r="W20" i="605"/>
  <c r="N20" i="605" s="1"/>
  <c r="V20" i="605"/>
  <c r="O20" i="605"/>
  <c r="Q20" i="605" s="1"/>
  <c r="L20" i="605"/>
  <c r="K20" i="605"/>
  <c r="J20" i="605"/>
  <c r="P20" i="605" s="1"/>
  <c r="F20" i="605"/>
  <c r="H20" i="605" s="1"/>
  <c r="W19" i="605"/>
  <c r="V19" i="605"/>
  <c r="N19" i="605"/>
  <c r="L19" i="605"/>
  <c r="K19" i="605"/>
  <c r="J19" i="605"/>
  <c r="P19" i="605" s="1"/>
  <c r="F19" i="605"/>
  <c r="H19" i="605" s="1"/>
  <c r="W18" i="605"/>
  <c r="V18" i="605"/>
  <c r="Q18" i="605"/>
  <c r="P18" i="605"/>
  <c r="O18" i="605"/>
  <c r="R18" i="605" s="1"/>
  <c r="N18" i="605"/>
  <c r="K18" i="605"/>
  <c r="L18" i="605" s="1"/>
  <c r="J18" i="605"/>
  <c r="F18" i="605"/>
  <c r="H18" i="605" s="1"/>
  <c r="AF17" i="605"/>
  <c r="W17" i="605"/>
  <c r="V17" i="605"/>
  <c r="P17" i="605"/>
  <c r="O17" i="605"/>
  <c r="N17" i="605"/>
  <c r="K17" i="605"/>
  <c r="L17" i="605" s="1"/>
  <c r="J17" i="605"/>
  <c r="F17" i="605"/>
  <c r="H17" i="605" s="1"/>
  <c r="W16" i="605"/>
  <c r="N16" i="605" s="1"/>
  <c r="P16" i="605"/>
  <c r="K16" i="605"/>
  <c r="L16" i="605" s="1"/>
  <c r="J16" i="605"/>
  <c r="H16" i="605"/>
  <c r="F16" i="605"/>
  <c r="AE15" i="605"/>
  <c r="AD15" i="605"/>
  <c r="AA15" i="605"/>
  <c r="Z15" i="605"/>
  <c r="M15" i="605"/>
  <c r="W14" i="605"/>
  <c r="W13" i="605"/>
  <c r="W12" i="605"/>
  <c r="W11" i="605"/>
  <c r="W10" i="605"/>
  <c r="W9" i="605"/>
  <c r="V9" i="605"/>
  <c r="P9" i="605"/>
  <c r="N9" i="605"/>
  <c r="L9" i="605"/>
  <c r="K9" i="605"/>
  <c r="J9" i="605"/>
  <c r="H9" i="605"/>
  <c r="F9" i="605"/>
  <c r="W8" i="605"/>
  <c r="V8" i="605"/>
  <c r="P8" i="605"/>
  <c r="O8" i="605"/>
  <c r="N8" i="605"/>
  <c r="AG8" i="605" s="1"/>
  <c r="K8" i="605"/>
  <c r="L8" i="605" s="1"/>
  <c r="J8" i="605"/>
  <c r="F8" i="605"/>
  <c r="H8" i="605" s="1"/>
  <c r="W7" i="605"/>
  <c r="V7" i="605"/>
  <c r="N7" i="605"/>
  <c r="O7" i="605" s="1"/>
  <c r="K7" i="605"/>
  <c r="J7" i="605"/>
  <c r="P7" i="605" s="1"/>
  <c r="F7" i="605"/>
  <c r="H7" i="605" s="1"/>
  <c r="W6" i="605"/>
  <c r="V6" i="605"/>
  <c r="N6" i="605"/>
  <c r="K6" i="605"/>
  <c r="J6" i="605"/>
  <c r="G6" i="605"/>
  <c r="E1" i="605" s="1"/>
  <c r="G3" i="604" s="1"/>
  <c r="F6" i="605"/>
  <c r="H6" i="605" s="1"/>
  <c r="W5" i="605"/>
  <c r="P5" i="605"/>
  <c r="N5" i="605"/>
  <c r="L5" i="605"/>
  <c r="K5" i="605"/>
  <c r="J5" i="605"/>
  <c r="H5" i="605"/>
  <c r="F5" i="605"/>
  <c r="I2" i="605"/>
  <c r="I1" i="605"/>
  <c r="J22" i="604"/>
  <c r="H22" i="604"/>
  <c r="F22" i="604"/>
  <c r="E22" i="604"/>
  <c r="D22" i="604"/>
  <c r="J21" i="604"/>
  <c r="I21" i="604"/>
  <c r="H21" i="604"/>
  <c r="G21" i="604"/>
  <c r="F21" i="604"/>
  <c r="E21" i="604"/>
  <c r="J20" i="604"/>
  <c r="H20" i="604"/>
  <c r="G20" i="604"/>
  <c r="F20" i="604"/>
  <c r="J19" i="604"/>
  <c r="I19" i="604"/>
  <c r="H19" i="604"/>
  <c r="G19" i="604"/>
  <c r="E19" i="604"/>
  <c r="J18" i="604"/>
  <c r="I18" i="604"/>
  <c r="G18" i="604"/>
  <c r="F18" i="604"/>
  <c r="E18" i="604"/>
  <c r="J16" i="604"/>
  <c r="I16" i="604"/>
  <c r="H16" i="604"/>
  <c r="G16" i="604"/>
  <c r="F16" i="604"/>
  <c r="E16" i="604"/>
  <c r="D16" i="604"/>
  <c r="O8" i="604"/>
  <c r="N8" i="604"/>
  <c r="M8" i="604"/>
  <c r="L8" i="604"/>
  <c r="O7" i="604"/>
  <c r="N7" i="604"/>
  <c r="M7" i="604"/>
  <c r="L7" i="604"/>
  <c r="AE79" i="603"/>
  <c r="AD79" i="603"/>
  <c r="AA79" i="603"/>
  <c r="Z79" i="603"/>
  <c r="M79" i="603"/>
  <c r="W78" i="603"/>
  <c r="H78" i="603"/>
  <c r="W77" i="603"/>
  <c r="W76" i="603"/>
  <c r="W75" i="603"/>
  <c r="W74" i="603"/>
  <c r="W73" i="603"/>
  <c r="W72" i="603"/>
  <c r="V72" i="603"/>
  <c r="N72" i="603"/>
  <c r="K72" i="603"/>
  <c r="J72" i="603"/>
  <c r="G72" i="603"/>
  <c r="F72" i="603"/>
  <c r="H72" i="603" s="1"/>
  <c r="W71" i="603"/>
  <c r="V71" i="603"/>
  <c r="P71" i="603"/>
  <c r="N71" i="603"/>
  <c r="L71" i="603"/>
  <c r="K71" i="603"/>
  <c r="J71" i="603"/>
  <c r="F71" i="603"/>
  <c r="H71" i="603" s="1"/>
  <c r="W70" i="603"/>
  <c r="N70" i="603" s="1"/>
  <c r="P70" i="603"/>
  <c r="O70" i="603"/>
  <c r="K70" i="603"/>
  <c r="J70" i="603"/>
  <c r="F70" i="603"/>
  <c r="H70" i="603" s="1"/>
  <c r="AE69" i="603"/>
  <c r="AD69" i="603"/>
  <c r="I20" i="602" s="1"/>
  <c r="AA69" i="603"/>
  <c r="Z69" i="603"/>
  <c r="M69" i="603"/>
  <c r="K69" i="603"/>
  <c r="W68" i="603"/>
  <c r="H68" i="603"/>
  <c r="W67" i="603"/>
  <c r="W66" i="603"/>
  <c r="W65" i="603"/>
  <c r="W64" i="603"/>
  <c r="W63" i="603"/>
  <c r="V63" i="603"/>
  <c r="P63" i="603"/>
  <c r="O63" i="603"/>
  <c r="N63" i="603"/>
  <c r="L63" i="603"/>
  <c r="J63" i="603"/>
  <c r="F63" i="603"/>
  <c r="H63" i="603" s="1"/>
  <c r="W62" i="603"/>
  <c r="V62" i="603"/>
  <c r="N62" i="603"/>
  <c r="J62" i="603"/>
  <c r="L62" i="603" s="1"/>
  <c r="F62" i="603"/>
  <c r="H62" i="603" s="1"/>
  <c r="W61" i="603"/>
  <c r="V61" i="603"/>
  <c r="J61" i="603"/>
  <c r="L61" i="603" s="1"/>
  <c r="G61" i="603"/>
  <c r="F61" i="603"/>
  <c r="H61" i="603" s="1"/>
  <c r="W60" i="603"/>
  <c r="V60" i="603"/>
  <c r="N60" i="603"/>
  <c r="L60" i="603"/>
  <c r="J60" i="603"/>
  <c r="P60" i="603" s="1"/>
  <c r="F60" i="603"/>
  <c r="H60" i="603" s="1"/>
  <c r="W59" i="603"/>
  <c r="Q59" i="603"/>
  <c r="P59" i="603"/>
  <c r="O59" i="603"/>
  <c r="N59" i="603"/>
  <c r="J59" i="603"/>
  <c r="L59" i="603" s="1"/>
  <c r="H59" i="603"/>
  <c r="F59" i="603"/>
  <c r="AE58" i="603"/>
  <c r="AD58" i="603"/>
  <c r="AA58" i="603"/>
  <c r="Z58" i="603"/>
  <c r="M58" i="603"/>
  <c r="W57" i="603"/>
  <c r="W56" i="603"/>
  <c r="W55" i="603"/>
  <c r="W54" i="603"/>
  <c r="W53" i="603"/>
  <c r="W52" i="603"/>
  <c r="N52" i="603" s="1"/>
  <c r="AG52" i="603" s="1"/>
  <c r="V52" i="603"/>
  <c r="J52" i="603"/>
  <c r="L52" i="603" s="1"/>
  <c r="AG51" i="603"/>
  <c r="AF51" i="603"/>
  <c r="W51" i="603"/>
  <c r="V51" i="603"/>
  <c r="N51" i="603"/>
  <c r="O51" i="603" s="1"/>
  <c r="L51" i="603"/>
  <c r="J51" i="603"/>
  <c r="W50" i="603"/>
  <c r="N50" i="603" s="1"/>
  <c r="V50" i="603"/>
  <c r="L50" i="603"/>
  <c r="J50" i="603"/>
  <c r="P50" i="603" s="1"/>
  <c r="G50" i="603"/>
  <c r="F50" i="603"/>
  <c r="H50" i="603" s="1"/>
  <c r="W49" i="603"/>
  <c r="K49" i="603"/>
  <c r="J49" i="603"/>
  <c r="H49" i="603"/>
  <c r="G49" i="603"/>
  <c r="N49" i="603" s="1"/>
  <c r="F49" i="603"/>
  <c r="AE48" i="603"/>
  <c r="AD48" i="603"/>
  <c r="AA48" i="603"/>
  <c r="Z48" i="603"/>
  <c r="W48" i="603"/>
  <c r="M48" i="603"/>
  <c r="G22" i="602" s="1"/>
  <c r="W47" i="603"/>
  <c r="H47" i="603"/>
  <c r="W46" i="603"/>
  <c r="W45" i="603"/>
  <c r="W44" i="603"/>
  <c r="W43" i="603"/>
  <c r="W42" i="603"/>
  <c r="W41" i="603"/>
  <c r="V41" i="603"/>
  <c r="N41" i="603"/>
  <c r="K41" i="603"/>
  <c r="J41" i="603"/>
  <c r="P41" i="603" s="1"/>
  <c r="G41" i="603"/>
  <c r="F41" i="603"/>
  <c r="H41" i="603" s="1"/>
  <c r="W40" i="603"/>
  <c r="V40" i="603"/>
  <c r="K40" i="603"/>
  <c r="L40" i="603" s="1"/>
  <c r="J40" i="603"/>
  <c r="P40" i="603" s="1"/>
  <c r="G40" i="603"/>
  <c r="F40" i="603"/>
  <c r="W39" i="603"/>
  <c r="N39" i="603" s="1"/>
  <c r="V39" i="603"/>
  <c r="K39" i="603"/>
  <c r="L39" i="603" s="1"/>
  <c r="J39" i="603"/>
  <c r="P39" i="603" s="1"/>
  <c r="F39" i="603"/>
  <c r="H39" i="603" s="1"/>
  <c r="AG38" i="603"/>
  <c r="AF38" i="603"/>
  <c r="W38" i="603"/>
  <c r="N38" i="603"/>
  <c r="K38" i="603"/>
  <c r="J38" i="603"/>
  <c r="P38" i="603" s="1"/>
  <c r="H38" i="603"/>
  <c r="F38" i="603"/>
  <c r="AE37" i="603"/>
  <c r="AD37" i="603"/>
  <c r="F20" i="602" s="1"/>
  <c r="AA37" i="603"/>
  <c r="Z37" i="603"/>
  <c r="M37" i="603"/>
  <c r="W36" i="603"/>
  <c r="W35" i="603"/>
  <c r="W34" i="603"/>
  <c r="W33" i="603"/>
  <c r="W32" i="603"/>
  <c r="AF31" i="603"/>
  <c r="W31" i="603"/>
  <c r="N31" i="603" s="1"/>
  <c r="AG31" i="603" s="1"/>
  <c r="V31" i="603"/>
  <c r="O31" i="603"/>
  <c r="Q31" i="603" s="1"/>
  <c r="L31" i="603"/>
  <c r="J31" i="603"/>
  <c r="P31" i="603" s="1"/>
  <c r="F31" i="603"/>
  <c r="H31" i="603" s="1"/>
  <c r="W30" i="603"/>
  <c r="V30" i="603"/>
  <c r="P30" i="603"/>
  <c r="L30" i="603"/>
  <c r="K30" i="603"/>
  <c r="J30" i="603"/>
  <c r="G30" i="603"/>
  <c r="F30" i="603"/>
  <c r="H30" i="603" s="1"/>
  <c r="AG29" i="603"/>
  <c r="W29" i="603"/>
  <c r="V29" i="603"/>
  <c r="P29" i="603"/>
  <c r="N29" i="603"/>
  <c r="AF29" i="603" s="1"/>
  <c r="L29" i="603"/>
  <c r="J29" i="603"/>
  <c r="H29" i="603"/>
  <c r="F29" i="603"/>
  <c r="W28" i="603"/>
  <c r="V28" i="603"/>
  <c r="N28" i="603"/>
  <c r="K28" i="603"/>
  <c r="L28" i="603" s="1"/>
  <c r="J28" i="603"/>
  <c r="G28" i="603"/>
  <c r="F28" i="603"/>
  <c r="H28" i="603" s="1"/>
  <c r="W27" i="603"/>
  <c r="N27" i="603" s="1"/>
  <c r="P27" i="603"/>
  <c r="O27" i="603"/>
  <c r="K27" i="603"/>
  <c r="J27" i="603"/>
  <c r="F27" i="603"/>
  <c r="H27" i="603" s="1"/>
  <c r="AE26" i="603"/>
  <c r="AD26" i="603"/>
  <c r="AA26" i="603"/>
  <c r="Z26" i="603"/>
  <c r="E18" i="602" s="1"/>
  <c r="M26" i="603"/>
  <c r="W25" i="603"/>
  <c r="H25" i="603"/>
  <c r="W24" i="603"/>
  <c r="H24" i="603"/>
  <c r="W23" i="603"/>
  <c r="W21" i="603"/>
  <c r="P21" i="603"/>
  <c r="N21" i="603"/>
  <c r="L21" i="603"/>
  <c r="K21" i="603"/>
  <c r="J21" i="603"/>
  <c r="F21" i="603"/>
  <c r="H21" i="603" s="1"/>
  <c r="W20" i="603"/>
  <c r="V20" i="603"/>
  <c r="O20" i="603"/>
  <c r="N20" i="603"/>
  <c r="AG20" i="603" s="1"/>
  <c r="K20" i="603"/>
  <c r="L20" i="603" s="1"/>
  <c r="J20" i="603"/>
  <c r="P20" i="603" s="1"/>
  <c r="F20" i="603"/>
  <c r="H20" i="603" s="1"/>
  <c r="AG19" i="603"/>
  <c r="W19" i="603"/>
  <c r="V19" i="603"/>
  <c r="N19" i="603"/>
  <c r="O19" i="603" s="1"/>
  <c r="K19" i="603"/>
  <c r="J19" i="603"/>
  <c r="H19" i="603"/>
  <c r="F19" i="603"/>
  <c r="AF18" i="603"/>
  <c r="W18" i="603"/>
  <c r="N18" i="603" s="1"/>
  <c r="V18" i="603"/>
  <c r="P18" i="603"/>
  <c r="O18" i="603"/>
  <c r="K18" i="603"/>
  <c r="L18" i="603" s="1"/>
  <c r="J18" i="603"/>
  <c r="H18" i="603"/>
  <c r="F18" i="603"/>
  <c r="AF17" i="603"/>
  <c r="W17" i="603"/>
  <c r="N17" i="603" s="1"/>
  <c r="V17" i="603"/>
  <c r="K17" i="603"/>
  <c r="L17" i="603" s="1"/>
  <c r="J17" i="603"/>
  <c r="P17" i="603" s="1"/>
  <c r="F17" i="603"/>
  <c r="H17" i="603" s="1"/>
  <c r="AF16" i="603"/>
  <c r="W16" i="603"/>
  <c r="O16" i="603"/>
  <c r="N16" i="603"/>
  <c r="K16" i="603"/>
  <c r="K26" i="603" s="1"/>
  <c r="J16" i="603"/>
  <c r="P16" i="603" s="1"/>
  <c r="F16" i="603"/>
  <c r="H16" i="603" s="1"/>
  <c r="AE15" i="603"/>
  <c r="D21" i="602" s="1"/>
  <c r="AD15" i="603"/>
  <c r="AA15" i="603"/>
  <c r="D19" i="602" s="1"/>
  <c r="Z15" i="603"/>
  <c r="M15" i="603"/>
  <c r="W14" i="603"/>
  <c r="W13" i="603"/>
  <c r="W12" i="603"/>
  <c r="W11" i="603"/>
  <c r="W10" i="603"/>
  <c r="W9" i="603"/>
  <c r="W8" i="603"/>
  <c r="V8" i="603"/>
  <c r="N8" i="603"/>
  <c r="L8" i="603"/>
  <c r="K8" i="603"/>
  <c r="J8" i="603"/>
  <c r="P8" i="603" s="1"/>
  <c r="G8" i="603"/>
  <c r="F8" i="603"/>
  <c r="H8" i="603" s="1"/>
  <c r="W7" i="603"/>
  <c r="V7" i="603"/>
  <c r="P7" i="603"/>
  <c r="N7" i="603"/>
  <c r="L7" i="603"/>
  <c r="K7" i="603"/>
  <c r="J7" i="603"/>
  <c r="G7" i="603"/>
  <c r="F7" i="603"/>
  <c r="H7" i="603" s="1"/>
  <c r="W6" i="603"/>
  <c r="V6" i="603"/>
  <c r="P6" i="603"/>
  <c r="N6" i="603"/>
  <c r="L6" i="603"/>
  <c r="K6" i="603"/>
  <c r="J6" i="603"/>
  <c r="G6" i="603"/>
  <c r="F6" i="603"/>
  <c r="H6" i="603" s="1"/>
  <c r="W5" i="603"/>
  <c r="N5" i="603" s="1"/>
  <c r="O5" i="603"/>
  <c r="K5" i="603"/>
  <c r="J5" i="603"/>
  <c r="P5" i="603" s="1"/>
  <c r="H5" i="603"/>
  <c r="F5" i="603"/>
  <c r="I2" i="603"/>
  <c r="J22" i="602"/>
  <c r="I22" i="602"/>
  <c r="H22" i="602"/>
  <c r="F22" i="602"/>
  <c r="D22" i="602"/>
  <c r="J21" i="602"/>
  <c r="I21" i="602"/>
  <c r="H21" i="602"/>
  <c r="G21" i="602"/>
  <c r="F21" i="602"/>
  <c r="E21" i="602"/>
  <c r="J20" i="602"/>
  <c r="H20" i="602"/>
  <c r="G20" i="602"/>
  <c r="E20" i="602"/>
  <c r="J19" i="602"/>
  <c r="I19" i="602"/>
  <c r="G19" i="602"/>
  <c r="F19" i="602"/>
  <c r="E19" i="602"/>
  <c r="J18" i="602"/>
  <c r="I18" i="602"/>
  <c r="G18" i="602"/>
  <c r="F18" i="602"/>
  <c r="D18" i="602"/>
  <c r="J16" i="602"/>
  <c r="I16" i="602"/>
  <c r="H16" i="602"/>
  <c r="G16" i="602"/>
  <c r="F16" i="602"/>
  <c r="E16" i="602"/>
  <c r="D16" i="602"/>
  <c r="O8" i="602"/>
  <c r="N8" i="602"/>
  <c r="M8" i="602"/>
  <c r="L8" i="602"/>
  <c r="O7" i="602"/>
  <c r="N7" i="602"/>
  <c r="M7" i="602"/>
  <c r="L7" i="602"/>
  <c r="AE79" i="601"/>
  <c r="AD79" i="601"/>
  <c r="AA79" i="601"/>
  <c r="Z79" i="601"/>
  <c r="M79" i="601"/>
  <c r="W78" i="601"/>
  <c r="H78" i="601"/>
  <c r="W77" i="601"/>
  <c r="W76" i="601"/>
  <c r="W75" i="601"/>
  <c r="W74" i="601"/>
  <c r="W73" i="601"/>
  <c r="W72" i="601"/>
  <c r="W71" i="601"/>
  <c r="V71" i="601"/>
  <c r="P71" i="601"/>
  <c r="O71" i="601"/>
  <c r="N71" i="601"/>
  <c r="AG71" i="601" s="1"/>
  <c r="L71" i="601"/>
  <c r="K71" i="601"/>
  <c r="J71" i="601"/>
  <c r="G71" i="601"/>
  <c r="H71" i="601" s="1"/>
  <c r="F71" i="601"/>
  <c r="W70" i="601"/>
  <c r="N70" i="601" s="1"/>
  <c r="P70" i="601"/>
  <c r="L70" i="601"/>
  <c r="L79" i="601" s="1"/>
  <c r="J13" i="600" s="1"/>
  <c r="K70" i="601"/>
  <c r="J70" i="601"/>
  <c r="J79" i="601" s="1"/>
  <c r="H70" i="601"/>
  <c r="F70" i="601"/>
  <c r="AE69" i="601"/>
  <c r="AD69" i="601"/>
  <c r="AA69" i="601"/>
  <c r="Z69" i="601"/>
  <c r="M69" i="601"/>
  <c r="K69" i="601"/>
  <c r="J69" i="601"/>
  <c r="W68" i="601"/>
  <c r="H68" i="601"/>
  <c r="W67" i="601"/>
  <c r="W66" i="601"/>
  <c r="W65" i="601"/>
  <c r="W64" i="601"/>
  <c r="W63" i="601"/>
  <c r="N63" i="601" s="1"/>
  <c r="V63" i="601"/>
  <c r="R63" i="601"/>
  <c r="P63" i="601"/>
  <c r="O63" i="601"/>
  <c r="Q63" i="601" s="1"/>
  <c r="L63" i="601"/>
  <c r="J63" i="601"/>
  <c r="F63" i="601"/>
  <c r="H63" i="601" s="1"/>
  <c r="W62" i="601"/>
  <c r="N62" i="601" s="1"/>
  <c r="V62" i="601"/>
  <c r="P62" i="601"/>
  <c r="O62" i="601"/>
  <c r="R62" i="601" s="1"/>
  <c r="L62" i="601"/>
  <c r="J62" i="601"/>
  <c r="H62" i="601"/>
  <c r="G62" i="601"/>
  <c r="F62" i="601"/>
  <c r="W61" i="601"/>
  <c r="V61" i="601"/>
  <c r="J61" i="601"/>
  <c r="P61" i="601" s="1"/>
  <c r="G61" i="601"/>
  <c r="F61" i="601"/>
  <c r="H61" i="601" s="1"/>
  <c r="AF60" i="601"/>
  <c r="W60" i="601"/>
  <c r="N60" i="601" s="1"/>
  <c r="V60" i="601"/>
  <c r="L60" i="601"/>
  <c r="J60" i="601"/>
  <c r="P60" i="601" s="1"/>
  <c r="F60" i="601"/>
  <c r="H60" i="601" s="1"/>
  <c r="W59" i="601"/>
  <c r="J59" i="601"/>
  <c r="P59" i="601" s="1"/>
  <c r="G59" i="601"/>
  <c r="N59" i="601" s="1"/>
  <c r="F59" i="601"/>
  <c r="AE58" i="601"/>
  <c r="AD58" i="601"/>
  <c r="AA58" i="601"/>
  <c r="Z58" i="601"/>
  <c r="M58" i="601"/>
  <c r="K58" i="601"/>
  <c r="W57" i="601"/>
  <c r="W56" i="601"/>
  <c r="W55" i="601"/>
  <c r="W54" i="601"/>
  <c r="W53" i="601"/>
  <c r="W52" i="601"/>
  <c r="N52" i="601" s="1"/>
  <c r="V52" i="601"/>
  <c r="J52" i="601"/>
  <c r="L52" i="601" s="1"/>
  <c r="W51" i="601"/>
  <c r="V51" i="601"/>
  <c r="N51" i="601"/>
  <c r="J51" i="601"/>
  <c r="L51" i="601" s="1"/>
  <c r="AF50" i="601"/>
  <c r="W50" i="601"/>
  <c r="V50" i="601"/>
  <c r="P50" i="601"/>
  <c r="O50" i="601"/>
  <c r="N50" i="601"/>
  <c r="AG50" i="601" s="1"/>
  <c r="L50" i="601"/>
  <c r="J50" i="601"/>
  <c r="H50" i="601"/>
  <c r="F50" i="601"/>
  <c r="W49" i="601"/>
  <c r="N49" i="601" s="1"/>
  <c r="R49" i="601"/>
  <c r="O49" i="601"/>
  <c r="K49" i="601"/>
  <c r="L49" i="601" s="1"/>
  <c r="J49" i="601"/>
  <c r="J58" i="601" s="1"/>
  <c r="F49" i="601"/>
  <c r="H49" i="601" s="1"/>
  <c r="AE48" i="601"/>
  <c r="G21" i="600" s="1"/>
  <c r="AD48" i="601"/>
  <c r="AA48" i="601"/>
  <c r="Z48" i="601"/>
  <c r="G18" i="600" s="1"/>
  <c r="W48" i="601"/>
  <c r="M48" i="601"/>
  <c r="K48" i="601"/>
  <c r="W47" i="601"/>
  <c r="H47" i="601"/>
  <c r="W46" i="601"/>
  <c r="W45" i="601"/>
  <c r="W44" i="601"/>
  <c r="W43" i="601"/>
  <c r="W42" i="601"/>
  <c r="W41" i="601"/>
  <c r="W40" i="601"/>
  <c r="W39" i="601"/>
  <c r="N39" i="601" s="1"/>
  <c r="V39" i="601"/>
  <c r="K39" i="601"/>
  <c r="L39" i="601" s="1"/>
  <c r="J39" i="601"/>
  <c r="P39" i="601" s="1"/>
  <c r="F39" i="601"/>
  <c r="H39" i="601" s="1"/>
  <c r="W38" i="601"/>
  <c r="K38" i="601"/>
  <c r="J38" i="601"/>
  <c r="P38" i="601" s="1"/>
  <c r="G38" i="601"/>
  <c r="F38" i="601"/>
  <c r="AE37" i="601"/>
  <c r="AD37" i="601"/>
  <c r="AA37" i="601"/>
  <c r="Z37" i="601"/>
  <c r="M37" i="601"/>
  <c r="W36" i="601"/>
  <c r="W35" i="601"/>
  <c r="W34" i="601"/>
  <c r="W33" i="601"/>
  <c r="W32" i="601"/>
  <c r="AG31" i="601"/>
  <c r="W31" i="601"/>
  <c r="N31" i="601" s="1"/>
  <c r="V31" i="601"/>
  <c r="P31" i="601"/>
  <c r="L31" i="601"/>
  <c r="J31" i="601"/>
  <c r="F31" i="601"/>
  <c r="H31" i="601" s="1"/>
  <c r="AF30" i="601"/>
  <c r="W30" i="601"/>
  <c r="V30" i="601"/>
  <c r="N30" i="601"/>
  <c r="O30" i="601" s="1"/>
  <c r="K30" i="601"/>
  <c r="L30" i="601" s="1"/>
  <c r="J30" i="601"/>
  <c r="P30" i="601" s="1"/>
  <c r="F30" i="601"/>
  <c r="H30" i="601" s="1"/>
  <c r="W29" i="601"/>
  <c r="V29" i="601"/>
  <c r="P29" i="601"/>
  <c r="N29" i="601"/>
  <c r="L29" i="601"/>
  <c r="J29" i="601"/>
  <c r="H29" i="601"/>
  <c r="F29" i="601"/>
  <c r="W28" i="601"/>
  <c r="V28" i="601"/>
  <c r="N28" i="601"/>
  <c r="K28" i="601"/>
  <c r="L28" i="601" s="1"/>
  <c r="J28" i="601"/>
  <c r="P28" i="601" s="1"/>
  <c r="F28" i="601"/>
  <c r="H28" i="601" s="1"/>
  <c r="W27" i="601"/>
  <c r="N27" i="601" s="1"/>
  <c r="Q27" i="601"/>
  <c r="O27" i="601"/>
  <c r="K27" i="601"/>
  <c r="L27" i="601" s="1"/>
  <c r="L37" i="601" s="1"/>
  <c r="F13" i="600" s="1"/>
  <c r="J27" i="601"/>
  <c r="F27" i="601"/>
  <c r="H27" i="601" s="1"/>
  <c r="AE26" i="601"/>
  <c r="E21" i="600" s="1"/>
  <c r="AD26" i="601"/>
  <c r="AA26" i="601"/>
  <c r="Z26" i="601"/>
  <c r="M26" i="601"/>
  <c r="W25" i="601"/>
  <c r="H25" i="601"/>
  <c r="W24" i="601"/>
  <c r="H24" i="601"/>
  <c r="W23" i="601"/>
  <c r="W21" i="601"/>
  <c r="W20" i="601"/>
  <c r="V20" i="601"/>
  <c r="P20" i="601"/>
  <c r="N20" i="601"/>
  <c r="L20" i="601"/>
  <c r="K20" i="601"/>
  <c r="J20" i="601"/>
  <c r="H20" i="601"/>
  <c r="F20" i="601"/>
  <c r="W19" i="601"/>
  <c r="N19" i="601" s="1"/>
  <c r="V19" i="601"/>
  <c r="P19" i="601"/>
  <c r="K19" i="601"/>
  <c r="L19" i="601" s="1"/>
  <c r="J19" i="601"/>
  <c r="F19" i="601"/>
  <c r="H19" i="601" s="1"/>
  <c r="W18" i="601"/>
  <c r="N18" i="601" s="1"/>
  <c r="V18" i="601"/>
  <c r="K18" i="601"/>
  <c r="L18" i="601" s="1"/>
  <c r="J18" i="601"/>
  <c r="P18" i="601" s="1"/>
  <c r="F18" i="601"/>
  <c r="H18" i="601" s="1"/>
  <c r="W17" i="601"/>
  <c r="V17" i="601"/>
  <c r="K17" i="601"/>
  <c r="J17" i="601"/>
  <c r="J26" i="601" s="1"/>
  <c r="G17" i="601"/>
  <c r="F17" i="601"/>
  <c r="H17" i="601" s="1"/>
  <c r="W16" i="601"/>
  <c r="O16" i="601"/>
  <c r="N16" i="601"/>
  <c r="K16" i="601"/>
  <c r="J16" i="601"/>
  <c r="P16" i="601" s="1"/>
  <c r="F16" i="601"/>
  <c r="H16" i="601" s="1"/>
  <c r="AE15" i="601"/>
  <c r="AD15" i="601"/>
  <c r="D20" i="600" s="1"/>
  <c r="AA15" i="601"/>
  <c r="Z15" i="601"/>
  <c r="D18" i="600" s="1"/>
  <c r="P15" i="601"/>
  <c r="M15" i="601"/>
  <c r="W14" i="601"/>
  <c r="W13" i="601"/>
  <c r="W12" i="601"/>
  <c r="W11" i="601"/>
  <c r="W10" i="601"/>
  <c r="W9" i="601"/>
  <c r="N9" i="601" s="1"/>
  <c r="O9" i="601" s="1"/>
  <c r="V9" i="601"/>
  <c r="K9" i="601"/>
  <c r="J9" i="601"/>
  <c r="H9" i="601"/>
  <c r="F9" i="601"/>
  <c r="W8" i="601"/>
  <c r="V8" i="601"/>
  <c r="O8" i="601"/>
  <c r="N8" i="601"/>
  <c r="L8" i="601"/>
  <c r="K8" i="601"/>
  <c r="AF8" i="601" s="1"/>
  <c r="J8" i="601"/>
  <c r="P8" i="601" s="1"/>
  <c r="H8" i="601"/>
  <c r="F8" i="601"/>
  <c r="W7" i="601"/>
  <c r="V7" i="601"/>
  <c r="N7" i="601"/>
  <c r="K7" i="601"/>
  <c r="L7" i="601" s="1"/>
  <c r="J7" i="601"/>
  <c r="P7" i="601" s="1"/>
  <c r="F7" i="601"/>
  <c r="H7" i="601" s="1"/>
  <c r="W6" i="601"/>
  <c r="V6" i="601"/>
  <c r="P6" i="601"/>
  <c r="N6" i="601"/>
  <c r="L6" i="601"/>
  <c r="K6" i="601"/>
  <c r="J6" i="601"/>
  <c r="H6" i="601"/>
  <c r="F6" i="601"/>
  <c r="W5" i="601"/>
  <c r="N5" i="601" s="1"/>
  <c r="P5" i="601"/>
  <c r="L5" i="601"/>
  <c r="K5" i="601"/>
  <c r="J5" i="601"/>
  <c r="J15" i="601" s="1"/>
  <c r="H5" i="601"/>
  <c r="F5" i="601"/>
  <c r="I2" i="601"/>
  <c r="J22" i="600"/>
  <c r="I22" i="600"/>
  <c r="H22" i="600"/>
  <c r="G22" i="600"/>
  <c r="F22" i="600"/>
  <c r="E22" i="600"/>
  <c r="D22" i="600"/>
  <c r="J21" i="600"/>
  <c r="I21" i="600"/>
  <c r="H21" i="600"/>
  <c r="F21" i="600"/>
  <c r="D21" i="600"/>
  <c r="J20" i="600"/>
  <c r="I20" i="600"/>
  <c r="H20" i="600"/>
  <c r="G20" i="600"/>
  <c r="F20" i="600"/>
  <c r="J19" i="600"/>
  <c r="I19" i="600"/>
  <c r="H19" i="600"/>
  <c r="G19" i="600"/>
  <c r="F19" i="600"/>
  <c r="E19" i="600"/>
  <c r="D19" i="600"/>
  <c r="M6" i="600" s="1"/>
  <c r="I18" i="600"/>
  <c r="H18" i="600"/>
  <c r="F18" i="600"/>
  <c r="J16" i="600"/>
  <c r="I16" i="600"/>
  <c r="H16" i="600"/>
  <c r="G16" i="600"/>
  <c r="F16" i="600"/>
  <c r="E16" i="600"/>
  <c r="D16" i="600"/>
  <c r="O8" i="600"/>
  <c r="N8" i="600"/>
  <c r="M8" i="600"/>
  <c r="L8" i="600"/>
  <c r="O7" i="600"/>
  <c r="N7" i="600"/>
  <c r="M7" i="600"/>
  <c r="L7" i="600"/>
  <c r="AE79" i="599"/>
  <c r="AD79" i="599"/>
  <c r="AA79" i="599"/>
  <c r="Z79" i="599"/>
  <c r="M79" i="599"/>
  <c r="K79" i="599"/>
  <c r="W78" i="599"/>
  <c r="H78" i="599"/>
  <c r="W77" i="599"/>
  <c r="W76" i="599"/>
  <c r="W75" i="599"/>
  <c r="W74" i="599"/>
  <c r="W73" i="599"/>
  <c r="W72" i="599"/>
  <c r="W71" i="599"/>
  <c r="V71" i="599"/>
  <c r="P71" i="599"/>
  <c r="K71" i="599"/>
  <c r="L71" i="599" s="1"/>
  <c r="J71" i="599"/>
  <c r="G71" i="599"/>
  <c r="N71" i="599" s="1"/>
  <c r="O71" i="599" s="1"/>
  <c r="Q71" i="599" s="1"/>
  <c r="F71" i="599"/>
  <c r="H71" i="599" s="1"/>
  <c r="AG70" i="599"/>
  <c r="W70" i="599"/>
  <c r="N70" i="599" s="1"/>
  <c r="K70" i="599"/>
  <c r="J70" i="599"/>
  <c r="H70" i="599"/>
  <c r="F70" i="599"/>
  <c r="AE69" i="599"/>
  <c r="AD69" i="599"/>
  <c r="AA69" i="599"/>
  <c r="Z69" i="599"/>
  <c r="N69" i="599"/>
  <c r="M69" i="599"/>
  <c r="K69" i="599"/>
  <c r="W68" i="599"/>
  <c r="H68" i="599"/>
  <c r="W67" i="599"/>
  <c r="W66" i="599"/>
  <c r="W65" i="599"/>
  <c r="W64" i="599"/>
  <c r="W63" i="599"/>
  <c r="W62" i="599"/>
  <c r="N62" i="599" s="1"/>
  <c r="V62" i="599"/>
  <c r="J62" i="599"/>
  <c r="P62" i="599" s="1"/>
  <c r="F62" i="599"/>
  <c r="H62" i="599" s="1"/>
  <c r="AF61" i="599"/>
  <c r="W61" i="599"/>
  <c r="V61" i="599"/>
  <c r="N61" i="599"/>
  <c r="O61" i="599" s="1"/>
  <c r="J61" i="599"/>
  <c r="H61" i="599"/>
  <c r="F61" i="599"/>
  <c r="AG60" i="599"/>
  <c r="W60" i="599"/>
  <c r="V60" i="599"/>
  <c r="N60" i="599"/>
  <c r="AF60" i="599" s="1"/>
  <c r="L60" i="599"/>
  <c r="J60" i="599"/>
  <c r="P60" i="599" s="1"/>
  <c r="F60" i="599"/>
  <c r="H60" i="599" s="1"/>
  <c r="W59" i="599"/>
  <c r="N59" i="599"/>
  <c r="J59" i="599"/>
  <c r="H59" i="599"/>
  <c r="F59" i="599"/>
  <c r="AE58" i="599"/>
  <c r="AD58" i="599"/>
  <c r="AA58" i="599"/>
  <c r="Z58" i="599"/>
  <c r="M58" i="599"/>
  <c r="W57" i="599"/>
  <c r="W56" i="599"/>
  <c r="W55" i="599"/>
  <c r="W54" i="599"/>
  <c r="W53" i="599"/>
  <c r="W52" i="599"/>
  <c r="N52" i="599" s="1"/>
  <c r="V52" i="599"/>
  <c r="J52" i="599"/>
  <c r="L52" i="599" s="1"/>
  <c r="AG51" i="599"/>
  <c r="W51" i="599"/>
  <c r="N51" i="599" s="1"/>
  <c r="O51" i="599" s="1"/>
  <c r="V51" i="599"/>
  <c r="J51" i="599"/>
  <c r="L51" i="599" s="1"/>
  <c r="W50" i="599"/>
  <c r="N50" i="599" s="1"/>
  <c r="V50" i="599"/>
  <c r="P50" i="599"/>
  <c r="L50" i="599"/>
  <c r="J50" i="599"/>
  <c r="F50" i="599"/>
  <c r="H50" i="599" s="1"/>
  <c r="AG49" i="599"/>
  <c r="W49" i="599"/>
  <c r="N49" i="599" s="1"/>
  <c r="K49" i="599"/>
  <c r="K58" i="599" s="1"/>
  <c r="J49" i="599"/>
  <c r="P49" i="599" s="1"/>
  <c r="H49" i="599"/>
  <c r="F49" i="599"/>
  <c r="AE48" i="599"/>
  <c r="AD48" i="599"/>
  <c r="AA48" i="599"/>
  <c r="Z48" i="599"/>
  <c r="W48" i="599"/>
  <c r="N48" i="599"/>
  <c r="M48" i="599"/>
  <c r="W47" i="599"/>
  <c r="H47" i="599"/>
  <c r="W46" i="599"/>
  <c r="W45" i="599"/>
  <c r="W44" i="599"/>
  <c r="W43" i="599"/>
  <c r="W42" i="599"/>
  <c r="W41" i="599"/>
  <c r="W40" i="599"/>
  <c r="AG39" i="599"/>
  <c r="W39" i="599"/>
  <c r="V39" i="599"/>
  <c r="N39" i="599"/>
  <c r="AF39" i="599" s="1"/>
  <c r="K39" i="599"/>
  <c r="L39" i="599" s="1"/>
  <c r="J39" i="599"/>
  <c r="P39" i="599" s="1"/>
  <c r="H39" i="599"/>
  <c r="F39" i="599"/>
  <c r="W38" i="599"/>
  <c r="P38" i="599"/>
  <c r="O38" i="599"/>
  <c r="N38" i="599"/>
  <c r="AG38" i="599" s="1"/>
  <c r="L38" i="599"/>
  <c r="K38" i="599"/>
  <c r="K48" i="599" s="1"/>
  <c r="J38" i="599"/>
  <c r="J48" i="599" s="1"/>
  <c r="P48" i="599" s="1"/>
  <c r="G38" i="599"/>
  <c r="F38" i="599"/>
  <c r="H38" i="599" s="1"/>
  <c r="AE37" i="599"/>
  <c r="AD37" i="599"/>
  <c r="F20" i="598" s="1"/>
  <c r="AA37" i="599"/>
  <c r="Z37" i="599"/>
  <c r="M37" i="599"/>
  <c r="W36" i="599"/>
  <c r="W35" i="599"/>
  <c r="W34" i="599"/>
  <c r="W33" i="599"/>
  <c r="W32" i="599"/>
  <c r="W31" i="599"/>
  <c r="V31" i="599"/>
  <c r="O31" i="599"/>
  <c r="N31" i="599"/>
  <c r="J31" i="599"/>
  <c r="H31" i="599"/>
  <c r="G31" i="599"/>
  <c r="F31" i="599"/>
  <c r="W30" i="599"/>
  <c r="V30" i="599"/>
  <c r="P30" i="599"/>
  <c r="N30" i="599"/>
  <c r="L30" i="599"/>
  <c r="K30" i="599"/>
  <c r="J30" i="599"/>
  <c r="H30" i="599"/>
  <c r="F30" i="599"/>
  <c r="W29" i="599"/>
  <c r="N29" i="599" s="1"/>
  <c r="V29" i="599"/>
  <c r="P29" i="599"/>
  <c r="J29" i="599"/>
  <c r="L29" i="599" s="1"/>
  <c r="H29" i="599"/>
  <c r="F29" i="599"/>
  <c r="W28" i="599"/>
  <c r="V28" i="599"/>
  <c r="P28" i="599"/>
  <c r="L28" i="599"/>
  <c r="K28" i="599"/>
  <c r="J28" i="599"/>
  <c r="G28" i="599"/>
  <c r="N28" i="599" s="1"/>
  <c r="F28" i="599"/>
  <c r="H28" i="599" s="1"/>
  <c r="W27" i="599"/>
  <c r="N27" i="599"/>
  <c r="K27" i="599"/>
  <c r="J27" i="599"/>
  <c r="F27" i="599"/>
  <c r="H27" i="599" s="1"/>
  <c r="AE26" i="599"/>
  <c r="AD26" i="599"/>
  <c r="AA26" i="599"/>
  <c r="Z26" i="599"/>
  <c r="M26" i="599"/>
  <c r="W25" i="599"/>
  <c r="H25" i="599"/>
  <c r="W24" i="599"/>
  <c r="H24" i="599"/>
  <c r="W23" i="599"/>
  <c r="W21" i="599"/>
  <c r="W20" i="599"/>
  <c r="N20" i="599" s="1"/>
  <c r="V20" i="599"/>
  <c r="K20" i="599"/>
  <c r="J20" i="599"/>
  <c r="P20" i="599" s="1"/>
  <c r="H20" i="599"/>
  <c r="F20" i="599"/>
  <c r="W19" i="599"/>
  <c r="V19" i="599"/>
  <c r="N19" i="599"/>
  <c r="AF19" i="599" s="1"/>
  <c r="K19" i="599"/>
  <c r="AG19" i="599" s="1"/>
  <c r="J19" i="599"/>
  <c r="P19" i="599" s="1"/>
  <c r="H19" i="599"/>
  <c r="F19" i="599"/>
  <c r="W18" i="599"/>
  <c r="V18" i="599"/>
  <c r="P18" i="599"/>
  <c r="N18" i="599"/>
  <c r="K18" i="599"/>
  <c r="L18" i="599" s="1"/>
  <c r="J18" i="599"/>
  <c r="F18" i="599"/>
  <c r="H18" i="599" s="1"/>
  <c r="W17" i="599"/>
  <c r="V17" i="599"/>
  <c r="P17" i="599"/>
  <c r="L17" i="599"/>
  <c r="K17" i="599"/>
  <c r="J17" i="599"/>
  <c r="G17" i="599"/>
  <c r="H17" i="599" s="1"/>
  <c r="F17" i="599"/>
  <c r="AF16" i="599"/>
  <c r="W16" i="599"/>
  <c r="N16" i="599" s="1"/>
  <c r="L16" i="599"/>
  <c r="K16" i="599"/>
  <c r="K26" i="599" s="1"/>
  <c r="J16" i="599"/>
  <c r="P16" i="599" s="1"/>
  <c r="F16" i="599"/>
  <c r="H16" i="599" s="1"/>
  <c r="AE15" i="599"/>
  <c r="D21" i="598" s="1"/>
  <c r="AD15" i="599"/>
  <c r="AA15" i="599"/>
  <c r="Z15" i="599"/>
  <c r="M15" i="599"/>
  <c r="W14" i="599"/>
  <c r="W13" i="599"/>
  <c r="W12" i="599"/>
  <c r="W11" i="599"/>
  <c r="W10" i="599"/>
  <c r="W9" i="599"/>
  <c r="W8" i="599"/>
  <c r="N8" i="599" s="1"/>
  <c r="V8" i="599"/>
  <c r="P8" i="599"/>
  <c r="K8" i="599"/>
  <c r="L8" i="599" s="1"/>
  <c r="J8" i="599"/>
  <c r="F8" i="599"/>
  <c r="H8" i="599" s="1"/>
  <c r="W7" i="599"/>
  <c r="V7" i="599"/>
  <c r="N7" i="599"/>
  <c r="K7" i="599"/>
  <c r="J7" i="599"/>
  <c r="P7" i="599" s="1"/>
  <c r="F7" i="599"/>
  <c r="H7" i="599" s="1"/>
  <c r="W6" i="599"/>
  <c r="V6" i="599"/>
  <c r="K6" i="599"/>
  <c r="J6" i="599"/>
  <c r="G6" i="599"/>
  <c r="F6" i="599"/>
  <c r="W5" i="599"/>
  <c r="P5" i="599"/>
  <c r="N5" i="599"/>
  <c r="K5" i="599"/>
  <c r="J5" i="599"/>
  <c r="F5" i="599"/>
  <c r="H5" i="599" s="1"/>
  <c r="AE2" i="599"/>
  <c r="Z2" i="599"/>
  <c r="I2" i="599"/>
  <c r="I1" i="599"/>
  <c r="J22" i="598"/>
  <c r="I22" i="598"/>
  <c r="H22" i="598"/>
  <c r="G22" i="598"/>
  <c r="F22" i="598"/>
  <c r="E22" i="598"/>
  <c r="D22" i="598"/>
  <c r="J21" i="598"/>
  <c r="I21" i="598"/>
  <c r="H21" i="598"/>
  <c r="G21" i="598"/>
  <c r="F21" i="598"/>
  <c r="E21" i="598"/>
  <c r="J20" i="598"/>
  <c r="I20" i="598"/>
  <c r="H20" i="598"/>
  <c r="G20" i="598"/>
  <c r="E20" i="598"/>
  <c r="D20" i="598"/>
  <c r="J19" i="598"/>
  <c r="I19" i="598"/>
  <c r="H19" i="598"/>
  <c r="G19" i="598"/>
  <c r="E19" i="598"/>
  <c r="D19" i="598"/>
  <c r="J18" i="598"/>
  <c r="I18" i="598"/>
  <c r="H18" i="598"/>
  <c r="G18" i="598"/>
  <c r="F18" i="598"/>
  <c r="E18" i="598"/>
  <c r="D18" i="598"/>
  <c r="J16" i="598"/>
  <c r="I16" i="598"/>
  <c r="H16" i="598"/>
  <c r="G16" i="598"/>
  <c r="F16" i="598"/>
  <c r="E16" i="598"/>
  <c r="D16" i="598"/>
  <c r="O8" i="598"/>
  <c r="N8" i="598"/>
  <c r="M8" i="598"/>
  <c r="L8" i="598"/>
  <c r="O7" i="598"/>
  <c r="N7" i="598"/>
  <c r="M7" i="598"/>
  <c r="L7" i="598"/>
  <c r="L6" i="598"/>
  <c r="AE79" i="597"/>
  <c r="J21" i="596" s="1"/>
  <c r="AD79" i="597"/>
  <c r="AA79" i="597"/>
  <c r="Z79" i="597"/>
  <c r="P79" i="597"/>
  <c r="M79" i="597"/>
  <c r="J22" i="596" s="1"/>
  <c r="W78" i="597"/>
  <c r="H78" i="597"/>
  <c r="W77" i="597"/>
  <c r="W76" i="597"/>
  <c r="W75" i="597"/>
  <c r="W74" i="597"/>
  <c r="W73" i="597"/>
  <c r="W72" i="597"/>
  <c r="N72" i="597" s="1"/>
  <c r="O72" i="597" s="1"/>
  <c r="V72" i="597"/>
  <c r="L72" i="597"/>
  <c r="K72" i="597"/>
  <c r="J72" i="597"/>
  <c r="P72" i="597" s="1"/>
  <c r="H72" i="597"/>
  <c r="G72" i="597"/>
  <c r="F72" i="597"/>
  <c r="W71" i="597"/>
  <c r="V71" i="597"/>
  <c r="P71" i="597"/>
  <c r="K71" i="597"/>
  <c r="L71" i="597" s="1"/>
  <c r="J71" i="597"/>
  <c r="G71" i="597"/>
  <c r="F71" i="597"/>
  <c r="W70" i="597"/>
  <c r="N70" i="597" s="1"/>
  <c r="O70" i="597"/>
  <c r="K70" i="597"/>
  <c r="J70" i="597"/>
  <c r="J79" i="597" s="1"/>
  <c r="H70" i="597"/>
  <c r="F70" i="597"/>
  <c r="AE69" i="597"/>
  <c r="I21" i="596" s="1"/>
  <c r="AD69" i="597"/>
  <c r="AA69" i="597"/>
  <c r="Z69" i="597"/>
  <c r="M69" i="597"/>
  <c r="W68" i="597"/>
  <c r="H68" i="597"/>
  <c r="W67" i="597"/>
  <c r="W66" i="597"/>
  <c r="W65" i="597"/>
  <c r="W64" i="597"/>
  <c r="W63" i="597"/>
  <c r="N63" i="597" s="1"/>
  <c r="V63" i="597"/>
  <c r="P63" i="597"/>
  <c r="K63" i="597"/>
  <c r="J63" i="597"/>
  <c r="F63" i="597"/>
  <c r="H63" i="597" s="1"/>
  <c r="AG62" i="597"/>
  <c r="AF62" i="597"/>
  <c r="W62" i="597"/>
  <c r="V62" i="597"/>
  <c r="O62" i="597"/>
  <c r="N62" i="597"/>
  <c r="J62" i="597"/>
  <c r="P62" i="597" s="1"/>
  <c r="H62" i="597"/>
  <c r="F62" i="597"/>
  <c r="AG61" i="597"/>
  <c r="W61" i="597"/>
  <c r="V61" i="597"/>
  <c r="N61" i="597"/>
  <c r="AF61" i="597" s="1"/>
  <c r="J61" i="597"/>
  <c r="F61" i="597"/>
  <c r="H61" i="597" s="1"/>
  <c r="W60" i="597"/>
  <c r="V60" i="597"/>
  <c r="N60" i="597"/>
  <c r="AG60" i="597" s="1"/>
  <c r="L60" i="597"/>
  <c r="J60" i="597"/>
  <c r="H60" i="597"/>
  <c r="F60" i="597"/>
  <c r="AF59" i="597"/>
  <c r="W59" i="597"/>
  <c r="P59" i="597"/>
  <c r="O59" i="597"/>
  <c r="N59" i="597"/>
  <c r="AG59" i="597" s="1"/>
  <c r="L59" i="597"/>
  <c r="J59" i="597"/>
  <c r="F59" i="597"/>
  <c r="H59" i="597" s="1"/>
  <c r="AE58" i="597"/>
  <c r="AD58" i="597"/>
  <c r="AA58" i="597"/>
  <c r="H19" i="596" s="1"/>
  <c r="Z58" i="597"/>
  <c r="M58" i="597"/>
  <c r="W57" i="597"/>
  <c r="W56" i="597"/>
  <c r="W55" i="597"/>
  <c r="W54" i="597"/>
  <c r="W53" i="597"/>
  <c r="AG52" i="597"/>
  <c r="W52" i="597"/>
  <c r="V52" i="597"/>
  <c r="O52" i="597"/>
  <c r="N52" i="597"/>
  <c r="AF52" i="597" s="1"/>
  <c r="J52" i="597"/>
  <c r="L52" i="597" s="1"/>
  <c r="R52" i="597" s="1"/>
  <c r="W51" i="597"/>
  <c r="V51" i="597"/>
  <c r="L51" i="597"/>
  <c r="J51" i="597"/>
  <c r="G51" i="597"/>
  <c r="W50" i="597"/>
  <c r="V50" i="597"/>
  <c r="L50" i="597"/>
  <c r="J50" i="597"/>
  <c r="P50" i="597" s="1"/>
  <c r="G50" i="597"/>
  <c r="N50" i="597" s="1"/>
  <c r="F50" i="597"/>
  <c r="H50" i="597" s="1"/>
  <c r="AG49" i="597"/>
  <c r="W49" i="597"/>
  <c r="N49" i="597"/>
  <c r="AF49" i="597" s="1"/>
  <c r="K49" i="597"/>
  <c r="J49" i="597"/>
  <c r="J58" i="597" s="1"/>
  <c r="P58" i="597" s="1"/>
  <c r="H49" i="597"/>
  <c r="F49" i="597"/>
  <c r="AE48" i="597"/>
  <c r="G21" i="596" s="1"/>
  <c r="AD48" i="597"/>
  <c r="AA48" i="597"/>
  <c r="Z48" i="597"/>
  <c r="W48" i="597"/>
  <c r="M48" i="597"/>
  <c r="W47" i="597"/>
  <c r="H47" i="597"/>
  <c r="W46" i="597"/>
  <c r="W45" i="597"/>
  <c r="W44" i="597"/>
  <c r="W43" i="597"/>
  <c r="W42" i="597"/>
  <c r="W41" i="597"/>
  <c r="W40" i="597"/>
  <c r="V40" i="597"/>
  <c r="P40" i="597"/>
  <c r="N40" i="597"/>
  <c r="K40" i="597"/>
  <c r="L40" i="597" s="1"/>
  <c r="J40" i="597"/>
  <c r="G40" i="597"/>
  <c r="F40" i="597"/>
  <c r="H40" i="597" s="1"/>
  <c r="W39" i="597"/>
  <c r="N39" i="597" s="1"/>
  <c r="V39" i="597"/>
  <c r="O39" i="597"/>
  <c r="K39" i="597"/>
  <c r="J39" i="597"/>
  <c r="P39" i="597" s="1"/>
  <c r="F39" i="597"/>
  <c r="H39" i="597" s="1"/>
  <c r="W38" i="597"/>
  <c r="N38" i="597"/>
  <c r="K38" i="597"/>
  <c r="L38" i="597" s="1"/>
  <c r="J38" i="597"/>
  <c r="P38" i="597" s="1"/>
  <c r="F38" i="597"/>
  <c r="H38" i="597" s="1"/>
  <c r="AE37" i="597"/>
  <c r="AD37" i="597"/>
  <c r="AA37" i="597"/>
  <c r="Z37" i="597"/>
  <c r="F18" i="596" s="1"/>
  <c r="M37" i="597"/>
  <c r="W36" i="597"/>
  <c r="W35" i="597"/>
  <c r="W34" i="597"/>
  <c r="W33" i="597"/>
  <c r="W32" i="597"/>
  <c r="N32" i="597" s="1"/>
  <c r="V32" i="597"/>
  <c r="K32" i="597"/>
  <c r="J32" i="597"/>
  <c r="P32" i="597" s="1"/>
  <c r="F32" i="597"/>
  <c r="H32" i="597" s="1"/>
  <c r="W31" i="597"/>
  <c r="N31" i="597" s="1"/>
  <c r="V31" i="597"/>
  <c r="P31" i="597"/>
  <c r="L31" i="597"/>
  <c r="J31" i="597"/>
  <c r="H31" i="597"/>
  <c r="F31" i="597"/>
  <c r="W30" i="597"/>
  <c r="V30" i="597"/>
  <c r="N30" i="597"/>
  <c r="K30" i="597"/>
  <c r="L30" i="597" s="1"/>
  <c r="J30" i="597"/>
  <c r="P30" i="597" s="1"/>
  <c r="F30" i="597"/>
  <c r="H30" i="597" s="1"/>
  <c r="W29" i="597"/>
  <c r="N29" i="597" s="1"/>
  <c r="V29" i="597"/>
  <c r="P29" i="597"/>
  <c r="J29" i="597"/>
  <c r="L29" i="597" s="1"/>
  <c r="F29" i="597"/>
  <c r="H29" i="597" s="1"/>
  <c r="AF28" i="597"/>
  <c r="W28" i="597"/>
  <c r="V28" i="597"/>
  <c r="O28" i="597"/>
  <c r="N28" i="597"/>
  <c r="K28" i="597"/>
  <c r="J28" i="597"/>
  <c r="F28" i="597"/>
  <c r="H28" i="597" s="1"/>
  <c r="W27" i="597"/>
  <c r="N27" i="597" s="1"/>
  <c r="P27" i="597"/>
  <c r="K27" i="597"/>
  <c r="J27" i="597"/>
  <c r="F27" i="597"/>
  <c r="H27" i="597" s="1"/>
  <c r="AE26" i="597"/>
  <c r="AD26" i="597"/>
  <c r="E20" i="596" s="1"/>
  <c r="AA26" i="597"/>
  <c r="Z26" i="597"/>
  <c r="E18" i="596" s="1"/>
  <c r="M26" i="597"/>
  <c r="W25" i="597"/>
  <c r="H25" i="597"/>
  <c r="W24" i="597"/>
  <c r="H24" i="597"/>
  <c r="W23" i="597"/>
  <c r="AG21" i="597"/>
  <c r="W21" i="597"/>
  <c r="V21" i="597"/>
  <c r="P21" i="597"/>
  <c r="N21" i="597"/>
  <c r="K21" i="597"/>
  <c r="L21" i="597" s="1"/>
  <c r="J21" i="597"/>
  <c r="H21" i="597"/>
  <c r="F21" i="597"/>
  <c r="W20" i="597"/>
  <c r="V20" i="597"/>
  <c r="P20" i="597"/>
  <c r="N20" i="597"/>
  <c r="K20" i="597"/>
  <c r="L20" i="597" s="1"/>
  <c r="J20" i="597"/>
  <c r="F20" i="597"/>
  <c r="H20" i="597" s="1"/>
  <c r="W19" i="597"/>
  <c r="V19" i="597"/>
  <c r="P19" i="597"/>
  <c r="N19" i="597"/>
  <c r="K19" i="597"/>
  <c r="J19" i="597"/>
  <c r="L19" i="597" s="1"/>
  <c r="H19" i="597"/>
  <c r="F19" i="597"/>
  <c r="W18" i="597"/>
  <c r="N18" i="597" s="1"/>
  <c r="V18" i="597"/>
  <c r="P18" i="597"/>
  <c r="K18" i="597"/>
  <c r="L18" i="597" s="1"/>
  <c r="J18" i="597"/>
  <c r="H18" i="597"/>
  <c r="F18" i="597"/>
  <c r="W17" i="597"/>
  <c r="V17" i="597"/>
  <c r="N17" i="597"/>
  <c r="K17" i="597"/>
  <c r="L17" i="597" s="1"/>
  <c r="J17" i="597"/>
  <c r="P17" i="597" s="1"/>
  <c r="F17" i="597"/>
  <c r="H17" i="597" s="1"/>
  <c r="AF16" i="597"/>
  <c r="W16" i="597"/>
  <c r="O16" i="597"/>
  <c r="N16" i="597"/>
  <c r="K16" i="597"/>
  <c r="J16" i="597"/>
  <c r="F16" i="597"/>
  <c r="H16" i="597" s="1"/>
  <c r="AE15" i="597"/>
  <c r="AD15" i="597"/>
  <c r="AA15" i="597"/>
  <c r="Z15" i="597"/>
  <c r="M15" i="597"/>
  <c r="W14" i="597"/>
  <c r="W13" i="597"/>
  <c r="W12" i="597"/>
  <c r="W11" i="597"/>
  <c r="W10" i="597"/>
  <c r="W9" i="597"/>
  <c r="AG8" i="597"/>
  <c r="W8" i="597"/>
  <c r="N8" i="597" s="1"/>
  <c r="V8" i="597"/>
  <c r="P8" i="597"/>
  <c r="K8" i="597"/>
  <c r="L8" i="597" s="1"/>
  <c r="J8" i="597"/>
  <c r="H8" i="597"/>
  <c r="F8" i="597"/>
  <c r="W7" i="597"/>
  <c r="V7" i="597"/>
  <c r="P7" i="597"/>
  <c r="N7" i="597"/>
  <c r="K7" i="597"/>
  <c r="J7" i="597"/>
  <c r="J15" i="597" s="1"/>
  <c r="H7" i="597"/>
  <c r="F7" i="597"/>
  <c r="W6" i="597"/>
  <c r="V6" i="597"/>
  <c r="P6" i="597"/>
  <c r="N6" i="597"/>
  <c r="K6" i="597"/>
  <c r="L6" i="597" s="1"/>
  <c r="J6" i="597"/>
  <c r="G6" i="597"/>
  <c r="E1" i="597" s="1"/>
  <c r="G3" i="596" s="1"/>
  <c r="F6" i="597"/>
  <c r="H6" i="597" s="1"/>
  <c r="W5" i="597"/>
  <c r="N5" i="597" s="1"/>
  <c r="P5" i="597"/>
  <c r="K5" i="597"/>
  <c r="J5" i="597"/>
  <c r="H5" i="597"/>
  <c r="F5" i="597"/>
  <c r="AA2" i="597"/>
  <c r="I2" i="597"/>
  <c r="H22" i="596"/>
  <c r="G22" i="596"/>
  <c r="F22" i="596"/>
  <c r="E22" i="596"/>
  <c r="D22" i="596"/>
  <c r="H21" i="596"/>
  <c r="E21" i="596"/>
  <c r="D21" i="596"/>
  <c r="J20" i="596"/>
  <c r="I20" i="596"/>
  <c r="H20" i="596"/>
  <c r="G20" i="596"/>
  <c r="F20" i="596"/>
  <c r="J19" i="596"/>
  <c r="I19" i="596"/>
  <c r="G19" i="596"/>
  <c r="F19" i="596"/>
  <c r="E19" i="596"/>
  <c r="D19" i="596"/>
  <c r="M6" i="596" s="1"/>
  <c r="J18" i="596"/>
  <c r="I18" i="596"/>
  <c r="H18" i="596"/>
  <c r="G18" i="596"/>
  <c r="D18" i="596"/>
  <c r="L6" i="596" s="1"/>
  <c r="J16" i="596"/>
  <c r="I16" i="596"/>
  <c r="H16" i="596"/>
  <c r="G16" i="596"/>
  <c r="F16" i="596"/>
  <c r="E16" i="596"/>
  <c r="D16" i="596"/>
  <c r="O8" i="596"/>
  <c r="N8" i="596"/>
  <c r="M8" i="596"/>
  <c r="L8" i="596"/>
  <c r="O7" i="596"/>
  <c r="N7" i="596"/>
  <c r="M7" i="596"/>
  <c r="L7" i="596"/>
  <c r="AE79" i="593"/>
  <c r="AD79" i="593"/>
  <c r="AA79" i="593"/>
  <c r="Z79" i="593"/>
  <c r="M79" i="593"/>
  <c r="K79" i="593"/>
  <c r="J79" i="593"/>
  <c r="P79" i="593" s="1"/>
  <c r="W78" i="593"/>
  <c r="H78" i="593"/>
  <c r="W77" i="593"/>
  <c r="H77" i="593"/>
  <c r="W76" i="593"/>
  <c r="H76" i="593"/>
  <c r="W75" i="593"/>
  <c r="H75" i="593"/>
  <c r="W74" i="593"/>
  <c r="W73" i="593"/>
  <c r="W72" i="593"/>
  <c r="N72" i="593" s="1"/>
  <c r="O72" i="593" s="1"/>
  <c r="V72" i="593"/>
  <c r="L72" i="593"/>
  <c r="K72" i="593"/>
  <c r="J72" i="593"/>
  <c r="P72" i="593" s="1"/>
  <c r="F72" i="593"/>
  <c r="H72" i="593" s="1"/>
  <c r="W71" i="593"/>
  <c r="V71" i="593"/>
  <c r="L71" i="593"/>
  <c r="K71" i="593"/>
  <c r="J71" i="593"/>
  <c r="P71" i="593" s="1"/>
  <c r="G71" i="593"/>
  <c r="N71" i="593" s="1"/>
  <c r="F71" i="593"/>
  <c r="H71" i="593" s="1"/>
  <c r="AF70" i="593"/>
  <c r="W70" i="593"/>
  <c r="O70" i="593"/>
  <c r="N70" i="593"/>
  <c r="K70" i="593"/>
  <c r="J70" i="593"/>
  <c r="P70" i="593" s="1"/>
  <c r="F70" i="593"/>
  <c r="H70" i="593" s="1"/>
  <c r="AE69" i="593"/>
  <c r="AD69" i="593"/>
  <c r="I20" i="592" s="1"/>
  <c r="AA69" i="593"/>
  <c r="Z69" i="593"/>
  <c r="M69" i="593"/>
  <c r="I22" i="592" s="1"/>
  <c r="W68" i="593"/>
  <c r="H68" i="593"/>
  <c r="W67" i="593"/>
  <c r="W66" i="593"/>
  <c r="W65" i="593"/>
  <c r="W64" i="593"/>
  <c r="W63" i="593"/>
  <c r="N63" i="593" s="1"/>
  <c r="V63" i="593"/>
  <c r="P63" i="593"/>
  <c r="K63" i="593"/>
  <c r="K69" i="593" s="1"/>
  <c r="J63" i="593"/>
  <c r="H63" i="593"/>
  <c r="F63" i="593"/>
  <c r="AG62" i="593"/>
  <c r="W62" i="593"/>
  <c r="V62" i="593"/>
  <c r="N62" i="593"/>
  <c r="AF62" i="593" s="1"/>
  <c r="L62" i="593"/>
  <c r="J62" i="593"/>
  <c r="P62" i="593" s="1"/>
  <c r="F62" i="593"/>
  <c r="H62" i="593" s="1"/>
  <c r="W61" i="593"/>
  <c r="V61" i="593"/>
  <c r="N61" i="593"/>
  <c r="L61" i="593"/>
  <c r="J61" i="593"/>
  <c r="P61" i="593" s="1"/>
  <c r="H61" i="593"/>
  <c r="F61" i="593"/>
  <c r="W60" i="593"/>
  <c r="V60" i="593"/>
  <c r="O60" i="593"/>
  <c r="N60" i="593"/>
  <c r="J60" i="593"/>
  <c r="H60" i="593"/>
  <c r="F60" i="593"/>
  <c r="W59" i="593"/>
  <c r="P59" i="593"/>
  <c r="N59" i="593"/>
  <c r="L59" i="593"/>
  <c r="J59" i="593"/>
  <c r="F59" i="593"/>
  <c r="H59" i="593" s="1"/>
  <c r="AE58" i="593"/>
  <c r="AD58" i="593"/>
  <c r="AA58" i="593"/>
  <c r="H19" i="592" s="1"/>
  <c r="Z58" i="593"/>
  <c r="M58" i="593"/>
  <c r="W57" i="593"/>
  <c r="W56" i="593"/>
  <c r="W55" i="593"/>
  <c r="W54" i="593"/>
  <c r="AG53" i="593"/>
  <c r="AF53" i="593"/>
  <c r="W53" i="593"/>
  <c r="AF52" i="593"/>
  <c r="W52" i="593"/>
  <c r="V52" i="593"/>
  <c r="N52" i="593"/>
  <c r="AG52" i="593" s="1"/>
  <c r="J52" i="593"/>
  <c r="L52" i="593" s="1"/>
  <c r="W51" i="593"/>
  <c r="V51" i="593"/>
  <c r="N51" i="593"/>
  <c r="AG51" i="593" s="1"/>
  <c r="J51" i="593"/>
  <c r="L51" i="593" s="1"/>
  <c r="AG50" i="593"/>
  <c r="AF50" i="593"/>
  <c r="W50" i="593"/>
  <c r="V50" i="593"/>
  <c r="O50" i="593"/>
  <c r="N50" i="593"/>
  <c r="L50" i="593"/>
  <c r="Q50" i="593" s="1"/>
  <c r="J50" i="593"/>
  <c r="P50" i="593" s="1"/>
  <c r="H50" i="593"/>
  <c r="F50" i="593"/>
  <c r="W49" i="593"/>
  <c r="O49" i="593"/>
  <c r="N49" i="593"/>
  <c r="K49" i="593"/>
  <c r="K58" i="593" s="1"/>
  <c r="J49" i="593"/>
  <c r="G49" i="593"/>
  <c r="F49" i="593"/>
  <c r="H49" i="593" s="1"/>
  <c r="AE48" i="593"/>
  <c r="AD48" i="593"/>
  <c r="AA48" i="593"/>
  <c r="Z48" i="593"/>
  <c r="W48" i="593"/>
  <c r="M48" i="593"/>
  <c r="W47" i="593"/>
  <c r="H47" i="593"/>
  <c r="W46" i="593"/>
  <c r="W45" i="593"/>
  <c r="W44" i="593"/>
  <c r="W43" i="593"/>
  <c r="W42" i="593"/>
  <c r="AG41" i="593"/>
  <c r="AF41" i="593"/>
  <c r="W41" i="593"/>
  <c r="W40" i="593"/>
  <c r="N40" i="593" s="1"/>
  <c r="V40" i="593"/>
  <c r="P40" i="593"/>
  <c r="K40" i="593"/>
  <c r="L40" i="593" s="1"/>
  <c r="J40" i="593"/>
  <c r="H40" i="593"/>
  <c r="F40" i="593"/>
  <c r="AG39" i="593"/>
  <c r="AF39" i="593"/>
  <c r="W39" i="593"/>
  <c r="V39" i="593"/>
  <c r="N39" i="593"/>
  <c r="O39" i="593" s="1"/>
  <c r="K39" i="593"/>
  <c r="L39" i="593" s="1"/>
  <c r="R39" i="593" s="1"/>
  <c r="J39" i="593"/>
  <c r="P39" i="593" s="1"/>
  <c r="H39" i="593"/>
  <c r="F39" i="593"/>
  <c r="AG38" i="593"/>
  <c r="W38" i="593"/>
  <c r="O38" i="593"/>
  <c r="N38" i="593"/>
  <c r="N48" i="593" s="1"/>
  <c r="K38" i="593"/>
  <c r="AF38" i="593" s="1"/>
  <c r="J38" i="593"/>
  <c r="H38" i="593"/>
  <c r="F38" i="593"/>
  <c r="AE37" i="593"/>
  <c r="AD37" i="593"/>
  <c r="F20" i="592" s="1"/>
  <c r="N6" i="592" s="1"/>
  <c r="AA37" i="593"/>
  <c r="Z37" i="593"/>
  <c r="F18" i="592" s="1"/>
  <c r="L6" i="592" s="1"/>
  <c r="M37" i="593"/>
  <c r="W36" i="593"/>
  <c r="W35" i="593"/>
  <c r="W34" i="593"/>
  <c r="W33" i="593"/>
  <c r="W32" i="593"/>
  <c r="N32" i="593" s="1"/>
  <c r="V32" i="593"/>
  <c r="K32" i="593"/>
  <c r="L32" i="593" s="1"/>
  <c r="J32" i="593"/>
  <c r="P32" i="593" s="1"/>
  <c r="F32" i="593"/>
  <c r="H32" i="593" s="1"/>
  <c r="W31" i="593"/>
  <c r="N31" i="593" s="1"/>
  <c r="V31" i="593"/>
  <c r="P31" i="593"/>
  <c r="J31" i="593"/>
  <c r="L31" i="593" s="1"/>
  <c r="F31" i="593"/>
  <c r="H31" i="593" s="1"/>
  <c r="AG30" i="593"/>
  <c r="AF30" i="593"/>
  <c r="W30" i="593"/>
  <c r="V30" i="593"/>
  <c r="O30" i="593"/>
  <c r="N30" i="593"/>
  <c r="L30" i="593"/>
  <c r="K30" i="593"/>
  <c r="J30" i="593"/>
  <c r="P30" i="593" s="1"/>
  <c r="F30" i="593"/>
  <c r="H30" i="593" s="1"/>
  <c r="W29" i="593"/>
  <c r="V29" i="593"/>
  <c r="N29" i="593"/>
  <c r="L29" i="593"/>
  <c r="J29" i="593"/>
  <c r="H29" i="593"/>
  <c r="G29" i="593"/>
  <c r="F29" i="593"/>
  <c r="W28" i="593"/>
  <c r="V28" i="593"/>
  <c r="P28" i="593"/>
  <c r="N28" i="593"/>
  <c r="L28" i="593"/>
  <c r="K28" i="593"/>
  <c r="J28" i="593"/>
  <c r="F28" i="593"/>
  <c r="H28" i="593" s="1"/>
  <c r="W27" i="593"/>
  <c r="N27" i="593" s="1"/>
  <c r="P27" i="593"/>
  <c r="K27" i="593"/>
  <c r="J27" i="593"/>
  <c r="H27" i="593"/>
  <c r="F27" i="593"/>
  <c r="AE26" i="593"/>
  <c r="AD26" i="593"/>
  <c r="AA26" i="593"/>
  <c r="E19" i="592" s="1"/>
  <c r="Z26" i="593"/>
  <c r="M26" i="593"/>
  <c r="E22" i="592" s="1"/>
  <c r="K26" i="593"/>
  <c r="W25" i="593"/>
  <c r="H25" i="593"/>
  <c r="W24" i="593"/>
  <c r="H24" i="593"/>
  <c r="W23" i="593"/>
  <c r="W21" i="593"/>
  <c r="V21" i="593"/>
  <c r="P21" i="593"/>
  <c r="N21" i="593"/>
  <c r="K21" i="593"/>
  <c r="J21" i="593"/>
  <c r="L21" i="593" s="1"/>
  <c r="H21" i="593"/>
  <c r="F21" i="593"/>
  <c r="W20" i="593"/>
  <c r="N20" i="593" s="1"/>
  <c r="V20" i="593"/>
  <c r="P20" i="593"/>
  <c r="K20" i="593"/>
  <c r="L20" i="593" s="1"/>
  <c r="J20" i="593"/>
  <c r="F20" i="593"/>
  <c r="H20" i="593" s="1"/>
  <c r="W19" i="593"/>
  <c r="V19" i="593"/>
  <c r="N19" i="593"/>
  <c r="K19" i="593"/>
  <c r="L19" i="593" s="1"/>
  <c r="J19" i="593"/>
  <c r="P19" i="593" s="1"/>
  <c r="H19" i="593"/>
  <c r="F19" i="593"/>
  <c r="W18" i="593"/>
  <c r="V18" i="593"/>
  <c r="K18" i="593"/>
  <c r="J18" i="593"/>
  <c r="P18" i="593" s="1"/>
  <c r="G18" i="593"/>
  <c r="H18" i="593" s="1"/>
  <c r="F18" i="593"/>
  <c r="W17" i="593"/>
  <c r="V17" i="593"/>
  <c r="N17" i="593"/>
  <c r="K17" i="593"/>
  <c r="L17" i="593" s="1"/>
  <c r="J17" i="593"/>
  <c r="H17" i="593"/>
  <c r="F17" i="593"/>
  <c r="W16" i="593"/>
  <c r="P16" i="593"/>
  <c r="O16" i="593"/>
  <c r="N16" i="593"/>
  <c r="AF16" i="593" s="1"/>
  <c r="K16" i="593"/>
  <c r="J16" i="593"/>
  <c r="L16" i="593" s="1"/>
  <c r="H16" i="593"/>
  <c r="F16" i="593"/>
  <c r="AE15" i="593"/>
  <c r="AD15" i="593"/>
  <c r="AA15" i="593"/>
  <c r="D19" i="592" s="1"/>
  <c r="Z15" i="593"/>
  <c r="M15" i="593"/>
  <c r="K15" i="593"/>
  <c r="J15" i="593"/>
  <c r="W14" i="593"/>
  <c r="W13" i="593"/>
  <c r="W12" i="593"/>
  <c r="W11" i="593"/>
  <c r="W10" i="593"/>
  <c r="W9" i="593"/>
  <c r="W8" i="593"/>
  <c r="V8" i="593"/>
  <c r="P8" i="593"/>
  <c r="L8" i="593"/>
  <c r="K8" i="593"/>
  <c r="J8" i="593"/>
  <c r="G8" i="593"/>
  <c r="H8" i="593" s="1"/>
  <c r="F8" i="593"/>
  <c r="W7" i="593"/>
  <c r="N7" i="593" s="1"/>
  <c r="V7" i="593"/>
  <c r="P7" i="593"/>
  <c r="K7" i="593"/>
  <c r="L7" i="593" s="1"/>
  <c r="J7" i="593"/>
  <c r="H7" i="593"/>
  <c r="F7" i="593"/>
  <c r="W6" i="593"/>
  <c r="N6" i="593" s="1"/>
  <c r="V6" i="593"/>
  <c r="K6" i="593"/>
  <c r="J6" i="593"/>
  <c r="P6" i="593" s="1"/>
  <c r="G6" i="593"/>
  <c r="F6" i="593"/>
  <c r="H6" i="593" s="1"/>
  <c r="W5" i="593"/>
  <c r="P5" i="593"/>
  <c r="N5" i="593"/>
  <c r="K5" i="593"/>
  <c r="L5" i="593" s="1"/>
  <c r="J5" i="593"/>
  <c r="H5" i="593"/>
  <c r="F5" i="593"/>
  <c r="I2" i="593"/>
  <c r="I1" i="593"/>
  <c r="J22" i="592"/>
  <c r="D22" i="592"/>
  <c r="J21" i="592"/>
  <c r="I21" i="592"/>
  <c r="H21" i="592"/>
  <c r="G21" i="592"/>
  <c r="F21" i="592"/>
  <c r="E21" i="592"/>
  <c r="J20" i="592"/>
  <c r="H20" i="592"/>
  <c r="G20" i="592"/>
  <c r="E20" i="592"/>
  <c r="D20" i="592"/>
  <c r="J19" i="592"/>
  <c r="I19" i="592"/>
  <c r="G19" i="592"/>
  <c r="F19" i="592"/>
  <c r="J18" i="592"/>
  <c r="I18" i="592"/>
  <c r="H18" i="592"/>
  <c r="G18" i="592"/>
  <c r="E18" i="592"/>
  <c r="D18" i="592"/>
  <c r="J16" i="592"/>
  <c r="I16" i="592"/>
  <c r="H16" i="592"/>
  <c r="G16" i="592"/>
  <c r="F16" i="592"/>
  <c r="E16" i="592"/>
  <c r="D16" i="592"/>
  <c r="O8" i="592"/>
  <c r="N8" i="592"/>
  <c r="M8" i="592"/>
  <c r="L8" i="592"/>
  <c r="O7" i="592"/>
  <c r="N7" i="592"/>
  <c r="M7" i="592"/>
  <c r="L7" i="592"/>
  <c r="AE79" i="591"/>
  <c r="J21" i="590" s="1"/>
  <c r="AD79" i="591"/>
  <c r="AA79" i="591"/>
  <c r="Z79" i="591"/>
  <c r="M79" i="591"/>
  <c r="W78" i="591"/>
  <c r="H78" i="591"/>
  <c r="W77" i="591"/>
  <c r="H77" i="591"/>
  <c r="W76" i="591"/>
  <c r="H76" i="591"/>
  <c r="W75" i="591"/>
  <c r="H75" i="591"/>
  <c r="W74" i="591"/>
  <c r="W73" i="591"/>
  <c r="V73" i="591"/>
  <c r="K73" i="591"/>
  <c r="L73" i="591" s="1"/>
  <c r="J73" i="591"/>
  <c r="P73" i="591" s="1"/>
  <c r="G73" i="591"/>
  <c r="N73" i="591" s="1"/>
  <c r="O73" i="591" s="1"/>
  <c r="R73" i="591" s="1"/>
  <c r="F73" i="591"/>
  <c r="H73" i="591" s="1"/>
  <c r="W72" i="591"/>
  <c r="N72" i="591" s="1"/>
  <c r="O72" i="591" s="1"/>
  <c r="V72" i="591"/>
  <c r="K72" i="591"/>
  <c r="J72" i="591"/>
  <c r="F72" i="591"/>
  <c r="H72" i="591" s="1"/>
  <c r="W71" i="591"/>
  <c r="N71" i="591" s="1"/>
  <c r="O71" i="591" s="1"/>
  <c r="V71" i="591"/>
  <c r="K71" i="591"/>
  <c r="J71" i="591"/>
  <c r="F71" i="591"/>
  <c r="H71" i="591" s="1"/>
  <c r="W70" i="591"/>
  <c r="N70" i="591"/>
  <c r="K70" i="591"/>
  <c r="J70" i="591"/>
  <c r="F70" i="591"/>
  <c r="H70" i="591" s="1"/>
  <c r="AE69" i="591"/>
  <c r="AD69" i="591"/>
  <c r="AA69" i="591"/>
  <c r="Z69" i="591"/>
  <c r="M69" i="591"/>
  <c r="I22" i="590" s="1"/>
  <c r="W68" i="591"/>
  <c r="H68" i="591"/>
  <c r="W67" i="591"/>
  <c r="W66" i="591"/>
  <c r="W65" i="591"/>
  <c r="W64" i="591"/>
  <c r="W63" i="591"/>
  <c r="N63" i="591" s="1"/>
  <c r="V63" i="591"/>
  <c r="K63" i="591"/>
  <c r="K69" i="591" s="1"/>
  <c r="J63" i="591"/>
  <c r="P63" i="591" s="1"/>
  <c r="H63" i="591"/>
  <c r="F63" i="591"/>
  <c r="W62" i="591"/>
  <c r="V62" i="591"/>
  <c r="J62" i="591"/>
  <c r="G62" i="591"/>
  <c r="F62" i="591"/>
  <c r="W61" i="591"/>
  <c r="V61" i="591"/>
  <c r="N61" i="591"/>
  <c r="J61" i="591"/>
  <c r="F61" i="591"/>
  <c r="H61" i="591" s="1"/>
  <c r="W60" i="591"/>
  <c r="V60" i="591"/>
  <c r="R60" i="591"/>
  <c r="P60" i="591"/>
  <c r="O60" i="591"/>
  <c r="N60" i="591"/>
  <c r="AG60" i="591" s="1"/>
  <c r="L60" i="591"/>
  <c r="J60" i="591"/>
  <c r="F60" i="591"/>
  <c r="H60" i="591" s="1"/>
  <c r="W59" i="591"/>
  <c r="N59" i="591" s="1"/>
  <c r="J59" i="591"/>
  <c r="L59" i="591" s="1"/>
  <c r="F59" i="591"/>
  <c r="H59" i="591" s="1"/>
  <c r="AE58" i="591"/>
  <c r="AD58" i="591"/>
  <c r="AA58" i="591"/>
  <c r="Z58" i="591"/>
  <c r="M58" i="591"/>
  <c r="W57" i="591"/>
  <c r="W56" i="591"/>
  <c r="W55" i="591"/>
  <c r="W54" i="591"/>
  <c r="W53" i="591"/>
  <c r="V53" i="591"/>
  <c r="P53" i="591"/>
  <c r="N53" i="591"/>
  <c r="L53" i="591"/>
  <c r="J53" i="591"/>
  <c r="H53" i="591"/>
  <c r="F53" i="591"/>
  <c r="W52" i="591"/>
  <c r="V52" i="591"/>
  <c r="P52" i="591"/>
  <c r="O52" i="591"/>
  <c r="N52" i="591"/>
  <c r="K52" i="591"/>
  <c r="L52" i="591" s="1"/>
  <c r="J52" i="591"/>
  <c r="F52" i="591"/>
  <c r="H52" i="591" s="1"/>
  <c r="W51" i="591"/>
  <c r="V51" i="591"/>
  <c r="P51" i="591"/>
  <c r="N51" i="591"/>
  <c r="K51" i="591"/>
  <c r="L51" i="591" s="1"/>
  <c r="J51" i="591"/>
  <c r="F51" i="591"/>
  <c r="H51" i="591" s="1"/>
  <c r="W50" i="591"/>
  <c r="N50" i="591" s="1"/>
  <c r="V50" i="591"/>
  <c r="P50" i="591"/>
  <c r="L50" i="591"/>
  <c r="J50" i="591"/>
  <c r="H50" i="591"/>
  <c r="F50" i="591"/>
  <c r="AF49" i="591"/>
  <c r="W49" i="591"/>
  <c r="N49" i="591" s="1"/>
  <c r="K49" i="591"/>
  <c r="J49" i="591"/>
  <c r="F49" i="591"/>
  <c r="H49" i="591" s="1"/>
  <c r="AE48" i="591"/>
  <c r="G21" i="590" s="1"/>
  <c r="AD48" i="591"/>
  <c r="AA48" i="591"/>
  <c r="Z48" i="591"/>
  <c r="W48" i="591"/>
  <c r="P48" i="591"/>
  <c r="M48" i="591"/>
  <c r="G22" i="590" s="1"/>
  <c r="W47" i="591"/>
  <c r="H47" i="591"/>
  <c r="W46" i="591"/>
  <c r="W45" i="591"/>
  <c r="W44" i="591"/>
  <c r="W43" i="591"/>
  <c r="W42" i="591"/>
  <c r="AF41" i="591"/>
  <c r="W41" i="591"/>
  <c r="V41" i="591"/>
  <c r="N41" i="591"/>
  <c r="O41" i="591" s="1"/>
  <c r="K41" i="591"/>
  <c r="L41" i="591" s="1"/>
  <c r="J41" i="591"/>
  <c r="P41" i="591" s="1"/>
  <c r="F41" i="591"/>
  <c r="H41" i="591" s="1"/>
  <c r="W40" i="591"/>
  <c r="V40" i="591"/>
  <c r="N40" i="591"/>
  <c r="K40" i="591"/>
  <c r="J40" i="591"/>
  <c r="P40" i="591" s="1"/>
  <c r="F40" i="591"/>
  <c r="H40" i="591" s="1"/>
  <c r="W39" i="591"/>
  <c r="V39" i="591"/>
  <c r="P39" i="591"/>
  <c r="N39" i="591"/>
  <c r="L39" i="591"/>
  <c r="K39" i="591"/>
  <c r="J39" i="591"/>
  <c r="F39" i="591"/>
  <c r="H39" i="591" s="1"/>
  <c r="W38" i="591"/>
  <c r="P38" i="591"/>
  <c r="N38" i="591"/>
  <c r="K38" i="591"/>
  <c r="L38" i="591" s="1"/>
  <c r="J38" i="591"/>
  <c r="J48" i="591" s="1"/>
  <c r="F38" i="591"/>
  <c r="H38" i="591" s="1"/>
  <c r="AE37" i="591"/>
  <c r="AD37" i="591"/>
  <c r="F20" i="590" s="1"/>
  <c r="AA37" i="591"/>
  <c r="Z37" i="591"/>
  <c r="M37" i="591"/>
  <c r="K37" i="591"/>
  <c r="W36" i="591"/>
  <c r="W35" i="591"/>
  <c r="W34" i="591"/>
  <c r="W33" i="591"/>
  <c r="W32" i="591"/>
  <c r="V32" i="591"/>
  <c r="N32" i="591"/>
  <c r="K32" i="591"/>
  <c r="J32" i="591"/>
  <c r="P32" i="591" s="1"/>
  <c r="F32" i="591"/>
  <c r="H32" i="591" s="1"/>
  <c r="W31" i="591"/>
  <c r="V31" i="591"/>
  <c r="P31" i="591"/>
  <c r="O31" i="591"/>
  <c r="Q31" i="591" s="1"/>
  <c r="N31" i="591"/>
  <c r="AG31" i="591" s="1"/>
  <c r="L31" i="591"/>
  <c r="J31" i="591"/>
  <c r="F31" i="591"/>
  <c r="H31" i="591" s="1"/>
  <c r="W30" i="591"/>
  <c r="V30" i="591"/>
  <c r="P30" i="591"/>
  <c r="N30" i="591"/>
  <c r="K30" i="591"/>
  <c r="L30" i="591" s="1"/>
  <c r="J30" i="591"/>
  <c r="F30" i="591"/>
  <c r="H30" i="591" s="1"/>
  <c r="AF29" i="591"/>
  <c r="W29" i="591"/>
  <c r="N29" i="591" s="1"/>
  <c r="V29" i="591"/>
  <c r="P29" i="591"/>
  <c r="L29" i="591"/>
  <c r="J29" i="591"/>
  <c r="H29" i="591"/>
  <c r="F29" i="591"/>
  <c r="AG28" i="591"/>
  <c r="W28" i="591"/>
  <c r="N28" i="591" s="1"/>
  <c r="V28" i="591"/>
  <c r="K28" i="591"/>
  <c r="L28" i="591" s="1"/>
  <c r="J28" i="591"/>
  <c r="P28" i="591" s="1"/>
  <c r="H28" i="591"/>
  <c r="F28" i="591"/>
  <c r="W27" i="591"/>
  <c r="N27" i="591" s="1"/>
  <c r="L27" i="591"/>
  <c r="K27" i="591"/>
  <c r="J27" i="591"/>
  <c r="H27" i="591"/>
  <c r="F27" i="591"/>
  <c r="AE26" i="591"/>
  <c r="AD26" i="591"/>
  <c r="AA26" i="591"/>
  <c r="Z26" i="591"/>
  <c r="M26" i="591"/>
  <c r="W25" i="591"/>
  <c r="H25" i="591"/>
  <c r="W24" i="591"/>
  <c r="H24" i="591"/>
  <c r="W23" i="591"/>
  <c r="AF21" i="591"/>
  <c r="W21" i="591"/>
  <c r="N21" i="591" s="1"/>
  <c r="V21" i="591"/>
  <c r="K21" i="591"/>
  <c r="J21" i="591"/>
  <c r="F21" i="591"/>
  <c r="H21" i="591" s="1"/>
  <c r="AG20" i="591"/>
  <c r="W20" i="591"/>
  <c r="V20" i="591"/>
  <c r="K20" i="591"/>
  <c r="J20" i="591"/>
  <c r="G20" i="591"/>
  <c r="N20" i="591" s="1"/>
  <c r="F20" i="591"/>
  <c r="H20" i="591" s="1"/>
  <c r="W19" i="591"/>
  <c r="V19" i="591"/>
  <c r="P19" i="591"/>
  <c r="N19" i="591"/>
  <c r="K19" i="591"/>
  <c r="J19" i="591"/>
  <c r="L19" i="591" s="1"/>
  <c r="F19" i="591"/>
  <c r="H19" i="591" s="1"/>
  <c r="W18" i="591"/>
  <c r="N18" i="591" s="1"/>
  <c r="V18" i="591"/>
  <c r="P18" i="591"/>
  <c r="L18" i="591"/>
  <c r="K18" i="591"/>
  <c r="J18" i="591"/>
  <c r="H18" i="591"/>
  <c r="F18" i="591"/>
  <c r="W17" i="591"/>
  <c r="N17" i="591" s="1"/>
  <c r="V17" i="591"/>
  <c r="R17" i="591"/>
  <c r="P17" i="591"/>
  <c r="O17" i="591"/>
  <c r="Q17" i="591" s="1"/>
  <c r="K17" i="591"/>
  <c r="L17" i="591" s="1"/>
  <c r="J17" i="591"/>
  <c r="H17" i="591"/>
  <c r="F17" i="591"/>
  <c r="W16" i="591"/>
  <c r="N16" i="591" s="1"/>
  <c r="K16" i="591"/>
  <c r="K26" i="591" s="1"/>
  <c r="J16" i="591"/>
  <c r="F16" i="591"/>
  <c r="H16" i="591" s="1"/>
  <c r="AE15" i="591"/>
  <c r="D21" i="590" s="1"/>
  <c r="AD15" i="591"/>
  <c r="AA15" i="591"/>
  <c r="Z15" i="591"/>
  <c r="M15" i="591"/>
  <c r="W14" i="591"/>
  <c r="W13" i="591"/>
  <c r="W12" i="591"/>
  <c r="AG11" i="591"/>
  <c r="AF11" i="591"/>
  <c r="W11" i="591"/>
  <c r="AG10" i="591"/>
  <c r="AF10" i="591"/>
  <c r="W10" i="591"/>
  <c r="AG9" i="591"/>
  <c r="AF9" i="591"/>
  <c r="W9" i="591"/>
  <c r="W8" i="591"/>
  <c r="V8" i="591"/>
  <c r="N8" i="591"/>
  <c r="L8" i="591"/>
  <c r="K8" i="591"/>
  <c r="J8" i="591"/>
  <c r="P8" i="591" s="1"/>
  <c r="G8" i="591"/>
  <c r="F8" i="591"/>
  <c r="H8" i="591" s="1"/>
  <c r="W7" i="591"/>
  <c r="V7" i="591"/>
  <c r="P7" i="591"/>
  <c r="N7" i="591"/>
  <c r="K7" i="591"/>
  <c r="L7" i="591" s="1"/>
  <c r="J7" i="591"/>
  <c r="F7" i="591"/>
  <c r="H7" i="591" s="1"/>
  <c r="W6" i="591"/>
  <c r="V6" i="591"/>
  <c r="P6" i="591"/>
  <c r="K6" i="591"/>
  <c r="J6" i="591"/>
  <c r="L6" i="591" s="1"/>
  <c r="G6" i="591"/>
  <c r="F6" i="591"/>
  <c r="W5" i="591"/>
  <c r="N5" i="591" s="1"/>
  <c r="L5" i="591"/>
  <c r="L15" i="591" s="1"/>
  <c r="D13" i="590" s="1"/>
  <c r="K5" i="591"/>
  <c r="K15" i="591" s="1"/>
  <c r="J5" i="591"/>
  <c r="H5" i="591"/>
  <c r="F5" i="591"/>
  <c r="Z2" i="591"/>
  <c r="I2" i="591"/>
  <c r="H22" i="590"/>
  <c r="F22" i="590"/>
  <c r="E22" i="590"/>
  <c r="I21" i="590"/>
  <c r="H21" i="590"/>
  <c r="F21" i="590"/>
  <c r="E21" i="590"/>
  <c r="J20" i="590"/>
  <c r="I20" i="590"/>
  <c r="H20" i="590"/>
  <c r="G20" i="590"/>
  <c r="E20" i="590"/>
  <c r="D20" i="590"/>
  <c r="J19" i="590"/>
  <c r="I19" i="590"/>
  <c r="H19" i="590"/>
  <c r="G19" i="590"/>
  <c r="E19" i="590"/>
  <c r="D19" i="590"/>
  <c r="J18" i="590"/>
  <c r="I18" i="590"/>
  <c r="H18" i="590"/>
  <c r="G18" i="590"/>
  <c r="F18" i="590"/>
  <c r="E18" i="590"/>
  <c r="D18" i="590"/>
  <c r="J16" i="590"/>
  <c r="I16" i="590"/>
  <c r="H16" i="590"/>
  <c r="G16" i="590"/>
  <c r="F16" i="590"/>
  <c r="E16" i="590"/>
  <c r="D16" i="590"/>
  <c r="O8" i="590"/>
  <c r="N8" i="590"/>
  <c r="M8" i="590"/>
  <c r="L8" i="590"/>
  <c r="O7" i="590"/>
  <c r="N7" i="590"/>
  <c r="M7" i="590"/>
  <c r="L7" i="590"/>
  <c r="L6" i="590"/>
  <c r="AE79" i="589"/>
  <c r="AD79" i="589"/>
  <c r="AA79" i="589"/>
  <c r="Z79" i="589"/>
  <c r="M79" i="589"/>
  <c r="J79" i="589"/>
  <c r="P79" i="589" s="1"/>
  <c r="W78" i="589"/>
  <c r="H78" i="589"/>
  <c r="W77" i="589"/>
  <c r="H77" i="589"/>
  <c r="W76" i="589"/>
  <c r="H76" i="589"/>
  <c r="W75" i="589"/>
  <c r="H75" i="589"/>
  <c r="W74" i="589"/>
  <c r="W73" i="589"/>
  <c r="W72" i="589"/>
  <c r="W71" i="589"/>
  <c r="W70" i="589"/>
  <c r="N70" i="589" s="1"/>
  <c r="P70" i="589"/>
  <c r="K70" i="589"/>
  <c r="J70" i="589"/>
  <c r="H70" i="589"/>
  <c r="F70" i="589"/>
  <c r="AE69" i="589"/>
  <c r="AD69" i="589"/>
  <c r="I20" i="588" s="1"/>
  <c r="AA69" i="589"/>
  <c r="I19" i="588" s="1"/>
  <c r="Z69" i="589"/>
  <c r="M69" i="589"/>
  <c r="K69" i="589"/>
  <c r="W68" i="589"/>
  <c r="H68" i="589"/>
  <c r="W67" i="589"/>
  <c r="W66" i="589"/>
  <c r="W65" i="589"/>
  <c r="W64" i="589"/>
  <c r="W63" i="589"/>
  <c r="V63" i="589"/>
  <c r="N63" i="589"/>
  <c r="O63" i="589" s="1"/>
  <c r="K63" i="589"/>
  <c r="J63" i="589"/>
  <c r="P63" i="589" s="1"/>
  <c r="F63" i="589"/>
  <c r="H63" i="589" s="1"/>
  <c r="AG62" i="589"/>
  <c r="AF62" i="589"/>
  <c r="W62" i="589"/>
  <c r="V62" i="589"/>
  <c r="R62" i="589"/>
  <c r="P62" i="589"/>
  <c r="O62" i="589"/>
  <c r="N62" i="589"/>
  <c r="L62" i="589"/>
  <c r="J62" i="589"/>
  <c r="H62" i="589"/>
  <c r="F62" i="589"/>
  <c r="W61" i="589"/>
  <c r="V61" i="589"/>
  <c r="P61" i="589"/>
  <c r="N61" i="589"/>
  <c r="J61" i="589"/>
  <c r="L61" i="589" s="1"/>
  <c r="H61" i="589"/>
  <c r="F61" i="589"/>
  <c r="W60" i="589"/>
  <c r="N60" i="589" s="1"/>
  <c r="V60" i="589"/>
  <c r="L60" i="589"/>
  <c r="J60" i="589"/>
  <c r="P60" i="589" s="1"/>
  <c r="H60" i="589"/>
  <c r="F60" i="589"/>
  <c r="AG59" i="589"/>
  <c r="W59" i="589"/>
  <c r="N59" i="589" s="1"/>
  <c r="P59" i="589"/>
  <c r="O59" i="589"/>
  <c r="J59" i="589"/>
  <c r="L59" i="589" s="1"/>
  <c r="H59" i="589"/>
  <c r="F59" i="589"/>
  <c r="AE58" i="589"/>
  <c r="AD58" i="589"/>
  <c r="AA58" i="589"/>
  <c r="Z58" i="589"/>
  <c r="M58" i="589"/>
  <c r="W57" i="589"/>
  <c r="W56" i="589"/>
  <c r="W55" i="589"/>
  <c r="W54" i="589"/>
  <c r="W53" i="589"/>
  <c r="N53" i="589" s="1"/>
  <c r="V53" i="589"/>
  <c r="P53" i="589"/>
  <c r="O53" i="589"/>
  <c r="L53" i="589"/>
  <c r="F53" i="589"/>
  <c r="H53" i="589" s="1"/>
  <c r="W52" i="589"/>
  <c r="N52" i="589" s="1"/>
  <c r="V52" i="589"/>
  <c r="P52" i="589"/>
  <c r="K52" i="589"/>
  <c r="J52" i="589"/>
  <c r="L52" i="589" s="1"/>
  <c r="H52" i="589"/>
  <c r="F52" i="589"/>
  <c r="W51" i="589"/>
  <c r="N51" i="589" s="1"/>
  <c r="AG51" i="589" s="1"/>
  <c r="V51" i="589"/>
  <c r="R51" i="589"/>
  <c r="O51" i="589"/>
  <c r="Q51" i="589" s="1"/>
  <c r="L51" i="589"/>
  <c r="K51" i="589"/>
  <c r="J51" i="589"/>
  <c r="P51" i="589" s="1"/>
  <c r="F51" i="589"/>
  <c r="H51" i="589" s="1"/>
  <c r="AG50" i="589"/>
  <c r="W50" i="589"/>
  <c r="V50" i="589"/>
  <c r="P50" i="589"/>
  <c r="O50" i="589"/>
  <c r="N50" i="589"/>
  <c r="AF50" i="589" s="1"/>
  <c r="L50" i="589"/>
  <c r="F50" i="589"/>
  <c r="H50" i="589" s="1"/>
  <c r="W49" i="589"/>
  <c r="N49" i="589" s="1"/>
  <c r="O49" i="589"/>
  <c r="K49" i="589"/>
  <c r="J49" i="589"/>
  <c r="P49" i="589" s="1"/>
  <c r="F49" i="589"/>
  <c r="H49" i="589" s="1"/>
  <c r="AE48" i="589"/>
  <c r="G21" i="588" s="1"/>
  <c r="AD48" i="589"/>
  <c r="AA48" i="589"/>
  <c r="Z48" i="589"/>
  <c r="W48" i="589"/>
  <c r="M48" i="589"/>
  <c r="W47" i="589"/>
  <c r="H47" i="589"/>
  <c r="W46" i="589"/>
  <c r="W45" i="589"/>
  <c r="W44" i="589"/>
  <c r="W43" i="589"/>
  <c r="W42" i="589"/>
  <c r="V42" i="589"/>
  <c r="P42" i="589"/>
  <c r="N42" i="589"/>
  <c r="O42" i="589" s="1"/>
  <c r="L42" i="589"/>
  <c r="K42" i="589"/>
  <c r="J42" i="589"/>
  <c r="H42" i="589"/>
  <c r="F42" i="589"/>
  <c r="W41" i="589"/>
  <c r="V41" i="589"/>
  <c r="N41" i="589"/>
  <c r="K41" i="589"/>
  <c r="J41" i="589"/>
  <c r="P41" i="589" s="1"/>
  <c r="F41" i="589"/>
  <c r="H41" i="589" s="1"/>
  <c r="W40" i="589"/>
  <c r="V40" i="589"/>
  <c r="N40" i="589"/>
  <c r="L40" i="589"/>
  <c r="K40" i="589"/>
  <c r="J40" i="589"/>
  <c r="P40" i="589" s="1"/>
  <c r="H40" i="589"/>
  <c r="F40" i="589"/>
  <c r="W39" i="589"/>
  <c r="N39" i="589" s="1"/>
  <c r="V39" i="589"/>
  <c r="P39" i="589"/>
  <c r="O39" i="589"/>
  <c r="K39" i="589"/>
  <c r="J39" i="589"/>
  <c r="H39" i="589"/>
  <c r="F39" i="589"/>
  <c r="W38" i="589"/>
  <c r="N38" i="589" s="1"/>
  <c r="K38" i="589"/>
  <c r="J38" i="589"/>
  <c r="H38" i="589"/>
  <c r="F38" i="589"/>
  <c r="AE37" i="589"/>
  <c r="AD37" i="589"/>
  <c r="AA37" i="589"/>
  <c r="Z37" i="589"/>
  <c r="M37" i="589"/>
  <c r="W36" i="589"/>
  <c r="W35" i="589"/>
  <c r="W34" i="589"/>
  <c r="W33" i="589"/>
  <c r="W32" i="589"/>
  <c r="V32" i="589"/>
  <c r="Q32" i="589"/>
  <c r="P32" i="589"/>
  <c r="N32" i="589"/>
  <c r="O32" i="589" s="1"/>
  <c r="R32" i="589" s="1"/>
  <c r="L32" i="589"/>
  <c r="K32" i="589"/>
  <c r="J32" i="589"/>
  <c r="H32" i="589"/>
  <c r="F32" i="589"/>
  <c r="W31" i="589"/>
  <c r="N31" i="589" s="1"/>
  <c r="O31" i="589" s="1"/>
  <c r="V31" i="589"/>
  <c r="P31" i="589"/>
  <c r="J31" i="589"/>
  <c r="L31" i="589" s="1"/>
  <c r="R31" i="589" s="1"/>
  <c r="F31" i="589"/>
  <c r="H31" i="589" s="1"/>
  <c r="W30" i="589"/>
  <c r="N30" i="589" s="1"/>
  <c r="V30" i="589"/>
  <c r="K30" i="589"/>
  <c r="J30" i="589"/>
  <c r="L30" i="589" s="1"/>
  <c r="F30" i="589"/>
  <c r="H30" i="589" s="1"/>
  <c r="W29" i="589"/>
  <c r="N29" i="589" s="1"/>
  <c r="V29" i="589"/>
  <c r="L29" i="589"/>
  <c r="J29" i="589"/>
  <c r="P29" i="589" s="1"/>
  <c r="F29" i="589"/>
  <c r="H29" i="589" s="1"/>
  <c r="AF28" i="589"/>
  <c r="W28" i="589"/>
  <c r="V28" i="589"/>
  <c r="N28" i="589"/>
  <c r="K28" i="589"/>
  <c r="L28" i="589" s="1"/>
  <c r="J28" i="589"/>
  <c r="P28" i="589" s="1"/>
  <c r="F28" i="589"/>
  <c r="H28" i="589" s="1"/>
  <c r="W27" i="589"/>
  <c r="N27" i="589"/>
  <c r="AF27" i="589" s="1"/>
  <c r="K27" i="589"/>
  <c r="J27" i="589"/>
  <c r="J37" i="589" s="1"/>
  <c r="H27" i="589"/>
  <c r="F27" i="589"/>
  <c r="AE26" i="589"/>
  <c r="AD26" i="589"/>
  <c r="AA26" i="589"/>
  <c r="Z26" i="589"/>
  <c r="E18" i="588" s="1"/>
  <c r="M26" i="589"/>
  <c r="W25" i="589"/>
  <c r="H25" i="589"/>
  <c r="W24" i="589"/>
  <c r="H24" i="589"/>
  <c r="W23" i="589"/>
  <c r="W21" i="589"/>
  <c r="N21" i="589" s="1"/>
  <c r="O21" i="589" s="1"/>
  <c r="V21" i="589"/>
  <c r="L21" i="589"/>
  <c r="R21" i="589" s="1"/>
  <c r="K21" i="589"/>
  <c r="J21" i="589"/>
  <c r="P21" i="589" s="1"/>
  <c r="F21" i="589"/>
  <c r="H21" i="589" s="1"/>
  <c r="W20" i="589"/>
  <c r="N20" i="589" s="1"/>
  <c r="V20" i="589"/>
  <c r="L20" i="589"/>
  <c r="K20" i="589"/>
  <c r="J20" i="589"/>
  <c r="P20" i="589" s="1"/>
  <c r="F20" i="589"/>
  <c r="H20" i="589" s="1"/>
  <c r="W19" i="589"/>
  <c r="N19" i="589" s="1"/>
  <c r="AF19" i="589" s="1"/>
  <c r="V19" i="589"/>
  <c r="O19" i="589"/>
  <c r="K19" i="589"/>
  <c r="L19" i="589" s="1"/>
  <c r="J19" i="589"/>
  <c r="P19" i="589" s="1"/>
  <c r="H19" i="589"/>
  <c r="F19" i="589"/>
  <c r="W18" i="589"/>
  <c r="V18" i="589"/>
  <c r="N18" i="589"/>
  <c r="K18" i="589"/>
  <c r="L18" i="589" s="1"/>
  <c r="J18" i="589"/>
  <c r="P18" i="589" s="1"/>
  <c r="H18" i="589"/>
  <c r="F18" i="589"/>
  <c r="W17" i="589"/>
  <c r="V17" i="589"/>
  <c r="P17" i="589"/>
  <c r="N17" i="589"/>
  <c r="K17" i="589"/>
  <c r="L17" i="589" s="1"/>
  <c r="J17" i="589"/>
  <c r="F17" i="589"/>
  <c r="H17" i="589" s="1"/>
  <c r="W16" i="589"/>
  <c r="N16" i="589" s="1"/>
  <c r="AF16" i="589" s="1"/>
  <c r="P16" i="589"/>
  <c r="O16" i="589"/>
  <c r="K16" i="589"/>
  <c r="L16" i="589" s="1"/>
  <c r="L26" i="589" s="1"/>
  <c r="E13" i="588" s="1"/>
  <c r="J16" i="589"/>
  <c r="J26" i="589" s="1"/>
  <c r="P26" i="589" s="1"/>
  <c r="H16" i="589"/>
  <c r="F16" i="589"/>
  <c r="AE15" i="589"/>
  <c r="D21" i="588" s="1"/>
  <c r="AD15" i="589"/>
  <c r="AA15" i="589"/>
  <c r="D19" i="588" s="1"/>
  <c r="Z15" i="589"/>
  <c r="D18" i="588" s="1"/>
  <c r="M15" i="589"/>
  <c r="I1" i="589" s="1"/>
  <c r="W14" i="589"/>
  <c r="W13" i="589"/>
  <c r="W12" i="589"/>
  <c r="AG11" i="589"/>
  <c r="AF11" i="589"/>
  <c r="W11" i="589"/>
  <c r="AG10" i="589"/>
  <c r="AF10" i="589"/>
  <c r="W10" i="589"/>
  <c r="AG9" i="589"/>
  <c r="AF9" i="589"/>
  <c r="W9" i="589"/>
  <c r="W8" i="589"/>
  <c r="N8" i="589" s="1"/>
  <c r="AF8" i="589" s="1"/>
  <c r="V8" i="589"/>
  <c r="K8" i="589"/>
  <c r="L8" i="589" s="1"/>
  <c r="J8" i="589"/>
  <c r="P8" i="589" s="1"/>
  <c r="H8" i="589"/>
  <c r="F8" i="589"/>
  <c r="W7" i="589"/>
  <c r="V7" i="589"/>
  <c r="N7" i="589"/>
  <c r="K7" i="589"/>
  <c r="J7" i="589"/>
  <c r="P7" i="589" s="1"/>
  <c r="H7" i="589"/>
  <c r="F7" i="589"/>
  <c r="W6" i="589"/>
  <c r="V6" i="589"/>
  <c r="P6" i="589"/>
  <c r="N6" i="589"/>
  <c r="K6" i="589"/>
  <c r="J6" i="589"/>
  <c r="F6" i="589"/>
  <c r="H6" i="589" s="1"/>
  <c r="AG5" i="589"/>
  <c r="W5" i="589"/>
  <c r="N5" i="589" s="1"/>
  <c r="AF5" i="589" s="1"/>
  <c r="P5" i="589"/>
  <c r="K5" i="589"/>
  <c r="L5" i="589" s="1"/>
  <c r="J5" i="589"/>
  <c r="H5" i="589"/>
  <c r="F5" i="589"/>
  <c r="AA2" i="589"/>
  <c r="Z2" i="589"/>
  <c r="I2" i="589"/>
  <c r="E1" i="589"/>
  <c r="J22" i="588"/>
  <c r="I22" i="588"/>
  <c r="H22" i="588"/>
  <c r="G22" i="588"/>
  <c r="F22" i="588"/>
  <c r="E22" i="588"/>
  <c r="D22" i="588"/>
  <c r="J21" i="588"/>
  <c r="I21" i="588"/>
  <c r="H21" i="588"/>
  <c r="F21" i="588"/>
  <c r="E21" i="588"/>
  <c r="J20" i="588"/>
  <c r="H20" i="588"/>
  <c r="G20" i="588"/>
  <c r="F20" i="588"/>
  <c r="E20" i="588"/>
  <c r="J19" i="588"/>
  <c r="H19" i="588"/>
  <c r="G19" i="588"/>
  <c r="M6" i="588" s="1"/>
  <c r="F19" i="588"/>
  <c r="E19" i="588"/>
  <c r="J18" i="588"/>
  <c r="I18" i="588"/>
  <c r="H18" i="588"/>
  <c r="G18" i="588"/>
  <c r="F18" i="588"/>
  <c r="J16" i="588"/>
  <c r="I16" i="588"/>
  <c r="H16" i="588"/>
  <c r="G16" i="588"/>
  <c r="F16" i="588"/>
  <c r="E16" i="588"/>
  <c r="D16" i="588"/>
  <c r="O8" i="588"/>
  <c r="N8" i="588"/>
  <c r="M8" i="588"/>
  <c r="L8" i="588"/>
  <c r="O7" i="588"/>
  <c r="N7" i="588"/>
  <c r="M7" i="588"/>
  <c r="L7" i="588"/>
  <c r="G3" i="588"/>
  <c r="AE79" i="587"/>
  <c r="AD79" i="587"/>
  <c r="J20" i="586" s="1"/>
  <c r="AA79" i="587"/>
  <c r="Z79" i="587"/>
  <c r="Z2" i="587" s="1"/>
  <c r="W78" i="587"/>
  <c r="W77" i="587"/>
  <c r="W76" i="587"/>
  <c r="W75" i="587"/>
  <c r="W74" i="587"/>
  <c r="W73" i="587"/>
  <c r="W72" i="587"/>
  <c r="W71" i="587"/>
  <c r="W70" i="587"/>
  <c r="N70" i="587" s="1"/>
  <c r="K70" i="587"/>
  <c r="L70" i="587" s="1"/>
  <c r="J70" i="587"/>
  <c r="P70" i="587" s="1"/>
  <c r="F70" i="587"/>
  <c r="H70" i="587" s="1"/>
  <c r="AE69" i="587"/>
  <c r="AD69" i="587"/>
  <c r="AA69" i="587"/>
  <c r="Z69" i="587"/>
  <c r="M69" i="587"/>
  <c r="M79" i="587" s="1"/>
  <c r="K69" i="587"/>
  <c r="K79" i="587" s="1"/>
  <c r="W68" i="587"/>
  <c r="H68" i="587"/>
  <c r="W67" i="587"/>
  <c r="W66" i="587"/>
  <c r="W65" i="587"/>
  <c r="W64" i="587"/>
  <c r="W63" i="587"/>
  <c r="V63" i="587"/>
  <c r="Q63" i="587"/>
  <c r="P63" i="587"/>
  <c r="N63" i="587"/>
  <c r="O63" i="587" s="1"/>
  <c r="R63" i="587" s="1"/>
  <c r="L63" i="587"/>
  <c r="K63" i="587"/>
  <c r="J63" i="587"/>
  <c r="F63" i="587"/>
  <c r="H63" i="587" s="1"/>
  <c r="W62" i="587"/>
  <c r="N62" i="587" s="1"/>
  <c r="V62" i="587"/>
  <c r="P62" i="587"/>
  <c r="L62" i="587"/>
  <c r="J62" i="587"/>
  <c r="H62" i="587"/>
  <c r="F62" i="587"/>
  <c r="W61" i="587"/>
  <c r="N61" i="587" s="1"/>
  <c r="V61" i="587"/>
  <c r="J61" i="587"/>
  <c r="H61" i="587"/>
  <c r="F61" i="587"/>
  <c r="AF60" i="587"/>
  <c r="W60" i="587"/>
  <c r="N60" i="587" s="1"/>
  <c r="V60" i="587"/>
  <c r="L60" i="587"/>
  <c r="J60" i="587"/>
  <c r="P60" i="587" s="1"/>
  <c r="F60" i="587"/>
  <c r="H60" i="587" s="1"/>
  <c r="W59" i="587"/>
  <c r="N59" i="587" s="1"/>
  <c r="O59" i="587" s="1"/>
  <c r="J59" i="587"/>
  <c r="P59" i="587" s="1"/>
  <c r="F59" i="587"/>
  <c r="H59" i="587" s="1"/>
  <c r="AE58" i="587"/>
  <c r="AD58" i="587"/>
  <c r="AA58" i="587"/>
  <c r="Z58" i="587"/>
  <c r="M58" i="587"/>
  <c r="W57" i="587"/>
  <c r="W56" i="587"/>
  <c r="W55" i="587"/>
  <c r="W54" i="587"/>
  <c r="AG53" i="587"/>
  <c r="AF53" i="587"/>
  <c r="W53" i="587"/>
  <c r="AG52" i="587"/>
  <c r="W52" i="587"/>
  <c r="V52" i="587"/>
  <c r="N52" i="587"/>
  <c r="O52" i="587" s="1"/>
  <c r="K52" i="587"/>
  <c r="J52" i="587"/>
  <c r="P52" i="587" s="1"/>
  <c r="H52" i="587"/>
  <c r="F52" i="587"/>
  <c r="AF51" i="587"/>
  <c r="W51" i="587"/>
  <c r="V51" i="587"/>
  <c r="P51" i="587"/>
  <c r="O51" i="587"/>
  <c r="N51" i="587"/>
  <c r="K51" i="587"/>
  <c r="K58" i="587" s="1"/>
  <c r="J51" i="587"/>
  <c r="J58" i="587" s="1"/>
  <c r="F51" i="587"/>
  <c r="H51" i="587" s="1"/>
  <c r="W50" i="587"/>
  <c r="V50" i="587"/>
  <c r="P50" i="587"/>
  <c r="N50" i="587"/>
  <c r="L50" i="587"/>
  <c r="K50" i="587"/>
  <c r="H50" i="587"/>
  <c r="F50" i="587"/>
  <c r="W49" i="587"/>
  <c r="N49" i="587" s="1"/>
  <c r="O49" i="587" s="1"/>
  <c r="P49" i="587"/>
  <c r="L49" i="587"/>
  <c r="K49" i="587"/>
  <c r="J49" i="587"/>
  <c r="F49" i="587"/>
  <c r="H49" i="587" s="1"/>
  <c r="AE48" i="587"/>
  <c r="AD48" i="587"/>
  <c r="AA48" i="587"/>
  <c r="Z48" i="587"/>
  <c r="W48" i="587"/>
  <c r="M48" i="587"/>
  <c r="W47" i="587"/>
  <c r="H47" i="587"/>
  <c r="W46" i="587"/>
  <c r="W45" i="587"/>
  <c r="W44" i="587"/>
  <c r="W43" i="587"/>
  <c r="W42" i="587"/>
  <c r="W41" i="587"/>
  <c r="V41" i="587"/>
  <c r="P41" i="587"/>
  <c r="N41" i="587"/>
  <c r="L41" i="587"/>
  <c r="K41" i="587"/>
  <c r="J41" i="587"/>
  <c r="F41" i="587"/>
  <c r="H41" i="587" s="1"/>
  <c r="W40" i="587"/>
  <c r="N40" i="587" s="1"/>
  <c r="V40" i="587"/>
  <c r="P40" i="587"/>
  <c r="K40" i="587"/>
  <c r="L40" i="587" s="1"/>
  <c r="H40" i="587"/>
  <c r="F40" i="587"/>
  <c r="W39" i="587"/>
  <c r="N39" i="587" s="1"/>
  <c r="V39" i="587"/>
  <c r="P39" i="587"/>
  <c r="K39" i="587"/>
  <c r="L39" i="587" s="1"/>
  <c r="H39" i="587"/>
  <c r="F39" i="587"/>
  <c r="W38" i="587"/>
  <c r="N38" i="587"/>
  <c r="K38" i="587"/>
  <c r="J38" i="587"/>
  <c r="P38" i="587" s="1"/>
  <c r="F38" i="587"/>
  <c r="H38" i="587" s="1"/>
  <c r="AE37" i="587"/>
  <c r="AD37" i="587"/>
  <c r="AA37" i="587"/>
  <c r="Z37" i="587"/>
  <c r="M37" i="587"/>
  <c r="K37" i="587"/>
  <c r="W36" i="587"/>
  <c r="H36" i="587"/>
  <c r="W35" i="587"/>
  <c r="W34" i="587"/>
  <c r="W33" i="587"/>
  <c r="V33" i="587"/>
  <c r="Q33" i="587"/>
  <c r="P33" i="587"/>
  <c r="N33" i="587"/>
  <c r="O33" i="587" s="1"/>
  <c r="R33" i="587" s="1"/>
  <c r="L33" i="587"/>
  <c r="F33" i="587"/>
  <c r="H33" i="587" s="1"/>
  <c r="W32" i="587"/>
  <c r="V32" i="587"/>
  <c r="P32" i="587"/>
  <c r="N32" i="587"/>
  <c r="O32" i="587" s="1"/>
  <c r="K32" i="587"/>
  <c r="L32" i="587" s="1"/>
  <c r="J32" i="587"/>
  <c r="F32" i="587"/>
  <c r="H32" i="587" s="1"/>
  <c r="W31" i="587"/>
  <c r="V31" i="587"/>
  <c r="P31" i="587"/>
  <c r="N31" i="587"/>
  <c r="L31" i="587"/>
  <c r="J31" i="587"/>
  <c r="H31" i="587"/>
  <c r="F31" i="587"/>
  <c r="AG30" i="587"/>
  <c r="W30" i="587"/>
  <c r="N30" i="587" s="1"/>
  <c r="AF30" i="587" s="1"/>
  <c r="V30" i="587"/>
  <c r="P30" i="587"/>
  <c r="O30" i="587"/>
  <c r="R30" i="587" s="1"/>
  <c r="K30" i="587"/>
  <c r="L30" i="587" s="1"/>
  <c r="J30" i="587"/>
  <c r="H30" i="587"/>
  <c r="F30" i="587"/>
  <c r="W29" i="587"/>
  <c r="N29" i="587" s="1"/>
  <c r="V29" i="587"/>
  <c r="J29" i="587"/>
  <c r="H29" i="587"/>
  <c r="F29" i="587"/>
  <c r="AG28" i="587"/>
  <c r="AF28" i="587"/>
  <c r="W28" i="587"/>
  <c r="N28" i="587" s="1"/>
  <c r="O28" i="587" s="1"/>
  <c r="Q28" i="587" s="1"/>
  <c r="V28" i="587"/>
  <c r="L28" i="587"/>
  <c r="K28" i="587"/>
  <c r="J28" i="587"/>
  <c r="P28" i="587" s="1"/>
  <c r="F28" i="587"/>
  <c r="H28" i="587" s="1"/>
  <c r="AF27" i="587"/>
  <c r="W27" i="587"/>
  <c r="P27" i="587"/>
  <c r="O27" i="587"/>
  <c r="N27" i="587"/>
  <c r="K27" i="587"/>
  <c r="AG27" i="587" s="1"/>
  <c r="J27" i="587"/>
  <c r="F27" i="587"/>
  <c r="H27" i="587" s="1"/>
  <c r="AE26" i="587"/>
  <c r="AD26" i="587"/>
  <c r="AA26" i="587"/>
  <c r="E19" i="586" s="1"/>
  <c r="Z26" i="587"/>
  <c r="E18" i="586" s="1"/>
  <c r="M26" i="587"/>
  <c r="P26" i="587" s="1"/>
  <c r="W25" i="587"/>
  <c r="H25" i="587"/>
  <c r="W24" i="587"/>
  <c r="H24" i="587"/>
  <c r="W23" i="587"/>
  <c r="W22" i="587"/>
  <c r="W21" i="587"/>
  <c r="N21" i="587" s="1"/>
  <c r="O21" i="587" s="1"/>
  <c r="V21" i="587"/>
  <c r="L21" i="587"/>
  <c r="R21" i="587" s="1"/>
  <c r="K21" i="587"/>
  <c r="J21" i="587"/>
  <c r="P21" i="587" s="1"/>
  <c r="F21" i="587"/>
  <c r="H21" i="587" s="1"/>
  <c r="W20" i="587"/>
  <c r="N20" i="587" s="1"/>
  <c r="O20" i="587" s="1"/>
  <c r="R20" i="587" s="1"/>
  <c r="V20" i="587"/>
  <c r="L20" i="587"/>
  <c r="K20" i="587"/>
  <c r="J20" i="587"/>
  <c r="P20" i="587" s="1"/>
  <c r="F20" i="587"/>
  <c r="H20" i="587" s="1"/>
  <c r="W19" i="587"/>
  <c r="N19" i="587" s="1"/>
  <c r="V19" i="587"/>
  <c r="K19" i="587"/>
  <c r="L19" i="587" s="1"/>
  <c r="J19" i="587"/>
  <c r="P19" i="587" s="1"/>
  <c r="H19" i="587"/>
  <c r="F19" i="587"/>
  <c r="AG18" i="587"/>
  <c r="W18" i="587"/>
  <c r="V18" i="587"/>
  <c r="N18" i="587"/>
  <c r="L18" i="587"/>
  <c r="K18" i="587"/>
  <c r="J18" i="587"/>
  <c r="P18" i="587" s="1"/>
  <c r="H18" i="587"/>
  <c r="F18" i="587"/>
  <c r="W17" i="587"/>
  <c r="V17" i="587"/>
  <c r="P17" i="587"/>
  <c r="N17" i="587"/>
  <c r="L17" i="587"/>
  <c r="K17" i="587"/>
  <c r="J17" i="587"/>
  <c r="F17" i="587"/>
  <c r="H17" i="587" s="1"/>
  <c r="W16" i="587"/>
  <c r="N16" i="587" s="1"/>
  <c r="P16" i="587"/>
  <c r="O16" i="587"/>
  <c r="K16" i="587"/>
  <c r="K26" i="587" s="1"/>
  <c r="J16" i="587"/>
  <c r="J26" i="587" s="1"/>
  <c r="H16" i="587"/>
  <c r="F16" i="587"/>
  <c r="AE15" i="587"/>
  <c r="AD15" i="587"/>
  <c r="D20" i="586" s="1"/>
  <c r="AA15" i="587"/>
  <c r="Z15" i="587"/>
  <c r="D18" i="586" s="1"/>
  <c r="M15" i="587"/>
  <c r="J15" i="587"/>
  <c r="W14" i="587"/>
  <c r="W13" i="587"/>
  <c r="W12" i="587"/>
  <c r="AG11" i="587"/>
  <c r="AF11" i="587"/>
  <c r="W11" i="587"/>
  <c r="AG10" i="587"/>
  <c r="AF10" i="587"/>
  <c r="W10" i="587"/>
  <c r="AG9" i="587"/>
  <c r="AF9" i="587"/>
  <c r="W9" i="587"/>
  <c r="AG8" i="587"/>
  <c r="W8" i="587"/>
  <c r="N8" i="587" s="1"/>
  <c r="V8" i="587"/>
  <c r="K8" i="587"/>
  <c r="J8" i="587"/>
  <c r="P8" i="587" s="1"/>
  <c r="F8" i="587"/>
  <c r="H8" i="587" s="1"/>
  <c r="W7" i="587"/>
  <c r="V7" i="587"/>
  <c r="P7" i="587"/>
  <c r="N7" i="587"/>
  <c r="K7" i="587"/>
  <c r="L7" i="587" s="1"/>
  <c r="J7" i="587"/>
  <c r="H7" i="587"/>
  <c r="F7" i="587"/>
  <c r="W6" i="587"/>
  <c r="V6" i="587"/>
  <c r="P6" i="587"/>
  <c r="N6" i="587"/>
  <c r="K6" i="587"/>
  <c r="L6" i="587" s="1"/>
  <c r="J6" i="587"/>
  <c r="F6" i="587"/>
  <c r="H6" i="587" s="1"/>
  <c r="W5" i="587"/>
  <c r="N5" i="587" s="1"/>
  <c r="AG5" i="587" s="1"/>
  <c r="P5" i="587"/>
  <c r="O5" i="587"/>
  <c r="K5" i="587"/>
  <c r="L5" i="587" s="1"/>
  <c r="J5" i="587"/>
  <c r="H5" i="587"/>
  <c r="F5" i="587"/>
  <c r="AA2" i="587"/>
  <c r="I2" i="587"/>
  <c r="E1" i="587"/>
  <c r="I22" i="586"/>
  <c r="E22" i="586"/>
  <c r="D22" i="586"/>
  <c r="J21" i="586"/>
  <c r="I21" i="586"/>
  <c r="H21" i="586"/>
  <c r="G21" i="586"/>
  <c r="F21" i="586"/>
  <c r="E21" i="586"/>
  <c r="D21" i="586"/>
  <c r="I20" i="586"/>
  <c r="H20" i="586"/>
  <c r="G20" i="586"/>
  <c r="F20" i="586"/>
  <c r="E20" i="586"/>
  <c r="J19" i="586"/>
  <c r="I19" i="586"/>
  <c r="H19" i="586"/>
  <c r="G19" i="586"/>
  <c r="F19" i="586"/>
  <c r="D19" i="586"/>
  <c r="M6" i="586" s="1"/>
  <c r="J18" i="586"/>
  <c r="I18" i="586"/>
  <c r="H18" i="586"/>
  <c r="G18" i="586"/>
  <c r="F18" i="586"/>
  <c r="J16" i="586"/>
  <c r="I16" i="586"/>
  <c r="H16" i="586"/>
  <c r="G16" i="586"/>
  <c r="F16" i="586"/>
  <c r="E16" i="586"/>
  <c r="D16" i="586"/>
  <c r="O8" i="586"/>
  <c r="N8" i="586"/>
  <c r="M8" i="586"/>
  <c r="L8" i="586"/>
  <c r="O7" i="586"/>
  <c r="N7" i="586"/>
  <c r="M7" i="586"/>
  <c r="L7" i="586"/>
  <c r="G3" i="586"/>
  <c r="AE79" i="585"/>
  <c r="J21" i="584" s="1"/>
  <c r="AD79" i="585"/>
  <c r="AA79" i="585"/>
  <c r="Z79" i="585"/>
  <c r="M79" i="585"/>
  <c r="W78" i="585"/>
  <c r="W77" i="585"/>
  <c r="W76" i="585"/>
  <c r="W75" i="585"/>
  <c r="W74" i="585"/>
  <c r="W73" i="585"/>
  <c r="W72" i="585"/>
  <c r="W71" i="585"/>
  <c r="V71" i="585"/>
  <c r="P71" i="585"/>
  <c r="N71" i="585"/>
  <c r="O71" i="585" s="1"/>
  <c r="L71" i="585"/>
  <c r="K71" i="585"/>
  <c r="J71" i="585"/>
  <c r="F71" i="585"/>
  <c r="H71" i="585" s="1"/>
  <c r="AG70" i="585"/>
  <c r="AF70" i="585"/>
  <c r="W70" i="585"/>
  <c r="N70" i="585" s="1"/>
  <c r="O70" i="585" s="1"/>
  <c r="P70" i="585"/>
  <c r="K70" i="585"/>
  <c r="J70" i="585"/>
  <c r="H70" i="585"/>
  <c r="F70" i="585"/>
  <c r="AE69" i="585"/>
  <c r="AD69" i="585"/>
  <c r="I20" i="584" s="1"/>
  <c r="AA69" i="585"/>
  <c r="I19" i="584" s="1"/>
  <c r="Z69" i="585"/>
  <c r="N69" i="585"/>
  <c r="M69" i="585"/>
  <c r="K69" i="585"/>
  <c r="K79" i="585" s="1"/>
  <c r="W68" i="585"/>
  <c r="W67" i="585"/>
  <c r="W66" i="585"/>
  <c r="W65" i="585"/>
  <c r="W64" i="585"/>
  <c r="W63" i="585"/>
  <c r="AG62" i="585"/>
  <c r="AF62" i="585"/>
  <c r="W62" i="585"/>
  <c r="N62" i="585" s="1"/>
  <c r="V62" i="585"/>
  <c r="R62" i="585"/>
  <c r="P62" i="585"/>
  <c r="O62" i="585"/>
  <c r="Q62" i="585" s="1"/>
  <c r="K62" i="585"/>
  <c r="L62" i="585" s="1"/>
  <c r="J62" i="585"/>
  <c r="F62" i="585"/>
  <c r="H62" i="585" s="1"/>
  <c r="AG61" i="585"/>
  <c r="AF61" i="585"/>
  <c r="W61" i="585"/>
  <c r="N61" i="585" s="1"/>
  <c r="O61" i="585" s="1"/>
  <c r="V61" i="585"/>
  <c r="K61" i="585"/>
  <c r="J61" i="585"/>
  <c r="P61" i="585" s="1"/>
  <c r="F61" i="585"/>
  <c r="H61" i="585" s="1"/>
  <c r="AF60" i="585"/>
  <c r="W60" i="585"/>
  <c r="N60" i="585" s="1"/>
  <c r="V60" i="585"/>
  <c r="K60" i="585"/>
  <c r="L60" i="585" s="1"/>
  <c r="J60" i="585"/>
  <c r="P60" i="585" s="1"/>
  <c r="F60" i="585"/>
  <c r="H60" i="585" s="1"/>
  <c r="W59" i="585"/>
  <c r="O59" i="585"/>
  <c r="N59" i="585"/>
  <c r="K59" i="585"/>
  <c r="J59" i="585"/>
  <c r="J69" i="585" s="1"/>
  <c r="J79" i="585" s="1"/>
  <c r="H59" i="585"/>
  <c r="F59" i="585"/>
  <c r="AE58" i="585"/>
  <c r="AD58" i="585"/>
  <c r="AA58" i="585"/>
  <c r="Z58" i="585"/>
  <c r="H18" i="584" s="1"/>
  <c r="N58" i="585"/>
  <c r="M58" i="585"/>
  <c r="W57" i="585"/>
  <c r="W56" i="585"/>
  <c r="W55" i="585"/>
  <c r="W54" i="585"/>
  <c r="AG53" i="585"/>
  <c r="AF53" i="585"/>
  <c r="W53" i="585"/>
  <c r="AG52" i="585"/>
  <c r="W52" i="585"/>
  <c r="V52" i="585"/>
  <c r="O52" i="585"/>
  <c r="N52" i="585"/>
  <c r="AF52" i="585" s="1"/>
  <c r="K52" i="585"/>
  <c r="J52" i="585"/>
  <c r="P52" i="585" s="1"/>
  <c r="F52" i="585"/>
  <c r="H52" i="585" s="1"/>
  <c r="W51" i="585"/>
  <c r="V51" i="585"/>
  <c r="O51" i="585"/>
  <c r="N51" i="585"/>
  <c r="K51" i="585"/>
  <c r="J51" i="585"/>
  <c r="P51" i="585" s="1"/>
  <c r="F51" i="585"/>
  <c r="H51" i="585" s="1"/>
  <c r="AF50" i="585"/>
  <c r="W50" i="585"/>
  <c r="V50" i="585"/>
  <c r="R50" i="585"/>
  <c r="P50" i="585"/>
  <c r="O50" i="585"/>
  <c r="Q50" i="585" s="1"/>
  <c r="N50" i="585"/>
  <c r="AG50" i="585" s="1"/>
  <c r="L50" i="585"/>
  <c r="K50" i="585"/>
  <c r="F50" i="585"/>
  <c r="H50" i="585" s="1"/>
  <c r="AG49" i="585"/>
  <c r="W49" i="585"/>
  <c r="N49" i="585" s="1"/>
  <c r="AF49" i="585" s="1"/>
  <c r="O49" i="585"/>
  <c r="O58" i="585" s="1"/>
  <c r="K49" i="585"/>
  <c r="J49" i="585"/>
  <c r="H49" i="585"/>
  <c r="F49" i="585"/>
  <c r="AE48" i="585"/>
  <c r="AD48" i="585"/>
  <c r="AA48" i="585"/>
  <c r="Z48" i="585"/>
  <c r="W48" i="585"/>
  <c r="M48" i="585"/>
  <c r="G22" i="584" s="1"/>
  <c r="L48" i="585"/>
  <c r="G13" i="584" s="1"/>
  <c r="W47" i="585"/>
  <c r="H47" i="585"/>
  <c r="W46" i="585"/>
  <c r="W45" i="585"/>
  <c r="W44" i="585"/>
  <c r="W43" i="585"/>
  <c r="W42" i="585"/>
  <c r="AG41" i="585"/>
  <c r="AF41" i="585"/>
  <c r="W41" i="585"/>
  <c r="AG40" i="585"/>
  <c r="AF40" i="585"/>
  <c r="W40" i="585"/>
  <c r="W39" i="585"/>
  <c r="V39" i="585"/>
  <c r="P39" i="585"/>
  <c r="O39" i="585"/>
  <c r="N39" i="585"/>
  <c r="AF39" i="585" s="1"/>
  <c r="L39" i="585"/>
  <c r="K39" i="585"/>
  <c r="K48" i="585" s="1"/>
  <c r="J39" i="585"/>
  <c r="J48" i="585" s="1"/>
  <c r="P48" i="585" s="1"/>
  <c r="H39" i="585"/>
  <c r="F39" i="585"/>
  <c r="W38" i="585"/>
  <c r="N38" i="585" s="1"/>
  <c r="O38" i="585" s="1"/>
  <c r="Q38" i="585" s="1"/>
  <c r="P38" i="585"/>
  <c r="L38" i="585"/>
  <c r="K38" i="585"/>
  <c r="J38" i="585"/>
  <c r="F38" i="585"/>
  <c r="H38" i="585" s="1"/>
  <c r="AE37" i="585"/>
  <c r="AD37" i="585"/>
  <c r="F20" i="584" s="1"/>
  <c r="AA37" i="585"/>
  <c r="Z37" i="585"/>
  <c r="F18" i="584" s="1"/>
  <c r="M37" i="585"/>
  <c r="W36" i="585"/>
  <c r="H36" i="585"/>
  <c r="W35" i="585"/>
  <c r="W34" i="585"/>
  <c r="W33" i="585"/>
  <c r="W32" i="585"/>
  <c r="V32" i="585"/>
  <c r="O32" i="585"/>
  <c r="N32" i="585"/>
  <c r="K32" i="585"/>
  <c r="J32" i="585"/>
  <c r="P32" i="585" s="1"/>
  <c r="F32" i="585"/>
  <c r="H32" i="585" s="1"/>
  <c r="W31" i="585"/>
  <c r="V31" i="585"/>
  <c r="O31" i="585"/>
  <c r="N31" i="585"/>
  <c r="K31" i="585"/>
  <c r="J31" i="585"/>
  <c r="P31" i="585" s="1"/>
  <c r="F31" i="585"/>
  <c r="H31" i="585" s="1"/>
  <c r="AG30" i="585"/>
  <c r="W30" i="585"/>
  <c r="V30" i="585"/>
  <c r="P30" i="585"/>
  <c r="N30" i="585"/>
  <c r="AF30" i="585" s="1"/>
  <c r="L30" i="585"/>
  <c r="K30" i="585"/>
  <c r="J30" i="585"/>
  <c r="H30" i="585"/>
  <c r="F30" i="585"/>
  <c r="AF29" i="585"/>
  <c r="W29" i="585"/>
  <c r="N29" i="585" s="1"/>
  <c r="AG29" i="585" s="1"/>
  <c r="V29" i="585"/>
  <c r="O29" i="585"/>
  <c r="L29" i="585"/>
  <c r="K29" i="585"/>
  <c r="J29" i="585"/>
  <c r="P29" i="585" s="1"/>
  <c r="F29" i="585"/>
  <c r="H29" i="585" s="1"/>
  <c r="W28" i="585"/>
  <c r="V28" i="585"/>
  <c r="N28" i="585"/>
  <c r="AF28" i="585" s="1"/>
  <c r="K28" i="585"/>
  <c r="J28" i="585"/>
  <c r="P28" i="585" s="1"/>
  <c r="F28" i="585"/>
  <c r="H28" i="585" s="1"/>
  <c r="W27" i="585"/>
  <c r="P27" i="585"/>
  <c r="N27" i="585"/>
  <c r="K27" i="585"/>
  <c r="L27" i="585" s="1"/>
  <c r="J27" i="585"/>
  <c r="H27" i="585"/>
  <c r="F27" i="585"/>
  <c r="AE26" i="585"/>
  <c r="AD26" i="585"/>
  <c r="E20" i="584" s="1"/>
  <c r="AA26" i="585"/>
  <c r="Z26" i="585"/>
  <c r="E18" i="584" s="1"/>
  <c r="M26" i="585"/>
  <c r="W25" i="585"/>
  <c r="H25" i="585"/>
  <c r="W24" i="585"/>
  <c r="W23" i="585"/>
  <c r="W21" i="585"/>
  <c r="N21" i="585" s="1"/>
  <c r="O21" i="585" s="1"/>
  <c r="V21" i="585"/>
  <c r="P21" i="585"/>
  <c r="K21" i="585"/>
  <c r="L21" i="585" s="1"/>
  <c r="J21" i="585"/>
  <c r="F21" i="585"/>
  <c r="H21" i="585" s="1"/>
  <c r="W20" i="585"/>
  <c r="N20" i="585" s="1"/>
  <c r="O20" i="585" s="1"/>
  <c r="V20" i="585"/>
  <c r="K20" i="585"/>
  <c r="J20" i="585"/>
  <c r="P20" i="585" s="1"/>
  <c r="F20" i="585"/>
  <c r="H20" i="585" s="1"/>
  <c r="AG19" i="585"/>
  <c r="W19" i="585"/>
  <c r="N19" i="585" s="1"/>
  <c r="AF19" i="585" s="1"/>
  <c r="V19" i="585"/>
  <c r="O19" i="585"/>
  <c r="K19" i="585"/>
  <c r="L19" i="585" s="1"/>
  <c r="J19" i="585"/>
  <c r="P19" i="585" s="1"/>
  <c r="F19" i="585"/>
  <c r="H19" i="585" s="1"/>
  <c r="AG18" i="585"/>
  <c r="W18" i="585"/>
  <c r="N18" i="585" s="1"/>
  <c r="V18" i="585"/>
  <c r="P18" i="585"/>
  <c r="L18" i="585"/>
  <c r="K18" i="585"/>
  <c r="J18" i="585"/>
  <c r="F18" i="585"/>
  <c r="H18" i="585" s="1"/>
  <c r="AF17" i="585"/>
  <c r="W17" i="585"/>
  <c r="V17" i="585"/>
  <c r="O17" i="585"/>
  <c r="N17" i="585"/>
  <c r="K17" i="585"/>
  <c r="J17" i="585"/>
  <c r="F17" i="585"/>
  <c r="H17" i="585" s="1"/>
  <c r="W16" i="585"/>
  <c r="P16" i="585"/>
  <c r="N16" i="585"/>
  <c r="L16" i="585"/>
  <c r="K16" i="585"/>
  <c r="J16" i="585"/>
  <c r="F16" i="585"/>
  <c r="H16" i="585" s="1"/>
  <c r="AE15" i="585"/>
  <c r="AD15" i="585"/>
  <c r="AD2" i="585" s="1"/>
  <c r="AA15" i="585"/>
  <c r="D19" i="584" s="1"/>
  <c r="Z15" i="585"/>
  <c r="N15" i="585"/>
  <c r="M15" i="585"/>
  <c r="W14" i="585"/>
  <c r="W13" i="585"/>
  <c r="W12" i="585"/>
  <c r="AG11" i="585"/>
  <c r="AF11" i="585"/>
  <c r="W11" i="585"/>
  <c r="AG10" i="585"/>
  <c r="AF10" i="585"/>
  <c r="W10" i="585"/>
  <c r="AG9" i="585"/>
  <c r="AF9" i="585"/>
  <c r="W9" i="585"/>
  <c r="AG8" i="585"/>
  <c r="AF8" i="585"/>
  <c r="W8" i="585"/>
  <c r="AG7" i="585"/>
  <c r="AF7" i="585"/>
  <c r="W7" i="585"/>
  <c r="W6" i="585"/>
  <c r="N6" i="585" s="1"/>
  <c r="V6" i="585"/>
  <c r="K6" i="585"/>
  <c r="L6" i="585" s="1"/>
  <c r="J6" i="585"/>
  <c r="P6" i="585" s="1"/>
  <c r="F6" i="585"/>
  <c r="H6" i="585" s="1"/>
  <c r="AG5" i="585"/>
  <c r="W5" i="585"/>
  <c r="N5" i="585"/>
  <c r="K5" i="585"/>
  <c r="K15" i="585" s="1"/>
  <c r="J5" i="585"/>
  <c r="F5" i="585"/>
  <c r="H5" i="585" s="1"/>
  <c r="AA2" i="585"/>
  <c r="I2" i="585"/>
  <c r="E1" i="585"/>
  <c r="G3" i="584" s="1"/>
  <c r="J22" i="584"/>
  <c r="I22" i="584"/>
  <c r="H22" i="584"/>
  <c r="E22" i="584"/>
  <c r="D22" i="584"/>
  <c r="I21" i="584"/>
  <c r="H21" i="584"/>
  <c r="G21" i="584"/>
  <c r="F21" i="584"/>
  <c r="E21" i="584"/>
  <c r="D21" i="584"/>
  <c r="J20" i="584"/>
  <c r="H20" i="584"/>
  <c r="G20" i="584"/>
  <c r="D20" i="584"/>
  <c r="O6" i="584" s="1"/>
  <c r="J19" i="584"/>
  <c r="H19" i="584"/>
  <c r="G19" i="584"/>
  <c r="F19" i="584"/>
  <c r="E19" i="584"/>
  <c r="J18" i="584"/>
  <c r="I18" i="584"/>
  <c r="G18" i="584"/>
  <c r="D18" i="584"/>
  <c r="L6" i="584" s="1"/>
  <c r="J16" i="584"/>
  <c r="I16" i="584"/>
  <c r="H16" i="584"/>
  <c r="G16" i="584"/>
  <c r="F16" i="584"/>
  <c r="E16" i="584"/>
  <c r="D16" i="584"/>
  <c r="H14" i="584"/>
  <c r="O8" i="584"/>
  <c r="N8" i="584"/>
  <c r="M8" i="584"/>
  <c r="L8" i="584"/>
  <c r="O7" i="584"/>
  <c r="N7" i="584"/>
  <c r="M7" i="584"/>
  <c r="L7" i="584"/>
  <c r="N6" i="584"/>
  <c r="AG79" i="583"/>
  <c r="AH70" i="583" s="1"/>
  <c r="AF79" i="583"/>
  <c r="AE79" i="583"/>
  <c r="AD79" i="583"/>
  <c r="AA79" i="583"/>
  <c r="J18" i="582" s="1"/>
  <c r="Z79" i="583"/>
  <c r="W78" i="583"/>
  <c r="W77" i="583"/>
  <c r="W76" i="583"/>
  <c r="W75" i="583"/>
  <c r="W74" i="583"/>
  <c r="W73" i="583"/>
  <c r="W72" i="583"/>
  <c r="W71" i="583"/>
  <c r="AG70" i="583"/>
  <c r="AF70" i="583"/>
  <c r="W70" i="583"/>
  <c r="S70" i="583"/>
  <c r="AE69" i="583"/>
  <c r="AD69" i="583"/>
  <c r="I20" i="582" s="1"/>
  <c r="AA69" i="583"/>
  <c r="I19" i="582" s="1"/>
  <c r="Z69" i="583"/>
  <c r="M69" i="583"/>
  <c r="P69" i="583" s="1"/>
  <c r="W68" i="583"/>
  <c r="H68" i="583"/>
  <c r="W67" i="583"/>
  <c r="W66" i="583"/>
  <c r="W65" i="583"/>
  <c r="W64" i="583"/>
  <c r="V64" i="583"/>
  <c r="P64" i="583"/>
  <c r="N64" i="583"/>
  <c r="O64" i="583" s="1"/>
  <c r="L64" i="583"/>
  <c r="K64" i="583"/>
  <c r="J64" i="583"/>
  <c r="H64" i="583"/>
  <c r="F64" i="583"/>
  <c r="W63" i="583"/>
  <c r="V63" i="583"/>
  <c r="N63" i="583"/>
  <c r="O63" i="583" s="1"/>
  <c r="K63" i="583"/>
  <c r="L63" i="583" s="1"/>
  <c r="J63" i="583"/>
  <c r="P63" i="583" s="1"/>
  <c r="H63" i="583"/>
  <c r="F63" i="583"/>
  <c r="W62" i="583"/>
  <c r="V62" i="583"/>
  <c r="P62" i="583"/>
  <c r="N62" i="583"/>
  <c r="AF62" i="583" s="1"/>
  <c r="K62" i="583"/>
  <c r="L62" i="583" s="1"/>
  <c r="J62" i="583"/>
  <c r="F62" i="583"/>
  <c r="H62" i="583" s="1"/>
  <c r="W61" i="583"/>
  <c r="V61" i="583"/>
  <c r="P61" i="583"/>
  <c r="N61" i="583"/>
  <c r="K61" i="583"/>
  <c r="J61" i="583"/>
  <c r="F61" i="583"/>
  <c r="H61" i="583" s="1"/>
  <c r="W60" i="583"/>
  <c r="N60" i="583" s="1"/>
  <c r="V60" i="583"/>
  <c r="P60" i="583"/>
  <c r="L60" i="583"/>
  <c r="K60" i="583"/>
  <c r="J60" i="583"/>
  <c r="H60" i="583"/>
  <c r="F60" i="583"/>
  <c r="W59" i="583"/>
  <c r="N59" i="583" s="1"/>
  <c r="P59" i="583"/>
  <c r="L59" i="583"/>
  <c r="K59" i="583"/>
  <c r="K69" i="583" s="1"/>
  <c r="J59" i="583"/>
  <c r="J69" i="583" s="1"/>
  <c r="F59" i="583"/>
  <c r="H59" i="583" s="1"/>
  <c r="AE58" i="583"/>
  <c r="AD58" i="583"/>
  <c r="AA58" i="583"/>
  <c r="H19" i="582" s="1"/>
  <c r="Z58" i="583"/>
  <c r="M58" i="583"/>
  <c r="W57" i="583"/>
  <c r="W56" i="583"/>
  <c r="W55" i="583"/>
  <c r="W54" i="583"/>
  <c r="AG53" i="583"/>
  <c r="AF53" i="583"/>
  <c r="W53" i="583"/>
  <c r="W52" i="583"/>
  <c r="N52" i="583" s="1"/>
  <c r="O52" i="583" s="1"/>
  <c r="V52" i="583"/>
  <c r="P52" i="583"/>
  <c r="K52" i="583"/>
  <c r="J52" i="583"/>
  <c r="L52" i="583" s="1"/>
  <c r="F52" i="583"/>
  <c r="H52" i="583" s="1"/>
  <c r="W51" i="583"/>
  <c r="V51" i="583"/>
  <c r="O51" i="583"/>
  <c r="N51" i="583"/>
  <c r="K51" i="583"/>
  <c r="K58" i="583" s="1"/>
  <c r="J51" i="583"/>
  <c r="P51" i="583" s="1"/>
  <c r="F51" i="583"/>
  <c r="H51" i="583" s="1"/>
  <c r="W50" i="583"/>
  <c r="N50" i="583" s="1"/>
  <c r="V50" i="583"/>
  <c r="P50" i="583"/>
  <c r="L50" i="583"/>
  <c r="K50" i="583"/>
  <c r="H50" i="583"/>
  <c r="F50" i="583"/>
  <c r="AG49" i="583"/>
  <c r="W49" i="583"/>
  <c r="P49" i="583"/>
  <c r="O49" i="583"/>
  <c r="N49" i="583"/>
  <c r="AF49" i="583" s="1"/>
  <c r="L49" i="583"/>
  <c r="K49" i="583"/>
  <c r="J49" i="583"/>
  <c r="H49" i="583"/>
  <c r="F49" i="583"/>
  <c r="AE48" i="583"/>
  <c r="AD48" i="583"/>
  <c r="AA48" i="583"/>
  <c r="Z48" i="583"/>
  <c r="G18" i="582" s="1"/>
  <c r="W48" i="583"/>
  <c r="M48" i="583"/>
  <c r="W47" i="583"/>
  <c r="H47" i="583"/>
  <c r="W46" i="583"/>
  <c r="W45" i="583"/>
  <c r="W44" i="583"/>
  <c r="W43" i="583"/>
  <c r="W42" i="583"/>
  <c r="AG41" i="583"/>
  <c r="AF41" i="583"/>
  <c r="W41" i="583"/>
  <c r="AG40" i="583"/>
  <c r="AF40" i="583"/>
  <c r="W40" i="583"/>
  <c r="W39" i="583"/>
  <c r="N39" i="583" s="1"/>
  <c r="V39" i="583"/>
  <c r="K39" i="583"/>
  <c r="J39" i="583"/>
  <c r="P39" i="583" s="1"/>
  <c r="H39" i="583"/>
  <c r="F39" i="583"/>
  <c r="W38" i="583"/>
  <c r="N38" i="583"/>
  <c r="K38" i="583"/>
  <c r="K48" i="583" s="1"/>
  <c r="J38" i="583"/>
  <c r="F38" i="583"/>
  <c r="H38" i="583" s="1"/>
  <c r="AE37" i="583"/>
  <c r="AD37" i="583"/>
  <c r="AA37" i="583"/>
  <c r="Z37" i="583"/>
  <c r="M37" i="583"/>
  <c r="W36" i="583"/>
  <c r="H36" i="583"/>
  <c r="W35" i="583"/>
  <c r="W34" i="583"/>
  <c r="W33" i="583"/>
  <c r="W32" i="583"/>
  <c r="N32" i="583" s="1"/>
  <c r="O32" i="583" s="1"/>
  <c r="V32" i="583"/>
  <c r="P32" i="583"/>
  <c r="K32" i="583"/>
  <c r="L32" i="583" s="1"/>
  <c r="J32" i="583"/>
  <c r="H32" i="583"/>
  <c r="F32" i="583"/>
  <c r="AF31" i="583"/>
  <c r="W31" i="583"/>
  <c r="V31" i="583"/>
  <c r="N31" i="583"/>
  <c r="O31" i="583" s="1"/>
  <c r="K31" i="583"/>
  <c r="J31" i="583"/>
  <c r="P31" i="583" s="1"/>
  <c r="F31" i="583"/>
  <c r="H31" i="583" s="1"/>
  <c r="W30" i="583"/>
  <c r="V30" i="583"/>
  <c r="N30" i="583"/>
  <c r="L30" i="583"/>
  <c r="K30" i="583"/>
  <c r="J30" i="583"/>
  <c r="P30" i="583" s="1"/>
  <c r="F30" i="583"/>
  <c r="H30" i="583" s="1"/>
  <c r="W29" i="583"/>
  <c r="V29" i="583"/>
  <c r="P29" i="583"/>
  <c r="O29" i="583"/>
  <c r="N29" i="583"/>
  <c r="AF29" i="583" s="1"/>
  <c r="L29" i="583"/>
  <c r="K29" i="583"/>
  <c r="J29" i="583"/>
  <c r="H29" i="583"/>
  <c r="F29" i="583"/>
  <c r="W28" i="583"/>
  <c r="N28" i="583" s="1"/>
  <c r="V28" i="583"/>
  <c r="O28" i="583"/>
  <c r="R28" i="583" s="1"/>
  <c r="J28" i="583"/>
  <c r="L28" i="583" s="1"/>
  <c r="H28" i="583"/>
  <c r="F28" i="583"/>
  <c r="W27" i="583"/>
  <c r="N27" i="583" s="1"/>
  <c r="K27" i="583"/>
  <c r="J27" i="583"/>
  <c r="P27" i="583" s="1"/>
  <c r="F27" i="583"/>
  <c r="H27" i="583" s="1"/>
  <c r="AE26" i="583"/>
  <c r="E21" i="582" s="1"/>
  <c r="AD26" i="583"/>
  <c r="AA26" i="583"/>
  <c r="Z26" i="583"/>
  <c r="M26" i="583"/>
  <c r="J26" i="583"/>
  <c r="W25" i="583"/>
  <c r="H25" i="583"/>
  <c r="W24" i="583"/>
  <c r="H24" i="583"/>
  <c r="W23" i="583"/>
  <c r="W21" i="583"/>
  <c r="W20" i="583"/>
  <c r="W19" i="583"/>
  <c r="V19" i="583"/>
  <c r="N19" i="583"/>
  <c r="K19" i="583"/>
  <c r="L19" i="583" s="1"/>
  <c r="J19" i="583"/>
  <c r="P19" i="583" s="1"/>
  <c r="F19" i="583"/>
  <c r="H19" i="583" s="1"/>
  <c r="AG18" i="583"/>
  <c r="AF18" i="583"/>
  <c r="W18" i="583"/>
  <c r="N18" i="583" s="1"/>
  <c r="O18" i="583" s="1"/>
  <c r="V18" i="583"/>
  <c r="K18" i="583"/>
  <c r="J18" i="583"/>
  <c r="L18" i="583" s="1"/>
  <c r="F18" i="583"/>
  <c r="H18" i="583" s="1"/>
  <c r="AG17" i="583"/>
  <c r="AF17" i="583"/>
  <c r="W17" i="583"/>
  <c r="V17" i="583"/>
  <c r="O17" i="583"/>
  <c r="N17" i="583"/>
  <c r="K17" i="583"/>
  <c r="L17" i="583" s="1"/>
  <c r="R17" i="583" s="1"/>
  <c r="J17" i="583"/>
  <c r="P17" i="583" s="1"/>
  <c r="F17" i="583"/>
  <c r="H17" i="583" s="1"/>
  <c r="W16" i="583"/>
  <c r="P16" i="583"/>
  <c r="O16" i="583"/>
  <c r="N16" i="583"/>
  <c r="K16" i="583"/>
  <c r="J16" i="583"/>
  <c r="F16" i="583"/>
  <c r="H16" i="583" s="1"/>
  <c r="AE15" i="583"/>
  <c r="D21" i="582" s="1"/>
  <c r="AD15" i="583"/>
  <c r="AA15" i="583"/>
  <c r="AA2" i="583" s="1"/>
  <c r="Z15" i="583"/>
  <c r="D18" i="582" s="1"/>
  <c r="M15" i="583"/>
  <c r="W14" i="583"/>
  <c r="W13" i="583"/>
  <c r="W12" i="583"/>
  <c r="AG11" i="583"/>
  <c r="AF11" i="583"/>
  <c r="W11" i="583"/>
  <c r="AG10" i="583"/>
  <c r="AF10" i="583"/>
  <c r="W10" i="583"/>
  <c r="AG9" i="583"/>
  <c r="AF9" i="583"/>
  <c r="W9" i="583"/>
  <c r="AG8" i="583"/>
  <c r="AF8" i="583"/>
  <c r="W8" i="583"/>
  <c r="W7" i="583"/>
  <c r="N7" i="583" s="1"/>
  <c r="O7" i="583" s="1"/>
  <c r="V7" i="583"/>
  <c r="K7" i="583"/>
  <c r="L7" i="583" s="1"/>
  <c r="Q7" i="583" s="1"/>
  <c r="J7" i="583"/>
  <c r="P7" i="583" s="1"/>
  <c r="H7" i="583"/>
  <c r="F7" i="583"/>
  <c r="W6" i="583"/>
  <c r="V6" i="583"/>
  <c r="N6" i="583"/>
  <c r="K6" i="583"/>
  <c r="AG6" i="583" s="1"/>
  <c r="J6" i="583"/>
  <c r="H6" i="583"/>
  <c r="F6" i="583"/>
  <c r="AG5" i="583"/>
  <c r="W5" i="583"/>
  <c r="P5" i="583"/>
  <c r="O5" i="583"/>
  <c r="N5" i="583"/>
  <c r="L5" i="583"/>
  <c r="K5" i="583"/>
  <c r="J5" i="583"/>
  <c r="H5" i="583"/>
  <c r="F5" i="583"/>
  <c r="Z2" i="583"/>
  <c r="I2" i="583"/>
  <c r="E1" i="583"/>
  <c r="J22" i="582"/>
  <c r="I22" i="582"/>
  <c r="G22" i="582"/>
  <c r="F22" i="582"/>
  <c r="E22" i="582"/>
  <c r="J21" i="582"/>
  <c r="I21" i="582"/>
  <c r="H21" i="582"/>
  <c r="G21" i="582"/>
  <c r="F21" i="582"/>
  <c r="J20" i="582"/>
  <c r="H20" i="582"/>
  <c r="G20" i="582"/>
  <c r="F20" i="582"/>
  <c r="D20" i="582"/>
  <c r="J19" i="582"/>
  <c r="G19" i="582"/>
  <c r="F19" i="582"/>
  <c r="E19" i="582"/>
  <c r="D19" i="582"/>
  <c r="I18" i="582"/>
  <c r="H18" i="582"/>
  <c r="F18" i="582"/>
  <c r="E18" i="582"/>
  <c r="L6" i="582" s="1"/>
  <c r="J16" i="582"/>
  <c r="I16" i="582"/>
  <c r="H16" i="582"/>
  <c r="G16" i="582"/>
  <c r="F16" i="582"/>
  <c r="E16" i="582"/>
  <c r="D16" i="582"/>
  <c r="J15" i="582"/>
  <c r="J14" i="582"/>
  <c r="J13" i="582"/>
  <c r="O8" i="582"/>
  <c r="N8" i="582"/>
  <c r="M8" i="582"/>
  <c r="L8" i="582"/>
  <c r="O7" i="582"/>
  <c r="N7" i="582"/>
  <c r="M7" i="582"/>
  <c r="L7" i="582"/>
  <c r="G3" i="582"/>
  <c r="AG79" i="581"/>
  <c r="AF79" i="581"/>
  <c r="AE79" i="581"/>
  <c r="AD79" i="581"/>
  <c r="AA79" i="581"/>
  <c r="Z79" i="581"/>
  <c r="W78" i="581"/>
  <c r="W77" i="581"/>
  <c r="W76" i="581"/>
  <c r="W75" i="581"/>
  <c r="W74" i="581"/>
  <c r="W73" i="581"/>
  <c r="W72" i="581"/>
  <c r="W71" i="581"/>
  <c r="AH70" i="581"/>
  <c r="AG70" i="581"/>
  <c r="AF70" i="581"/>
  <c r="W70" i="581"/>
  <c r="S70" i="581"/>
  <c r="AE69" i="581"/>
  <c r="AD69" i="581"/>
  <c r="AA69" i="581"/>
  <c r="Z69" i="581"/>
  <c r="M69" i="581"/>
  <c r="W68" i="581"/>
  <c r="H68" i="581"/>
  <c r="W67" i="581"/>
  <c r="W66" i="581"/>
  <c r="W65" i="581"/>
  <c r="W64" i="581"/>
  <c r="W63" i="581"/>
  <c r="N63" i="581" s="1"/>
  <c r="O63" i="581" s="1"/>
  <c r="V63" i="581"/>
  <c r="K63" i="581"/>
  <c r="J63" i="581"/>
  <c r="P63" i="581" s="1"/>
  <c r="F63" i="581"/>
  <c r="H63" i="581" s="1"/>
  <c r="AF62" i="581"/>
  <c r="W62" i="581"/>
  <c r="N62" i="581" s="1"/>
  <c r="V62" i="581"/>
  <c r="P62" i="581"/>
  <c r="K62" i="581"/>
  <c r="J62" i="581"/>
  <c r="L62" i="581" s="1"/>
  <c r="H62" i="581"/>
  <c r="F62" i="581"/>
  <c r="AG61" i="581"/>
  <c r="AF61" i="581"/>
  <c r="W61" i="581"/>
  <c r="V61" i="581"/>
  <c r="P61" i="581"/>
  <c r="N61" i="581"/>
  <c r="O61" i="581" s="1"/>
  <c r="K61" i="581"/>
  <c r="L61" i="581" s="1"/>
  <c r="J61" i="581"/>
  <c r="F61" i="581"/>
  <c r="H61" i="581" s="1"/>
  <c r="W60" i="581"/>
  <c r="N60" i="581" s="1"/>
  <c r="V60" i="581"/>
  <c r="K60" i="581"/>
  <c r="J60" i="581"/>
  <c r="P60" i="581" s="1"/>
  <c r="F60" i="581"/>
  <c r="H60" i="581" s="1"/>
  <c r="W59" i="581"/>
  <c r="N59" i="581" s="1"/>
  <c r="K59" i="581"/>
  <c r="J59" i="581"/>
  <c r="F59" i="581"/>
  <c r="H59" i="581" s="1"/>
  <c r="AE58" i="581"/>
  <c r="H21" i="580" s="1"/>
  <c r="AD58" i="581"/>
  <c r="AA58" i="581"/>
  <c r="Z58" i="581"/>
  <c r="H18" i="580" s="1"/>
  <c r="M58" i="581"/>
  <c r="W57" i="581"/>
  <c r="W56" i="581"/>
  <c r="W55" i="581"/>
  <c r="W54" i="581"/>
  <c r="AG53" i="581"/>
  <c r="AF53" i="581"/>
  <c r="W53" i="581"/>
  <c r="W52" i="581"/>
  <c r="V52" i="581"/>
  <c r="N52" i="581"/>
  <c r="K52" i="581"/>
  <c r="J52" i="581"/>
  <c r="P52" i="581" s="1"/>
  <c r="F52" i="581"/>
  <c r="H52" i="581" s="1"/>
  <c r="W51" i="581"/>
  <c r="N51" i="581" s="1"/>
  <c r="V51" i="581"/>
  <c r="P51" i="581"/>
  <c r="K51" i="581"/>
  <c r="L51" i="581" s="1"/>
  <c r="J51" i="581"/>
  <c r="H51" i="581"/>
  <c r="F51" i="581"/>
  <c r="W50" i="581"/>
  <c r="N50" i="581" s="1"/>
  <c r="AG50" i="581" s="1"/>
  <c r="V50" i="581"/>
  <c r="P50" i="581"/>
  <c r="O50" i="581"/>
  <c r="L50" i="581"/>
  <c r="K50" i="581"/>
  <c r="J50" i="581"/>
  <c r="F50" i="581"/>
  <c r="H50" i="581" s="1"/>
  <c r="W49" i="581"/>
  <c r="N49" i="581"/>
  <c r="K49" i="581"/>
  <c r="J49" i="581"/>
  <c r="F49" i="581"/>
  <c r="H49" i="581" s="1"/>
  <c r="AE48" i="581"/>
  <c r="AD48" i="581"/>
  <c r="AD2" i="581" s="1"/>
  <c r="AA48" i="581"/>
  <c r="Z48" i="581"/>
  <c r="W48" i="581"/>
  <c r="M48" i="581"/>
  <c r="K48" i="581"/>
  <c r="W47" i="581"/>
  <c r="H47" i="581"/>
  <c r="W46" i="581"/>
  <c r="W45" i="581"/>
  <c r="W44" i="581"/>
  <c r="W43" i="581"/>
  <c r="W42" i="581"/>
  <c r="AG41" i="581"/>
  <c r="AF41" i="581"/>
  <c r="W41" i="581"/>
  <c r="W40" i="581"/>
  <c r="V40" i="581"/>
  <c r="N40" i="581"/>
  <c r="K40" i="581"/>
  <c r="J40" i="581"/>
  <c r="P40" i="581" s="1"/>
  <c r="F40" i="581"/>
  <c r="H40" i="581" s="1"/>
  <c r="W39" i="581"/>
  <c r="V39" i="581"/>
  <c r="N39" i="581"/>
  <c r="O39" i="581" s="1"/>
  <c r="K39" i="581"/>
  <c r="J39" i="581"/>
  <c r="F39" i="581"/>
  <c r="H39" i="581" s="1"/>
  <c r="W38" i="581"/>
  <c r="P38" i="581"/>
  <c r="N38" i="581"/>
  <c r="K38" i="581"/>
  <c r="L38" i="581" s="1"/>
  <c r="J38" i="581"/>
  <c r="H38" i="581"/>
  <c r="F38" i="581"/>
  <c r="AE37" i="581"/>
  <c r="AD37" i="581"/>
  <c r="F20" i="580" s="1"/>
  <c r="AA37" i="581"/>
  <c r="Z37" i="581"/>
  <c r="F18" i="580" s="1"/>
  <c r="M37" i="581"/>
  <c r="W36" i="581"/>
  <c r="H36" i="581"/>
  <c r="W35" i="581"/>
  <c r="W34" i="581"/>
  <c r="W33" i="581"/>
  <c r="W32" i="581"/>
  <c r="W31" i="581"/>
  <c r="V31" i="581"/>
  <c r="N31" i="581"/>
  <c r="K31" i="581"/>
  <c r="J31" i="581"/>
  <c r="P31" i="581" s="1"/>
  <c r="F31" i="581"/>
  <c r="H31" i="581" s="1"/>
  <c r="W30" i="581"/>
  <c r="N30" i="581" s="1"/>
  <c r="V30" i="581"/>
  <c r="P30" i="581"/>
  <c r="O30" i="581"/>
  <c r="L30" i="581"/>
  <c r="K30" i="581"/>
  <c r="J30" i="581"/>
  <c r="F30" i="581"/>
  <c r="H30" i="581" s="1"/>
  <c r="W29" i="581"/>
  <c r="N29" i="581" s="1"/>
  <c r="AF29" i="581" s="1"/>
  <c r="V29" i="581"/>
  <c r="O29" i="581"/>
  <c r="K29" i="581"/>
  <c r="J29" i="581"/>
  <c r="L29" i="581" s="1"/>
  <c r="H29" i="581"/>
  <c r="F29" i="581"/>
  <c r="W28" i="581"/>
  <c r="N28" i="581" s="1"/>
  <c r="V28" i="581"/>
  <c r="K28" i="581"/>
  <c r="L28" i="581" s="1"/>
  <c r="J28" i="581"/>
  <c r="P28" i="581" s="1"/>
  <c r="H28" i="581"/>
  <c r="F28" i="581"/>
  <c r="W27" i="581"/>
  <c r="N27" i="581" s="1"/>
  <c r="K27" i="581"/>
  <c r="J27" i="581"/>
  <c r="H27" i="581"/>
  <c r="F27" i="581"/>
  <c r="AE26" i="581"/>
  <c r="AD26" i="581"/>
  <c r="AA26" i="581"/>
  <c r="Z26" i="581"/>
  <c r="E18" i="580" s="1"/>
  <c r="N26" i="581"/>
  <c r="M26" i="581"/>
  <c r="W25" i="581"/>
  <c r="H25" i="581"/>
  <c r="W24" i="581"/>
  <c r="H24" i="581"/>
  <c r="W23" i="581"/>
  <c r="W22" i="581"/>
  <c r="N22" i="581" s="1"/>
  <c r="O22" i="581" s="1"/>
  <c r="V22" i="581"/>
  <c r="P22" i="581"/>
  <c r="K22" i="581"/>
  <c r="L22" i="581" s="1"/>
  <c r="J22" i="581"/>
  <c r="F22" i="581"/>
  <c r="H22" i="581" s="1"/>
  <c r="W21" i="581"/>
  <c r="N21" i="581" s="1"/>
  <c r="O21" i="581" s="1"/>
  <c r="V21" i="581"/>
  <c r="K21" i="581"/>
  <c r="J21" i="581"/>
  <c r="P21" i="581" s="1"/>
  <c r="F21" i="581"/>
  <c r="H21" i="581" s="1"/>
  <c r="W20" i="581"/>
  <c r="N20" i="581" s="1"/>
  <c r="O20" i="581" s="1"/>
  <c r="V20" i="581"/>
  <c r="R20" i="581"/>
  <c r="P20" i="581"/>
  <c r="K20" i="581"/>
  <c r="L20" i="581" s="1"/>
  <c r="J20" i="581"/>
  <c r="F20" i="581"/>
  <c r="H20" i="581" s="1"/>
  <c r="W19" i="581"/>
  <c r="N19" i="581" s="1"/>
  <c r="V19" i="581"/>
  <c r="L19" i="581"/>
  <c r="K19" i="581"/>
  <c r="J19" i="581"/>
  <c r="P19" i="581" s="1"/>
  <c r="F19" i="581"/>
  <c r="H19" i="581" s="1"/>
  <c r="W18" i="581"/>
  <c r="N18" i="581" s="1"/>
  <c r="AF18" i="581" s="1"/>
  <c r="V18" i="581"/>
  <c r="K18" i="581"/>
  <c r="J18" i="581"/>
  <c r="H18" i="581"/>
  <c r="F18" i="581"/>
  <c r="AG17" i="581"/>
  <c r="W17" i="581"/>
  <c r="V17" i="581"/>
  <c r="P17" i="581"/>
  <c r="O17" i="581"/>
  <c r="N17" i="581"/>
  <c r="K17" i="581"/>
  <c r="L17" i="581" s="1"/>
  <c r="R17" i="581" s="1"/>
  <c r="J17" i="581"/>
  <c r="H17" i="581"/>
  <c r="F17" i="581"/>
  <c r="W16" i="581"/>
  <c r="N16" i="581" s="1"/>
  <c r="P16" i="581"/>
  <c r="O16" i="581"/>
  <c r="L16" i="581"/>
  <c r="K16" i="581"/>
  <c r="J16" i="581"/>
  <c r="J26" i="581" s="1"/>
  <c r="P26" i="581" s="1"/>
  <c r="F16" i="581"/>
  <c r="H16" i="581" s="1"/>
  <c r="AE15" i="581"/>
  <c r="D21" i="580" s="1"/>
  <c r="AD15" i="581"/>
  <c r="D20" i="580" s="1"/>
  <c r="AA15" i="581"/>
  <c r="D19" i="580" s="1"/>
  <c r="Z15" i="581"/>
  <c r="D18" i="580" s="1"/>
  <c r="M15" i="581"/>
  <c r="W14" i="581"/>
  <c r="W13" i="581"/>
  <c r="W12" i="581"/>
  <c r="AG11" i="581"/>
  <c r="AF11" i="581"/>
  <c r="W11" i="581"/>
  <c r="AG10" i="581"/>
  <c r="AF10" i="581"/>
  <c r="W10" i="581"/>
  <c r="AG9" i="581"/>
  <c r="AF9" i="581"/>
  <c r="W9" i="581"/>
  <c r="AG8" i="581"/>
  <c r="AF8" i="581"/>
  <c r="W8" i="581"/>
  <c r="AG7" i="581"/>
  <c r="AF7" i="581"/>
  <c r="W7" i="581"/>
  <c r="W6" i="581"/>
  <c r="V6" i="581"/>
  <c r="P6" i="581"/>
  <c r="O6" i="581"/>
  <c r="N6" i="581"/>
  <c r="K6" i="581"/>
  <c r="J6" i="581"/>
  <c r="H6" i="581"/>
  <c r="F6" i="581"/>
  <c r="W5" i="581"/>
  <c r="N5" i="581" s="1"/>
  <c r="O5" i="581"/>
  <c r="K5" i="581"/>
  <c r="L5" i="581" s="1"/>
  <c r="J5" i="581"/>
  <c r="J15" i="581" s="1"/>
  <c r="H5" i="581"/>
  <c r="F5" i="581"/>
  <c r="AA2" i="581"/>
  <c r="I2" i="581"/>
  <c r="E1" i="581"/>
  <c r="G3" i="580" s="1"/>
  <c r="J22" i="580"/>
  <c r="I22" i="580"/>
  <c r="H22" i="580"/>
  <c r="G22" i="580"/>
  <c r="F22" i="580"/>
  <c r="E22" i="580"/>
  <c r="J21" i="580"/>
  <c r="I21" i="580"/>
  <c r="F21" i="580"/>
  <c r="E21" i="580"/>
  <c r="J20" i="580"/>
  <c r="I20" i="580"/>
  <c r="H20" i="580"/>
  <c r="E20" i="580"/>
  <c r="J19" i="580"/>
  <c r="I19" i="580"/>
  <c r="H19" i="580"/>
  <c r="G19" i="580"/>
  <c r="M6" i="580" s="1"/>
  <c r="F19" i="580"/>
  <c r="E19" i="580"/>
  <c r="J18" i="580"/>
  <c r="I18" i="580"/>
  <c r="G18" i="580"/>
  <c r="J16" i="580"/>
  <c r="I16" i="580"/>
  <c r="H16" i="580"/>
  <c r="G16" i="580"/>
  <c r="F16" i="580"/>
  <c r="E16" i="580"/>
  <c r="D16" i="580"/>
  <c r="J15" i="580"/>
  <c r="J14" i="580"/>
  <c r="J13" i="580"/>
  <c r="O8" i="580"/>
  <c r="N8" i="580"/>
  <c r="M8" i="580"/>
  <c r="L8" i="580"/>
  <c r="O7" i="580"/>
  <c r="N7" i="580"/>
  <c r="M7" i="580"/>
  <c r="L7" i="580"/>
  <c r="AG79" i="579"/>
  <c r="AF79" i="579"/>
  <c r="AE79" i="579"/>
  <c r="J21" i="578" s="1"/>
  <c r="AD79" i="579"/>
  <c r="AA79" i="579"/>
  <c r="Z79" i="579"/>
  <c r="W78" i="579"/>
  <c r="W77" i="579"/>
  <c r="W76" i="579"/>
  <c r="W75" i="579"/>
  <c r="W74" i="579"/>
  <c r="W73" i="579"/>
  <c r="W72" i="579"/>
  <c r="W71" i="579"/>
  <c r="AH70" i="579"/>
  <c r="AG70" i="579"/>
  <c r="AF70" i="579"/>
  <c r="W70" i="579"/>
  <c r="S70" i="579"/>
  <c r="AE69" i="579"/>
  <c r="AD69" i="579"/>
  <c r="AA69" i="579"/>
  <c r="Z69" i="579"/>
  <c r="N69" i="579"/>
  <c r="M69" i="579"/>
  <c r="W68" i="579"/>
  <c r="H68" i="579"/>
  <c r="W67" i="579"/>
  <c r="W66" i="579"/>
  <c r="W65" i="579"/>
  <c r="W64" i="579"/>
  <c r="W63" i="579"/>
  <c r="V63" i="579"/>
  <c r="P63" i="579"/>
  <c r="N63" i="579"/>
  <c r="O63" i="579" s="1"/>
  <c r="K63" i="579"/>
  <c r="L63" i="579" s="1"/>
  <c r="F63" i="579"/>
  <c r="H63" i="579" s="1"/>
  <c r="W62" i="579"/>
  <c r="N62" i="579" s="1"/>
  <c r="AF62" i="579" s="1"/>
  <c r="V62" i="579"/>
  <c r="K62" i="579"/>
  <c r="J62" i="579"/>
  <c r="H62" i="579"/>
  <c r="F62" i="579"/>
  <c r="W61" i="579"/>
  <c r="V61" i="579"/>
  <c r="P61" i="579"/>
  <c r="O61" i="579"/>
  <c r="N61" i="579"/>
  <c r="K61" i="579"/>
  <c r="L61" i="579" s="1"/>
  <c r="R61" i="579" s="1"/>
  <c r="J61" i="579"/>
  <c r="H61" i="579"/>
  <c r="F61" i="579"/>
  <c r="W60" i="579"/>
  <c r="V60" i="579"/>
  <c r="P60" i="579"/>
  <c r="O60" i="579"/>
  <c r="N60" i="579"/>
  <c r="K60" i="579"/>
  <c r="L60" i="579" s="1"/>
  <c r="J60" i="579"/>
  <c r="F60" i="579"/>
  <c r="H60" i="579" s="1"/>
  <c r="AG59" i="579"/>
  <c r="W59" i="579"/>
  <c r="N59" i="579" s="1"/>
  <c r="AF59" i="579" s="1"/>
  <c r="Q59" i="579"/>
  <c r="O59" i="579"/>
  <c r="K59" i="579"/>
  <c r="L59" i="579" s="1"/>
  <c r="J59" i="579"/>
  <c r="J69" i="579" s="1"/>
  <c r="P69" i="579" s="1"/>
  <c r="H59" i="579"/>
  <c r="F59" i="579"/>
  <c r="AE58" i="579"/>
  <c r="H21" i="578" s="1"/>
  <c r="AD58" i="579"/>
  <c r="AA58" i="579"/>
  <c r="Z58" i="579"/>
  <c r="Z2" i="579" s="1"/>
  <c r="M58" i="579"/>
  <c r="W57" i="579"/>
  <c r="W56" i="579"/>
  <c r="W55" i="579"/>
  <c r="W54" i="579"/>
  <c r="AG53" i="579"/>
  <c r="AF53" i="579"/>
  <c r="W53" i="579"/>
  <c r="AG52" i="579"/>
  <c r="W52" i="579"/>
  <c r="N52" i="579" s="1"/>
  <c r="AF52" i="579" s="1"/>
  <c r="V52" i="579"/>
  <c r="K52" i="579"/>
  <c r="J52" i="579"/>
  <c r="H52" i="579"/>
  <c r="F52" i="579"/>
  <c r="W51" i="579"/>
  <c r="N51" i="579" s="1"/>
  <c r="V51" i="579"/>
  <c r="K51" i="579"/>
  <c r="L51" i="579" s="1"/>
  <c r="J51" i="579"/>
  <c r="P51" i="579" s="1"/>
  <c r="H51" i="579"/>
  <c r="F51" i="579"/>
  <c r="AG50" i="579"/>
  <c r="AF50" i="579"/>
  <c r="W50" i="579"/>
  <c r="V50" i="579"/>
  <c r="P50" i="579"/>
  <c r="N50" i="579"/>
  <c r="O50" i="579" s="1"/>
  <c r="K50" i="579"/>
  <c r="L50" i="579" s="1"/>
  <c r="F50" i="579"/>
  <c r="H50" i="579" s="1"/>
  <c r="W49" i="579"/>
  <c r="P49" i="579"/>
  <c r="N49" i="579"/>
  <c r="K49" i="579"/>
  <c r="J49" i="579"/>
  <c r="F49" i="579"/>
  <c r="H49" i="579" s="1"/>
  <c r="AE48" i="579"/>
  <c r="AD48" i="579"/>
  <c r="AA48" i="579"/>
  <c r="Z48" i="579"/>
  <c r="W48" i="579"/>
  <c r="P48" i="579"/>
  <c r="M48" i="579"/>
  <c r="J48" i="579"/>
  <c r="W47" i="579"/>
  <c r="H47" i="579"/>
  <c r="W46" i="579"/>
  <c r="W45" i="579"/>
  <c r="W44" i="579"/>
  <c r="W43" i="579"/>
  <c r="W42" i="579"/>
  <c r="W41" i="579"/>
  <c r="V41" i="579"/>
  <c r="P41" i="579"/>
  <c r="O41" i="579"/>
  <c r="R41" i="579" s="1"/>
  <c r="N41" i="579"/>
  <c r="AF41" i="579" s="1"/>
  <c r="K41" i="579"/>
  <c r="L41" i="579" s="1"/>
  <c r="Q41" i="579" s="1"/>
  <c r="J41" i="579"/>
  <c r="H41" i="579"/>
  <c r="F41" i="579"/>
  <c r="W40" i="579"/>
  <c r="N40" i="579" s="1"/>
  <c r="V40" i="579"/>
  <c r="P40" i="579"/>
  <c r="K40" i="579"/>
  <c r="L40" i="579" s="1"/>
  <c r="J40" i="579"/>
  <c r="F40" i="579"/>
  <c r="H40" i="579" s="1"/>
  <c r="W39" i="579"/>
  <c r="V39" i="579"/>
  <c r="Q39" i="579"/>
  <c r="P39" i="579"/>
  <c r="N39" i="579"/>
  <c r="O39" i="579" s="1"/>
  <c r="R39" i="579" s="1"/>
  <c r="K39" i="579"/>
  <c r="J39" i="579"/>
  <c r="L39" i="579" s="1"/>
  <c r="H39" i="579"/>
  <c r="F39" i="579"/>
  <c r="W38" i="579"/>
  <c r="N38" i="579" s="1"/>
  <c r="L38" i="579"/>
  <c r="L48" i="579" s="1"/>
  <c r="G13" i="578" s="1"/>
  <c r="K38" i="579"/>
  <c r="J38" i="579"/>
  <c r="P38" i="579" s="1"/>
  <c r="H38" i="579"/>
  <c r="F38" i="579"/>
  <c r="AE37" i="579"/>
  <c r="AD37" i="579"/>
  <c r="AA37" i="579"/>
  <c r="Z37" i="579"/>
  <c r="N37" i="579"/>
  <c r="M37" i="579"/>
  <c r="W36" i="579"/>
  <c r="H36" i="579"/>
  <c r="W35" i="579"/>
  <c r="W34" i="579"/>
  <c r="W33" i="579"/>
  <c r="W32" i="579"/>
  <c r="N32" i="579" s="1"/>
  <c r="O32" i="579" s="1"/>
  <c r="Q32" i="579" s="1"/>
  <c r="V32" i="579"/>
  <c r="R32" i="579"/>
  <c r="P32" i="579"/>
  <c r="L32" i="579"/>
  <c r="J32" i="579"/>
  <c r="F32" i="579"/>
  <c r="H32" i="579" s="1"/>
  <c r="W31" i="579"/>
  <c r="V31" i="579"/>
  <c r="P31" i="579"/>
  <c r="N31" i="579"/>
  <c r="L31" i="579"/>
  <c r="J31" i="579"/>
  <c r="F31" i="579"/>
  <c r="H31" i="579" s="1"/>
  <c r="W30" i="579"/>
  <c r="N30" i="579" s="1"/>
  <c r="AG30" i="579" s="1"/>
  <c r="V30" i="579"/>
  <c r="K30" i="579"/>
  <c r="J30" i="579"/>
  <c r="P30" i="579" s="1"/>
  <c r="H30" i="579"/>
  <c r="F30" i="579"/>
  <c r="AG29" i="579"/>
  <c r="W29" i="579"/>
  <c r="N29" i="579" s="1"/>
  <c r="V29" i="579"/>
  <c r="J29" i="579"/>
  <c r="P29" i="579" s="1"/>
  <c r="H29" i="579"/>
  <c r="F29" i="579"/>
  <c r="W28" i="579"/>
  <c r="N28" i="579" s="1"/>
  <c r="V28" i="579"/>
  <c r="J28" i="579"/>
  <c r="P28" i="579" s="1"/>
  <c r="H28" i="579"/>
  <c r="F28" i="579"/>
  <c r="W27" i="579"/>
  <c r="P27" i="579"/>
  <c r="O27" i="579"/>
  <c r="N27" i="579"/>
  <c r="K27" i="579"/>
  <c r="K37" i="579" s="1"/>
  <c r="J27" i="579"/>
  <c r="H27" i="579"/>
  <c r="F27" i="579"/>
  <c r="AE26" i="579"/>
  <c r="AD26" i="579"/>
  <c r="AA26" i="579"/>
  <c r="Z26" i="579"/>
  <c r="E18" i="578" s="1"/>
  <c r="M26" i="579"/>
  <c r="W25" i="579"/>
  <c r="H25" i="579"/>
  <c r="W24" i="579"/>
  <c r="H24" i="579"/>
  <c r="W23" i="579"/>
  <c r="W21" i="579"/>
  <c r="W20" i="579"/>
  <c r="N20" i="579" s="1"/>
  <c r="O20" i="579" s="1"/>
  <c r="V20" i="579"/>
  <c r="K20" i="579"/>
  <c r="L20" i="579" s="1"/>
  <c r="J20" i="579"/>
  <c r="P20" i="579" s="1"/>
  <c r="F20" i="579"/>
  <c r="H20" i="579" s="1"/>
  <c r="AG19" i="579"/>
  <c r="AF19" i="579"/>
  <c r="W19" i="579"/>
  <c r="V19" i="579"/>
  <c r="O19" i="579"/>
  <c r="N19" i="579"/>
  <c r="L19" i="579"/>
  <c r="K19" i="579"/>
  <c r="J19" i="579"/>
  <c r="P19" i="579" s="1"/>
  <c r="H19" i="579"/>
  <c r="F19" i="579"/>
  <c r="AF18" i="579"/>
  <c r="W18" i="579"/>
  <c r="V18" i="579"/>
  <c r="P18" i="579"/>
  <c r="O18" i="579"/>
  <c r="N18" i="579"/>
  <c r="AG18" i="579" s="1"/>
  <c r="L18" i="579"/>
  <c r="K18" i="579"/>
  <c r="J18" i="579"/>
  <c r="F18" i="579"/>
  <c r="H18" i="579" s="1"/>
  <c r="W17" i="579"/>
  <c r="V17" i="579"/>
  <c r="P17" i="579"/>
  <c r="O17" i="579"/>
  <c r="N17" i="579"/>
  <c r="L17" i="579"/>
  <c r="K17" i="579"/>
  <c r="J17" i="579"/>
  <c r="H17" i="579"/>
  <c r="F17" i="579"/>
  <c r="W16" i="579"/>
  <c r="N16" i="579" s="1"/>
  <c r="P16" i="579"/>
  <c r="K16" i="579"/>
  <c r="K26" i="579" s="1"/>
  <c r="J16" i="579"/>
  <c r="F16" i="579"/>
  <c r="H16" i="579" s="1"/>
  <c r="AE15" i="579"/>
  <c r="AD15" i="579"/>
  <c r="AD2" i="579" s="1"/>
  <c r="AA15" i="579"/>
  <c r="Z15" i="579"/>
  <c r="D18" i="578" s="1"/>
  <c r="M15" i="579"/>
  <c r="K15" i="579"/>
  <c r="J15" i="579"/>
  <c r="W14" i="579"/>
  <c r="W13" i="579"/>
  <c r="W12" i="579"/>
  <c r="AG11" i="579"/>
  <c r="AF11" i="579"/>
  <c r="W11" i="579"/>
  <c r="AG10" i="579"/>
  <c r="AF10" i="579"/>
  <c r="W10" i="579"/>
  <c r="AG9" i="579"/>
  <c r="AF9" i="579"/>
  <c r="W9" i="579"/>
  <c r="W8" i="579"/>
  <c r="V8" i="579"/>
  <c r="N8" i="579"/>
  <c r="L8" i="579"/>
  <c r="K8" i="579"/>
  <c r="J8" i="579"/>
  <c r="P8" i="579" s="1"/>
  <c r="F8" i="579"/>
  <c r="H8" i="579" s="1"/>
  <c r="W7" i="579"/>
  <c r="V7" i="579"/>
  <c r="N7" i="579"/>
  <c r="L7" i="579"/>
  <c r="K7" i="579"/>
  <c r="J7" i="579"/>
  <c r="P7" i="579" s="1"/>
  <c r="F7" i="579"/>
  <c r="H7" i="579" s="1"/>
  <c r="W6" i="579"/>
  <c r="V6" i="579"/>
  <c r="P6" i="579"/>
  <c r="O6" i="579"/>
  <c r="N6" i="579"/>
  <c r="L6" i="579"/>
  <c r="K6" i="579"/>
  <c r="J6" i="579"/>
  <c r="F6" i="579"/>
  <c r="H6" i="579" s="1"/>
  <c r="W5" i="579"/>
  <c r="N5" i="579" s="1"/>
  <c r="P5" i="579"/>
  <c r="K5" i="579"/>
  <c r="L5" i="579" s="1"/>
  <c r="J5" i="579"/>
  <c r="F5" i="579"/>
  <c r="H5" i="579" s="1"/>
  <c r="AA2" i="579"/>
  <c r="I2" i="579"/>
  <c r="E1" i="579"/>
  <c r="J22" i="578"/>
  <c r="I22" i="578"/>
  <c r="H22" i="578"/>
  <c r="G22" i="578"/>
  <c r="F22" i="578"/>
  <c r="E22" i="578"/>
  <c r="I21" i="578"/>
  <c r="G21" i="578"/>
  <c r="F21" i="578"/>
  <c r="E21" i="578"/>
  <c r="J20" i="578"/>
  <c r="I20" i="578"/>
  <c r="H20" i="578"/>
  <c r="G20" i="578"/>
  <c r="F20" i="578"/>
  <c r="E20" i="578"/>
  <c r="J19" i="578"/>
  <c r="I19" i="578"/>
  <c r="H19" i="578"/>
  <c r="G19" i="578"/>
  <c r="F19" i="578"/>
  <c r="E19" i="578"/>
  <c r="D19" i="578"/>
  <c r="M6" i="578" s="1"/>
  <c r="J18" i="578"/>
  <c r="I18" i="578"/>
  <c r="H18" i="578"/>
  <c r="G18" i="578"/>
  <c r="F18" i="578"/>
  <c r="J16" i="578"/>
  <c r="I16" i="578"/>
  <c r="H16" i="578"/>
  <c r="G16" i="578"/>
  <c r="F16" i="578"/>
  <c r="E16" i="578"/>
  <c r="D16" i="578"/>
  <c r="J15" i="578"/>
  <c r="J14" i="578"/>
  <c r="J13" i="578"/>
  <c r="O8" i="578"/>
  <c r="N8" i="578"/>
  <c r="M8" i="578"/>
  <c r="L8" i="578"/>
  <c r="O7" i="578"/>
  <c r="N7" i="578"/>
  <c r="M7" i="578"/>
  <c r="L7" i="578"/>
  <c r="G3" i="578"/>
  <c r="AG79" i="577"/>
  <c r="AH70" i="577" s="1"/>
  <c r="AF79" i="577"/>
  <c r="AE79" i="577"/>
  <c r="AD79" i="577"/>
  <c r="J20" i="576" s="1"/>
  <c r="AA79" i="577"/>
  <c r="Z79" i="577"/>
  <c r="W78" i="577"/>
  <c r="W77" i="577"/>
  <c r="W76" i="577"/>
  <c r="W75" i="577"/>
  <c r="W74" i="577"/>
  <c r="W73" i="577"/>
  <c r="W72" i="577"/>
  <c r="W71" i="577"/>
  <c r="AG70" i="577"/>
  <c r="AF70" i="577"/>
  <c r="W70" i="577"/>
  <c r="S70" i="577"/>
  <c r="J15" i="576" s="1"/>
  <c r="AE69" i="577"/>
  <c r="AD69" i="577"/>
  <c r="AA69" i="577"/>
  <c r="Z69" i="577"/>
  <c r="M69" i="577"/>
  <c r="W68" i="577"/>
  <c r="H68" i="577"/>
  <c r="W67" i="577"/>
  <c r="W66" i="577"/>
  <c r="W65" i="577"/>
  <c r="W64" i="577"/>
  <c r="W63" i="577"/>
  <c r="W62" i="577"/>
  <c r="V62" i="577"/>
  <c r="O62" i="577"/>
  <c r="N62" i="577"/>
  <c r="K62" i="577"/>
  <c r="J62" i="577"/>
  <c r="P62" i="577" s="1"/>
  <c r="F62" i="577"/>
  <c r="H62" i="577" s="1"/>
  <c r="W61" i="577"/>
  <c r="V61" i="577"/>
  <c r="N61" i="577"/>
  <c r="K61" i="577"/>
  <c r="J61" i="577"/>
  <c r="F61" i="577"/>
  <c r="H61" i="577" s="1"/>
  <c r="W60" i="577"/>
  <c r="N60" i="577" s="1"/>
  <c r="V60" i="577"/>
  <c r="P60" i="577"/>
  <c r="L60" i="577"/>
  <c r="K60" i="577"/>
  <c r="J60" i="577"/>
  <c r="H60" i="577"/>
  <c r="F60" i="577"/>
  <c r="AF59" i="577"/>
  <c r="W59" i="577"/>
  <c r="N59" i="577" s="1"/>
  <c r="K59" i="577"/>
  <c r="J59" i="577"/>
  <c r="P59" i="577" s="1"/>
  <c r="H59" i="577"/>
  <c r="F59" i="577"/>
  <c r="AE58" i="577"/>
  <c r="AD58" i="577"/>
  <c r="AA58" i="577"/>
  <c r="Z58" i="577"/>
  <c r="M58" i="577"/>
  <c r="K58" i="577"/>
  <c r="W57" i="577"/>
  <c r="W56" i="577"/>
  <c r="W55" i="577"/>
  <c r="W54" i="577"/>
  <c r="W53" i="577"/>
  <c r="V53" i="577"/>
  <c r="P53" i="577"/>
  <c r="N53" i="577"/>
  <c r="AG53" i="577" s="1"/>
  <c r="L53" i="577"/>
  <c r="K53" i="577"/>
  <c r="H53" i="577"/>
  <c r="F53" i="577"/>
  <c r="W52" i="577"/>
  <c r="N52" i="577" s="1"/>
  <c r="V52" i="577"/>
  <c r="K52" i="577"/>
  <c r="J52" i="577"/>
  <c r="P52" i="577" s="1"/>
  <c r="F52" i="577"/>
  <c r="H52" i="577" s="1"/>
  <c r="W51" i="577"/>
  <c r="N51" i="577" s="1"/>
  <c r="V51" i="577"/>
  <c r="P51" i="577"/>
  <c r="K51" i="577"/>
  <c r="L51" i="577" s="1"/>
  <c r="J51" i="577"/>
  <c r="H51" i="577"/>
  <c r="F51" i="577"/>
  <c r="W50" i="577"/>
  <c r="V50" i="577"/>
  <c r="P50" i="577"/>
  <c r="N50" i="577"/>
  <c r="K50" i="577"/>
  <c r="L50" i="577" s="1"/>
  <c r="H50" i="577"/>
  <c r="F50" i="577"/>
  <c r="AG49" i="577"/>
  <c r="AF49" i="577"/>
  <c r="W49" i="577"/>
  <c r="P49" i="577"/>
  <c r="N49" i="577"/>
  <c r="O49" i="577" s="1"/>
  <c r="L49" i="577"/>
  <c r="K49" i="577"/>
  <c r="J49" i="577"/>
  <c r="H49" i="577"/>
  <c r="F49" i="577"/>
  <c r="AE48" i="577"/>
  <c r="AD48" i="577"/>
  <c r="AA48" i="577"/>
  <c r="G19" i="576" s="1"/>
  <c r="Z48" i="577"/>
  <c r="W48" i="577"/>
  <c r="M48" i="577"/>
  <c r="W47" i="577"/>
  <c r="H47" i="577"/>
  <c r="W46" i="577"/>
  <c r="W45" i="577"/>
  <c r="W44" i="577"/>
  <c r="W43" i="577"/>
  <c r="W42" i="577"/>
  <c r="AG41" i="577"/>
  <c r="W41" i="577"/>
  <c r="N41" i="577" s="1"/>
  <c r="V41" i="577"/>
  <c r="K41" i="577"/>
  <c r="J41" i="577"/>
  <c r="H41" i="577"/>
  <c r="F41" i="577"/>
  <c r="W40" i="577"/>
  <c r="V40" i="577"/>
  <c r="P40" i="577"/>
  <c r="O40" i="577"/>
  <c r="N40" i="577"/>
  <c r="K40" i="577"/>
  <c r="AG40" i="577" s="1"/>
  <c r="F40" i="577"/>
  <c r="H40" i="577" s="1"/>
  <c r="W39" i="577"/>
  <c r="V39" i="577"/>
  <c r="P39" i="577"/>
  <c r="N39" i="577"/>
  <c r="L39" i="577"/>
  <c r="K39" i="577"/>
  <c r="H39" i="577"/>
  <c r="F39" i="577"/>
  <c r="AG38" i="577"/>
  <c r="W38" i="577"/>
  <c r="N38" i="577" s="1"/>
  <c r="AF38" i="577" s="1"/>
  <c r="P38" i="577"/>
  <c r="O38" i="577"/>
  <c r="L38" i="577"/>
  <c r="K38" i="577"/>
  <c r="K48" i="577" s="1"/>
  <c r="J38" i="577"/>
  <c r="J48" i="577" s="1"/>
  <c r="P48" i="577" s="1"/>
  <c r="H38" i="577"/>
  <c r="F38" i="577"/>
  <c r="AE37" i="577"/>
  <c r="AD37" i="577"/>
  <c r="AA37" i="577"/>
  <c r="AA2" i="577" s="1"/>
  <c r="Z37" i="577"/>
  <c r="M37" i="577"/>
  <c r="W36" i="577"/>
  <c r="H36" i="577"/>
  <c r="W35" i="577"/>
  <c r="W34" i="577"/>
  <c r="W33" i="577"/>
  <c r="N33" i="577" s="1"/>
  <c r="O33" i="577" s="1"/>
  <c r="V33" i="577"/>
  <c r="K33" i="577"/>
  <c r="L33" i="577" s="1"/>
  <c r="J33" i="577"/>
  <c r="P33" i="577" s="1"/>
  <c r="H33" i="577"/>
  <c r="F33" i="577"/>
  <c r="W32" i="577"/>
  <c r="N32" i="577" s="1"/>
  <c r="O32" i="577" s="1"/>
  <c r="V32" i="577"/>
  <c r="P32" i="577"/>
  <c r="J32" i="577"/>
  <c r="L32" i="577" s="1"/>
  <c r="H32" i="577"/>
  <c r="F32" i="577"/>
  <c r="W31" i="577"/>
  <c r="V31" i="577"/>
  <c r="O31" i="577"/>
  <c r="N31" i="577"/>
  <c r="K31" i="577"/>
  <c r="J31" i="577"/>
  <c r="P31" i="577" s="1"/>
  <c r="F31" i="577"/>
  <c r="H31" i="577" s="1"/>
  <c r="W30" i="577"/>
  <c r="V30" i="577"/>
  <c r="N30" i="577"/>
  <c r="L30" i="577"/>
  <c r="K30" i="577"/>
  <c r="J30" i="577"/>
  <c r="P30" i="577" s="1"/>
  <c r="F30" i="577"/>
  <c r="H30" i="577" s="1"/>
  <c r="AG29" i="577"/>
  <c r="W29" i="577"/>
  <c r="N29" i="577" s="1"/>
  <c r="AF29" i="577" s="1"/>
  <c r="V29" i="577"/>
  <c r="P29" i="577"/>
  <c r="O29" i="577"/>
  <c r="L29" i="577"/>
  <c r="J29" i="577"/>
  <c r="F29" i="577"/>
  <c r="H29" i="577" s="1"/>
  <c r="W28" i="577"/>
  <c r="V28" i="577"/>
  <c r="N28" i="577"/>
  <c r="AG28" i="577" s="1"/>
  <c r="K28" i="577"/>
  <c r="J28" i="577"/>
  <c r="P28" i="577" s="1"/>
  <c r="F28" i="577"/>
  <c r="H28" i="577" s="1"/>
  <c r="W27" i="577"/>
  <c r="N27" i="577"/>
  <c r="J27" i="577"/>
  <c r="P27" i="577" s="1"/>
  <c r="H27" i="577"/>
  <c r="F27" i="577"/>
  <c r="AE26" i="577"/>
  <c r="E21" i="576" s="1"/>
  <c r="AD26" i="577"/>
  <c r="AA26" i="577"/>
  <c r="E19" i="576" s="1"/>
  <c r="Z26" i="577"/>
  <c r="M26" i="577"/>
  <c r="K26" i="577"/>
  <c r="J26" i="577"/>
  <c r="P26" i="577" s="1"/>
  <c r="W25" i="577"/>
  <c r="H25" i="577"/>
  <c r="W24" i="577"/>
  <c r="H24" i="577"/>
  <c r="W23" i="577"/>
  <c r="W21" i="577"/>
  <c r="V21" i="577"/>
  <c r="P21" i="577"/>
  <c r="O21" i="577"/>
  <c r="N21" i="577"/>
  <c r="K21" i="577"/>
  <c r="L21" i="577" s="1"/>
  <c r="J21" i="577"/>
  <c r="F21" i="577"/>
  <c r="H21" i="577" s="1"/>
  <c r="W20" i="577"/>
  <c r="V20" i="577"/>
  <c r="P20" i="577"/>
  <c r="O20" i="577"/>
  <c r="N20" i="577"/>
  <c r="K20" i="577"/>
  <c r="L20" i="577" s="1"/>
  <c r="J20" i="577"/>
  <c r="F20" i="577"/>
  <c r="H20" i="577" s="1"/>
  <c r="W19" i="577"/>
  <c r="V19" i="577"/>
  <c r="P19" i="577"/>
  <c r="N19" i="577"/>
  <c r="AG19" i="577" s="1"/>
  <c r="K19" i="577"/>
  <c r="J19" i="577"/>
  <c r="F19" i="577"/>
  <c r="H19" i="577" s="1"/>
  <c r="W18" i="577"/>
  <c r="N18" i="577" s="1"/>
  <c r="V18" i="577"/>
  <c r="P18" i="577"/>
  <c r="L18" i="577"/>
  <c r="K18" i="577"/>
  <c r="J18" i="577"/>
  <c r="H18" i="577"/>
  <c r="F18" i="577"/>
  <c r="W17" i="577"/>
  <c r="N17" i="577" s="1"/>
  <c r="AG17" i="577" s="1"/>
  <c r="V17" i="577"/>
  <c r="P17" i="577"/>
  <c r="L17" i="577"/>
  <c r="K17" i="577"/>
  <c r="J17" i="577"/>
  <c r="F17" i="577"/>
  <c r="H17" i="577" s="1"/>
  <c r="W16" i="577"/>
  <c r="O16" i="577"/>
  <c r="N16" i="577"/>
  <c r="N26" i="577" s="1"/>
  <c r="K16" i="577"/>
  <c r="J16" i="577"/>
  <c r="P16" i="577" s="1"/>
  <c r="F16" i="577"/>
  <c r="H16" i="577" s="1"/>
  <c r="AE15" i="577"/>
  <c r="AE2" i="577" s="1"/>
  <c r="AD15" i="577"/>
  <c r="AD2" i="577" s="1"/>
  <c r="AA15" i="577"/>
  <c r="D19" i="576" s="1"/>
  <c r="Z15" i="577"/>
  <c r="M15" i="577"/>
  <c r="W14" i="577"/>
  <c r="W13" i="577"/>
  <c r="W12" i="577"/>
  <c r="AG11" i="577"/>
  <c r="AF11" i="577"/>
  <c r="W11" i="577"/>
  <c r="AG10" i="577"/>
  <c r="AF10" i="577"/>
  <c r="W10" i="577"/>
  <c r="AG9" i="577"/>
  <c r="AF9" i="577"/>
  <c r="W9" i="577"/>
  <c r="W8" i="577"/>
  <c r="V8" i="577"/>
  <c r="N8" i="577"/>
  <c r="K8" i="577"/>
  <c r="L8" i="577" s="1"/>
  <c r="J8" i="577"/>
  <c r="P8" i="577" s="1"/>
  <c r="F8" i="577"/>
  <c r="H8" i="577" s="1"/>
  <c r="W7" i="577"/>
  <c r="V7" i="577"/>
  <c r="P7" i="577"/>
  <c r="N7" i="577"/>
  <c r="O7" i="577" s="1"/>
  <c r="Q7" i="577" s="1"/>
  <c r="L7" i="577"/>
  <c r="K7" i="577"/>
  <c r="J7" i="577"/>
  <c r="H7" i="577"/>
  <c r="F7" i="577"/>
  <c r="W6" i="577"/>
  <c r="N6" i="577" s="1"/>
  <c r="AG6" i="577" s="1"/>
  <c r="V6" i="577"/>
  <c r="L6" i="577"/>
  <c r="K6" i="577"/>
  <c r="J6" i="577"/>
  <c r="P6" i="577" s="1"/>
  <c r="F6" i="577"/>
  <c r="H6" i="577" s="1"/>
  <c r="W5" i="577"/>
  <c r="N5" i="577"/>
  <c r="O5" i="577" s="1"/>
  <c r="K5" i="577"/>
  <c r="J5" i="577"/>
  <c r="F5" i="577"/>
  <c r="H5" i="577" s="1"/>
  <c r="I2" i="577"/>
  <c r="E1" i="577"/>
  <c r="J22" i="576"/>
  <c r="H22" i="576"/>
  <c r="G22" i="576"/>
  <c r="F22" i="576"/>
  <c r="E22" i="576"/>
  <c r="J21" i="576"/>
  <c r="I21" i="576"/>
  <c r="H21" i="576"/>
  <c r="G21" i="576"/>
  <c r="F21" i="576"/>
  <c r="I20" i="576"/>
  <c r="H20" i="576"/>
  <c r="G20" i="576"/>
  <c r="F20" i="576"/>
  <c r="E20" i="576"/>
  <c r="J19" i="576"/>
  <c r="I19" i="576"/>
  <c r="H19" i="576"/>
  <c r="J18" i="576"/>
  <c r="I18" i="576"/>
  <c r="H18" i="576"/>
  <c r="G18" i="576"/>
  <c r="E18" i="576"/>
  <c r="D18" i="576"/>
  <c r="J16" i="576"/>
  <c r="I16" i="576"/>
  <c r="H16" i="576"/>
  <c r="G16" i="576"/>
  <c r="F16" i="576"/>
  <c r="E16" i="576"/>
  <c r="D16" i="576"/>
  <c r="J14" i="576"/>
  <c r="J13" i="576"/>
  <c r="O8" i="576"/>
  <c r="N8" i="576"/>
  <c r="M8" i="576"/>
  <c r="L8" i="576"/>
  <c r="O7" i="576"/>
  <c r="N7" i="576"/>
  <c r="M7" i="576"/>
  <c r="L7" i="576"/>
  <c r="G3" i="576"/>
  <c r="AG79" i="575"/>
  <c r="AF79" i="575"/>
  <c r="AE79" i="575"/>
  <c r="J21" i="574" s="1"/>
  <c r="AD79" i="575"/>
  <c r="AA79" i="575"/>
  <c r="Z79" i="575"/>
  <c r="W78" i="575"/>
  <c r="W77" i="575"/>
  <c r="W76" i="575"/>
  <c r="W75" i="575"/>
  <c r="W74" i="575"/>
  <c r="W73" i="575"/>
  <c r="W72" i="575"/>
  <c r="W71" i="575"/>
  <c r="AH70" i="575"/>
  <c r="AG70" i="575"/>
  <c r="AF70" i="575"/>
  <c r="W70" i="575"/>
  <c r="S70" i="575"/>
  <c r="AE69" i="575"/>
  <c r="AD69" i="575"/>
  <c r="AA69" i="575"/>
  <c r="I19" i="574" s="1"/>
  <c r="Z69" i="575"/>
  <c r="M69" i="575"/>
  <c r="J69" i="575"/>
  <c r="P69" i="575" s="1"/>
  <c r="W68" i="575"/>
  <c r="H68" i="575"/>
  <c r="W67" i="575"/>
  <c r="W66" i="575"/>
  <c r="W65" i="575"/>
  <c r="W64" i="575"/>
  <c r="W63" i="575"/>
  <c r="N63" i="575" s="1"/>
  <c r="O63" i="575" s="1"/>
  <c r="V63" i="575"/>
  <c r="P63" i="575"/>
  <c r="L63" i="575"/>
  <c r="K63" i="575"/>
  <c r="J63" i="575"/>
  <c r="H63" i="575"/>
  <c r="F63" i="575"/>
  <c r="W62" i="575"/>
  <c r="N62" i="575" s="1"/>
  <c r="V62" i="575"/>
  <c r="O62" i="575"/>
  <c r="K62" i="575"/>
  <c r="L62" i="575" s="1"/>
  <c r="J62" i="575"/>
  <c r="P62" i="575" s="1"/>
  <c r="H62" i="575"/>
  <c r="F62" i="575"/>
  <c r="W61" i="575"/>
  <c r="V61" i="575"/>
  <c r="N61" i="575"/>
  <c r="K61" i="575"/>
  <c r="L61" i="575" s="1"/>
  <c r="J61" i="575"/>
  <c r="P61" i="575" s="1"/>
  <c r="F61" i="575"/>
  <c r="H61" i="575" s="1"/>
  <c r="AG60" i="575"/>
  <c r="AF60" i="575"/>
  <c r="W60" i="575"/>
  <c r="V60" i="575"/>
  <c r="P60" i="575"/>
  <c r="N60" i="575"/>
  <c r="O60" i="575" s="1"/>
  <c r="L60" i="575"/>
  <c r="K60" i="575"/>
  <c r="J60" i="575"/>
  <c r="H60" i="575"/>
  <c r="F60" i="575"/>
  <c r="AG59" i="575"/>
  <c r="W59" i="575"/>
  <c r="P59" i="575"/>
  <c r="N59" i="575"/>
  <c r="L59" i="575"/>
  <c r="K59" i="575"/>
  <c r="K69" i="575" s="1"/>
  <c r="J59" i="575"/>
  <c r="H59" i="575"/>
  <c r="F59" i="575"/>
  <c r="AE58" i="575"/>
  <c r="AD58" i="575"/>
  <c r="AA58" i="575"/>
  <c r="Z58" i="575"/>
  <c r="M58" i="575"/>
  <c r="W57" i="575"/>
  <c r="W56" i="575"/>
  <c r="W55" i="575"/>
  <c r="W54" i="575"/>
  <c r="AG53" i="575"/>
  <c r="AF53" i="575"/>
  <c r="W53" i="575"/>
  <c r="V53" i="575"/>
  <c r="P53" i="575"/>
  <c r="N53" i="575"/>
  <c r="O53" i="575" s="1"/>
  <c r="K53" i="575"/>
  <c r="L53" i="575" s="1"/>
  <c r="F53" i="575"/>
  <c r="H53" i="575" s="1"/>
  <c r="W52" i="575"/>
  <c r="N52" i="575" s="1"/>
  <c r="V52" i="575"/>
  <c r="K52" i="575"/>
  <c r="J52" i="575"/>
  <c r="P52" i="575" s="1"/>
  <c r="H52" i="575"/>
  <c r="F52" i="575"/>
  <c r="W51" i="575"/>
  <c r="V51" i="575"/>
  <c r="P51" i="575"/>
  <c r="N51" i="575"/>
  <c r="K51" i="575"/>
  <c r="AG51" i="575" s="1"/>
  <c r="J51" i="575"/>
  <c r="H51" i="575"/>
  <c r="F51" i="575"/>
  <c r="AF50" i="575"/>
  <c r="W50" i="575"/>
  <c r="V50" i="575"/>
  <c r="P50" i="575"/>
  <c r="O50" i="575"/>
  <c r="N50" i="575"/>
  <c r="AG50" i="575" s="1"/>
  <c r="K50" i="575"/>
  <c r="L50" i="575" s="1"/>
  <c r="F50" i="575"/>
  <c r="H50" i="575" s="1"/>
  <c r="W49" i="575"/>
  <c r="P49" i="575"/>
  <c r="N49" i="575"/>
  <c r="K49" i="575"/>
  <c r="L49" i="575" s="1"/>
  <c r="J49" i="575"/>
  <c r="F49" i="575"/>
  <c r="H49" i="575" s="1"/>
  <c r="AE48" i="575"/>
  <c r="AD48" i="575"/>
  <c r="AA48" i="575"/>
  <c r="G19" i="574" s="1"/>
  <c r="Z48" i="575"/>
  <c r="W48" i="575"/>
  <c r="M48" i="575"/>
  <c r="J48" i="575"/>
  <c r="P48" i="575" s="1"/>
  <c r="W47" i="575"/>
  <c r="H47" i="575"/>
  <c r="W46" i="575"/>
  <c r="W45" i="575"/>
  <c r="W44" i="575"/>
  <c r="W43" i="575"/>
  <c r="V43" i="575"/>
  <c r="P43" i="575"/>
  <c r="N43" i="575"/>
  <c r="O43" i="575" s="1"/>
  <c r="L43" i="575"/>
  <c r="K43" i="575"/>
  <c r="H43" i="575"/>
  <c r="F43" i="575"/>
  <c r="W42" i="575"/>
  <c r="N42" i="575" s="1"/>
  <c r="O42" i="575" s="1"/>
  <c r="V42" i="575"/>
  <c r="L42" i="575"/>
  <c r="K42" i="575"/>
  <c r="J42" i="575"/>
  <c r="P42" i="575" s="1"/>
  <c r="H42" i="575"/>
  <c r="F42" i="575"/>
  <c r="W41" i="575"/>
  <c r="V41" i="575"/>
  <c r="P41" i="575"/>
  <c r="O41" i="575"/>
  <c r="N41" i="575"/>
  <c r="AG41" i="575" s="1"/>
  <c r="K41" i="575"/>
  <c r="L41" i="575" s="1"/>
  <c r="F41" i="575"/>
  <c r="H41" i="575" s="1"/>
  <c r="AG40" i="575"/>
  <c r="W40" i="575"/>
  <c r="N40" i="575" s="1"/>
  <c r="AF40" i="575" s="1"/>
  <c r="V40" i="575"/>
  <c r="P40" i="575"/>
  <c r="O40" i="575"/>
  <c r="L40" i="575"/>
  <c r="K40" i="575"/>
  <c r="F40" i="575"/>
  <c r="H40" i="575" s="1"/>
  <c r="W39" i="575"/>
  <c r="V39" i="575"/>
  <c r="P39" i="575"/>
  <c r="N39" i="575"/>
  <c r="K39" i="575"/>
  <c r="L39" i="575" s="1"/>
  <c r="J39" i="575"/>
  <c r="F39" i="575"/>
  <c r="H39" i="575" s="1"/>
  <c r="W38" i="575"/>
  <c r="P38" i="575"/>
  <c r="N38" i="575"/>
  <c r="K38" i="575"/>
  <c r="L38" i="575" s="1"/>
  <c r="L48" i="575" s="1"/>
  <c r="G13" i="574" s="1"/>
  <c r="J38" i="575"/>
  <c r="F38" i="575"/>
  <c r="H38" i="575" s="1"/>
  <c r="AE37" i="575"/>
  <c r="AD37" i="575"/>
  <c r="F20" i="574" s="1"/>
  <c r="AA37" i="575"/>
  <c r="Z37" i="575"/>
  <c r="M37" i="575"/>
  <c r="K37" i="575"/>
  <c r="W36" i="575"/>
  <c r="H36" i="575"/>
  <c r="W35" i="575"/>
  <c r="W34" i="575"/>
  <c r="W33" i="575"/>
  <c r="W32" i="575"/>
  <c r="W31" i="575"/>
  <c r="V31" i="575"/>
  <c r="P31" i="575"/>
  <c r="N31" i="575"/>
  <c r="O31" i="575" s="1"/>
  <c r="L31" i="575"/>
  <c r="K31" i="575"/>
  <c r="J31" i="575"/>
  <c r="F31" i="575"/>
  <c r="H31" i="575" s="1"/>
  <c r="AF30" i="575"/>
  <c r="W30" i="575"/>
  <c r="N30" i="575" s="1"/>
  <c r="AG30" i="575" s="1"/>
  <c r="V30" i="575"/>
  <c r="P30" i="575"/>
  <c r="O30" i="575"/>
  <c r="Q30" i="575" s="1"/>
  <c r="L30" i="575"/>
  <c r="K30" i="575"/>
  <c r="J30" i="575"/>
  <c r="F30" i="575"/>
  <c r="H30" i="575" s="1"/>
  <c r="AG29" i="575"/>
  <c r="W29" i="575"/>
  <c r="N29" i="575" s="1"/>
  <c r="V29" i="575"/>
  <c r="K29" i="575"/>
  <c r="J29" i="575"/>
  <c r="P29" i="575" s="1"/>
  <c r="H29" i="575"/>
  <c r="F29" i="575"/>
  <c r="AG28" i="575"/>
  <c r="W28" i="575"/>
  <c r="V28" i="575"/>
  <c r="P28" i="575"/>
  <c r="N28" i="575"/>
  <c r="AF28" i="575" s="1"/>
  <c r="L28" i="575"/>
  <c r="K28" i="575"/>
  <c r="J28" i="575"/>
  <c r="H28" i="575"/>
  <c r="F28" i="575"/>
  <c r="W27" i="575"/>
  <c r="N27" i="575" s="1"/>
  <c r="P27" i="575"/>
  <c r="O27" i="575"/>
  <c r="L27" i="575"/>
  <c r="J27" i="575"/>
  <c r="F27" i="575"/>
  <c r="H27" i="575" s="1"/>
  <c r="AE26" i="575"/>
  <c r="AD26" i="575"/>
  <c r="AA26" i="575"/>
  <c r="Z26" i="575"/>
  <c r="E18" i="574" s="1"/>
  <c r="M26" i="575"/>
  <c r="P26" i="575" s="1"/>
  <c r="W25" i="575"/>
  <c r="H25" i="575"/>
  <c r="W24" i="575"/>
  <c r="H24" i="575"/>
  <c r="W23" i="575"/>
  <c r="W21" i="575"/>
  <c r="N21" i="575" s="1"/>
  <c r="O21" i="575" s="1"/>
  <c r="V21" i="575"/>
  <c r="K21" i="575"/>
  <c r="J21" i="575"/>
  <c r="P21" i="575" s="1"/>
  <c r="H21" i="575"/>
  <c r="F21" i="575"/>
  <c r="W20" i="575"/>
  <c r="N20" i="575" s="1"/>
  <c r="O20" i="575" s="1"/>
  <c r="V20" i="575"/>
  <c r="K20" i="575"/>
  <c r="J20" i="575"/>
  <c r="P20" i="575" s="1"/>
  <c r="H20" i="575"/>
  <c r="F20" i="575"/>
  <c r="W19" i="575"/>
  <c r="V19" i="575"/>
  <c r="N19" i="575"/>
  <c r="K19" i="575"/>
  <c r="J19" i="575"/>
  <c r="P19" i="575" s="1"/>
  <c r="H19" i="575"/>
  <c r="F19" i="575"/>
  <c r="AF18" i="575"/>
  <c r="W18" i="575"/>
  <c r="V18" i="575"/>
  <c r="N18" i="575"/>
  <c r="K18" i="575"/>
  <c r="L18" i="575" s="1"/>
  <c r="J18" i="575"/>
  <c r="P18" i="575" s="1"/>
  <c r="F18" i="575"/>
  <c r="H18" i="575" s="1"/>
  <c r="W17" i="575"/>
  <c r="V17" i="575"/>
  <c r="N17" i="575"/>
  <c r="K17" i="575"/>
  <c r="J17" i="575"/>
  <c r="L17" i="575" s="1"/>
  <c r="F17" i="575"/>
  <c r="H17" i="575" s="1"/>
  <c r="W16" i="575"/>
  <c r="P16" i="575"/>
  <c r="N16" i="575"/>
  <c r="K16" i="575"/>
  <c r="J16" i="575"/>
  <c r="J26" i="575" s="1"/>
  <c r="F16" i="575"/>
  <c r="H16" i="575" s="1"/>
  <c r="AE15" i="575"/>
  <c r="AD15" i="575"/>
  <c r="AA15" i="575"/>
  <c r="Z15" i="575"/>
  <c r="M15" i="575"/>
  <c r="I1" i="575" s="1"/>
  <c r="K15" i="575"/>
  <c r="W14" i="575"/>
  <c r="W13" i="575"/>
  <c r="W12" i="575"/>
  <c r="AG11" i="575"/>
  <c r="AF11" i="575"/>
  <c r="W11" i="575"/>
  <c r="AG10" i="575"/>
  <c r="AF10" i="575"/>
  <c r="W10" i="575"/>
  <c r="AG9" i="575"/>
  <c r="AF9" i="575"/>
  <c r="W9" i="575"/>
  <c r="W8" i="575"/>
  <c r="V8" i="575"/>
  <c r="N8" i="575"/>
  <c r="K8" i="575"/>
  <c r="AG8" i="575" s="1"/>
  <c r="J8" i="575"/>
  <c r="P8" i="575" s="1"/>
  <c r="H8" i="575"/>
  <c r="F8" i="575"/>
  <c r="AF7" i="575"/>
  <c r="W7" i="575"/>
  <c r="V7" i="575"/>
  <c r="O7" i="575"/>
  <c r="N7" i="575"/>
  <c r="AG7" i="575" s="1"/>
  <c r="K7" i="575"/>
  <c r="L7" i="575" s="1"/>
  <c r="J7" i="575"/>
  <c r="P7" i="575" s="1"/>
  <c r="F7" i="575"/>
  <c r="H7" i="575" s="1"/>
  <c r="W6" i="575"/>
  <c r="V6" i="575"/>
  <c r="P6" i="575"/>
  <c r="N6" i="575"/>
  <c r="AF6" i="575" s="1"/>
  <c r="K6" i="575"/>
  <c r="J6" i="575"/>
  <c r="L6" i="575" s="1"/>
  <c r="F6" i="575"/>
  <c r="H6" i="575" s="1"/>
  <c r="W5" i="575"/>
  <c r="P5" i="575"/>
  <c r="N5" i="575"/>
  <c r="K5" i="575"/>
  <c r="L5" i="575" s="1"/>
  <c r="J5" i="575"/>
  <c r="J15" i="575" s="1"/>
  <c r="P15" i="575" s="1"/>
  <c r="F5" i="575"/>
  <c r="H5" i="575" s="1"/>
  <c r="G1" i="575" s="1"/>
  <c r="AE2" i="575"/>
  <c r="Z2" i="575"/>
  <c r="I2" i="575"/>
  <c r="E1" i="575"/>
  <c r="J22" i="574"/>
  <c r="I22" i="574"/>
  <c r="H22" i="574"/>
  <c r="G22" i="574"/>
  <c r="F22" i="574"/>
  <c r="E22" i="574"/>
  <c r="D22" i="574"/>
  <c r="I21" i="574"/>
  <c r="H21" i="574"/>
  <c r="G21" i="574"/>
  <c r="F21" i="574"/>
  <c r="E21" i="574"/>
  <c r="D21" i="574"/>
  <c r="J20" i="574"/>
  <c r="I20" i="574"/>
  <c r="H20" i="574"/>
  <c r="G20" i="574"/>
  <c r="O6" i="574" s="1"/>
  <c r="E20" i="574"/>
  <c r="D20" i="574"/>
  <c r="J19" i="574"/>
  <c r="H19" i="574"/>
  <c r="F19" i="574"/>
  <c r="E19" i="574"/>
  <c r="D19" i="574"/>
  <c r="J18" i="574"/>
  <c r="I18" i="574"/>
  <c r="H18" i="574"/>
  <c r="G18" i="574"/>
  <c r="F18" i="574"/>
  <c r="L6" i="574" s="1"/>
  <c r="D18" i="574"/>
  <c r="J16" i="574"/>
  <c r="I16" i="574"/>
  <c r="H16" i="574"/>
  <c r="G16" i="574"/>
  <c r="F16" i="574"/>
  <c r="E16" i="574"/>
  <c r="D16" i="574"/>
  <c r="J15" i="574"/>
  <c r="J14" i="574"/>
  <c r="J13" i="574"/>
  <c r="O8" i="574"/>
  <c r="N8" i="574"/>
  <c r="M8" i="574"/>
  <c r="L8" i="574"/>
  <c r="O7" i="574"/>
  <c r="N7" i="574"/>
  <c r="M7" i="574"/>
  <c r="L7" i="574"/>
  <c r="G3" i="574"/>
  <c r="AE79" i="573"/>
  <c r="AD79" i="573"/>
  <c r="AA79" i="573"/>
  <c r="Z79" i="573"/>
  <c r="M79" i="573"/>
  <c r="W78" i="573"/>
  <c r="H78" i="573"/>
  <c r="W77" i="573"/>
  <c r="H77" i="573"/>
  <c r="W76" i="573"/>
  <c r="H76" i="573"/>
  <c r="W75" i="573"/>
  <c r="W74" i="573"/>
  <c r="W73" i="573"/>
  <c r="W72" i="573"/>
  <c r="W71" i="573"/>
  <c r="N71" i="573" s="1"/>
  <c r="V71" i="573"/>
  <c r="O71" i="573"/>
  <c r="L71" i="573"/>
  <c r="K71" i="573"/>
  <c r="J71" i="573"/>
  <c r="P71" i="573" s="1"/>
  <c r="F71" i="573"/>
  <c r="H71" i="573" s="1"/>
  <c r="W70" i="573"/>
  <c r="N70" i="573" s="1"/>
  <c r="K70" i="573"/>
  <c r="J70" i="573"/>
  <c r="J79" i="573" s="1"/>
  <c r="P79" i="573" s="1"/>
  <c r="F70" i="573"/>
  <c r="H70" i="573" s="1"/>
  <c r="AE69" i="573"/>
  <c r="I21" i="572" s="1"/>
  <c r="AD69" i="573"/>
  <c r="AA69" i="573"/>
  <c r="Z69" i="573"/>
  <c r="M69" i="573"/>
  <c r="W68" i="573"/>
  <c r="H68" i="573"/>
  <c r="W67" i="573"/>
  <c r="W66" i="573"/>
  <c r="W65" i="573"/>
  <c r="W64" i="573"/>
  <c r="W63" i="573"/>
  <c r="N63" i="573" s="1"/>
  <c r="O63" i="573" s="1"/>
  <c r="V63" i="573"/>
  <c r="L63" i="573"/>
  <c r="K63" i="573"/>
  <c r="J63" i="573"/>
  <c r="P63" i="573" s="1"/>
  <c r="F63" i="573"/>
  <c r="H63" i="573" s="1"/>
  <c r="AG62" i="573"/>
  <c r="W62" i="573"/>
  <c r="N62" i="573" s="1"/>
  <c r="V62" i="573"/>
  <c r="L62" i="573"/>
  <c r="K62" i="573"/>
  <c r="J62" i="573"/>
  <c r="P62" i="573" s="1"/>
  <c r="H62" i="573"/>
  <c r="F62" i="573"/>
  <c r="AF61" i="573"/>
  <c r="W61" i="573"/>
  <c r="V61" i="573"/>
  <c r="P61" i="573"/>
  <c r="O61" i="573"/>
  <c r="N61" i="573"/>
  <c r="AG61" i="573" s="1"/>
  <c r="K61" i="573"/>
  <c r="L61" i="573" s="1"/>
  <c r="Q61" i="573" s="1"/>
  <c r="J61" i="573"/>
  <c r="H61" i="573"/>
  <c r="F61" i="573"/>
  <c r="AF60" i="573"/>
  <c r="W60" i="573"/>
  <c r="V60" i="573"/>
  <c r="P60" i="573"/>
  <c r="O60" i="573"/>
  <c r="Q60" i="573" s="1"/>
  <c r="N60" i="573"/>
  <c r="K60" i="573"/>
  <c r="L60" i="573" s="1"/>
  <c r="R60" i="573" s="1"/>
  <c r="J60" i="573"/>
  <c r="J69" i="573" s="1"/>
  <c r="P69" i="573" s="1"/>
  <c r="F60" i="573"/>
  <c r="H60" i="573" s="1"/>
  <c r="AF59" i="573"/>
  <c r="W59" i="573"/>
  <c r="N59" i="573" s="1"/>
  <c r="P59" i="573"/>
  <c r="K59" i="573"/>
  <c r="J59" i="573"/>
  <c r="F59" i="573"/>
  <c r="H59" i="573" s="1"/>
  <c r="AE58" i="573"/>
  <c r="H21" i="572" s="1"/>
  <c r="AD58" i="573"/>
  <c r="AA58" i="573"/>
  <c r="Z58" i="573"/>
  <c r="M58" i="573"/>
  <c r="P58" i="573" s="1"/>
  <c r="K58" i="573"/>
  <c r="J58" i="573"/>
  <c r="W57" i="573"/>
  <c r="W56" i="573"/>
  <c r="W55" i="573"/>
  <c r="W54" i="573"/>
  <c r="AG53" i="573"/>
  <c r="AF53" i="573"/>
  <c r="W53" i="573"/>
  <c r="W52" i="573"/>
  <c r="V52" i="573"/>
  <c r="R52" i="573"/>
  <c r="Q52" i="573"/>
  <c r="P52" i="573"/>
  <c r="N52" i="573"/>
  <c r="O52" i="573" s="1"/>
  <c r="K52" i="573"/>
  <c r="L52" i="573" s="1"/>
  <c r="J52" i="573"/>
  <c r="F52" i="573"/>
  <c r="H52" i="573" s="1"/>
  <c r="W51" i="573"/>
  <c r="N51" i="573" s="1"/>
  <c r="V51" i="573"/>
  <c r="L51" i="573"/>
  <c r="K51" i="573"/>
  <c r="J51" i="573"/>
  <c r="P51" i="573" s="1"/>
  <c r="F51" i="573"/>
  <c r="H51" i="573" s="1"/>
  <c r="W50" i="573"/>
  <c r="N50" i="573" s="1"/>
  <c r="V50" i="573"/>
  <c r="P50" i="573"/>
  <c r="K50" i="573"/>
  <c r="L50" i="573" s="1"/>
  <c r="F50" i="573"/>
  <c r="H50" i="573" s="1"/>
  <c r="AF49" i="573"/>
  <c r="W49" i="573"/>
  <c r="N49" i="573" s="1"/>
  <c r="P49" i="573"/>
  <c r="K49" i="573"/>
  <c r="L49" i="573" s="1"/>
  <c r="L58" i="573" s="1"/>
  <c r="H13" i="572" s="1"/>
  <c r="J49" i="573"/>
  <c r="F49" i="573"/>
  <c r="H49" i="573" s="1"/>
  <c r="AE48" i="573"/>
  <c r="AD48" i="573"/>
  <c r="G20" i="572" s="1"/>
  <c r="AA48" i="573"/>
  <c r="Z48" i="573"/>
  <c r="W48" i="573"/>
  <c r="M48" i="573"/>
  <c r="G22" i="572" s="1"/>
  <c r="K48" i="573"/>
  <c r="J48" i="573"/>
  <c r="W47" i="573"/>
  <c r="H47" i="573"/>
  <c r="W46" i="573"/>
  <c r="W45" i="573"/>
  <c r="W44" i="573"/>
  <c r="W43" i="573"/>
  <c r="W42" i="573"/>
  <c r="W41" i="573"/>
  <c r="N41" i="573" s="1"/>
  <c r="V41" i="573"/>
  <c r="K41" i="573"/>
  <c r="L41" i="573" s="1"/>
  <c r="J41" i="573"/>
  <c r="P41" i="573" s="1"/>
  <c r="H41" i="573"/>
  <c r="F41" i="573"/>
  <c r="W40" i="573"/>
  <c r="N40" i="573" s="1"/>
  <c r="V40" i="573"/>
  <c r="P40" i="573"/>
  <c r="K40" i="573"/>
  <c r="L40" i="573" s="1"/>
  <c r="F40" i="573"/>
  <c r="H40" i="573" s="1"/>
  <c r="W39" i="573"/>
  <c r="N39" i="573" s="1"/>
  <c r="V39" i="573"/>
  <c r="P39" i="573"/>
  <c r="L39" i="573"/>
  <c r="K39" i="573"/>
  <c r="F39" i="573"/>
  <c r="H39" i="573" s="1"/>
  <c r="W38" i="573"/>
  <c r="N38" i="573" s="1"/>
  <c r="K38" i="573"/>
  <c r="L38" i="573" s="1"/>
  <c r="J38" i="573"/>
  <c r="P38" i="573" s="1"/>
  <c r="H38" i="573"/>
  <c r="F38" i="573"/>
  <c r="AE37" i="573"/>
  <c r="AD37" i="573"/>
  <c r="AA37" i="573"/>
  <c r="F19" i="572" s="1"/>
  <c r="Z37" i="573"/>
  <c r="F18" i="572" s="1"/>
  <c r="M37" i="573"/>
  <c r="W36" i="573"/>
  <c r="H36" i="573"/>
  <c r="W35" i="573"/>
  <c r="W34" i="573"/>
  <c r="W33" i="573"/>
  <c r="W32" i="573"/>
  <c r="AG31" i="573"/>
  <c r="AF31" i="573"/>
  <c r="W31" i="573"/>
  <c r="V31" i="573"/>
  <c r="N31" i="573"/>
  <c r="O31" i="573" s="1"/>
  <c r="K31" i="573"/>
  <c r="J31" i="573"/>
  <c r="P31" i="573" s="1"/>
  <c r="F31" i="573"/>
  <c r="H31" i="573" s="1"/>
  <c r="W30" i="573"/>
  <c r="V30" i="573"/>
  <c r="N30" i="573"/>
  <c r="K30" i="573"/>
  <c r="L30" i="573" s="1"/>
  <c r="J30" i="573"/>
  <c r="P30" i="573" s="1"/>
  <c r="F30" i="573"/>
  <c r="H30" i="573" s="1"/>
  <c r="W29" i="573"/>
  <c r="V29" i="573"/>
  <c r="P29" i="573"/>
  <c r="N29" i="573"/>
  <c r="L29" i="573"/>
  <c r="K29" i="573"/>
  <c r="J29" i="573"/>
  <c r="H29" i="573"/>
  <c r="F29" i="573"/>
  <c r="W28" i="573"/>
  <c r="N28" i="573" s="1"/>
  <c r="V28" i="573"/>
  <c r="P28" i="573"/>
  <c r="O28" i="573"/>
  <c r="R28" i="573" s="1"/>
  <c r="L28" i="573"/>
  <c r="K28" i="573"/>
  <c r="K37" i="573" s="1"/>
  <c r="J28" i="573"/>
  <c r="F28" i="573"/>
  <c r="H28" i="573" s="1"/>
  <c r="W27" i="573"/>
  <c r="N27" i="573" s="1"/>
  <c r="P27" i="573"/>
  <c r="J27" i="573"/>
  <c r="H27" i="573"/>
  <c r="F27" i="573"/>
  <c r="AE26" i="573"/>
  <c r="AD26" i="573"/>
  <c r="AA26" i="573"/>
  <c r="Z26" i="573"/>
  <c r="M26" i="573"/>
  <c r="W25" i="573"/>
  <c r="H25" i="573"/>
  <c r="W24" i="573"/>
  <c r="H24" i="573"/>
  <c r="W23" i="573"/>
  <c r="W21" i="573"/>
  <c r="V21" i="573"/>
  <c r="P21" i="573"/>
  <c r="O21" i="573"/>
  <c r="N21" i="573"/>
  <c r="L21" i="573"/>
  <c r="K21" i="573"/>
  <c r="J21" i="573"/>
  <c r="H21" i="573"/>
  <c r="F21" i="573"/>
  <c r="W20" i="573"/>
  <c r="V20" i="573"/>
  <c r="P20" i="573"/>
  <c r="N20" i="573"/>
  <c r="O20" i="573" s="1"/>
  <c r="L20" i="573"/>
  <c r="K20" i="573"/>
  <c r="J20" i="573"/>
  <c r="H20" i="573"/>
  <c r="F20" i="573"/>
  <c r="W19" i="573"/>
  <c r="N19" i="573" s="1"/>
  <c r="O19" i="573" s="1"/>
  <c r="V19" i="573"/>
  <c r="P19" i="573"/>
  <c r="L19" i="573"/>
  <c r="K19" i="573"/>
  <c r="J19" i="573"/>
  <c r="F19" i="573"/>
  <c r="H19" i="573" s="1"/>
  <c r="W18" i="573"/>
  <c r="N18" i="573" s="1"/>
  <c r="V18" i="573"/>
  <c r="K18" i="573"/>
  <c r="J18" i="573"/>
  <c r="P18" i="573" s="1"/>
  <c r="H18" i="573"/>
  <c r="F18" i="573"/>
  <c r="AF17" i="573"/>
  <c r="W17" i="573"/>
  <c r="N17" i="573" s="1"/>
  <c r="V17" i="573"/>
  <c r="K17" i="573"/>
  <c r="L17" i="573" s="1"/>
  <c r="J17" i="573"/>
  <c r="P17" i="573" s="1"/>
  <c r="F17" i="573"/>
  <c r="H17" i="573" s="1"/>
  <c r="AG16" i="573"/>
  <c r="W16" i="573"/>
  <c r="N16" i="573" s="1"/>
  <c r="K16" i="573"/>
  <c r="J16" i="573"/>
  <c r="P16" i="573" s="1"/>
  <c r="H16" i="573"/>
  <c r="F16" i="573"/>
  <c r="AE15" i="573"/>
  <c r="D21" i="572" s="1"/>
  <c r="AD15" i="573"/>
  <c r="AA15" i="573"/>
  <c r="D19" i="572" s="1"/>
  <c r="Z15" i="573"/>
  <c r="Z2" i="573" s="1"/>
  <c r="M15" i="573"/>
  <c r="W14" i="573"/>
  <c r="W13" i="573"/>
  <c r="W12" i="573"/>
  <c r="AG11" i="573"/>
  <c r="AF11" i="573"/>
  <c r="W11" i="573"/>
  <c r="AG10" i="573"/>
  <c r="AF10" i="573"/>
  <c r="W10" i="573"/>
  <c r="AG9" i="573"/>
  <c r="AF9" i="573"/>
  <c r="W9" i="573"/>
  <c r="W8" i="573"/>
  <c r="N8" i="573" s="1"/>
  <c r="V8" i="573"/>
  <c r="P8" i="573"/>
  <c r="O8" i="573"/>
  <c r="L8" i="573"/>
  <c r="K8" i="573"/>
  <c r="J8" i="573"/>
  <c r="F8" i="573"/>
  <c r="H8" i="573" s="1"/>
  <c r="W7" i="573"/>
  <c r="N7" i="573" s="1"/>
  <c r="V7" i="573"/>
  <c r="K7" i="573"/>
  <c r="J7" i="573"/>
  <c r="P7" i="573" s="1"/>
  <c r="H7" i="573"/>
  <c r="F7" i="573"/>
  <c r="AF6" i="573"/>
  <c r="W6" i="573"/>
  <c r="N6" i="573" s="1"/>
  <c r="V6" i="573"/>
  <c r="K6" i="573"/>
  <c r="L6" i="573" s="1"/>
  <c r="J6" i="573"/>
  <c r="P6" i="573" s="1"/>
  <c r="F6" i="573"/>
  <c r="H6" i="573" s="1"/>
  <c r="W5" i="573"/>
  <c r="N5" i="573" s="1"/>
  <c r="K5" i="573"/>
  <c r="J5" i="573"/>
  <c r="H5" i="573"/>
  <c r="F5" i="573"/>
  <c r="I2" i="573"/>
  <c r="I1" i="573"/>
  <c r="E1" i="573"/>
  <c r="G3" i="572" s="1"/>
  <c r="J22" i="572"/>
  <c r="I22" i="572"/>
  <c r="H22" i="572"/>
  <c r="F22" i="572"/>
  <c r="D22" i="572"/>
  <c r="J21" i="572"/>
  <c r="G21" i="572"/>
  <c r="F21" i="572"/>
  <c r="J20" i="572"/>
  <c r="I20" i="572"/>
  <c r="H20" i="572"/>
  <c r="F20" i="572"/>
  <c r="D20" i="572"/>
  <c r="J19" i="572"/>
  <c r="I19" i="572"/>
  <c r="H19" i="572"/>
  <c r="G19" i="572"/>
  <c r="E19" i="572"/>
  <c r="J18" i="572"/>
  <c r="I18" i="572"/>
  <c r="H18" i="572"/>
  <c r="G18" i="572"/>
  <c r="E18" i="572"/>
  <c r="D18" i="572"/>
  <c r="L6" i="572" s="1"/>
  <c r="J16" i="572"/>
  <c r="I16" i="572"/>
  <c r="H16" i="572"/>
  <c r="G16" i="572"/>
  <c r="F16" i="572"/>
  <c r="E16" i="572"/>
  <c r="D16" i="572"/>
  <c r="O8" i="572"/>
  <c r="N8" i="572"/>
  <c r="M8" i="572"/>
  <c r="L8" i="572"/>
  <c r="O7" i="572"/>
  <c r="N7" i="572"/>
  <c r="M7" i="572"/>
  <c r="L7" i="572"/>
  <c r="AE79" i="571"/>
  <c r="AD79" i="571"/>
  <c r="AA79" i="571"/>
  <c r="Z79" i="571"/>
  <c r="P79" i="571"/>
  <c r="O79" i="571"/>
  <c r="N79" i="571"/>
  <c r="M79" i="571"/>
  <c r="L79" i="571"/>
  <c r="K79" i="571"/>
  <c r="J79" i="571"/>
  <c r="W78" i="571"/>
  <c r="H78" i="571"/>
  <c r="W77" i="571"/>
  <c r="W76" i="571"/>
  <c r="W75" i="571"/>
  <c r="W74" i="571"/>
  <c r="W73" i="571"/>
  <c r="W72" i="571"/>
  <c r="W71" i="571"/>
  <c r="AG70" i="571"/>
  <c r="AF70" i="571"/>
  <c r="W70" i="571"/>
  <c r="AE69" i="571"/>
  <c r="AD69" i="571"/>
  <c r="I20" i="570" s="1"/>
  <c r="AA69" i="571"/>
  <c r="I19" i="570" s="1"/>
  <c r="Z69" i="571"/>
  <c r="I18" i="570" s="1"/>
  <c r="M69" i="571"/>
  <c r="W68" i="571"/>
  <c r="H68" i="571"/>
  <c r="W67" i="571"/>
  <c r="W66" i="571"/>
  <c r="W65" i="571"/>
  <c r="W64" i="571"/>
  <c r="V64" i="571"/>
  <c r="N64" i="571"/>
  <c r="O64" i="571" s="1"/>
  <c r="K64" i="571"/>
  <c r="L64" i="571" s="1"/>
  <c r="J64" i="571"/>
  <c r="P64" i="571" s="1"/>
  <c r="F64" i="571"/>
  <c r="H64" i="571" s="1"/>
  <c r="W63" i="571"/>
  <c r="V63" i="571"/>
  <c r="N63" i="571"/>
  <c r="O63" i="571" s="1"/>
  <c r="K63" i="571"/>
  <c r="J63" i="571"/>
  <c r="P63" i="571" s="1"/>
  <c r="F63" i="571"/>
  <c r="H63" i="571" s="1"/>
  <c r="W62" i="571"/>
  <c r="V62" i="571"/>
  <c r="N62" i="571"/>
  <c r="L62" i="571"/>
  <c r="K62" i="571"/>
  <c r="J62" i="571"/>
  <c r="P62" i="571" s="1"/>
  <c r="H62" i="571"/>
  <c r="F62" i="571"/>
  <c r="W61" i="571"/>
  <c r="N61" i="571" s="1"/>
  <c r="V61" i="571"/>
  <c r="Q61" i="571"/>
  <c r="P61" i="571"/>
  <c r="O61" i="571"/>
  <c r="R61" i="571" s="1"/>
  <c r="L61" i="571"/>
  <c r="K61" i="571"/>
  <c r="J61" i="571"/>
  <c r="F61" i="571"/>
  <c r="H61" i="571" s="1"/>
  <c r="W60" i="571"/>
  <c r="N60" i="571" s="1"/>
  <c r="V60" i="571"/>
  <c r="K60" i="571"/>
  <c r="J60" i="571"/>
  <c r="P60" i="571" s="1"/>
  <c r="H60" i="571"/>
  <c r="F60" i="571"/>
  <c r="AG59" i="571"/>
  <c r="AF59" i="571"/>
  <c r="W59" i="571"/>
  <c r="N59" i="571" s="1"/>
  <c r="K59" i="571"/>
  <c r="K69" i="571" s="1"/>
  <c r="J59" i="571"/>
  <c r="P59" i="571" s="1"/>
  <c r="H59" i="571"/>
  <c r="F59" i="571"/>
  <c r="AE58" i="571"/>
  <c r="AD58" i="571"/>
  <c r="AA58" i="571"/>
  <c r="Z58" i="571"/>
  <c r="M58" i="571"/>
  <c r="W57" i="571"/>
  <c r="W56" i="571"/>
  <c r="W55" i="571"/>
  <c r="W54" i="571"/>
  <c r="AG53" i="571"/>
  <c r="AF53" i="571"/>
  <c r="W53" i="571"/>
  <c r="W52" i="571"/>
  <c r="N52" i="571" s="1"/>
  <c r="O52" i="571" s="1"/>
  <c r="V52" i="571"/>
  <c r="K52" i="571"/>
  <c r="J52" i="571"/>
  <c r="H52" i="571"/>
  <c r="F52" i="571"/>
  <c r="W51" i="571"/>
  <c r="N51" i="571" s="1"/>
  <c r="V51" i="571"/>
  <c r="K51" i="571"/>
  <c r="AG51" i="571" s="1"/>
  <c r="J51" i="571"/>
  <c r="H51" i="571"/>
  <c r="F51" i="571"/>
  <c r="AG50" i="571"/>
  <c r="W50" i="571"/>
  <c r="V50" i="571"/>
  <c r="P50" i="571"/>
  <c r="O50" i="571"/>
  <c r="N50" i="571"/>
  <c r="AF50" i="571" s="1"/>
  <c r="L50" i="571"/>
  <c r="K50" i="571"/>
  <c r="F50" i="571"/>
  <c r="H50" i="571" s="1"/>
  <c r="W49" i="571"/>
  <c r="P49" i="571"/>
  <c r="N49" i="571"/>
  <c r="K49" i="571"/>
  <c r="J49" i="571"/>
  <c r="H49" i="571"/>
  <c r="F49" i="571"/>
  <c r="AE48" i="571"/>
  <c r="AD48" i="571"/>
  <c r="G20" i="570" s="1"/>
  <c r="AA48" i="571"/>
  <c r="Z48" i="571"/>
  <c r="G18" i="570" s="1"/>
  <c r="W48" i="571"/>
  <c r="M48" i="571"/>
  <c r="G22" i="570" s="1"/>
  <c r="W47" i="571"/>
  <c r="H47" i="571"/>
  <c r="W46" i="571"/>
  <c r="W45" i="571"/>
  <c r="W44" i="571"/>
  <c r="W43" i="571"/>
  <c r="W42" i="571"/>
  <c r="AG41" i="571"/>
  <c r="AF41" i="571"/>
  <c r="W41" i="571"/>
  <c r="AF40" i="571"/>
  <c r="W40" i="571"/>
  <c r="N40" i="571" s="1"/>
  <c r="V40" i="571"/>
  <c r="P40" i="571"/>
  <c r="K40" i="571"/>
  <c r="L40" i="571" s="1"/>
  <c r="H40" i="571"/>
  <c r="F40" i="571"/>
  <c r="AG39" i="571"/>
  <c r="AF39" i="571"/>
  <c r="W39" i="571"/>
  <c r="N39" i="571" s="1"/>
  <c r="O39" i="571" s="1"/>
  <c r="R39" i="571" s="1"/>
  <c r="V39" i="571"/>
  <c r="Q39" i="571"/>
  <c r="P39" i="571"/>
  <c r="L39" i="571"/>
  <c r="K39" i="571"/>
  <c r="F39" i="571"/>
  <c r="H39" i="571" s="1"/>
  <c r="W38" i="571"/>
  <c r="O38" i="571"/>
  <c r="N38" i="571"/>
  <c r="N48" i="571" s="1"/>
  <c r="K38" i="571"/>
  <c r="J38" i="571"/>
  <c r="P38" i="571" s="1"/>
  <c r="H38" i="571"/>
  <c r="F38" i="571"/>
  <c r="AE37" i="571"/>
  <c r="AD37" i="571"/>
  <c r="AA37" i="571"/>
  <c r="Z37" i="571"/>
  <c r="M37" i="571"/>
  <c r="K37" i="571"/>
  <c r="W36" i="571"/>
  <c r="H36" i="571"/>
  <c r="W35" i="571"/>
  <c r="W34" i="571"/>
  <c r="W33" i="571"/>
  <c r="W32" i="571"/>
  <c r="N32" i="571" s="1"/>
  <c r="V32" i="571"/>
  <c r="O32" i="571"/>
  <c r="K32" i="571"/>
  <c r="J32" i="571"/>
  <c r="H32" i="571"/>
  <c r="F32" i="571"/>
  <c r="W31" i="571"/>
  <c r="N31" i="571" s="1"/>
  <c r="O31" i="571" s="1"/>
  <c r="Q31" i="571" s="1"/>
  <c r="V31" i="571"/>
  <c r="L31" i="571"/>
  <c r="J31" i="571"/>
  <c r="P31" i="571" s="1"/>
  <c r="F31" i="571"/>
  <c r="H31" i="571" s="1"/>
  <c r="AG30" i="571"/>
  <c r="AF30" i="571"/>
  <c r="W30" i="571"/>
  <c r="V30" i="571"/>
  <c r="N30" i="571"/>
  <c r="O30" i="571" s="1"/>
  <c r="K30" i="571"/>
  <c r="J30" i="571"/>
  <c r="F30" i="571"/>
  <c r="H30" i="571" s="1"/>
  <c r="W29" i="571"/>
  <c r="N29" i="571" s="1"/>
  <c r="V29" i="571"/>
  <c r="P29" i="571"/>
  <c r="K29" i="571"/>
  <c r="J29" i="571"/>
  <c r="L29" i="571" s="1"/>
  <c r="H29" i="571"/>
  <c r="F29" i="571"/>
  <c r="W28" i="571"/>
  <c r="V28" i="571"/>
  <c r="P28" i="571"/>
  <c r="N28" i="571"/>
  <c r="K28" i="571"/>
  <c r="L28" i="571" s="1"/>
  <c r="J28" i="571"/>
  <c r="H28" i="571"/>
  <c r="F28" i="571"/>
  <c r="W27" i="571"/>
  <c r="N27" i="571" s="1"/>
  <c r="AG27" i="571" s="1"/>
  <c r="P27" i="571"/>
  <c r="O27" i="571"/>
  <c r="L27" i="571"/>
  <c r="J27" i="571"/>
  <c r="H27" i="571"/>
  <c r="F27" i="571"/>
  <c r="AE26" i="571"/>
  <c r="AD26" i="571"/>
  <c r="E20" i="570" s="1"/>
  <c r="AA26" i="571"/>
  <c r="AA2" i="571" s="1"/>
  <c r="Z26" i="571"/>
  <c r="Z2" i="571" s="1"/>
  <c r="M26" i="571"/>
  <c r="W25" i="571"/>
  <c r="H25" i="571"/>
  <c r="W24" i="571"/>
  <c r="H24" i="571"/>
  <c r="W23" i="571"/>
  <c r="W21" i="571"/>
  <c r="W20" i="571"/>
  <c r="V20" i="571"/>
  <c r="N20" i="571"/>
  <c r="O20" i="571" s="1"/>
  <c r="K20" i="571"/>
  <c r="K26" i="571" s="1"/>
  <c r="J20" i="571"/>
  <c r="P20" i="571" s="1"/>
  <c r="F20" i="571"/>
  <c r="H20" i="571" s="1"/>
  <c r="W19" i="571"/>
  <c r="V19" i="571"/>
  <c r="N19" i="571"/>
  <c r="K19" i="571"/>
  <c r="J19" i="571"/>
  <c r="H19" i="571"/>
  <c r="F19" i="571"/>
  <c r="AF18" i="571"/>
  <c r="W18" i="571"/>
  <c r="N18" i="571" s="1"/>
  <c r="AG18" i="571" s="1"/>
  <c r="V18" i="571"/>
  <c r="P18" i="571"/>
  <c r="O18" i="571"/>
  <c r="R18" i="571" s="1"/>
  <c r="L18" i="571"/>
  <c r="Q18" i="571" s="1"/>
  <c r="K18" i="571"/>
  <c r="J18" i="571"/>
  <c r="F18" i="571"/>
  <c r="H18" i="571" s="1"/>
  <c r="W17" i="571"/>
  <c r="N17" i="571" s="1"/>
  <c r="V17" i="571"/>
  <c r="K17" i="571"/>
  <c r="J17" i="571"/>
  <c r="H17" i="571"/>
  <c r="F17" i="571"/>
  <c r="AG16" i="571"/>
  <c r="W16" i="571"/>
  <c r="N16" i="571" s="1"/>
  <c r="K16" i="571"/>
  <c r="J16" i="571"/>
  <c r="H16" i="571"/>
  <c r="F16" i="571"/>
  <c r="AE15" i="571"/>
  <c r="D21" i="570" s="1"/>
  <c r="AD15" i="571"/>
  <c r="AD2" i="571" s="1"/>
  <c r="AA15" i="571"/>
  <c r="Z15" i="571"/>
  <c r="M15" i="571"/>
  <c r="I1" i="571" s="1"/>
  <c r="W14" i="571"/>
  <c r="W13" i="571"/>
  <c r="W12" i="571"/>
  <c r="AG11" i="571"/>
  <c r="AF11" i="571"/>
  <c r="W11" i="571"/>
  <c r="AG10" i="571"/>
  <c r="AF10" i="571"/>
  <c r="W10" i="571"/>
  <c r="AG9" i="571"/>
  <c r="AF9" i="571"/>
  <c r="W9" i="571"/>
  <c r="W8" i="571"/>
  <c r="V8" i="571"/>
  <c r="P8" i="571"/>
  <c r="N8" i="571"/>
  <c r="L8" i="571"/>
  <c r="K8" i="571"/>
  <c r="J8" i="571"/>
  <c r="H8" i="571"/>
  <c r="F8" i="571"/>
  <c r="W7" i="571"/>
  <c r="N7" i="571" s="1"/>
  <c r="AG7" i="571" s="1"/>
  <c r="V7" i="571"/>
  <c r="P7" i="571"/>
  <c r="O7" i="571"/>
  <c r="L7" i="571"/>
  <c r="K7" i="571"/>
  <c r="J7" i="571"/>
  <c r="F7" i="571"/>
  <c r="H7" i="571" s="1"/>
  <c r="AG6" i="571"/>
  <c r="W6" i="571"/>
  <c r="N6" i="571" s="1"/>
  <c r="AF6" i="571" s="1"/>
  <c r="V6" i="571"/>
  <c r="O6" i="571"/>
  <c r="K6" i="571"/>
  <c r="J6" i="571"/>
  <c r="H6" i="571"/>
  <c r="F6" i="571"/>
  <c r="AF5" i="571"/>
  <c r="W5" i="571"/>
  <c r="R5" i="571"/>
  <c r="N5" i="571"/>
  <c r="O5" i="571" s="1"/>
  <c r="L5" i="571"/>
  <c r="K5" i="571"/>
  <c r="K15" i="571" s="1"/>
  <c r="J5" i="571"/>
  <c r="P5" i="571" s="1"/>
  <c r="F5" i="571"/>
  <c r="H5" i="571" s="1"/>
  <c r="G1" i="571" s="1"/>
  <c r="AE2" i="571"/>
  <c r="I2" i="571"/>
  <c r="E1" i="571"/>
  <c r="G3" i="570" s="1"/>
  <c r="J22" i="570"/>
  <c r="I22" i="570"/>
  <c r="H22" i="570"/>
  <c r="E22" i="570"/>
  <c r="J21" i="570"/>
  <c r="I21" i="570"/>
  <c r="H21" i="570"/>
  <c r="G21" i="570"/>
  <c r="F21" i="570"/>
  <c r="E21" i="570"/>
  <c r="J20" i="570"/>
  <c r="H20" i="570"/>
  <c r="F20" i="570"/>
  <c r="D20" i="570"/>
  <c r="J19" i="570"/>
  <c r="H19" i="570"/>
  <c r="G19" i="570"/>
  <c r="F19" i="570"/>
  <c r="D19" i="570"/>
  <c r="J18" i="570"/>
  <c r="H18" i="570"/>
  <c r="F18" i="570"/>
  <c r="D18" i="570"/>
  <c r="J16" i="570"/>
  <c r="I16" i="570"/>
  <c r="H16" i="570"/>
  <c r="G16" i="570"/>
  <c r="F16" i="570"/>
  <c r="E16" i="570"/>
  <c r="D16" i="570"/>
  <c r="J13" i="570"/>
  <c r="O8" i="570"/>
  <c r="N8" i="570"/>
  <c r="M8" i="570"/>
  <c r="L8" i="570"/>
  <c r="O7" i="570"/>
  <c r="N7" i="570"/>
  <c r="M7" i="570"/>
  <c r="L7" i="570"/>
  <c r="AG79" i="569"/>
  <c r="AH70" i="569" s="1"/>
  <c r="AF79" i="569"/>
  <c r="AE79" i="569"/>
  <c r="J21" i="568" s="1"/>
  <c r="AD79" i="569"/>
  <c r="AA79" i="569"/>
  <c r="Z79" i="569"/>
  <c r="W78" i="569"/>
  <c r="W77" i="569"/>
  <c r="W76" i="569"/>
  <c r="W75" i="569"/>
  <c r="W74" i="569"/>
  <c r="W73" i="569"/>
  <c r="W72" i="569"/>
  <c r="W71" i="569"/>
  <c r="AG70" i="569"/>
  <c r="AF70" i="569"/>
  <c r="W70" i="569"/>
  <c r="S70" i="569"/>
  <c r="AE69" i="569"/>
  <c r="AD69" i="569"/>
  <c r="AA69" i="569"/>
  <c r="Z69" i="569"/>
  <c r="I18" i="568" s="1"/>
  <c r="M69" i="569"/>
  <c r="W68" i="569"/>
  <c r="H68" i="569"/>
  <c r="W67" i="569"/>
  <c r="W66" i="569"/>
  <c r="W65" i="569"/>
  <c r="W64" i="569"/>
  <c r="V64" i="569"/>
  <c r="Q64" i="569"/>
  <c r="P64" i="569"/>
  <c r="O64" i="569"/>
  <c r="N64" i="569"/>
  <c r="K64" i="569"/>
  <c r="J64" i="569"/>
  <c r="L64" i="569" s="1"/>
  <c r="F64" i="569"/>
  <c r="H64" i="569" s="1"/>
  <c r="W63" i="569"/>
  <c r="V63" i="569"/>
  <c r="P63" i="569"/>
  <c r="N63" i="569"/>
  <c r="O63" i="569" s="1"/>
  <c r="K63" i="569"/>
  <c r="L63" i="569" s="1"/>
  <c r="J63" i="569"/>
  <c r="F63" i="569"/>
  <c r="H63" i="569" s="1"/>
  <c r="W62" i="569"/>
  <c r="V62" i="569"/>
  <c r="P62" i="569"/>
  <c r="N62" i="569"/>
  <c r="L62" i="569"/>
  <c r="K62" i="569"/>
  <c r="J62" i="569"/>
  <c r="H62" i="569"/>
  <c r="F62" i="569"/>
  <c r="AF61" i="569"/>
  <c r="W61" i="569"/>
  <c r="N61" i="569" s="1"/>
  <c r="AG61" i="569" s="1"/>
  <c r="V61" i="569"/>
  <c r="P61" i="569"/>
  <c r="O61" i="569"/>
  <c r="L61" i="569"/>
  <c r="K61" i="569"/>
  <c r="J61" i="569"/>
  <c r="F61" i="569"/>
  <c r="H61" i="569" s="1"/>
  <c r="AF60" i="569"/>
  <c r="W60" i="569"/>
  <c r="N60" i="569" s="1"/>
  <c r="AG60" i="569" s="1"/>
  <c r="V60" i="569"/>
  <c r="O60" i="569"/>
  <c r="K60" i="569"/>
  <c r="J60" i="569"/>
  <c r="F60" i="569"/>
  <c r="H60" i="569" s="1"/>
  <c r="W59" i="569"/>
  <c r="N59" i="569"/>
  <c r="K59" i="569"/>
  <c r="J59" i="569"/>
  <c r="H59" i="569"/>
  <c r="F59" i="569"/>
  <c r="AE58" i="569"/>
  <c r="AD58" i="569"/>
  <c r="AA58" i="569"/>
  <c r="Z58" i="569"/>
  <c r="M58" i="569"/>
  <c r="W57" i="569"/>
  <c r="W56" i="569"/>
  <c r="W55" i="569"/>
  <c r="W54" i="569"/>
  <c r="AG53" i="569"/>
  <c r="AF53" i="569"/>
  <c r="W53" i="569"/>
  <c r="AG52" i="569"/>
  <c r="AF52" i="569"/>
  <c r="W52" i="569"/>
  <c r="N52" i="569" s="1"/>
  <c r="O52" i="569" s="1"/>
  <c r="V52" i="569"/>
  <c r="K52" i="569"/>
  <c r="L52" i="569" s="1"/>
  <c r="J52" i="569"/>
  <c r="P52" i="569" s="1"/>
  <c r="F52" i="569"/>
  <c r="H52" i="569" s="1"/>
  <c r="W51" i="569"/>
  <c r="N51" i="569" s="1"/>
  <c r="V51" i="569"/>
  <c r="P51" i="569"/>
  <c r="K51" i="569"/>
  <c r="J51" i="569"/>
  <c r="J58" i="569" s="1"/>
  <c r="H51" i="569"/>
  <c r="F51" i="569"/>
  <c r="AG50" i="569"/>
  <c r="W50" i="569"/>
  <c r="V50" i="569"/>
  <c r="P50" i="569"/>
  <c r="N50" i="569"/>
  <c r="K50" i="569"/>
  <c r="L50" i="569" s="1"/>
  <c r="F50" i="569"/>
  <c r="H50" i="569" s="1"/>
  <c r="W49" i="569"/>
  <c r="N49" i="569" s="1"/>
  <c r="O49" i="569" s="1"/>
  <c r="P49" i="569"/>
  <c r="K49" i="569"/>
  <c r="J49" i="569"/>
  <c r="H49" i="569"/>
  <c r="F49" i="569"/>
  <c r="AE48" i="569"/>
  <c r="AD48" i="569"/>
  <c r="AA48" i="569"/>
  <c r="Z48" i="569"/>
  <c r="G18" i="568" s="1"/>
  <c r="W48" i="569"/>
  <c r="M48" i="569"/>
  <c r="W47" i="569"/>
  <c r="H47" i="569"/>
  <c r="W46" i="569"/>
  <c r="W45" i="569"/>
  <c r="W44" i="569"/>
  <c r="W43" i="569"/>
  <c r="W42" i="569"/>
  <c r="AG41" i="569"/>
  <c r="AF41" i="569"/>
  <c r="W41" i="569"/>
  <c r="AG40" i="569"/>
  <c r="AF40" i="569"/>
  <c r="W40" i="569"/>
  <c r="AG39" i="569"/>
  <c r="W39" i="569"/>
  <c r="V39" i="569"/>
  <c r="N39" i="569"/>
  <c r="O39" i="569" s="1"/>
  <c r="K39" i="569"/>
  <c r="J39" i="569"/>
  <c r="P39" i="569" s="1"/>
  <c r="H39" i="569"/>
  <c r="F39" i="569"/>
  <c r="W38" i="569"/>
  <c r="P38" i="569"/>
  <c r="N38" i="569"/>
  <c r="N48" i="569" s="1"/>
  <c r="K38" i="569"/>
  <c r="L38" i="569" s="1"/>
  <c r="J38" i="569"/>
  <c r="F38" i="569"/>
  <c r="H38" i="569" s="1"/>
  <c r="AE37" i="569"/>
  <c r="AD37" i="569"/>
  <c r="AA37" i="569"/>
  <c r="F19" i="568" s="1"/>
  <c r="Z37" i="569"/>
  <c r="F18" i="568" s="1"/>
  <c r="M37" i="569"/>
  <c r="W36" i="569"/>
  <c r="H36" i="569"/>
  <c r="W35" i="569"/>
  <c r="W34" i="569"/>
  <c r="W33" i="569"/>
  <c r="W32" i="569"/>
  <c r="W31" i="569"/>
  <c r="V31" i="569"/>
  <c r="O31" i="569"/>
  <c r="N31" i="569"/>
  <c r="AG31" i="569" s="1"/>
  <c r="K31" i="569"/>
  <c r="J31" i="569"/>
  <c r="F31" i="569"/>
  <c r="H31" i="569" s="1"/>
  <c r="AG30" i="569"/>
  <c r="W30" i="569"/>
  <c r="V30" i="569"/>
  <c r="P30" i="569"/>
  <c r="O30" i="569"/>
  <c r="R30" i="569" s="1"/>
  <c r="N30" i="569"/>
  <c r="AF30" i="569" s="1"/>
  <c r="L30" i="569"/>
  <c r="J30" i="569"/>
  <c r="F30" i="569"/>
  <c r="H30" i="569" s="1"/>
  <c r="W29" i="569"/>
  <c r="N29" i="569" s="1"/>
  <c r="V29" i="569"/>
  <c r="K29" i="569"/>
  <c r="J29" i="569"/>
  <c r="P29" i="569" s="1"/>
  <c r="H29" i="569"/>
  <c r="F29" i="569"/>
  <c r="AG28" i="569"/>
  <c r="AF28" i="569"/>
  <c r="W28" i="569"/>
  <c r="V28" i="569"/>
  <c r="P28" i="569"/>
  <c r="N28" i="569"/>
  <c r="O28" i="569" s="1"/>
  <c r="R28" i="569" s="1"/>
  <c r="L28" i="569"/>
  <c r="K28" i="569"/>
  <c r="K37" i="569" s="1"/>
  <c r="J28" i="569"/>
  <c r="F28" i="569"/>
  <c r="H28" i="569" s="1"/>
  <c r="W27" i="569"/>
  <c r="N27" i="569" s="1"/>
  <c r="O27" i="569" s="1"/>
  <c r="J27" i="569"/>
  <c r="F27" i="569"/>
  <c r="H27" i="569" s="1"/>
  <c r="AE26" i="569"/>
  <c r="AD26" i="569"/>
  <c r="AA26" i="569"/>
  <c r="E19" i="568" s="1"/>
  <c r="Z26" i="569"/>
  <c r="E18" i="568" s="1"/>
  <c r="M26" i="569"/>
  <c r="P26" i="569" s="1"/>
  <c r="K26" i="569"/>
  <c r="J26" i="569"/>
  <c r="W25" i="569"/>
  <c r="H25" i="569"/>
  <c r="W24" i="569"/>
  <c r="H24" i="569"/>
  <c r="W23" i="569"/>
  <c r="W21" i="569"/>
  <c r="W20" i="569"/>
  <c r="N20" i="569" s="1"/>
  <c r="V20" i="569"/>
  <c r="P20" i="569"/>
  <c r="O20" i="569"/>
  <c r="L20" i="569"/>
  <c r="K20" i="569"/>
  <c r="J20" i="569"/>
  <c r="F20" i="569"/>
  <c r="H20" i="569" s="1"/>
  <c r="W19" i="569"/>
  <c r="V19" i="569"/>
  <c r="N19" i="569"/>
  <c r="L19" i="569"/>
  <c r="K19" i="569"/>
  <c r="J19" i="569"/>
  <c r="P19" i="569" s="1"/>
  <c r="H19" i="569"/>
  <c r="F19" i="569"/>
  <c r="AG18" i="569"/>
  <c r="AF18" i="569"/>
  <c r="W18" i="569"/>
  <c r="N18" i="569" s="1"/>
  <c r="V18" i="569"/>
  <c r="P18" i="569"/>
  <c r="O18" i="569"/>
  <c r="L18" i="569"/>
  <c r="K18" i="569"/>
  <c r="J18" i="569"/>
  <c r="H18" i="569"/>
  <c r="F18" i="569"/>
  <c r="W17" i="569"/>
  <c r="V17" i="569"/>
  <c r="N17" i="569"/>
  <c r="K17" i="569"/>
  <c r="L17" i="569" s="1"/>
  <c r="J17" i="569"/>
  <c r="P17" i="569" s="1"/>
  <c r="F17" i="569"/>
  <c r="H17" i="569" s="1"/>
  <c r="W16" i="569"/>
  <c r="N16" i="569" s="1"/>
  <c r="O16" i="569" s="1"/>
  <c r="Q16" i="569"/>
  <c r="P16" i="569"/>
  <c r="K16" i="569"/>
  <c r="L16" i="569" s="1"/>
  <c r="J16" i="569"/>
  <c r="H16" i="569"/>
  <c r="F16" i="569"/>
  <c r="AE15" i="569"/>
  <c r="D21" i="568" s="1"/>
  <c r="AD15" i="569"/>
  <c r="AA15" i="569"/>
  <c r="Z15" i="569"/>
  <c r="M15" i="569"/>
  <c r="W14" i="569"/>
  <c r="W13" i="569"/>
  <c r="W12" i="569"/>
  <c r="AG11" i="569"/>
  <c r="AF11" i="569"/>
  <c r="W11" i="569"/>
  <c r="AG10" i="569"/>
  <c r="AF10" i="569"/>
  <c r="W10" i="569"/>
  <c r="AG9" i="569"/>
  <c r="AF9" i="569"/>
  <c r="W9" i="569"/>
  <c r="AG8" i="569"/>
  <c r="AF8" i="569"/>
  <c r="W8" i="569"/>
  <c r="W7" i="569"/>
  <c r="N7" i="569" s="1"/>
  <c r="O7" i="569" s="1"/>
  <c r="V7" i="569"/>
  <c r="K7" i="569"/>
  <c r="J7" i="569"/>
  <c r="P7" i="569" s="1"/>
  <c r="F7" i="569"/>
  <c r="H7" i="569" s="1"/>
  <c r="W6" i="569"/>
  <c r="N6" i="569" s="1"/>
  <c r="V6" i="569"/>
  <c r="K6" i="569"/>
  <c r="J6" i="569"/>
  <c r="P6" i="569" s="1"/>
  <c r="H6" i="569"/>
  <c r="F6" i="569"/>
  <c r="AG5" i="569"/>
  <c r="W5" i="569"/>
  <c r="N5" i="569"/>
  <c r="K5" i="569"/>
  <c r="J5" i="569"/>
  <c r="H5" i="569"/>
  <c r="F5" i="569"/>
  <c r="I2" i="569"/>
  <c r="E1" i="569"/>
  <c r="G3" i="568" s="1"/>
  <c r="J22" i="568"/>
  <c r="G22" i="568"/>
  <c r="D22" i="568"/>
  <c r="I21" i="568"/>
  <c r="H21" i="568"/>
  <c r="G21" i="568"/>
  <c r="F21" i="568"/>
  <c r="E21" i="568"/>
  <c r="J20" i="568"/>
  <c r="I20" i="568"/>
  <c r="H20" i="568"/>
  <c r="G20" i="568"/>
  <c r="E20" i="568"/>
  <c r="D20" i="568"/>
  <c r="J19" i="568"/>
  <c r="I19" i="568"/>
  <c r="H19" i="568"/>
  <c r="G19" i="568"/>
  <c r="J18" i="568"/>
  <c r="H18" i="568"/>
  <c r="D18" i="568"/>
  <c r="L6" i="568" s="1"/>
  <c r="J16" i="568"/>
  <c r="I16" i="568"/>
  <c r="H16" i="568"/>
  <c r="G16" i="568"/>
  <c r="F16" i="568"/>
  <c r="E16" i="568"/>
  <c r="D16" i="568"/>
  <c r="J15" i="568"/>
  <c r="J14" i="568"/>
  <c r="J13" i="568"/>
  <c r="O8" i="568"/>
  <c r="N8" i="568"/>
  <c r="M8" i="568"/>
  <c r="L8" i="568"/>
  <c r="O7" i="568"/>
  <c r="N7" i="568"/>
  <c r="M7" i="568"/>
  <c r="L7" i="568"/>
  <c r="AE79" i="567"/>
  <c r="AD79" i="567"/>
  <c r="AA79" i="567"/>
  <c r="Z79" i="567"/>
  <c r="P79" i="567"/>
  <c r="N79" i="567"/>
  <c r="M79" i="567"/>
  <c r="K79" i="567"/>
  <c r="J79" i="567"/>
  <c r="W78" i="567"/>
  <c r="H78" i="567"/>
  <c r="W77" i="567"/>
  <c r="H77" i="567"/>
  <c r="W76" i="567"/>
  <c r="H76" i="567"/>
  <c r="W75" i="567"/>
  <c r="H75" i="567"/>
  <c r="W74" i="567"/>
  <c r="W73" i="567"/>
  <c r="W72" i="567"/>
  <c r="W71" i="567"/>
  <c r="W70" i="567"/>
  <c r="N70" i="567" s="1"/>
  <c r="P70" i="567"/>
  <c r="L70" i="567"/>
  <c r="L79" i="567" s="1"/>
  <c r="J13" i="566" s="1"/>
  <c r="F70" i="567"/>
  <c r="H70" i="567" s="1"/>
  <c r="AE69" i="567"/>
  <c r="AD69" i="567"/>
  <c r="AA69" i="567"/>
  <c r="I19" i="566" s="1"/>
  <c r="Z69" i="567"/>
  <c r="I18" i="566" s="1"/>
  <c r="M69" i="567"/>
  <c r="W68" i="567"/>
  <c r="H68" i="567"/>
  <c r="W67" i="567"/>
  <c r="W66" i="567"/>
  <c r="W65" i="567"/>
  <c r="W64" i="567"/>
  <c r="W63" i="567"/>
  <c r="W62" i="567"/>
  <c r="V62" i="567"/>
  <c r="P62" i="567"/>
  <c r="O62" i="567"/>
  <c r="N62" i="567"/>
  <c r="K62" i="567"/>
  <c r="L62" i="567" s="1"/>
  <c r="J62" i="567"/>
  <c r="F62" i="567"/>
  <c r="H62" i="567" s="1"/>
  <c r="W61" i="567"/>
  <c r="N61" i="567" s="1"/>
  <c r="V61" i="567"/>
  <c r="P61" i="567"/>
  <c r="K61" i="567"/>
  <c r="J61" i="567"/>
  <c r="L61" i="567" s="1"/>
  <c r="F61" i="567"/>
  <c r="H61" i="567" s="1"/>
  <c r="W60" i="567"/>
  <c r="N60" i="567" s="1"/>
  <c r="V60" i="567"/>
  <c r="L60" i="567"/>
  <c r="K60" i="567"/>
  <c r="K69" i="567" s="1"/>
  <c r="J60" i="567"/>
  <c r="P60" i="567" s="1"/>
  <c r="H60" i="567"/>
  <c r="F60" i="567"/>
  <c r="AG59" i="567"/>
  <c r="AF59" i="567"/>
  <c r="W59" i="567"/>
  <c r="N59" i="567"/>
  <c r="N69" i="567" s="1"/>
  <c r="K59" i="567"/>
  <c r="J59" i="567"/>
  <c r="F59" i="567"/>
  <c r="H59" i="567" s="1"/>
  <c r="AE58" i="567"/>
  <c r="AD58" i="567"/>
  <c r="AA58" i="567"/>
  <c r="Z58" i="567"/>
  <c r="N58" i="567"/>
  <c r="M58" i="567"/>
  <c r="W57" i="567"/>
  <c r="W56" i="567"/>
  <c r="W55" i="567"/>
  <c r="W54" i="567"/>
  <c r="W53" i="567"/>
  <c r="N53" i="567" s="1"/>
  <c r="V53" i="567"/>
  <c r="P53" i="567"/>
  <c r="L53" i="567"/>
  <c r="K53" i="567"/>
  <c r="F53" i="567"/>
  <c r="H53" i="567" s="1"/>
  <c r="AF52" i="567"/>
  <c r="W52" i="567"/>
  <c r="N52" i="567" s="1"/>
  <c r="V52" i="567"/>
  <c r="K52" i="567"/>
  <c r="L52" i="567" s="1"/>
  <c r="J52" i="567"/>
  <c r="P52" i="567" s="1"/>
  <c r="F52" i="567"/>
  <c r="H52" i="567" s="1"/>
  <c r="AG51" i="567"/>
  <c r="AF51" i="567"/>
  <c r="W51" i="567"/>
  <c r="V51" i="567"/>
  <c r="N51" i="567"/>
  <c r="O51" i="567" s="1"/>
  <c r="K51" i="567"/>
  <c r="J51" i="567"/>
  <c r="F51" i="567"/>
  <c r="H51" i="567" s="1"/>
  <c r="W50" i="567"/>
  <c r="N50" i="567" s="1"/>
  <c r="V50" i="567"/>
  <c r="P50" i="567"/>
  <c r="L50" i="567"/>
  <c r="K50" i="567"/>
  <c r="K58" i="567" s="1"/>
  <c r="H50" i="567"/>
  <c r="F50" i="567"/>
  <c r="W49" i="567"/>
  <c r="O49" i="567"/>
  <c r="N49" i="567"/>
  <c r="L49" i="567"/>
  <c r="K49" i="567"/>
  <c r="J49" i="567"/>
  <c r="P49" i="567" s="1"/>
  <c r="H49" i="567"/>
  <c r="F49" i="567"/>
  <c r="AE48" i="567"/>
  <c r="AD48" i="567"/>
  <c r="G20" i="566" s="1"/>
  <c r="AA48" i="567"/>
  <c r="Z48" i="567"/>
  <c r="G18" i="566" s="1"/>
  <c r="W48" i="567"/>
  <c r="M48" i="567"/>
  <c r="W47" i="567"/>
  <c r="H47" i="567"/>
  <c r="W46" i="567"/>
  <c r="W45" i="567"/>
  <c r="W44" i="567"/>
  <c r="W43" i="567"/>
  <c r="W42" i="567"/>
  <c r="AG41" i="567"/>
  <c r="AF41" i="567"/>
  <c r="W41" i="567"/>
  <c r="AF40" i="567"/>
  <c r="W40" i="567"/>
  <c r="V40" i="567"/>
  <c r="R40" i="567"/>
  <c r="N40" i="567"/>
  <c r="O40" i="567" s="1"/>
  <c r="Q40" i="567" s="1"/>
  <c r="K40" i="567"/>
  <c r="L40" i="567" s="1"/>
  <c r="J40" i="567"/>
  <c r="P40" i="567" s="1"/>
  <c r="F40" i="567"/>
  <c r="H40" i="567" s="1"/>
  <c r="W39" i="567"/>
  <c r="N39" i="567" s="1"/>
  <c r="V39" i="567"/>
  <c r="K39" i="567"/>
  <c r="L39" i="567" s="1"/>
  <c r="J39" i="567"/>
  <c r="P39" i="567" s="1"/>
  <c r="F39" i="567"/>
  <c r="H39" i="567" s="1"/>
  <c r="W38" i="567"/>
  <c r="N38" i="567"/>
  <c r="K38" i="567"/>
  <c r="J38" i="567"/>
  <c r="H38" i="567"/>
  <c r="F38" i="567"/>
  <c r="AE37" i="567"/>
  <c r="AD37" i="567"/>
  <c r="F20" i="566" s="1"/>
  <c r="AA37" i="567"/>
  <c r="Z37" i="567"/>
  <c r="M37" i="567"/>
  <c r="W36" i="567"/>
  <c r="H36" i="567"/>
  <c r="W35" i="567"/>
  <c r="W34" i="567"/>
  <c r="W33" i="567"/>
  <c r="W32" i="567"/>
  <c r="AG31" i="567"/>
  <c r="AF31" i="567"/>
  <c r="W31" i="567"/>
  <c r="V31" i="567"/>
  <c r="P31" i="567"/>
  <c r="N31" i="567"/>
  <c r="O31" i="567" s="1"/>
  <c r="L31" i="567"/>
  <c r="J31" i="567"/>
  <c r="F31" i="567"/>
  <c r="H31" i="567" s="1"/>
  <c r="AG30" i="567"/>
  <c r="W30" i="567"/>
  <c r="V30" i="567"/>
  <c r="N30" i="567"/>
  <c r="K30" i="567"/>
  <c r="L30" i="567" s="1"/>
  <c r="J30" i="567"/>
  <c r="P30" i="567" s="1"/>
  <c r="H30" i="567"/>
  <c r="F30" i="567"/>
  <c r="W29" i="567"/>
  <c r="V29" i="567"/>
  <c r="P29" i="567"/>
  <c r="N29" i="567"/>
  <c r="K29" i="567"/>
  <c r="J29" i="567"/>
  <c r="F29" i="567"/>
  <c r="H29" i="567" s="1"/>
  <c r="W28" i="567"/>
  <c r="V28" i="567"/>
  <c r="P28" i="567"/>
  <c r="N28" i="567"/>
  <c r="K28" i="567"/>
  <c r="L28" i="567" s="1"/>
  <c r="J28" i="567"/>
  <c r="F28" i="567"/>
  <c r="H28" i="567" s="1"/>
  <c r="AG27" i="567"/>
  <c r="AF27" i="567"/>
  <c r="W27" i="567"/>
  <c r="N27" i="567"/>
  <c r="O27" i="567" s="1"/>
  <c r="J27" i="567"/>
  <c r="P27" i="567" s="1"/>
  <c r="F27" i="567"/>
  <c r="H27" i="567" s="1"/>
  <c r="AE26" i="567"/>
  <c r="E21" i="566" s="1"/>
  <c r="AD26" i="567"/>
  <c r="E20" i="566" s="1"/>
  <c r="AA26" i="567"/>
  <c r="E19" i="566" s="1"/>
  <c r="Z26" i="567"/>
  <c r="M26" i="567"/>
  <c r="E22" i="566" s="1"/>
  <c r="J26" i="567"/>
  <c r="W25" i="567"/>
  <c r="H25" i="567"/>
  <c r="W24" i="567"/>
  <c r="W23" i="567"/>
  <c r="V23" i="567"/>
  <c r="N23" i="567"/>
  <c r="O23" i="567" s="1"/>
  <c r="K23" i="567"/>
  <c r="J23" i="567"/>
  <c r="P23" i="567" s="1"/>
  <c r="H23" i="567"/>
  <c r="F23" i="567"/>
  <c r="W22" i="567"/>
  <c r="V22" i="567"/>
  <c r="N22" i="567"/>
  <c r="O22" i="567" s="1"/>
  <c r="K22" i="567"/>
  <c r="L22" i="567" s="1"/>
  <c r="J22" i="567"/>
  <c r="P22" i="567" s="1"/>
  <c r="H22" i="567"/>
  <c r="F22" i="567"/>
  <c r="W21" i="567"/>
  <c r="V21" i="567"/>
  <c r="N21" i="567"/>
  <c r="O21" i="567" s="1"/>
  <c r="K21" i="567"/>
  <c r="J21" i="567"/>
  <c r="P21" i="567" s="1"/>
  <c r="H21" i="567"/>
  <c r="F21" i="567"/>
  <c r="W20" i="567"/>
  <c r="V20" i="567"/>
  <c r="N20" i="567"/>
  <c r="O20" i="567" s="1"/>
  <c r="K20" i="567"/>
  <c r="J20" i="567"/>
  <c r="P20" i="567" s="1"/>
  <c r="H20" i="567"/>
  <c r="F20" i="567"/>
  <c r="W19" i="567"/>
  <c r="V19" i="567"/>
  <c r="P19" i="567"/>
  <c r="N19" i="567"/>
  <c r="L19" i="567"/>
  <c r="K19" i="567"/>
  <c r="J19" i="567"/>
  <c r="F19" i="567"/>
  <c r="H19" i="567" s="1"/>
  <c r="W18" i="567"/>
  <c r="V18" i="567"/>
  <c r="P18" i="567"/>
  <c r="N18" i="567"/>
  <c r="K18" i="567"/>
  <c r="J18" i="567"/>
  <c r="L18" i="567" s="1"/>
  <c r="F18" i="567"/>
  <c r="H18" i="567" s="1"/>
  <c r="W17" i="567"/>
  <c r="N17" i="567" s="1"/>
  <c r="V17" i="567"/>
  <c r="P17" i="567"/>
  <c r="K17" i="567"/>
  <c r="J17" i="567"/>
  <c r="L17" i="567" s="1"/>
  <c r="F17" i="567"/>
  <c r="H17" i="567" s="1"/>
  <c r="W16" i="567"/>
  <c r="N16" i="567" s="1"/>
  <c r="K16" i="567"/>
  <c r="L16" i="567" s="1"/>
  <c r="J16" i="567"/>
  <c r="P16" i="567" s="1"/>
  <c r="F16" i="567"/>
  <c r="H16" i="567" s="1"/>
  <c r="AE15" i="567"/>
  <c r="AD15" i="567"/>
  <c r="AA15" i="567"/>
  <c r="Z15" i="567"/>
  <c r="M15" i="567"/>
  <c r="K15" i="567"/>
  <c r="W14" i="567"/>
  <c r="W13" i="567"/>
  <c r="W12" i="567"/>
  <c r="AG11" i="567"/>
  <c r="AF11" i="567"/>
  <c r="W11" i="567"/>
  <c r="AG10" i="567"/>
  <c r="AF10" i="567"/>
  <c r="W10" i="567"/>
  <c r="AG9" i="567"/>
  <c r="AF9" i="567"/>
  <c r="W9" i="567"/>
  <c r="W8" i="567"/>
  <c r="V8" i="567"/>
  <c r="P8" i="567"/>
  <c r="N8" i="567"/>
  <c r="L8" i="567"/>
  <c r="K8" i="567"/>
  <c r="J8" i="567"/>
  <c r="F8" i="567"/>
  <c r="H8" i="567" s="1"/>
  <c r="W7" i="567"/>
  <c r="V7" i="567"/>
  <c r="P7" i="567"/>
  <c r="N7" i="567"/>
  <c r="K7" i="567"/>
  <c r="J7" i="567"/>
  <c r="L7" i="567" s="1"/>
  <c r="F7" i="567"/>
  <c r="H7" i="567" s="1"/>
  <c r="W6" i="567"/>
  <c r="N6" i="567" s="1"/>
  <c r="V6" i="567"/>
  <c r="P6" i="567"/>
  <c r="K6" i="567"/>
  <c r="J6" i="567"/>
  <c r="L6" i="567" s="1"/>
  <c r="F6" i="567"/>
  <c r="H6" i="567" s="1"/>
  <c r="AF5" i="567"/>
  <c r="W5" i="567"/>
  <c r="N5" i="567" s="1"/>
  <c r="K5" i="567"/>
  <c r="L5" i="567" s="1"/>
  <c r="L15" i="567" s="1"/>
  <c r="D13" i="566" s="1"/>
  <c r="J5" i="567"/>
  <c r="J15" i="567" s="1"/>
  <c r="F5" i="567"/>
  <c r="H5" i="567" s="1"/>
  <c r="AE2" i="567"/>
  <c r="AD2" i="567"/>
  <c r="I2" i="567"/>
  <c r="E1" i="567"/>
  <c r="J22" i="566"/>
  <c r="I22" i="566"/>
  <c r="H22" i="566"/>
  <c r="G22" i="566"/>
  <c r="F22" i="566"/>
  <c r="J21" i="566"/>
  <c r="I21" i="566"/>
  <c r="H21" i="566"/>
  <c r="G21" i="566"/>
  <c r="F21" i="566"/>
  <c r="D21" i="566"/>
  <c r="J20" i="566"/>
  <c r="I20" i="566"/>
  <c r="H20" i="566"/>
  <c r="D20" i="566"/>
  <c r="J19" i="566"/>
  <c r="H19" i="566"/>
  <c r="G19" i="566"/>
  <c r="F19" i="566"/>
  <c r="D19" i="566"/>
  <c r="J18" i="566"/>
  <c r="H18" i="566"/>
  <c r="F18" i="566"/>
  <c r="E18" i="566"/>
  <c r="D18" i="566"/>
  <c r="J16" i="566"/>
  <c r="I16" i="566"/>
  <c r="H16" i="566"/>
  <c r="G16" i="566"/>
  <c r="F16" i="566"/>
  <c r="E16" i="566"/>
  <c r="D16" i="566"/>
  <c r="O8" i="566"/>
  <c r="N8" i="566"/>
  <c r="M8" i="566"/>
  <c r="L8" i="566"/>
  <c r="O7" i="566"/>
  <c r="N7" i="566"/>
  <c r="M7" i="566"/>
  <c r="L7" i="566"/>
  <c r="G3" i="566"/>
  <c r="AG79" i="563"/>
  <c r="AH70" i="563" s="1"/>
  <c r="AF79" i="563"/>
  <c r="AE79" i="563"/>
  <c r="AD79" i="563"/>
  <c r="AA79" i="563"/>
  <c r="Z79" i="563"/>
  <c r="W78" i="563"/>
  <c r="W77" i="563"/>
  <c r="W76" i="563"/>
  <c r="W75" i="563"/>
  <c r="W74" i="563"/>
  <c r="W73" i="563"/>
  <c r="W72" i="563"/>
  <c r="W71" i="563"/>
  <c r="AG70" i="563"/>
  <c r="AF70" i="563"/>
  <c r="W70" i="563"/>
  <c r="S70" i="563"/>
  <c r="AE69" i="563"/>
  <c r="AD69" i="563"/>
  <c r="AA69" i="563"/>
  <c r="I19" i="562" s="1"/>
  <c r="Z69" i="563"/>
  <c r="I18" i="562" s="1"/>
  <c r="M69" i="563"/>
  <c r="W68" i="563"/>
  <c r="H68" i="563"/>
  <c r="W67" i="563"/>
  <c r="W66" i="563"/>
  <c r="W65" i="563"/>
  <c r="W64" i="563"/>
  <c r="V64" i="563"/>
  <c r="N64" i="563"/>
  <c r="O64" i="563" s="1"/>
  <c r="K64" i="563"/>
  <c r="L64" i="563" s="1"/>
  <c r="J64" i="563"/>
  <c r="P64" i="563" s="1"/>
  <c r="H64" i="563"/>
  <c r="F64" i="563"/>
  <c r="W63" i="563"/>
  <c r="V63" i="563"/>
  <c r="N63" i="563"/>
  <c r="O63" i="563" s="1"/>
  <c r="K63" i="563"/>
  <c r="J63" i="563"/>
  <c r="P63" i="563" s="1"/>
  <c r="H63" i="563"/>
  <c r="F63" i="563"/>
  <c r="W62" i="563"/>
  <c r="V62" i="563"/>
  <c r="P62" i="563"/>
  <c r="N62" i="563"/>
  <c r="K62" i="563"/>
  <c r="L62" i="563" s="1"/>
  <c r="J62" i="563"/>
  <c r="F62" i="563"/>
  <c r="H62" i="563" s="1"/>
  <c r="W61" i="563"/>
  <c r="V61" i="563"/>
  <c r="P61" i="563"/>
  <c r="N61" i="563"/>
  <c r="K61" i="563"/>
  <c r="J61" i="563"/>
  <c r="L61" i="563" s="1"/>
  <c r="F61" i="563"/>
  <c r="H61" i="563" s="1"/>
  <c r="W60" i="563"/>
  <c r="N60" i="563" s="1"/>
  <c r="V60" i="563"/>
  <c r="P60" i="563"/>
  <c r="K60" i="563"/>
  <c r="J60" i="563"/>
  <c r="L60" i="563" s="1"/>
  <c r="F60" i="563"/>
  <c r="H60" i="563" s="1"/>
  <c r="W59" i="563"/>
  <c r="N59" i="563" s="1"/>
  <c r="K59" i="563"/>
  <c r="L59" i="563" s="1"/>
  <c r="J59" i="563"/>
  <c r="P59" i="563" s="1"/>
  <c r="F59" i="563"/>
  <c r="H59" i="563" s="1"/>
  <c r="AE58" i="563"/>
  <c r="AD58" i="563"/>
  <c r="AA58" i="563"/>
  <c r="Z58" i="563"/>
  <c r="M58" i="563"/>
  <c r="W57" i="563"/>
  <c r="W56" i="563"/>
  <c r="W55" i="563"/>
  <c r="W54" i="563"/>
  <c r="W53" i="563"/>
  <c r="N53" i="563" s="1"/>
  <c r="V53" i="563"/>
  <c r="P53" i="563"/>
  <c r="L53" i="563"/>
  <c r="K53" i="563"/>
  <c r="H53" i="563"/>
  <c r="F53" i="563"/>
  <c r="W52" i="563"/>
  <c r="V52" i="563"/>
  <c r="R52" i="563"/>
  <c r="Q52" i="563"/>
  <c r="P52" i="563"/>
  <c r="N52" i="563"/>
  <c r="O52" i="563" s="1"/>
  <c r="K52" i="563"/>
  <c r="L52" i="563" s="1"/>
  <c r="J52" i="563"/>
  <c r="F52" i="563"/>
  <c r="H52" i="563" s="1"/>
  <c r="AF51" i="563"/>
  <c r="W51" i="563"/>
  <c r="N51" i="563" s="1"/>
  <c r="V51" i="563"/>
  <c r="K51" i="563"/>
  <c r="L51" i="563" s="1"/>
  <c r="J51" i="563"/>
  <c r="P51" i="563" s="1"/>
  <c r="F51" i="563"/>
  <c r="H51" i="563" s="1"/>
  <c r="AG50" i="563"/>
  <c r="AF50" i="563"/>
  <c r="W50" i="563"/>
  <c r="V50" i="563"/>
  <c r="P50" i="563"/>
  <c r="N50" i="563"/>
  <c r="O50" i="563" s="1"/>
  <c r="L50" i="563"/>
  <c r="K50" i="563"/>
  <c r="F50" i="563"/>
  <c r="H50" i="563" s="1"/>
  <c r="W49" i="563"/>
  <c r="N49" i="563" s="1"/>
  <c r="L49" i="563"/>
  <c r="L58" i="563" s="1"/>
  <c r="H13" i="562" s="1"/>
  <c r="K49" i="563"/>
  <c r="K58" i="563" s="1"/>
  <c r="J49" i="563"/>
  <c r="H49" i="563"/>
  <c r="F49" i="563"/>
  <c r="AE48" i="563"/>
  <c r="AD48" i="563"/>
  <c r="AA48" i="563"/>
  <c r="Z48" i="563"/>
  <c r="G18" i="562" s="1"/>
  <c r="W48" i="563"/>
  <c r="M48" i="563"/>
  <c r="W47" i="563"/>
  <c r="H47" i="563"/>
  <c r="W46" i="563"/>
  <c r="W45" i="563"/>
  <c r="W44" i="563"/>
  <c r="W43" i="563"/>
  <c r="W42" i="563"/>
  <c r="V42" i="563"/>
  <c r="N42" i="563"/>
  <c r="O42" i="563" s="1"/>
  <c r="K42" i="563"/>
  <c r="J42" i="563"/>
  <c r="F42" i="563"/>
  <c r="H42" i="563" s="1"/>
  <c r="W41" i="563"/>
  <c r="N41" i="563" s="1"/>
  <c r="V41" i="563"/>
  <c r="K41" i="563"/>
  <c r="K48" i="563" s="1"/>
  <c r="J41" i="563"/>
  <c r="P41" i="563" s="1"/>
  <c r="F41" i="563"/>
  <c r="H41" i="563" s="1"/>
  <c r="W40" i="563"/>
  <c r="V40" i="563"/>
  <c r="N40" i="563"/>
  <c r="L40" i="563"/>
  <c r="K40" i="563"/>
  <c r="J40" i="563"/>
  <c r="P40" i="563" s="1"/>
  <c r="H40" i="563"/>
  <c r="F40" i="563"/>
  <c r="W39" i="563"/>
  <c r="N39" i="563" s="1"/>
  <c r="V39" i="563"/>
  <c r="P39" i="563"/>
  <c r="O39" i="563"/>
  <c r="K39" i="563"/>
  <c r="L39" i="563" s="1"/>
  <c r="J39" i="563"/>
  <c r="H39" i="563"/>
  <c r="F39" i="563"/>
  <c r="W38" i="563"/>
  <c r="N38" i="563" s="1"/>
  <c r="L38" i="563"/>
  <c r="K38" i="563"/>
  <c r="J38" i="563"/>
  <c r="P38" i="563" s="1"/>
  <c r="H38" i="563"/>
  <c r="F38" i="563"/>
  <c r="AE37" i="563"/>
  <c r="F21" i="562" s="1"/>
  <c r="AD37" i="563"/>
  <c r="AA37" i="563"/>
  <c r="Z37" i="563"/>
  <c r="M37" i="563"/>
  <c r="K37" i="563"/>
  <c r="W36" i="563"/>
  <c r="H36" i="563"/>
  <c r="W35" i="563"/>
  <c r="W34" i="563"/>
  <c r="W33" i="563"/>
  <c r="W32" i="563"/>
  <c r="W31" i="563"/>
  <c r="V31" i="563"/>
  <c r="Q31" i="563"/>
  <c r="N31" i="563"/>
  <c r="O31" i="563" s="1"/>
  <c r="R31" i="563" s="1"/>
  <c r="K31" i="563"/>
  <c r="L31" i="563" s="1"/>
  <c r="J31" i="563"/>
  <c r="P31" i="563" s="1"/>
  <c r="F31" i="563"/>
  <c r="H31" i="563" s="1"/>
  <c r="W30" i="563"/>
  <c r="N30" i="563" s="1"/>
  <c r="V30" i="563"/>
  <c r="K30" i="563"/>
  <c r="L30" i="563" s="1"/>
  <c r="J30" i="563"/>
  <c r="P30" i="563" s="1"/>
  <c r="F30" i="563"/>
  <c r="H30" i="563" s="1"/>
  <c r="AG29" i="563"/>
  <c r="AF29" i="563"/>
  <c r="W29" i="563"/>
  <c r="V29" i="563"/>
  <c r="N29" i="563"/>
  <c r="O29" i="563" s="1"/>
  <c r="K29" i="563"/>
  <c r="J29" i="563"/>
  <c r="H29" i="563"/>
  <c r="F29" i="563"/>
  <c r="W28" i="563"/>
  <c r="N28" i="563" s="1"/>
  <c r="V28" i="563"/>
  <c r="K28" i="563"/>
  <c r="L28" i="563" s="1"/>
  <c r="J28" i="563"/>
  <c r="P28" i="563" s="1"/>
  <c r="F28" i="563"/>
  <c r="H28" i="563" s="1"/>
  <c r="W27" i="563"/>
  <c r="P27" i="563"/>
  <c r="N27" i="563"/>
  <c r="K27" i="563"/>
  <c r="L27" i="563" s="1"/>
  <c r="J27" i="563"/>
  <c r="F27" i="563"/>
  <c r="H27" i="563" s="1"/>
  <c r="AE26" i="563"/>
  <c r="E21" i="562" s="1"/>
  <c r="AD26" i="563"/>
  <c r="AA26" i="563"/>
  <c r="E19" i="562" s="1"/>
  <c r="Z26" i="563"/>
  <c r="E18" i="562" s="1"/>
  <c r="M26" i="563"/>
  <c r="W25" i="563"/>
  <c r="H25" i="563"/>
  <c r="W24" i="563"/>
  <c r="W23" i="563"/>
  <c r="W21" i="563"/>
  <c r="V21" i="563"/>
  <c r="N21" i="563"/>
  <c r="O21" i="563" s="1"/>
  <c r="K21" i="563"/>
  <c r="J21" i="563"/>
  <c r="H21" i="563"/>
  <c r="F21" i="563"/>
  <c r="W20" i="563"/>
  <c r="V20" i="563"/>
  <c r="N20" i="563"/>
  <c r="O20" i="563" s="1"/>
  <c r="K20" i="563"/>
  <c r="J20" i="563"/>
  <c r="F20" i="563"/>
  <c r="H20" i="563" s="1"/>
  <c r="W19" i="563"/>
  <c r="N19" i="563" s="1"/>
  <c r="V19" i="563"/>
  <c r="K19" i="563"/>
  <c r="K26" i="563" s="1"/>
  <c r="J19" i="563"/>
  <c r="F19" i="563"/>
  <c r="H19" i="563" s="1"/>
  <c r="W18" i="563"/>
  <c r="V18" i="563"/>
  <c r="O18" i="563"/>
  <c r="N18" i="563"/>
  <c r="L18" i="563"/>
  <c r="K18" i="563"/>
  <c r="J18" i="563"/>
  <c r="P18" i="563" s="1"/>
  <c r="H18" i="563"/>
  <c r="F18" i="563"/>
  <c r="W17" i="563"/>
  <c r="N17" i="563" s="1"/>
  <c r="V17" i="563"/>
  <c r="P17" i="563"/>
  <c r="O17" i="563"/>
  <c r="K17" i="563"/>
  <c r="L17" i="563" s="1"/>
  <c r="J17" i="563"/>
  <c r="H17" i="563"/>
  <c r="F17" i="563"/>
  <c r="W16" i="563"/>
  <c r="N16" i="563" s="1"/>
  <c r="L16" i="563"/>
  <c r="K16" i="563"/>
  <c r="J16" i="563"/>
  <c r="P16" i="563" s="1"/>
  <c r="H16" i="563"/>
  <c r="F16" i="563"/>
  <c r="AE15" i="563"/>
  <c r="AD15" i="563"/>
  <c r="AA15" i="563"/>
  <c r="Z15" i="563"/>
  <c r="M15" i="563"/>
  <c r="W14" i="563"/>
  <c r="W13" i="563"/>
  <c r="W12" i="563"/>
  <c r="AG11" i="563"/>
  <c r="AF11" i="563"/>
  <c r="W11" i="563"/>
  <c r="AG10" i="563"/>
  <c r="AF10" i="563"/>
  <c r="W10" i="563"/>
  <c r="AG9" i="563"/>
  <c r="AF9" i="563"/>
  <c r="W9" i="563"/>
  <c r="N9" i="563" s="1"/>
  <c r="O9" i="563" s="1"/>
  <c r="V9" i="563"/>
  <c r="P9" i="563"/>
  <c r="K9" i="563"/>
  <c r="L9" i="563" s="1"/>
  <c r="J9" i="563"/>
  <c r="F9" i="563"/>
  <c r="H9" i="563" s="1"/>
  <c r="W8" i="563"/>
  <c r="V8" i="563"/>
  <c r="N8" i="563"/>
  <c r="AF8" i="563" s="1"/>
  <c r="K8" i="563"/>
  <c r="L8" i="563" s="1"/>
  <c r="J8" i="563"/>
  <c r="P8" i="563" s="1"/>
  <c r="H8" i="563"/>
  <c r="F8" i="563"/>
  <c r="W7" i="563"/>
  <c r="V7" i="563"/>
  <c r="P7" i="563"/>
  <c r="N7" i="563"/>
  <c r="L7" i="563"/>
  <c r="K7" i="563"/>
  <c r="J7" i="563"/>
  <c r="F7" i="563"/>
  <c r="H7" i="563" s="1"/>
  <c r="W6" i="563"/>
  <c r="V6" i="563"/>
  <c r="P6" i="563"/>
  <c r="N6" i="563"/>
  <c r="K6" i="563"/>
  <c r="L6" i="563" s="1"/>
  <c r="J6" i="563"/>
  <c r="F6" i="563"/>
  <c r="H6" i="563" s="1"/>
  <c r="AF5" i="563"/>
  <c r="W5" i="563"/>
  <c r="R5" i="563"/>
  <c r="N5" i="563"/>
  <c r="O5" i="563" s="1"/>
  <c r="K5" i="563"/>
  <c r="L5" i="563" s="1"/>
  <c r="Q5" i="563" s="1"/>
  <c r="J5" i="563"/>
  <c r="P5" i="563" s="1"/>
  <c r="F5" i="563"/>
  <c r="H5" i="563" s="1"/>
  <c r="AD2" i="563"/>
  <c r="AA2" i="563"/>
  <c r="Z2" i="563"/>
  <c r="I2" i="563"/>
  <c r="E1" i="563"/>
  <c r="J22" i="562"/>
  <c r="I22" i="562"/>
  <c r="G22" i="562"/>
  <c r="F22" i="562"/>
  <c r="E22" i="562"/>
  <c r="D22" i="562"/>
  <c r="J21" i="562"/>
  <c r="I21" i="562"/>
  <c r="H21" i="562"/>
  <c r="G21" i="562"/>
  <c r="J20" i="562"/>
  <c r="I20" i="562"/>
  <c r="H20" i="562"/>
  <c r="G20" i="562"/>
  <c r="O6" i="562" s="1"/>
  <c r="F20" i="562"/>
  <c r="E20" i="562"/>
  <c r="D20" i="562"/>
  <c r="J19" i="562"/>
  <c r="H19" i="562"/>
  <c r="G19" i="562"/>
  <c r="F19" i="562"/>
  <c r="D19" i="562"/>
  <c r="M6" i="562" s="1"/>
  <c r="J18" i="562"/>
  <c r="H18" i="562"/>
  <c r="F18" i="562"/>
  <c r="D18" i="562"/>
  <c r="J16" i="562"/>
  <c r="I16" i="562"/>
  <c r="H16" i="562"/>
  <c r="G16" i="562"/>
  <c r="F16" i="562"/>
  <c r="E16" i="562"/>
  <c r="D16" i="562"/>
  <c r="J15" i="562"/>
  <c r="J14" i="562"/>
  <c r="J13" i="562"/>
  <c r="O8" i="562"/>
  <c r="N8" i="562"/>
  <c r="M8" i="562"/>
  <c r="L8" i="562"/>
  <c r="O7" i="562"/>
  <c r="N7" i="562"/>
  <c r="M7" i="562"/>
  <c r="L7" i="562"/>
  <c r="G3" i="562"/>
  <c r="AE79" i="559"/>
  <c r="J21" i="558" s="1"/>
  <c r="AD79" i="559"/>
  <c r="J20" i="558" s="1"/>
  <c r="AA79" i="559"/>
  <c r="Z79" i="559"/>
  <c r="M79" i="559"/>
  <c r="K79" i="559"/>
  <c r="W78" i="559"/>
  <c r="H78" i="559"/>
  <c r="W77" i="559"/>
  <c r="H77" i="559"/>
  <c r="W76" i="559"/>
  <c r="H76" i="559"/>
  <c r="W75" i="559"/>
  <c r="H75" i="559"/>
  <c r="W74" i="559"/>
  <c r="W73" i="559"/>
  <c r="W72" i="559"/>
  <c r="N72" i="559" s="1"/>
  <c r="O72" i="559" s="1"/>
  <c r="Q72" i="559" s="1"/>
  <c r="V72" i="559"/>
  <c r="R72" i="559"/>
  <c r="L72" i="559"/>
  <c r="K72" i="559"/>
  <c r="J72" i="559"/>
  <c r="P72" i="559" s="1"/>
  <c r="H72" i="559"/>
  <c r="F72" i="559"/>
  <c r="W71" i="559"/>
  <c r="N71" i="559" s="1"/>
  <c r="O71" i="559" s="1"/>
  <c r="V71" i="559"/>
  <c r="L71" i="559"/>
  <c r="K71" i="559"/>
  <c r="J71" i="559"/>
  <c r="P71" i="559" s="1"/>
  <c r="H71" i="559"/>
  <c r="F71" i="559"/>
  <c r="AG70" i="559"/>
  <c r="AF70" i="559"/>
  <c r="W70" i="559"/>
  <c r="N70" i="559"/>
  <c r="O70" i="559" s="1"/>
  <c r="K70" i="559"/>
  <c r="J70" i="559"/>
  <c r="H70" i="559"/>
  <c r="F70" i="559"/>
  <c r="AE69" i="559"/>
  <c r="AD69" i="559"/>
  <c r="AA69" i="559"/>
  <c r="Z69" i="559"/>
  <c r="M69" i="559"/>
  <c r="W68" i="559"/>
  <c r="H68" i="559"/>
  <c r="W67" i="559"/>
  <c r="W66" i="559"/>
  <c r="W65" i="559"/>
  <c r="W64" i="559"/>
  <c r="W63" i="559"/>
  <c r="N63" i="559" s="1"/>
  <c r="O63" i="559" s="1"/>
  <c r="Q63" i="559" s="1"/>
  <c r="V63" i="559"/>
  <c r="R63" i="559"/>
  <c r="L63" i="559"/>
  <c r="K63" i="559"/>
  <c r="J63" i="559"/>
  <c r="P63" i="559" s="1"/>
  <c r="H63" i="559"/>
  <c r="F63" i="559"/>
  <c r="AG62" i="559"/>
  <c r="AF62" i="559"/>
  <c r="W62" i="559"/>
  <c r="N62" i="559" s="1"/>
  <c r="O62" i="559" s="1"/>
  <c r="V62" i="559"/>
  <c r="K62" i="559"/>
  <c r="L62" i="559" s="1"/>
  <c r="J62" i="559"/>
  <c r="P62" i="559" s="1"/>
  <c r="F62" i="559"/>
  <c r="H62" i="559" s="1"/>
  <c r="W61" i="559"/>
  <c r="V61" i="559"/>
  <c r="N61" i="559"/>
  <c r="AF61" i="559" s="1"/>
  <c r="K61" i="559"/>
  <c r="J61" i="559"/>
  <c r="P61" i="559" s="1"/>
  <c r="H61" i="559"/>
  <c r="F61" i="559"/>
  <c r="W60" i="559"/>
  <c r="V60" i="559"/>
  <c r="P60" i="559"/>
  <c r="N60" i="559"/>
  <c r="K60" i="559"/>
  <c r="L60" i="559" s="1"/>
  <c r="J60" i="559"/>
  <c r="J69" i="559" s="1"/>
  <c r="F60" i="559"/>
  <c r="H60" i="559" s="1"/>
  <c r="W59" i="559"/>
  <c r="N59" i="559" s="1"/>
  <c r="P59" i="559"/>
  <c r="K59" i="559"/>
  <c r="J59" i="559"/>
  <c r="H59" i="559"/>
  <c r="F59" i="559"/>
  <c r="AE58" i="559"/>
  <c r="AD58" i="559"/>
  <c r="H20" i="558" s="1"/>
  <c r="AA58" i="559"/>
  <c r="AA2" i="559" s="1"/>
  <c r="Z58" i="559"/>
  <c r="M58" i="559"/>
  <c r="W57" i="559"/>
  <c r="W56" i="559"/>
  <c r="W55" i="559"/>
  <c r="W54" i="559"/>
  <c r="W53" i="559"/>
  <c r="V53" i="559"/>
  <c r="P53" i="559"/>
  <c r="N53" i="559"/>
  <c r="K53" i="559"/>
  <c r="H53" i="559"/>
  <c r="F53" i="559"/>
  <c r="W52" i="559"/>
  <c r="V52" i="559"/>
  <c r="P52" i="559"/>
  <c r="N52" i="559"/>
  <c r="L52" i="559"/>
  <c r="K52" i="559"/>
  <c r="J52" i="559"/>
  <c r="H52" i="559"/>
  <c r="F52" i="559"/>
  <c r="W51" i="559"/>
  <c r="N51" i="559" s="1"/>
  <c r="V51" i="559"/>
  <c r="P51" i="559"/>
  <c r="K51" i="559"/>
  <c r="L51" i="559" s="1"/>
  <c r="J51" i="559"/>
  <c r="H51" i="559"/>
  <c r="F51" i="559"/>
  <c r="AF50" i="559"/>
  <c r="W50" i="559"/>
  <c r="V50" i="559"/>
  <c r="R50" i="559"/>
  <c r="Q50" i="559"/>
  <c r="P50" i="559"/>
  <c r="N50" i="559"/>
  <c r="O50" i="559" s="1"/>
  <c r="K50" i="559"/>
  <c r="L50" i="559" s="1"/>
  <c r="F50" i="559"/>
  <c r="H50" i="559" s="1"/>
  <c r="AF49" i="559"/>
  <c r="W49" i="559"/>
  <c r="N49" i="559" s="1"/>
  <c r="K49" i="559"/>
  <c r="L49" i="559" s="1"/>
  <c r="J49" i="559"/>
  <c r="P49" i="559" s="1"/>
  <c r="F49" i="559"/>
  <c r="H49" i="559" s="1"/>
  <c r="AE48" i="559"/>
  <c r="AD48" i="559"/>
  <c r="AA48" i="559"/>
  <c r="Z48" i="559"/>
  <c r="W48" i="559"/>
  <c r="M48" i="559"/>
  <c r="W47" i="559"/>
  <c r="H47" i="559"/>
  <c r="W46" i="559"/>
  <c r="W45" i="559"/>
  <c r="W44" i="559"/>
  <c r="W43" i="559"/>
  <c r="W42" i="559"/>
  <c r="AF41" i="559"/>
  <c r="W41" i="559"/>
  <c r="N41" i="559" s="1"/>
  <c r="O41" i="559" s="1"/>
  <c r="V41" i="559"/>
  <c r="K41" i="559"/>
  <c r="L41" i="559" s="1"/>
  <c r="J41" i="559"/>
  <c r="P41" i="559" s="1"/>
  <c r="H41" i="559"/>
  <c r="F41" i="559"/>
  <c r="AG40" i="559"/>
  <c r="W40" i="559"/>
  <c r="V40" i="559"/>
  <c r="N40" i="559"/>
  <c r="K40" i="559"/>
  <c r="J40" i="559"/>
  <c r="P40" i="559" s="1"/>
  <c r="H40" i="559"/>
  <c r="F40" i="559"/>
  <c r="W39" i="559"/>
  <c r="V39" i="559"/>
  <c r="P39" i="559"/>
  <c r="N39" i="559"/>
  <c r="K39" i="559"/>
  <c r="L39" i="559" s="1"/>
  <c r="J39" i="559"/>
  <c r="F39" i="559"/>
  <c r="H39" i="559" s="1"/>
  <c r="W38" i="559"/>
  <c r="N38" i="559" s="1"/>
  <c r="P38" i="559"/>
  <c r="O38" i="559"/>
  <c r="K38" i="559"/>
  <c r="K48" i="559" s="1"/>
  <c r="J38" i="559"/>
  <c r="J48" i="559" s="1"/>
  <c r="H38" i="559"/>
  <c r="F38" i="559"/>
  <c r="AE37" i="559"/>
  <c r="AD37" i="559"/>
  <c r="AA37" i="559"/>
  <c r="Z37" i="559"/>
  <c r="F18" i="558" s="1"/>
  <c r="M37" i="559"/>
  <c r="W36" i="559"/>
  <c r="H36" i="559"/>
  <c r="W35" i="559"/>
  <c r="W34" i="559"/>
  <c r="W33" i="559"/>
  <c r="W32" i="559"/>
  <c r="AG31" i="559"/>
  <c r="AF31" i="559"/>
  <c r="W31" i="559"/>
  <c r="AG30" i="559"/>
  <c r="AF30" i="559"/>
  <c r="W30" i="559"/>
  <c r="W29" i="559"/>
  <c r="N29" i="559" s="1"/>
  <c r="V29" i="559"/>
  <c r="K29" i="559"/>
  <c r="L29" i="559" s="1"/>
  <c r="J29" i="559"/>
  <c r="P29" i="559" s="1"/>
  <c r="F29" i="559"/>
  <c r="H29" i="559" s="1"/>
  <c r="W28" i="559"/>
  <c r="V28" i="559"/>
  <c r="N28" i="559"/>
  <c r="K28" i="559"/>
  <c r="J28" i="559"/>
  <c r="H28" i="559"/>
  <c r="F28" i="559"/>
  <c r="W27" i="559"/>
  <c r="P27" i="559"/>
  <c r="N27" i="559"/>
  <c r="L27" i="559"/>
  <c r="K27" i="559"/>
  <c r="J27" i="559"/>
  <c r="H27" i="559"/>
  <c r="F27" i="559"/>
  <c r="AE26" i="559"/>
  <c r="AD26" i="559"/>
  <c r="AA26" i="559"/>
  <c r="Z26" i="559"/>
  <c r="E18" i="558" s="1"/>
  <c r="M26" i="559"/>
  <c r="W25" i="559"/>
  <c r="H25" i="559"/>
  <c r="W24" i="559"/>
  <c r="H24" i="559"/>
  <c r="W23" i="559"/>
  <c r="W21" i="559"/>
  <c r="V21" i="559"/>
  <c r="N21" i="559"/>
  <c r="O21" i="559" s="1"/>
  <c r="L21" i="559"/>
  <c r="K21" i="559"/>
  <c r="J21" i="559"/>
  <c r="P21" i="559" s="1"/>
  <c r="F21" i="559"/>
  <c r="H21" i="559" s="1"/>
  <c r="W20" i="559"/>
  <c r="V20" i="559"/>
  <c r="N20" i="559"/>
  <c r="O20" i="559" s="1"/>
  <c r="K20" i="559"/>
  <c r="J20" i="559"/>
  <c r="F20" i="559"/>
  <c r="H20" i="559" s="1"/>
  <c r="W19" i="559"/>
  <c r="N19" i="559" s="1"/>
  <c r="V19" i="559"/>
  <c r="O19" i="559"/>
  <c r="L19" i="559"/>
  <c r="K19" i="559"/>
  <c r="J19" i="559"/>
  <c r="P19" i="559" s="1"/>
  <c r="H19" i="559"/>
  <c r="F19" i="559"/>
  <c r="W18" i="559"/>
  <c r="V18" i="559"/>
  <c r="P18" i="559"/>
  <c r="N18" i="559"/>
  <c r="L18" i="559"/>
  <c r="K18" i="559"/>
  <c r="J18" i="559"/>
  <c r="H18" i="559"/>
  <c r="F18" i="559"/>
  <c r="W17" i="559"/>
  <c r="N17" i="559" s="1"/>
  <c r="O17" i="559" s="1"/>
  <c r="R17" i="559" s="1"/>
  <c r="V17" i="559"/>
  <c r="Q17" i="559"/>
  <c r="P17" i="559"/>
  <c r="K17" i="559"/>
  <c r="L17" i="559" s="1"/>
  <c r="J17" i="559"/>
  <c r="H17" i="559"/>
  <c r="F17" i="559"/>
  <c r="W16" i="559"/>
  <c r="N16" i="559" s="1"/>
  <c r="K16" i="559"/>
  <c r="K26" i="559" s="1"/>
  <c r="J16" i="559"/>
  <c r="P16" i="559" s="1"/>
  <c r="H16" i="559"/>
  <c r="F16" i="559"/>
  <c r="AE15" i="559"/>
  <c r="D21" i="558" s="1"/>
  <c r="AD15" i="559"/>
  <c r="D20" i="558" s="1"/>
  <c r="AA15" i="559"/>
  <c r="Z15" i="559"/>
  <c r="D18" i="558" s="1"/>
  <c r="M15" i="559"/>
  <c r="K15" i="559"/>
  <c r="W14" i="559"/>
  <c r="W13" i="559"/>
  <c r="W12" i="559"/>
  <c r="AG11" i="559"/>
  <c r="AF11" i="559"/>
  <c r="W11" i="559"/>
  <c r="W10" i="559"/>
  <c r="N10" i="559" s="1"/>
  <c r="V10" i="559"/>
  <c r="K10" i="559"/>
  <c r="L10" i="559" s="1"/>
  <c r="J10" i="559"/>
  <c r="P10" i="559" s="1"/>
  <c r="F10" i="559"/>
  <c r="H10" i="559" s="1"/>
  <c r="W9" i="559"/>
  <c r="N9" i="559" s="1"/>
  <c r="V9" i="559"/>
  <c r="K9" i="559"/>
  <c r="J9" i="559"/>
  <c r="P9" i="559" s="1"/>
  <c r="F9" i="559"/>
  <c r="H9" i="559" s="1"/>
  <c r="AG8" i="559"/>
  <c r="AF8" i="559"/>
  <c r="W8" i="559"/>
  <c r="V8" i="559"/>
  <c r="N8" i="559"/>
  <c r="O8" i="559" s="1"/>
  <c r="K8" i="559"/>
  <c r="J8" i="559"/>
  <c r="P8" i="559" s="1"/>
  <c r="H8" i="559"/>
  <c r="F8" i="559"/>
  <c r="W7" i="559"/>
  <c r="V7" i="559"/>
  <c r="O7" i="559"/>
  <c r="N7" i="559"/>
  <c r="AG7" i="559" s="1"/>
  <c r="L7" i="559"/>
  <c r="K7" i="559"/>
  <c r="J7" i="559"/>
  <c r="P7" i="559" s="1"/>
  <c r="H7" i="559"/>
  <c r="F7" i="559"/>
  <c r="W6" i="559"/>
  <c r="V6" i="559"/>
  <c r="P6" i="559"/>
  <c r="N6" i="559"/>
  <c r="L6" i="559"/>
  <c r="K6" i="559"/>
  <c r="J6" i="559"/>
  <c r="H6" i="559"/>
  <c r="F6" i="559"/>
  <c r="W5" i="559"/>
  <c r="N5" i="559" s="1"/>
  <c r="P5" i="559"/>
  <c r="K5" i="559"/>
  <c r="J5" i="559"/>
  <c r="L5" i="559" s="1"/>
  <c r="F5" i="559"/>
  <c r="H5" i="559" s="1"/>
  <c r="AE2" i="559"/>
  <c r="I2" i="559"/>
  <c r="E1" i="559"/>
  <c r="J22" i="558"/>
  <c r="H22" i="558"/>
  <c r="F22" i="558"/>
  <c r="E22" i="558"/>
  <c r="D22" i="558"/>
  <c r="I21" i="558"/>
  <c r="H21" i="558"/>
  <c r="G21" i="558"/>
  <c r="F21" i="558"/>
  <c r="E21" i="558"/>
  <c r="I20" i="558"/>
  <c r="G20" i="558"/>
  <c r="F20" i="558"/>
  <c r="J19" i="558"/>
  <c r="I19" i="558"/>
  <c r="H19" i="558"/>
  <c r="G19" i="558"/>
  <c r="F19" i="558"/>
  <c r="E19" i="558"/>
  <c r="D19" i="558"/>
  <c r="J18" i="558"/>
  <c r="I18" i="558"/>
  <c r="G18" i="558"/>
  <c r="J16" i="558"/>
  <c r="I16" i="558"/>
  <c r="H16" i="558"/>
  <c r="G16" i="558"/>
  <c r="F16" i="558"/>
  <c r="E16" i="558"/>
  <c r="D16" i="558"/>
  <c r="O8" i="558"/>
  <c r="N8" i="558"/>
  <c r="M8" i="558"/>
  <c r="L8" i="558"/>
  <c r="O7" i="558"/>
  <c r="N7" i="558"/>
  <c r="M7" i="558"/>
  <c r="L7" i="558"/>
  <c r="G3" i="558"/>
  <c r="AG79" i="557"/>
  <c r="AF79" i="557"/>
  <c r="AE79" i="557"/>
  <c r="AD79" i="557"/>
  <c r="AA79" i="557"/>
  <c r="Z79" i="557"/>
  <c r="W78" i="557"/>
  <c r="W77" i="557"/>
  <c r="W76" i="557"/>
  <c r="W75" i="557"/>
  <c r="W74" i="557"/>
  <c r="W73" i="557"/>
  <c r="W72" i="557"/>
  <c r="W71" i="557"/>
  <c r="AH70" i="557"/>
  <c r="AG70" i="557"/>
  <c r="AF70" i="557"/>
  <c r="W70" i="557"/>
  <c r="S70" i="557"/>
  <c r="AE69" i="557"/>
  <c r="I21" i="556" s="1"/>
  <c r="AD69" i="557"/>
  <c r="AA69" i="557"/>
  <c r="Z69" i="557"/>
  <c r="M69" i="557"/>
  <c r="W68" i="557"/>
  <c r="H68" i="557"/>
  <c r="W67" i="557"/>
  <c r="W66" i="557"/>
  <c r="W65" i="557"/>
  <c r="W64" i="557"/>
  <c r="W63" i="557"/>
  <c r="N63" i="557" s="1"/>
  <c r="V63" i="557"/>
  <c r="O63" i="557"/>
  <c r="K63" i="557"/>
  <c r="L63" i="557" s="1"/>
  <c r="J63" i="557"/>
  <c r="P63" i="557" s="1"/>
  <c r="F63" i="557"/>
  <c r="H63" i="557" s="1"/>
  <c r="AG62" i="557"/>
  <c r="W62" i="557"/>
  <c r="V62" i="557"/>
  <c r="N62" i="557"/>
  <c r="L62" i="557"/>
  <c r="K62" i="557"/>
  <c r="J62" i="557"/>
  <c r="P62" i="557" s="1"/>
  <c r="F62" i="557"/>
  <c r="H62" i="557" s="1"/>
  <c r="AF61" i="557"/>
  <c r="W61" i="557"/>
  <c r="V61" i="557"/>
  <c r="N61" i="557"/>
  <c r="AG61" i="557" s="1"/>
  <c r="K61" i="557"/>
  <c r="L61" i="557" s="1"/>
  <c r="J61" i="557"/>
  <c r="P61" i="557" s="1"/>
  <c r="F61" i="557"/>
  <c r="H61" i="557" s="1"/>
  <c r="AF60" i="557"/>
  <c r="W60" i="557"/>
  <c r="N60" i="557" s="1"/>
  <c r="V60" i="557"/>
  <c r="K60" i="557"/>
  <c r="J60" i="557"/>
  <c r="P60" i="557" s="1"/>
  <c r="F60" i="557"/>
  <c r="H60" i="557" s="1"/>
  <c r="W59" i="557"/>
  <c r="N59" i="557" s="1"/>
  <c r="P59" i="557"/>
  <c r="K59" i="557"/>
  <c r="J59" i="557"/>
  <c r="J69" i="557" s="1"/>
  <c r="P69" i="557" s="1"/>
  <c r="F59" i="557"/>
  <c r="H59" i="557" s="1"/>
  <c r="AE58" i="557"/>
  <c r="AD58" i="557"/>
  <c r="AA58" i="557"/>
  <c r="Z58" i="557"/>
  <c r="M58" i="557"/>
  <c r="H22" i="556" s="1"/>
  <c r="K58" i="557"/>
  <c r="W57" i="557"/>
  <c r="W56" i="557"/>
  <c r="W55" i="557"/>
  <c r="W54" i="557"/>
  <c r="AF53" i="557"/>
  <c r="W53" i="557"/>
  <c r="V53" i="557"/>
  <c r="P53" i="557"/>
  <c r="O53" i="557"/>
  <c r="N53" i="557"/>
  <c r="AG53" i="557" s="1"/>
  <c r="L53" i="557"/>
  <c r="K53" i="557"/>
  <c r="J53" i="557"/>
  <c r="F53" i="557"/>
  <c r="H53" i="557" s="1"/>
  <c r="AG52" i="557"/>
  <c r="W52" i="557"/>
  <c r="V52" i="557"/>
  <c r="P52" i="557"/>
  <c r="N52" i="557"/>
  <c r="AF52" i="557" s="1"/>
  <c r="K52" i="557"/>
  <c r="J52" i="557"/>
  <c r="L52" i="557" s="1"/>
  <c r="H52" i="557"/>
  <c r="F52" i="557"/>
  <c r="W51" i="557"/>
  <c r="N51" i="557" s="1"/>
  <c r="O51" i="557" s="1"/>
  <c r="R51" i="557" s="1"/>
  <c r="V51" i="557"/>
  <c r="K51" i="557"/>
  <c r="L51" i="557" s="1"/>
  <c r="J51" i="557"/>
  <c r="P51" i="557" s="1"/>
  <c r="F51" i="557"/>
  <c r="H51" i="557" s="1"/>
  <c r="W50" i="557"/>
  <c r="N50" i="557" s="1"/>
  <c r="V50" i="557"/>
  <c r="K50" i="557"/>
  <c r="L50" i="557" s="1"/>
  <c r="L58" i="557" s="1"/>
  <c r="H13" i="556" s="1"/>
  <c r="J50" i="557"/>
  <c r="P50" i="557" s="1"/>
  <c r="H50" i="557"/>
  <c r="F50" i="557"/>
  <c r="AG49" i="557"/>
  <c r="AF49" i="557"/>
  <c r="W49" i="557"/>
  <c r="N49" i="557"/>
  <c r="O49" i="557" s="1"/>
  <c r="K49" i="557"/>
  <c r="L49" i="557" s="1"/>
  <c r="J49" i="557"/>
  <c r="P49" i="557" s="1"/>
  <c r="F49" i="557"/>
  <c r="H49" i="557" s="1"/>
  <c r="AE48" i="557"/>
  <c r="AD48" i="557"/>
  <c r="AA48" i="557"/>
  <c r="Z48" i="557"/>
  <c r="W48" i="557"/>
  <c r="M48" i="557"/>
  <c r="W47" i="557"/>
  <c r="H47" i="557"/>
  <c r="W46" i="557"/>
  <c r="W45" i="557"/>
  <c r="W44" i="557"/>
  <c r="W43" i="557"/>
  <c r="W42" i="557"/>
  <c r="AG41" i="557"/>
  <c r="AF41" i="557"/>
  <c r="W41" i="557"/>
  <c r="V41" i="557"/>
  <c r="N41" i="557"/>
  <c r="O41" i="557" s="1"/>
  <c r="L41" i="557"/>
  <c r="K41" i="557"/>
  <c r="J41" i="557"/>
  <c r="P41" i="557" s="1"/>
  <c r="F41" i="557"/>
  <c r="H41" i="557" s="1"/>
  <c r="AF40" i="557"/>
  <c r="W40" i="557"/>
  <c r="N40" i="557" s="1"/>
  <c r="V40" i="557"/>
  <c r="K40" i="557"/>
  <c r="L40" i="557" s="1"/>
  <c r="J40" i="557"/>
  <c r="P40" i="557" s="1"/>
  <c r="F40" i="557"/>
  <c r="H40" i="557" s="1"/>
  <c r="AG39" i="557"/>
  <c r="AF39" i="557"/>
  <c r="W39" i="557"/>
  <c r="V39" i="557"/>
  <c r="O39" i="557"/>
  <c r="N39" i="557"/>
  <c r="K39" i="557"/>
  <c r="J39" i="557"/>
  <c r="P39" i="557" s="1"/>
  <c r="H39" i="557"/>
  <c r="F39" i="557"/>
  <c r="W38" i="557"/>
  <c r="P38" i="557"/>
  <c r="N38" i="557"/>
  <c r="K38" i="557"/>
  <c r="K48" i="557" s="1"/>
  <c r="J38" i="557"/>
  <c r="J48" i="557" s="1"/>
  <c r="H38" i="557"/>
  <c r="F38" i="557"/>
  <c r="AE37" i="557"/>
  <c r="AD37" i="557"/>
  <c r="AA37" i="557"/>
  <c r="F19" i="556" s="1"/>
  <c r="Z37" i="557"/>
  <c r="M37" i="557"/>
  <c r="W36" i="557"/>
  <c r="H36" i="557"/>
  <c r="W35" i="557"/>
  <c r="W34" i="557"/>
  <c r="W33" i="557"/>
  <c r="W32" i="557"/>
  <c r="AG31" i="557"/>
  <c r="AF31" i="557"/>
  <c r="W31" i="557"/>
  <c r="W30" i="557"/>
  <c r="V30" i="557"/>
  <c r="P30" i="557"/>
  <c r="N30" i="557"/>
  <c r="K30" i="557"/>
  <c r="L30" i="557" s="1"/>
  <c r="J30" i="557"/>
  <c r="F30" i="557"/>
  <c r="H30" i="557" s="1"/>
  <c r="W29" i="557"/>
  <c r="N29" i="557" s="1"/>
  <c r="V29" i="557"/>
  <c r="P29" i="557"/>
  <c r="K29" i="557"/>
  <c r="J29" i="557"/>
  <c r="L29" i="557" s="1"/>
  <c r="H29" i="557"/>
  <c r="F29" i="557"/>
  <c r="W28" i="557"/>
  <c r="N28" i="557" s="1"/>
  <c r="V28" i="557"/>
  <c r="P28" i="557"/>
  <c r="K28" i="557"/>
  <c r="L28" i="557" s="1"/>
  <c r="J28" i="557"/>
  <c r="F28" i="557"/>
  <c r="H28" i="557" s="1"/>
  <c r="AG27" i="557"/>
  <c r="AF27" i="557"/>
  <c r="W27" i="557"/>
  <c r="O27" i="557"/>
  <c r="N27" i="557"/>
  <c r="K27" i="557"/>
  <c r="K37" i="557" s="1"/>
  <c r="J27" i="557"/>
  <c r="P27" i="557" s="1"/>
  <c r="F27" i="557"/>
  <c r="H27" i="557" s="1"/>
  <c r="AE26" i="557"/>
  <c r="AD26" i="557"/>
  <c r="AA26" i="557"/>
  <c r="Z26" i="557"/>
  <c r="M26" i="557"/>
  <c r="W25" i="557"/>
  <c r="H25" i="557"/>
  <c r="W24" i="557"/>
  <c r="H24" i="557"/>
  <c r="W23" i="557"/>
  <c r="W21" i="557"/>
  <c r="N21" i="557" s="1"/>
  <c r="O21" i="557" s="1"/>
  <c r="R21" i="557" s="1"/>
  <c r="V21" i="557"/>
  <c r="Q21" i="557"/>
  <c r="K21" i="557"/>
  <c r="L21" i="557" s="1"/>
  <c r="J21" i="557"/>
  <c r="P21" i="557" s="1"/>
  <c r="F21" i="557"/>
  <c r="H21" i="557" s="1"/>
  <c r="W20" i="557"/>
  <c r="N20" i="557" s="1"/>
  <c r="O20" i="557" s="1"/>
  <c r="Q20" i="557" s="1"/>
  <c r="V20" i="557"/>
  <c r="R20" i="557"/>
  <c r="K20" i="557"/>
  <c r="L20" i="557" s="1"/>
  <c r="J20" i="557"/>
  <c r="P20" i="557" s="1"/>
  <c r="F20" i="557"/>
  <c r="H20" i="557" s="1"/>
  <c r="W19" i="557"/>
  <c r="N19" i="557" s="1"/>
  <c r="V19" i="557"/>
  <c r="K19" i="557"/>
  <c r="J19" i="557"/>
  <c r="P19" i="557" s="1"/>
  <c r="F19" i="557"/>
  <c r="H19" i="557" s="1"/>
  <c r="AG18" i="557"/>
  <c r="AF18" i="557"/>
  <c r="W18" i="557"/>
  <c r="V18" i="557"/>
  <c r="O18" i="557"/>
  <c r="N18" i="557"/>
  <c r="K18" i="557"/>
  <c r="J18" i="557"/>
  <c r="P18" i="557" s="1"/>
  <c r="H18" i="557"/>
  <c r="F18" i="557"/>
  <c r="W17" i="557"/>
  <c r="V17" i="557"/>
  <c r="O17" i="557"/>
  <c r="N17" i="557"/>
  <c r="K17" i="557"/>
  <c r="L17" i="557" s="1"/>
  <c r="J17" i="557"/>
  <c r="P17" i="557" s="1"/>
  <c r="F17" i="557"/>
  <c r="H17" i="557" s="1"/>
  <c r="W16" i="557"/>
  <c r="P16" i="557"/>
  <c r="N16" i="557"/>
  <c r="K16" i="557"/>
  <c r="L16" i="557" s="1"/>
  <c r="J16" i="557"/>
  <c r="J26" i="557" s="1"/>
  <c r="F16" i="557"/>
  <c r="H16" i="557" s="1"/>
  <c r="AE15" i="557"/>
  <c r="D21" i="556" s="1"/>
  <c r="AD15" i="557"/>
  <c r="AA15" i="557"/>
  <c r="D19" i="556" s="1"/>
  <c r="Z15" i="557"/>
  <c r="M15" i="557"/>
  <c r="W14" i="557"/>
  <c r="W13" i="557"/>
  <c r="W12" i="557"/>
  <c r="AG11" i="557"/>
  <c r="AF11" i="557"/>
  <c r="W11" i="557"/>
  <c r="AG10" i="557"/>
  <c r="AF10" i="557"/>
  <c r="W10" i="557"/>
  <c r="W9" i="557"/>
  <c r="N9" i="557" s="1"/>
  <c r="V9" i="557"/>
  <c r="P9" i="557"/>
  <c r="K9" i="557"/>
  <c r="J9" i="557"/>
  <c r="L9" i="557" s="1"/>
  <c r="H9" i="557"/>
  <c r="F9" i="557"/>
  <c r="W8" i="557"/>
  <c r="N8" i="557" s="1"/>
  <c r="V8" i="557"/>
  <c r="P8" i="557"/>
  <c r="K8" i="557"/>
  <c r="L8" i="557" s="1"/>
  <c r="J8" i="557"/>
  <c r="F8" i="557"/>
  <c r="H8" i="557" s="1"/>
  <c r="AF7" i="557"/>
  <c r="W7" i="557"/>
  <c r="N7" i="557" s="1"/>
  <c r="V7" i="557"/>
  <c r="K7" i="557"/>
  <c r="L7" i="557" s="1"/>
  <c r="J7" i="557"/>
  <c r="P7" i="557" s="1"/>
  <c r="F7" i="557"/>
  <c r="H7" i="557" s="1"/>
  <c r="AG6" i="557"/>
  <c r="W6" i="557"/>
  <c r="V6" i="557"/>
  <c r="N6" i="557"/>
  <c r="O6" i="557" s="1"/>
  <c r="K6" i="557"/>
  <c r="K15" i="557" s="1"/>
  <c r="J6" i="557"/>
  <c r="H6" i="557"/>
  <c r="F6" i="557"/>
  <c r="W5" i="557"/>
  <c r="P5" i="557"/>
  <c r="N5" i="557"/>
  <c r="L5" i="557"/>
  <c r="K5" i="557"/>
  <c r="J5" i="557"/>
  <c r="H5" i="557"/>
  <c r="F5" i="557"/>
  <c r="AD2" i="557"/>
  <c r="I2" i="557"/>
  <c r="I1" i="557"/>
  <c r="E1" i="557"/>
  <c r="G3" i="556" s="1"/>
  <c r="J22" i="556"/>
  <c r="I22" i="556"/>
  <c r="F22" i="556"/>
  <c r="D22" i="556"/>
  <c r="J21" i="556"/>
  <c r="H21" i="556"/>
  <c r="G21" i="556"/>
  <c r="F21" i="556"/>
  <c r="E21" i="556"/>
  <c r="J20" i="556"/>
  <c r="I20" i="556"/>
  <c r="H20" i="556"/>
  <c r="G20" i="556"/>
  <c r="F20" i="556"/>
  <c r="E20" i="556"/>
  <c r="D20" i="556"/>
  <c r="J19" i="556"/>
  <c r="I19" i="556"/>
  <c r="H19" i="556"/>
  <c r="G19" i="556"/>
  <c r="E19" i="556"/>
  <c r="J18" i="556"/>
  <c r="I18" i="556"/>
  <c r="H18" i="556"/>
  <c r="G18" i="556"/>
  <c r="F18" i="556"/>
  <c r="E18" i="556"/>
  <c r="J16" i="556"/>
  <c r="I16" i="556"/>
  <c r="H16" i="556"/>
  <c r="G16" i="556"/>
  <c r="F16" i="556"/>
  <c r="E16" i="556"/>
  <c r="D16" i="556"/>
  <c r="J15" i="556"/>
  <c r="J14" i="556"/>
  <c r="J13" i="556"/>
  <c r="O8" i="556"/>
  <c r="N8" i="556"/>
  <c r="M8" i="556"/>
  <c r="L8" i="556"/>
  <c r="O7" i="556"/>
  <c r="N7" i="556"/>
  <c r="M7" i="556"/>
  <c r="L7" i="556"/>
  <c r="AG79" i="555"/>
  <c r="AF79" i="555"/>
  <c r="AE79" i="555"/>
  <c r="AD79" i="555"/>
  <c r="J20" i="554" s="1"/>
  <c r="AA79" i="555"/>
  <c r="Z79" i="555"/>
  <c r="W78" i="555"/>
  <c r="W77" i="555"/>
  <c r="W76" i="555"/>
  <c r="W75" i="555"/>
  <c r="W74" i="555"/>
  <c r="W73" i="555"/>
  <c r="W72" i="555"/>
  <c r="W71" i="555"/>
  <c r="AH70" i="555"/>
  <c r="AG70" i="555"/>
  <c r="AF70" i="555"/>
  <c r="W70" i="555"/>
  <c r="S70" i="555"/>
  <c r="J15" i="554" s="1"/>
  <c r="AE69" i="555"/>
  <c r="AD69" i="555"/>
  <c r="AA69" i="555"/>
  <c r="Z69" i="555"/>
  <c r="M69" i="555"/>
  <c r="W68" i="555"/>
  <c r="H68" i="555"/>
  <c r="W67" i="555"/>
  <c r="W66" i="555"/>
  <c r="W65" i="555"/>
  <c r="W64" i="555"/>
  <c r="W63" i="555"/>
  <c r="N63" i="555" s="1"/>
  <c r="O63" i="555" s="1"/>
  <c r="V63" i="555"/>
  <c r="K63" i="555"/>
  <c r="L63" i="555" s="1"/>
  <c r="J63" i="555"/>
  <c r="P63" i="555" s="1"/>
  <c r="F63" i="555"/>
  <c r="H63" i="555" s="1"/>
  <c r="W62" i="555"/>
  <c r="N62" i="555" s="1"/>
  <c r="V62" i="555"/>
  <c r="K62" i="555"/>
  <c r="J62" i="555"/>
  <c r="P62" i="555" s="1"/>
  <c r="F62" i="555"/>
  <c r="H62" i="555" s="1"/>
  <c r="AG61" i="555"/>
  <c r="AF61" i="555"/>
  <c r="W61" i="555"/>
  <c r="V61" i="555"/>
  <c r="O61" i="555"/>
  <c r="N61" i="555"/>
  <c r="K61" i="555"/>
  <c r="J61" i="555"/>
  <c r="P61" i="555" s="1"/>
  <c r="H61" i="555"/>
  <c r="F61" i="555"/>
  <c r="W60" i="555"/>
  <c r="V60" i="555"/>
  <c r="O60" i="555"/>
  <c r="R60" i="555" s="1"/>
  <c r="N60" i="555"/>
  <c r="AG60" i="555" s="1"/>
  <c r="K60" i="555"/>
  <c r="L60" i="555" s="1"/>
  <c r="J60" i="555"/>
  <c r="F60" i="555"/>
  <c r="H60" i="555" s="1"/>
  <c r="W59" i="555"/>
  <c r="P59" i="555"/>
  <c r="O59" i="555"/>
  <c r="N59" i="555"/>
  <c r="K59" i="555"/>
  <c r="K69" i="555" s="1"/>
  <c r="J59" i="555"/>
  <c r="F59" i="555"/>
  <c r="H59" i="555" s="1"/>
  <c r="AE58" i="555"/>
  <c r="AD58" i="555"/>
  <c r="AA58" i="555"/>
  <c r="H19" i="554" s="1"/>
  <c r="Z58" i="555"/>
  <c r="H18" i="554" s="1"/>
  <c r="M58" i="555"/>
  <c r="H22" i="554" s="1"/>
  <c r="W57" i="555"/>
  <c r="W56" i="555"/>
  <c r="W55" i="555"/>
  <c r="W54" i="555"/>
  <c r="W53" i="555"/>
  <c r="V53" i="555"/>
  <c r="O53" i="555"/>
  <c r="N53" i="555"/>
  <c r="K53" i="555"/>
  <c r="L53" i="555" s="1"/>
  <c r="J53" i="555"/>
  <c r="P53" i="555" s="1"/>
  <c r="F53" i="555"/>
  <c r="H53" i="555" s="1"/>
  <c r="W52" i="555"/>
  <c r="V52" i="555"/>
  <c r="P52" i="555"/>
  <c r="O52" i="555"/>
  <c r="N52" i="555"/>
  <c r="L52" i="555"/>
  <c r="K52" i="555"/>
  <c r="J52" i="555"/>
  <c r="H52" i="555"/>
  <c r="F52" i="555"/>
  <c r="W51" i="555"/>
  <c r="N51" i="555" s="1"/>
  <c r="V51" i="555"/>
  <c r="Q51" i="555"/>
  <c r="P51" i="555"/>
  <c r="O51" i="555"/>
  <c r="R51" i="555" s="1"/>
  <c r="L51" i="555"/>
  <c r="K51" i="555"/>
  <c r="J51" i="555"/>
  <c r="F51" i="555"/>
  <c r="H51" i="555" s="1"/>
  <c r="W50" i="555"/>
  <c r="N50" i="555" s="1"/>
  <c r="V50" i="555"/>
  <c r="K50" i="555"/>
  <c r="L50" i="555" s="1"/>
  <c r="J50" i="555"/>
  <c r="P50" i="555" s="1"/>
  <c r="F50" i="555"/>
  <c r="H50" i="555" s="1"/>
  <c r="AF49" i="555"/>
  <c r="W49" i="555"/>
  <c r="N49" i="555" s="1"/>
  <c r="K49" i="555"/>
  <c r="K58" i="555" s="1"/>
  <c r="J49" i="555"/>
  <c r="P49" i="555" s="1"/>
  <c r="F49" i="555"/>
  <c r="H49" i="555" s="1"/>
  <c r="AE48" i="555"/>
  <c r="AD48" i="555"/>
  <c r="AA48" i="555"/>
  <c r="Z48" i="555"/>
  <c r="W48" i="555"/>
  <c r="M48" i="555"/>
  <c r="W47" i="555"/>
  <c r="H47" i="555"/>
  <c r="W46" i="555"/>
  <c r="W45" i="555"/>
  <c r="W44" i="555"/>
  <c r="W43" i="555"/>
  <c r="W42" i="555"/>
  <c r="AG41" i="555"/>
  <c r="AF41" i="555"/>
  <c r="W41" i="555"/>
  <c r="V41" i="555"/>
  <c r="O41" i="555"/>
  <c r="N41" i="555"/>
  <c r="K41" i="555"/>
  <c r="J41" i="555"/>
  <c r="H41" i="555"/>
  <c r="F41" i="555"/>
  <c r="W40" i="555"/>
  <c r="V40" i="555"/>
  <c r="O40" i="555"/>
  <c r="N40" i="555"/>
  <c r="L40" i="555"/>
  <c r="K40" i="555"/>
  <c r="K48" i="555" s="1"/>
  <c r="J40" i="555"/>
  <c r="P40" i="555" s="1"/>
  <c r="F40" i="555"/>
  <c r="H40" i="555" s="1"/>
  <c r="W39" i="555"/>
  <c r="V39" i="555"/>
  <c r="P39" i="555"/>
  <c r="O39" i="555"/>
  <c r="N39" i="555"/>
  <c r="L39" i="555"/>
  <c r="K39" i="555"/>
  <c r="J39" i="555"/>
  <c r="F39" i="555"/>
  <c r="H39" i="555" s="1"/>
  <c r="W38" i="555"/>
  <c r="N38" i="555" s="1"/>
  <c r="P38" i="555"/>
  <c r="K38" i="555"/>
  <c r="L38" i="555" s="1"/>
  <c r="J38" i="555"/>
  <c r="H38" i="555"/>
  <c r="F38" i="555"/>
  <c r="AE37" i="555"/>
  <c r="F21" i="554" s="1"/>
  <c r="AD37" i="555"/>
  <c r="F20" i="554" s="1"/>
  <c r="AA37" i="555"/>
  <c r="F19" i="554" s="1"/>
  <c r="Z37" i="555"/>
  <c r="M37" i="555"/>
  <c r="J37" i="555"/>
  <c r="W36" i="555"/>
  <c r="H36" i="555"/>
  <c r="W35" i="555"/>
  <c r="W34" i="555"/>
  <c r="W33" i="555"/>
  <c r="W32" i="555"/>
  <c r="W31" i="555"/>
  <c r="N31" i="555" s="1"/>
  <c r="O31" i="555" s="1"/>
  <c r="V31" i="555"/>
  <c r="P31" i="555"/>
  <c r="L31" i="555"/>
  <c r="K31" i="555"/>
  <c r="J31" i="555"/>
  <c r="F31" i="555"/>
  <c r="H31" i="555" s="1"/>
  <c r="W30" i="555"/>
  <c r="N30" i="555" s="1"/>
  <c r="V30" i="555"/>
  <c r="P30" i="555"/>
  <c r="L30" i="555"/>
  <c r="F30" i="555"/>
  <c r="H30" i="555" s="1"/>
  <c r="W29" i="555"/>
  <c r="N29" i="555" s="1"/>
  <c r="V29" i="555"/>
  <c r="K29" i="555"/>
  <c r="L29" i="555" s="1"/>
  <c r="J29" i="555"/>
  <c r="P29" i="555" s="1"/>
  <c r="F29" i="555"/>
  <c r="H29" i="555" s="1"/>
  <c r="W28" i="555"/>
  <c r="N28" i="555" s="1"/>
  <c r="V28" i="555"/>
  <c r="K28" i="555"/>
  <c r="J28" i="555"/>
  <c r="P28" i="555" s="1"/>
  <c r="F28" i="555"/>
  <c r="H28" i="555" s="1"/>
  <c r="W27" i="555"/>
  <c r="N27" i="555"/>
  <c r="K27" i="555"/>
  <c r="J27" i="555"/>
  <c r="P27" i="555" s="1"/>
  <c r="H27" i="555"/>
  <c r="F27" i="555"/>
  <c r="AE26" i="555"/>
  <c r="AD26" i="555"/>
  <c r="AA26" i="555"/>
  <c r="E19" i="554" s="1"/>
  <c r="Z26" i="555"/>
  <c r="P26" i="555"/>
  <c r="M26" i="555"/>
  <c r="W25" i="555"/>
  <c r="H25" i="555"/>
  <c r="W24" i="555"/>
  <c r="H24" i="555"/>
  <c r="W23" i="555"/>
  <c r="W21" i="555"/>
  <c r="N21" i="555" s="1"/>
  <c r="O21" i="555" s="1"/>
  <c r="Q21" i="555" s="1"/>
  <c r="V21" i="555"/>
  <c r="R21" i="555"/>
  <c r="P21" i="555"/>
  <c r="K21" i="555"/>
  <c r="L21" i="555" s="1"/>
  <c r="J21" i="555"/>
  <c r="H21" i="555"/>
  <c r="F21" i="555"/>
  <c r="W20" i="555"/>
  <c r="N20" i="555" s="1"/>
  <c r="O20" i="555" s="1"/>
  <c r="V20" i="555"/>
  <c r="R20" i="555"/>
  <c r="P20" i="555"/>
  <c r="K20" i="555"/>
  <c r="L20" i="555" s="1"/>
  <c r="J20" i="555"/>
  <c r="H20" i="555"/>
  <c r="F20" i="555"/>
  <c r="W19" i="555"/>
  <c r="N19" i="555" s="1"/>
  <c r="O19" i="555" s="1"/>
  <c r="V19" i="555"/>
  <c r="K19" i="555"/>
  <c r="L19" i="555" s="1"/>
  <c r="J19" i="555"/>
  <c r="P19" i="555" s="1"/>
  <c r="F19" i="555"/>
  <c r="H19" i="555" s="1"/>
  <c r="AG18" i="555"/>
  <c r="W18" i="555"/>
  <c r="V18" i="555"/>
  <c r="N18" i="555"/>
  <c r="O18" i="555" s="1"/>
  <c r="K18" i="555"/>
  <c r="L18" i="555" s="1"/>
  <c r="J18" i="555"/>
  <c r="P18" i="555" s="1"/>
  <c r="H18" i="555"/>
  <c r="F18" i="555"/>
  <c r="W17" i="555"/>
  <c r="V17" i="555"/>
  <c r="P17" i="555"/>
  <c r="N17" i="555"/>
  <c r="K17" i="555"/>
  <c r="L17" i="555" s="1"/>
  <c r="J17" i="555"/>
  <c r="H17" i="555"/>
  <c r="F17" i="555"/>
  <c r="W16" i="555"/>
  <c r="N16" i="555" s="1"/>
  <c r="Q16" i="555"/>
  <c r="P16" i="555"/>
  <c r="O16" i="555"/>
  <c r="R16" i="555" s="1"/>
  <c r="L16" i="555"/>
  <c r="K16" i="555"/>
  <c r="J16" i="555"/>
  <c r="J26" i="555" s="1"/>
  <c r="F16" i="555"/>
  <c r="H16" i="555" s="1"/>
  <c r="AE15" i="555"/>
  <c r="D21" i="554" s="1"/>
  <c r="AD15" i="555"/>
  <c r="AA15" i="555"/>
  <c r="Z15" i="555"/>
  <c r="M15" i="555"/>
  <c r="W14" i="555"/>
  <c r="W13" i="555"/>
  <c r="W12" i="555"/>
  <c r="W11" i="555"/>
  <c r="V11" i="555"/>
  <c r="O11" i="555"/>
  <c r="N11" i="555"/>
  <c r="L11" i="555"/>
  <c r="K11" i="555"/>
  <c r="J11" i="555"/>
  <c r="P11" i="555" s="1"/>
  <c r="F11" i="555"/>
  <c r="H11" i="555" s="1"/>
  <c r="W10" i="555"/>
  <c r="V10" i="555"/>
  <c r="P10" i="555"/>
  <c r="O10" i="555"/>
  <c r="N10" i="555"/>
  <c r="L10" i="555"/>
  <c r="K10" i="555"/>
  <c r="J10" i="555"/>
  <c r="F10" i="555"/>
  <c r="H10" i="555" s="1"/>
  <c r="W9" i="555"/>
  <c r="N9" i="555" s="1"/>
  <c r="V9" i="555"/>
  <c r="P9" i="555"/>
  <c r="L9" i="555"/>
  <c r="K9" i="555"/>
  <c r="J9" i="555"/>
  <c r="F9" i="555"/>
  <c r="H9" i="555" s="1"/>
  <c r="W8" i="555"/>
  <c r="N8" i="555" s="1"/>
  <c r="V8" i="555"/>
  <c r="K8" i="555"/>
  <c r="L8" i="555" s="1"/>
  <c r="J8" i="555"/>
  <c r="P8" i="555" s="1"/>
  <c r="F8" i="555"/>
  <c r="H8" i="555" s="1"/>
  <c r="W7" i="555"/>
  <c r="N7" i="555" s="1"/>
  <c r="V7" i="555"/>
  <c r="K7" i="555"/>
  <c r="J7" i="555"/>
  <c r="P7" i="555" s="1"/>
  <c r="F7" i="555"/>
  <c r="H7" i="555" s="1"/>
  <c r="AG6" i="555"/>
  <c r="AF6" i="555"/>
  <c r="W6" i="555"/>
  <c r="V6" i="555"/>
  <c r="O6" i="555"/>
  <c r="N6" i="555"/>
  <c r="K6" i="555"/>
  <c r="J6" i="555"/>
  <c r="H6" i="555"/>
  <c r="G1" i="555" s="1"/>
  <c r="F6" i="555"/>
  <c r="W5" i="555"/>
  <c r="P5" i="555"/>
  <c r="N5" i="555"/>
  <c r="L5" i="555"/>
  <c r="K5" i="555"/>
  <c r="K15" i="555" s="1"/>
  <c r="J5" i="555"/>
  <c r="H5" i="555"/>
  <c r="F5" i="555"/>
  <c r="I2" i="555"/>
  <c r="E1" i="555"/>
  <c r="G3" i="554" s="1"/>
  <c r="J22" i="554"/>
  <c r="F22" i="554"/>
  <c r="E22" i="554"/>
  <c r="D22" i="554"/>
  <c r="J21" i="554"/>
  <c r="I21" i="554"/>
  <c r="H21" i="554"/>
  <c r="G21" i="554"/>
  <c r="E21" i="554"/>
  <c r="I20" i="554"/>
  <c r="H20" i="554"/>
  <c r="G20" i="554"/>
  <c r="E20" i="554"/>
  <c r="D20" i="554"/>
  <c r="J19" i="554"/>
  <c r="I19" i="554"/>
  <c r="G19" i="554"/>
  <c r="J18" i="554"/>
  <c r="I18" i="554"/>
  <c r="G18" i="554"/>
  <c r="F18" i="554"/>
  <c r="E18" i="554"/>
  <c r="D18" i="554"/>
  <c r="J16" i="554"/>
  <c r="I16" i="554"/>
  <c r="H16" i="554"/>
  <c r="G16" i="554"/>
  <c r="F16" i="554"/>
  <c r="E16" i="554"/>
  <c r="D16" i="554"/>
  <c r="J14" i="554"/>
  <c r="J13" i="554"/>
  <c r="O8" i="554"/>
  <c r="N8" i="554"/>
  <c r="M8" i="554"/>
  <c r="L8" i="554"/>
  <c r="O7" i="554"/>
  <c r="N7" i="554"/>
  <c r="M7" i="554"/>
  <c r="L7" i="554"/>
  <c r="L6" i="554"/>
  <c r="AG79" i="553"/>
  <c r="AF79" i="553"/>
  <c r="AE79" i="553"/>
  <c r="AD79" i="553"/>
  <c r="AA79" i="553"/>
  <c r="Z79" i="553"/>
  <c r="W78" i="553"/>
  <c r="W77" i="553"/>
  <c r="W76" i="553"/>
  <c r="W75" i="553"/>
  <c r="W74" i="553"/>
  <c r="W73" i="553"/>
  <c r="W72" i="553"/>
  <c r="W71" i="553"/>
  <c r="AH70" i="553"/>
  <c r="AG70" i="553"/>
  <c r="AF70" i="553"/>
  <c r="W70" i="553"/>
  <c r="S70" i="553"/>
  <c r="AE69" i="553"/>
  <c r="AD69" i="553"/>
  <c r="AA69" i="553"/>
  <c r="Z69" i="553"/>
  <c r="M69" i="553"/>
  <c r="W68" i="553"/>
  <c r="H68" i="553"/>
  <c r="W67" i="553"/>
  <c r="W66" i="553"/>
  <c r="W65" i="553"/>
  <c r="W64" i="553"/>
  <c r="W63" i="553"/>
  <c r="W62" i="553"/>
  <c r="N62" i="553" s="1"/>
  <c r="V62" i="553"/>
  <c r="K62" i="553"/>
  <c r="J62" i="553"/>
  <c r="F62" i="553"/>
  <c r="H62" i="553" s="1"/>
  <c r="AG61" i="553"/>
  <c r="AF61" i="553"/>
  <c r="W61" i="553"/>
  <c r="V61" i="553"/>
  <c r="O61" i="553"/>
  <c r="N61" i="553"/>
  <c r="K61" i="553"/>
  <c r="J61" i="553"/>
  <c r="P61" i="553" s="1"/>
  <c r="H61" i="553"/>
  <c r="F61" i="553"/>
  <c r="W60" i="553"/>
  <c r="V60" i="553"/>
  <c r="O60" i="553"/>
  <c r="N60" i="553"/>
  <c r="K60" i="553"/>
  <c r="K69" i="553" s="1"/>
  <c r="J60" i="553"/>
  <c r="F60" i="553"/>
  <c r="H60" i="553" s="1"/>
  <c r="W59" i="553"/>
  <c r="P59" i="553"/>
  <c r="N59" i="553"/>
  <c r="K59" i="553"/>
  <c r="L59" i="553" s="1"/>
  <c r="J59" i="553"/>
  <c r="F59" i="553"/>
  <c r="H59" i="553" s="1"/>
  <c r="AE58" i="553"/>
  <c r="H21" i="552" s="1"/>
  <c r="AD58" i="553"/>
  <c r="H20" i="552" s="1"/>
  <c r="AA58" i="553"/>
  <c r="Z58" i="553"/>
  <c r="H18" i="552" s="1"/>
  <c r="M58" i="553"/>
  <c r="W57" i="553"/>
  <c r="W56" i="553"/>
  <c r="W55" i="553"/>
  <c r="W54" i="553"/>
  <c r="N54" i="553" s="1"/>
  <c r="O54" i="553" s="1"/>
  <c r="V54" i="553"/>
  <c r="K54" i="553"/>
  <c r="J54" i="553"/>
  <c r="P54" i="553" s="1"/>
  <c r="F54" i="553"/>
  <c r="H54" i="553" s="1"/>
  <c r="W53" i="553"/>
  <c r="V53" i="553"/>
  <c r="N53" i="553"/>
  <c r="K53" i="553"/>
  <c r="L53" i="553" s="1"/>
  <c r="J53" i="553"/>
  <c r="P53" i="553" s="1"/>
  <c r="H53" i="553"/>
  <c r="F53" i="553"/>
  <c r="W52" i="553"/>
  <c r="V52" i="553"/>
  <c r="P52" i="553"/>
  <c r="N52" i="553"/>
  <c r="L52" i="553"/>
  <c r="K52" i="553"/>
  <c r="J52" i="553"/>
  <c r="H52" i="553"/>
  <c r="F52" i="553"/>
  <c r="W51" i="553"/>
  <c r="V51" i="553"/>
  <c r="P51" i="553"/>
  <c r="N51" i="553"/>
  <c r="K51" i="553"/>
  <c r="L51" i="553" s="1"/>
  <c r="J51" i="553"/>
  <c r="F51" i="553"/>
  <c r="H51" i="553" s="1"/>
  <c r="AG50" i="553"/>
  <c r="W50" i="553"/>
  <c r="N50" i="553" s="1"/>
  <c r="V50" i="553"/>
  <c r="P50" i="553"/>
  <c r="K50" i="553"/>
  <c r="J50" i="553"/>
  <c r="L50" i="553" s="1"/>
  <c r="H50" i="553"/>
  <c r="F50" i="553"/>
  <c r="AF49" i="553"/>
  <c r="W49" i="553"/>
  <c r="N49" i="553" s="1"/>
  <c r="L49" i="553"/>
  <c r="K49" i="553"/>
  <c r="K58" i="553" s="1"/>
  <c r="J49" i="553"/>
  <c r="P49" i="553" s="1"/>
  <c r="H49" i="553"/>
  <c r="F49" i="553"/>
  <c r="AE48" i="553"/>
  <c r="AD48" i="553"/>
  <c r="AA48" i="553"/>
  <c r="Z48" i="553"/>
  <c r="W48" i="553"/>
  <c r="P48" i="553"/>
  <c r="M48" i="553"/>
  <c r="W47" i="553"/>
  <c r="H47" i="553"/>
  <c r="W46" i="553"/>
  <c r="W45" i="553"/>
  <c r="W44" i="553"/>
  <c r="W43" i="553"/>
  <c r="W42" i="553"/>
  <c r="AG41" i="553"/>
  <c r="AF41" i="553"/>
  <c r="W41" i="553"/>
  <c r="W40" i="553"/>
  <c r="V40" i="553"/>
  <c r="N40" i="553"/>
  <c r="L40" i="553"/>
  <c r="K40" i="553"/>
  <c r="J40" i="553"/>
  <c r="P40" i="553" s="1"/>
  <c r="F40" i="553"/>
  <c r="H40" i="553" s="1"/>
  <c r="W39" i="553"/>
  <c r="V39" i="553"/>
  <c r="O39" i="553"/>
  <c r="N39" i="553"/>
  <c r="K39" i="553"/>
  <c r="J39" i="553"/>
  <c r="J48" i="553" s="1"/>
  <c r="H39" i="553"/>
  <c r="F39" i="553"/>
  <c r="W38" i="553"/>
  <c r="N38" i="553" s="1"/>
  <c r="P38" i="553"/>
  <c r="K38" i="553"/>
  <c r="L38" i="553" s="1"/>
  <c r="J38" i="553"/>
  <c r="H38" i="553"/>
  <c r="F38" i="553"/>
  <c r="AE37" i="553"/>
  <c r="F21" i="552" s="1"/>
  <c r="AD37" i="553"/>
  <c r="F20" i="552" s="1"/>
  <c r="AA37" i="553"/>
  <c r="Z37" i="553"/>
  <c r="F18" i="552" s="1"/>
  <c r="M37" i="553"/>
  <c r="W36" i="553"/>
  <c r="H36" i="553"/>
  <c r="W35" i="553"/>
  <c r="W34" i="553"/>
  <c r="W33" i="553"/>
  <c r="W32" i="553"/>
  <c r="AG31" i="553"/>
  <c r="AF31" i="553"/>
  <c r="W31" i="553"/>
  <c r="AF30" i="553"/>
  <c r="W30" i="553"/>
  <c r="N30" i="553" s="1"/>
  <c r="O30" i="553" s="1"/>
  <c r="V30" i="553"/>
  <c r="R30" i="553"/>
  <c r="P30" i="553"/>
  <c r="K30" i="553"/>
  <c r="L30" i="553" s="1"/>
  <c r="J30" i="553"/>
  <c r="F30" i="553"/>
  <c r="H30" i="553" s="1"/>
  <c r="W29" i="553"/>
  <c r="N29" i="553" s="1"/>
  <c r="V29" i="553"/>
  <c r="K29" i="553"/>
  <c r="J29" i="553"/>
  <c r="P29" i="553" s="1"/>
  <c r="F29" i="553"/>
  <c r="H29" i="553" s="1"/>
  <c r="W28" i="553"/>
  <c r="N28" i="553" s="1"/>
  <c r="V28" i="553"/>
  <c r="L28" i="553"/>
  <c r="K28" i="553"/>
  <c r="J28" i="553"/>
  <c r="P28" i="553" s="1"/>
  <c r="H28" i="553"/>
  <c r="F28" i="553"/>
  <c r="W27" i="553"/>
  <c r="P27" i="553"/>
  <c r="N27" i="553"/>
  <c r="L27" i="553"/>
  <c r="K27" i="553"/>
  <c r="J27" i="553"/>
  <c r="F27" i="553"/>
  <c r="H27" i="553" s="1"/>
  <c r="AE26" i="553"/>
  <c r="AD26" i="553"/>
  <c r="E20" i="552" s="1"/>
  <c r="AA26" i="553"/>
  <c r="E19" i="552" s="1"/>
  <c r="Z26" i="553"/>
  <c r="E18" i="552" s="1"/>
  <c r="M26" i="553"/>
  <c r="W25" i="553"/>
  <c r="H25" i="553"/>
  <c r="W24" i="553"/>
  <c r="H24" i="553"/>
  <c r="W23" i="553"/>
  <c r="W21" i="553"/>
  <c r="V21" i="553"/>
  <c r="N21" i="553"/>
  <c r="O21" i="553" s="1"/>
  <c r="L21" i="553"/>
  <c r="K21" i="553"/>
  <c r="J21" i="553"/>
  <c r="P21" i="553" s="1"/>
  <c r="F21" i="553"/>
  <c r="H21" i="553" s="1"/>
  <c r="W20" i="553"/>
  <c r="V20" i="553"/>
  <c r="N20" i="553"/>
  <c r="O20" i="553" s="1"/>
  <c r="L20" i="553"/>
  <c r="K20" i="553"/>
  <c r="J20" i="553"/>
  <c r="P20" i="553" s="1"/>
  <c r="H20" i="553"/>
  <c r="F20" i="553"/>
  <c r="W19" i="553"/>
  <c r="V19" i="553"/>
  <c r="P19" i="553"/>
  <c r="N19" i="553"/>
  <c r="L19" i="553"/>
  <c r="K19" i="553"/>
  <c r="J19" i="553"/>
  <c r="F19" i="553"/>
  <c r="H19" i="553" s="1"/>
  <c r="W18" i="553"/>
  <c r="V18" i="553"/>
  <c r="P18" i="553"/>
  <c r="O18" i="553"/>
  <c r="N18" i="553"/>
  <c r="L18" i="553"/>
  <c r="K18" i="553"/>
  <c r="J18" i="553"/>
  <c r="F18" i="553"/>
  <c r="H18" i="553" s="1"/>
  <c r="AF17" i="553"/>
  <c r="W17" i="553"/>
  <c r="N17" i="553" s="1"/>
  <c r="AG17" i="553" s="1"/>
  <c r="V17" i="553"/>
  <c r="P17" i="553"/>
  <c r="O17" i="553"/>
  <c r="L17" i="553"/>
  <c r="K17" i="553"/>
  <c r="J17" i="553"/>
  <c r="F17" i="553"/>
  <c r="H17" i="553" s="1"/>
  <c r="W16" i="553"/>
  <c r="N16" i="553" s="1"/>
  <c r="K16" i="553"/>
  <c r="J16" i="553"/>
  <c r="J26" i="553" s="1"/>
  <c r="P26" i="553" s="1"/>
  <c r="H16" i="553"/>
  <c r="F16" i="553"/>
  <c r="AE15" i="553"/>
  <c r="D21" i="552" s="1"/>
  <c r="AD15" i="553"/>
  <c r="D20" i="552" s="1"/>
  <c r="AA15" i="553"/>
  <c r="Z15" i="553"/>
  <c r="M15" i="553"/>
  <c r="W14" i="553"/>
  <c r="W13" i="553"/>
  <c r="W12" i="553"/>
  <c r="AG11" i="553"/>
  <c r="AF11" i="553"/>
  <c r="W11" i="553"/>
  <c r="AG10" i="553"/>
  <c r="AF10" i="553"/>
  <c r="W10" i="553"/>
  <c r="AG9" i="553"/>
  <c r="W9" i="553"/>
  <c r="V9" i="553"/>
  <c r="N9" i="553"/>
  <c r="O9" i="553" s="1"/>
  <c r="K9" i="553"/>
  <c r="AF9" i="553" s="1"/>
  <c r="J9" i="553"/>
  <c r="P9" i="553" s="1"/>
  <c r="F9" i="553"/>
  <c r="H9" i="553" s="1"/>
  <c r="W8" i="553"/>
  <c r="N8" i="553" s="1"/>
  <c r="V8" i="553"/>
  <c r="K8" i="553"/>
  <c r="J8" i="553"/>
  <c r="P8" i="553" s="1"/>
  <c r="H8" i="553"/>
  <c r="F8" i="553"/>
  <c r="AG7" i="553"/>
  <c r="W7" i="553"/>
  <c r="V7" i="553"/>
  <c r="P7" i="553"/>
  <c r="O7" i="553"/>
  <c r="N7" i="553"/>
  <c r="K7" i="553"/>
  <c r="K15" i="553" s="1"/>
  <c r="J7" i="553"/>
  <c r="H7" i="553"/>
  <c r="F7" i="553"/>
  <c r="W6" i="553"/>
  <c r="N6" i="553" s="1"/>
  <c r="V6" i="553"/>
  <c r="P6" i="553"/>
  <c r="K6" i="553"/>
  <c r="L6" i="553" s="1"/>
  <c r="J6" i="553"/>
  <c r="F6" i="553"/>
  <c r="H6" i="553" s="1"/>
  <c r="W5" i="553"/>
  <c r="N5" i="553" s="1"/>
  <c r="N15" i="553" s="1"/>
  <c r="K5" i="553"/>
  <c r="L5" i="553" s="1"/>
  <c r="J5" i="553"/>
  <c r="P5" i="553" s="1"/>
  <c r="H5" i="553"/>
  <c r="F5" i="553"/>
  <c r="I2" i="553"/>
  <c r="E1" i="553"/>
  <c r="J22" i="552"/>
  <c r="I22" i="552"/>
  <c r="H22" i="552"/>
  <c r="G22" i="552"/>
  <c r="F22" i="552"/>
  <c r="E22" i="552"/>
  <c r="J21" i="552"/>
  <c r="I21" i="552"/>
  <c r="G21" i="552"/>
  <c r="E21" i="552"/>
  <c r="J20" i="552"/>
  <c r="I20" i="552"/>
  <c r="G20" i="552"/>
  <c r="J19" i="552"/>
  <c r="I19" i="552"/>
  <c r="H19" i="552"/>
  <c r="G19" i="552"/>
  <c r="D19" i="552"/>
  <c r="J18" i="552"/>
  <c r="I18" i="552"/>
  <c r="G18" i="552"/>
  <c r="D18" i="552"/>
  <c r="J16" i="552"/>
  <c r="I16" i="552"/>
  <c r="H16" i="552"/>
  <c r="G16" i="552"/>
  <c r="F16" i="552"/>
  <c r="E16" i="552"/>
  <c r="D16" i="552"/>
  <c r="J15" i="552"/>
  <c r="J14" i="552"/>
  <c r="J13" i="552"/>
  <c r="O8" i="552"/>
  <c r="N8" i="552"/>
  <c r="M8" i="552"/>
  <c r="L8" i="552"/>
  <c r="O7" i="552"/>
  <c r="N7" i="552"/>
  <c r="M7" i="552"/>
  <c r="L7" i="552"/>
  <c r="G3" i="552"/>
  <c r="AG79" i="551"/>
  <c r="AF79" i="551"/>
  <c r="AE79" i="551"/>
  <c r="AD79" i="551"/>
  <c r="AA79" i="551"/>
  <c r="Z79" i="551"/>
  <c r="W78" i="551"/>
  <c r="W77" i="551"/>
  <c r="W76" i="551"/>
  <c r="W75" i="551"/>
  <c r="W74" i="551"/>
  <c r="W73" i="551"/>
  <c r="W72" i="551"/>
  <c r="W71" i="551"/>
  <c r="AH70" i="551"/>
  <c r="AG70" i="551"/>
  <c r="AF70" i="551"/>
  <c r="W70" i="551"/>
  <c r="S70" i="551"/>
  <c r="AE69" i="551"/>
  <c r="AD69" i="551"/>
  <c r="I20" i="550" s="1"/>
  <c r="AA69" i="551"/>
  <c r="Z69" i="551"/>
  <c r="I18" i="550" s="1"/>
  <c r="M69" i="551"/>
  <c r="J69" i="551"/>
  <c r="P69" i="551" s="1"/>
  <c r="W68" i="551"/>
  <c r="H68" i="551"/>
  <c r="W67" i="551"/>
  <c r="W66" i="551"/>
  <c r="W65" i="551"/>
  <c r="W64" i="551"/>
  <c r="W63" i="551"/>
  <c r="W62" i="551"/>
  <c r="V62" i="551"/>
  <c r="P62" i="551"/>
  <c r="N62" i="551"/>
  <c r="K62" i="551"/>
  <c r="L62" i="551" s="1"/>
  <c r="J62" i="551"/>
  <c r="H62" i="551"/>
  <c r="F62" i="551"/>
  <c r="AF61" i="551"/>
  <c r="W61" i="551"/>
  <c r="V61" i="551"/>
  <c r="P61" i="551"/>
  <c r="O61" i="551"/>
  <c r="N61" i="551"/>
  <c r="L61" i="551"/>
  <c r="K61" i="551"/>
  <c r="J61" i="551"/>
  <c r="F61" i="551"/>
  <c r="H61" i="551" s="1"/>
  <c r="W60" i="551"/>
  <c r="V60" i="551"/>
  <c r="P60" i="551"/>
  <c r="N60" i="551"/>
  <c r="K60" i="551"/>
  <c r="J60" i="551"/>
  <c r="L60" i="551" s="1"/>
  <c r="F60" i="551"/>
  <c r="H60" i="551" s="1"/>
  <c r="W59" i="551"/>
  <c r="N59" i="551"/>
  <c r="L59" i="551"/>
  <c r="K59" i="551"/>
  <c r="J59" i="551"/>
  <c r="P59" i="551" s="1"/>
  <c r="H59" i="551"/>
  <c r="F59" i="551"/>
  <c r="AE58" i="551"/>
  <c r="H21" i="550" s="1"/>
  <c r="AD58" i="551"/>
  <c r="AA58" i="551"/>
  <c r="Z58" i="551"/>
  <c r="M58" i="551"/>
  <c r="W57" i="551"/>
  <c r="W56" i="551"/>
  <c r="W55" i="551"/>
  <c r="W54" i="551"/>
  <c r="W53" i="551"/>
  <c r="N53" i="551" s="1"/>
  <c r="V53" i="551"/>
  <c r="P53" i="551"/>
  <c r="K53" i="551"/>
  <c r="J53" i="551"/>
  <c r="L53" i="551" s="1"/>
  <c r="H53" i="551"/>
  <c r="F53" i="551"/>
  <c r="W52" i="551"/>
  <c r="N52" i="551" s="1"/>
  <c r="O52" i="551" s="1"/>
  <c r="R52" i="551" s="1"/>
  <c r="V52" i="551"/>
  <c r="P52" i="551"/>
  <c r="K52" i="551"/>
  <c r="L52" i="551" s="1"/>
  <c r="Q52" i="551" s="1"/>
  <c r="J52" i="551"/>
  <c r="H52" i="551"/>
  <c r="F52" i="551"/>
  <c r="W51" i="551"/>
  <c r="V51" i="551"/>
  <c r="O51" i="551"/>
  <c r="N51" i="551"/>
  <c r="K51" i="551"/>
  <c r="L51" i="551" s="1"/>
  <c r="J51" i="551"/>
  <c r="P51" i="551" s="1"/>
  <c r="H51" i="551"/>
  <c r="F51" i="551"/>
  <c r="W50" i="551"/>
  <c r="N50" i="551" s="1"/>
  <c r="V50" i="551"/>
  <c r="K50" i="551"/>
  <c r="J50" i="551"/>
  <c r="H50" i="551"/>
  <c r="F50" i="551"/>
  <c r="W49" i="551"/>
  <c r="P49" i="551"/>
  <c r="N49" i="551"/>
  <c r="K49" i="551"/>
  <c r="J49" i="551"/>
  <c r="F49" i="551"/>
  <c r="H49" i="551" s="1"/>
  <c r="AE48" i="551"/>
  <c r="AD48" i="551"/>
  <c r="AA48" i="551"/>
  <c r="Z48" i="551"/>
  <c r="W48" i="551"/>
  <c r="M48" i="551"/>
  <c r="W47" i="551"/>
  <c r="H47" i="551"/>
  <c r="W46" i="551"/>
  <c r="W45" i="551"/>
  <c r="W44" i="551"/>
  <c r="W43" i="551"/>
  <c r="W42" i="551"/>
  <c r="AG41" i="551"/>
  <c r="AF41" i="551"/>
  <c r="W41" i="551"/>
  <c r="AF40" i="551"/>
  <c r="W40" i="551"/>
  <c r="N40" i="551" s="1"/>
  <c r="AG40" i="551" s="1"/>
  <c r="V40" i="551"/>
  <c r="O40" i="551"/>
  <c r="K40" i="551"/>
  <c r="J40" i="551"/>
  <c r="P40" i="551" s="1"/>
  <c r="H40" i="551"/>
  <c r="F40" i="551"/>
  <c r="W39" i="551"/>
  <c r="N39" i="551" s="1"/>
  <c r="V39" i="551"/>
  <c r="K39" i="551"/>
  <c r="J39" i="551"/>
  <c r="P39" i="551" s="1"/>
  <c r="H39" i="551"/>
  <c r="F39" i="551"/>
  <c r="W38" i="551"/>
  <c r="P38" i="551"/>
  <c r="N38" i="551"/>
  <c r="K38" i="551"/>
  <c r="J38" i="551"/>
  <c r="F38" i="551"/>
  <c r="H38" i="551" s="1"/>
  <c r="AE37" i="551"/>
  <c r="AD37" i="551"/>
  <c r="AA37" i="551"/>
  <c r="F19" i="550" s="1"/>
  <c r="Z37" i="551"/>
  <c r="M37" i="551"/>
  <c r="W36" i="551"/>
  <c r="H36" i="551"/>
  <c r="W35" i="551"/>
  <c r="W34" i="551"/>
  <c r="W33" i="551"/>
  <c r="W32" i="551"/>
  <c r="AG31" i="551"/>
  <c r="AF31" i="551"/>
  <c r="W31" i="551"/>
  <c r="W30" i="551"/>
  <c r="V30" i="551"/>
  <c r="O30" i="551"/>
  <c r="R30" i="551" s="1"/>
  <c r="N30" i="551"/>
  <c r="K30" i="551"/>
  <c r="L30" i="551" s="1"/>
  <c r="J30" i="551"/>
  <c r="P30" i="551" s="1"/>
  <c r="H30" i="551"/>
  <c r="F30" i="551"/>
  <c r="W29" i="551"/>
  <c r="N29" i="551" s="1"/>
  <c r="V29" i="551"/>
  <c r="P29" i="551"/>
  <c r="L29" i="551"/>
  <c r="K29" i="551"/>
  <c r="J29" i="551"/>
  <c r="F29" i="551"/>
  <c r="H29" i="551" s="1"/>
  <c r="W28" i="551"/>
  <c r="V28" i="551"/>
  <c r="P28" i="551"/>
  <c r="N28" i="551"/>
  <c r="L28" i="551"/>
  <c r="K28" i="551"/>
  <c r="J28" i="551"/>
  <c r="F28" i="551"/>
  <c r="H28" i="551" s="1"/>
  <c r="W27" i="551"/>
  <c r="N27" i="551" s="1"/>
  <c r="O27" i="551" s="1"/>
  <c r="P27" i="551"/>
  <c r="K27" i="551"/>
  <c r="J27" i="551"/>
  <c r="H27" i="551"/>
  <c r="F27" i="551"/>
  <c r="AE26" i="551"/>
  <c r="AD26" i="551"/>
  <c r="E20" i="550" s="1"/>
  <c r="AA26" i="551"/>
  <c r="E19" i="550" s="1"/>
  <c r="M6" i="550" s="1"/>
  <c r="Z26" i="551"/>
  <c r="M26" i="551"/>
  <c r="W25" i="551"/>
  <c r="H25" i="551"/>
  <c r="W24" i="551"/>
  <c r="H24" i="551"/>
  <c r="W23" i="551"/>
  <c r="W21" i="551"/>
  <c r="W20" i="551"/>
  <c r="V20" i="551"/>
  <c r="P20" i="551"/>
  <c r="N20" i="551"/>
  <c r="O20" i="551" s="1"/>
  <c r="K20" i="551"/>
  <c r="J20" i="551"/>
  <c r="F20" i="551"/>
  <c r="H20" i="551" s="1"/>
  <c r="W19" i="551"/>
  <c r="V19" i="551"/>
  <c r="P19" i="551"/>
  <c r="N19" i="551"/>
  <c r="L19" i="551"/>
  <c r="K19" i="551"/>
  <c r="J19" i="551"/>
  <c r="H19" i="551"/>
  <c r="F19" i="551"/>
  <c r="W18" i="551"/>
  <c r="N18" i="551" s="1"/>
  <c r="V18" i="551"/>
  <c r="P18" i="551"/>
  <c r="K18" i="551"/>
  <c r="L18" i="551" s="1"/>
  <c r="J18" i="551"/>
  <c r="F18" i="551"/>
  <c r="H18" i="551" s="1"/>
  <c r="W17" i="551"/>
  <c r="N17" i="551" s="1"/>
  <c r="V17" i="551"/>
  <c r="K17" i="551"/>
  <c r="J17" i="551"/>
  <c r="P17" i="551" s="1"/>
  <c r="H17" i="551"/>
  <c r="F17" i="551"/>
  <c r="AF16" i="551"/>
  <c r="W16" i="551"/>
  <c r="N16" i="551"/>
  <c r="N26" i="551" s="1"/>
  <c r="K16" i="551"/>
  <c r="J16" i="551"/>
  <c r="F16" i="551"/>
  <c r="H16" i="551" s="1"/>
  <c r="AE15" i="551"/>
  <c r="AE2" i="551" s="1"/>
  <c r="AD15" i="551"/>
  <c r="AA15" i="551"/>
  <c r="Z15" i="551"/>
  <c r="M15" i="551"/>
  <c r="W14" i="551"/>
  <c r="W13" i="551"/>
  <c r="W12" i="551"/>
  <c r="AG11" i="551"/>
  <c r="AF11" i="551"/>
  <c r="W11" i="551"/>
  <c r="AG10" i="551"/>
  <c r="AF10" i="551"/>
  <c r="W10" i="551"/>
  <c r="AG9" i="551"/>
  <c r="AF9" i="551"/>
  <c r="W9" i="551"/>
  <c r="AG8" i="551"/>
  <c r="AF8" i="551"/>
  <c r="W8" i="551"/>
  <c r="AG7" i="551"/>
  <c r="AF7" i="551"/>
  <c r="W7" i="551"/>
  <c r="V7" i="551"/>
  <c r="N7" i="551"/>
  <c r="O7" i="551" s="1"/>
  <c r="K7" i="551"/>
  <c r="J7" i="551"/>
  <c r="P7" i="551" s="1"/>
  <c r="H7" i="551"/>
  <c r="F7" i="551"/>
  <c r="W6" i="551"/>
  <c r="N6" i="551" s="1"/>
  <c r="V6" i="551"/>
  <c r="K6" i="551"/>
  <c r="L6" i="551" s="1"/>
  <c r="J6" i="551"/>
  <c r="P6" i="551" s="1"/>
  <c r="F6" i="551"/>
  <c r="H6" i="551" s="1"/>
  <c r="W5" i="551"/>
  <c r="P5" i="551"/>
  <c r="O5" i="551"/>
  <c r="N5" i="551"/>
  <c r="K5" i="551"/>
  <c r="J5" i="551"/>
  <c r="J15" i="551" s="1"/>
  <c r="H5" i="551"/>
  <c r="G1" i="551" s="1"/>
  <c r="F5" i="551"/>
  <c r="I2" i="551"/>
  <c r="E1" i="551"/>
  <c r="J22" i="550"/>
  <c r="I22" i="550"/>
  <c r="H22" i="550"/>
  <c r="G22" i="550"/>
  <c r="F22" i="550"/>
  <c r="E22" i="550"/>
  <c r="J21" i="550"/>
  <c r="I21" i="550"/>
  <c r="G21" i="550"/>
  <c r="F21" i="550"/>
  <c r="E21" i="550"/>
  <c r="D21" i="550"/>
  <c r="J20" i="550"/>
  <c r="H20" i="550"/>
  <c r="G20" i="550"/>
  <c r="F20" i="550"/>
  <c r="D20" i="550"/>
  <c r="O6" i="550" s="1"/>
  <c r="J19" i="550"/>
  <c r="I19" i="550"/>
  <c r="H19" i="550"/>
  <c r="G19" i="550"/>
  <c r="D19" i="550"/>
  <c r="J18" i="550"/>
  <c r="H18" i="550"/>
  <c r="G18" i="550"/>
  <c r="F18" i="550"/>
  <c r="D18" i="550"/>
  <c r="J16" i="550"/>
  <c r="I16" i="550"/>
  <c r="H16" i="550"/>
  <c r="G16" i="550"/>
  <c r="F16" i="550"/>
  <c r="E16" i="550"/>
  <c r="D16" i="550"/>
  <c r="J15" i="550"/>
  <c r="J14" i="550"/>
  <c r="J13" i="550"/>
  <c r="O8" i="550"/>
  <c r="N8" i="550"/>
  <c r="M8" i="550"/>
  <c r="L8" i="550"/>
  <c r="O7" i="550"/>
  <c r="N7" i="550"/>
  <c r="M7" i="550"/>
  <c r="L7" i="550"/>
  <c r="G3" i="550"/>
  <c r="AG79" i="549"/>
  <c r="AF79" i="549"/>
  <c r="AE79" i="549"/>
  <c r="J21" i="548" s="1"/>
  <c r="AD79" i="549"/>
  <c r="AA79" i="549"/>
  <c r="Z79" i="549"/>
  <c r="W78" i="549"/>
  <c r="W77" i="549"/>
  <c r="W76" i="549"/>
  <c r="W75" i="549"/>
  <c r="W74" i="549"/>
  <c r="W73" i="549"/>
  <c r="W72" i="549"/>
  <c r="W71" i="549"/>
  <c r="AH70" i="549"/>
  <c r="AG70" i="549"/>
  <c r="AF70" i="549"/>
  <c r="W70" i="549"/>
  <c r="S70" i="549"/>
  <c r="AE69" i="549"/>
  <c r="AD69" i="549"/>
  <c r="AD2" i="549" s="1"/>
  <c r="AA69" i="549"/>
  <c r="Z69" i="549"/>
  <c r="M69" i="549"/>
  <c r="K69" i="549"/>
  <c r="W68" i="549"/>
  <c r="H68" i="549"/>
  <c r="W67" i="549"/>
  <c r="W66" i="549"/>
  <c r="W65" i="549"/>
  <c r="W64" i="549"/>
  <c r="W63" i="549"/>
  <c r="AG62" i="549"/>
  <c r="AF62" i="549"/>
  <c r="W62" i="549"/>
  <c r="V62" i="549"/>
  <c r="N62" i="549"/>
  <c r="O62" i="549" s="1"/>
  <c r="K62" i="549"/>
  <c r="J62" i="549"/>
  <c r="P62" i="549" s="1"/>
  <c r="H62" i="549"/>
  <c r="F62" i="549"/>
  <c r="W61" i="549"/>
  <c r="N61" i="549" s="1"/>
  <c r="V61" i="549"/>
  <c r="K61" i="549"/>
  <c r="L61" i="549" s="1"/>
  <c r="J61" i="549"/>
  <c r="P61" i="549" s="1"/>
  <c r="F61" i="549"/>
  <c r="H61" i="549" s="1"/>
  <c r="AF60" i="549"/>
  <c r="W60" i="549"/>
  <c r="V60" i="549"/>
  <c r="N60" i="549"/>
  <c r="O60" i="549" s="1"/>
  <c r="K60" i="549"/>
  <c r="J60" i="549"/>
  <c r="F60" i="549"/>
  <c r="H60" i="549" s="1"/>
  <c r="W59" i="549"/>
  <c r="P59" i="549"/>
  <c r="N59" i="549"/>
  <c r="K59" i="549"/>
  <c r="L59" i="549" s="1"/>
  <c r="J59" i="549"/>
  <c r="J69" i="549" s="1"/>
  <c r="F59" i="549"/>
  <c r="H59" i="549" s="1"/>
  <c r="AE58" i="549"/>
  <c r="AD58" i="549"/>
  <c r="H20" i="548" s="1"/>
  <c r="O6" i="548" s="1"/>
  <c r="AA58" i="549"/>
  <c r="Z58" i="549"/>
  <c r="M58" i="549"/>
  <c r="W57" i="549"/>
  <c r="W56" i="549"/>
  <c r="W55" i="549"/>
  <c r="W54" i="549"/>
  <c r="AF53" i="549"/>
  <c r="W53" i="549"/>
  <c r="V53" i="549"/>
  <c r="N53" i="549"/>
  <c r="O53" i="549" s="1"/>
  <c r="K53" i="549"/>
  <c r="J53" i="549"/>
  <c r="F53" i="549"/>
  <c r="H53" i="549" s="1"/>
  <c r="W52" i="549"/>
  <c r="N52" i="549" s="1"/>
  <c r="V52" i="549"/>
  <c r="K52" i="549"/>
  <c r="J52" i="549"/>
  <c r="P52" i="549" s="1"/>
  <c r="H52" i="549"/>
  <c r="F52" i="549"/>
  <c r="W51" i="549"/>
  <c r="V51" i="549"/>
  <c r="P51" i="549"/>
  <c r="O51" i="549"/>
  <c r="N51" i="549"/>
  <c r="AG51" i="549" s="1"/>
  <c r="L51" i="549"/>
  <c r="K51" i="549"/>
  <c r="J51" i="549"/>
  <c r="F51" i="549"/>
  <c r="H51" i="549" s="1"/>
  <c r="W50" i="549"/>
  <c r="N50" i="549" s="1"/>
  <c r="V50" i="549"/>
  <c r="O50" i="549"/>
  <c r="R50" i="549" s="1"/>
  <c r="K50" i="549"/>
  <c r="L50" i="549" s="1"/>
  <c r="J50" i="549"/>
  <c r="P50" i="549" s="1"/>
  <c r="F50" i="549"/>
  <c r="H50" i="549" s="1"/>
  <c r="W49" i="549"/>
  <c r="N49" i="549" s="1"/>
  <c r="K49" i="549"/>
  <c r="K58" i="549" s="1"/>
  <c r="J49" i="549"/>
  <c r="P49" i="549" s="1"/>
  <c r="H49" i="549"/>
  <c r="F49" i="549"/>
  <c r="AE48" i="549"/>
  <c r="G21" i="548" s="1"/>
  <c r="AD48" i="549"/>
  <c r="AA48" i="549"/>
  <c r="Z48" i="549"/>
  <c r="W48" i="549"/>
  <c r="M48" i="549"/>
  <c r="W47" i="549"/>
  <c r="H47" i="549"/>
  <c r="W46" i="549"/>
  <c r="W45" i="549"/>
  <c r="W44" i="549"/>
  <c r="W43" i="549"/>
  <c r="W42" i="549"/>
  <c r="AG41" i="549"/>
  <c r="AF41" i="549"/>
  <c r="W41" i="549"/>
  <c r="W40" i="549"/>
  <c r="V40" i="549"/>
  <c r="P40" i="549"/>
  <c r="O40" i="549"/>
  <c r="N40" i="549"/>
  <c r="K40" i="549"/>
  <c r="L40" i="549" s="1"/>
  <c r="J40" i="549"/>
  <c r="H40" i="549"/>
  <c r="F40" i="549"/>
  <c r="W39" i="549"/>
  <c r="V39" i="549"/>
  <c r="P39" i="549"/>
  <c r="N39" i="549"/>
  <c r="K39" i="549"/>
  <c r="L39" i="549" s="1"/>
  <c r="J39" i="549"/>
  <c r="J48" i="549" s="1"/>
  <c r="F39" i="549"/>
  <c r="H39" i="549" s="1"/>
  <c r="W38" i="549"/>
  <c r="N38" i="549" s="1"/>
  <c r="O38" i="549" s="1"/>
  <c r="K38" i="549"/>
  <c r="L38" i="549" s="1"/>
  <c r="L48" i="549" s="1"/>
  <c r="G13" i="548" s="1"/>
  <c r="J38" i="549"/>
  <c r="P38" i="549" s="1"/>
  <c r="F38" i="549"/>
  <c r="H38" i="549" s="1"/>
  <c r="AE37" i="549"/>
  <c r="AD37" i="549"/>
  <c r="F20" i="548" s="1"/>
  <c r="AA37" i="549"/>
  <c r="Z37" i="549"/>
  <c r="F18" i="548" s="1"/>
  <c r="L6" i="548" s="1"/>
  <c r="M37" i="549"/>
  <c r="W36" i="549"/>
  <c r="H36" i="549"/>
  <c r="W35" i="549"/>
  <c r="W34" i="549"/>
  <c r="W33" i="549"/>
  <c r="W32" i="549"/>
  <c r="AG31" i="549"/>
  <c r="AF31" i="549"/>
  <c r="W31" i="549"/>
  <c r="AG30" i="549"/>
  <c r="AF30" i="549"/>
  <c r="W30" i="549"/>
  <c r="V30" i="549"/>
  <c r="N30" i="549"/>
  <c r="O30" i="549" s="1"/>
  <c r="K30" i="549"/>
  <c r="J30" i="549"/>
  <c r="P30" i="549" s="1"/>
  <c r="H30" i="549"/>
  <c r="F30" i="549"/>
  <c r="W29" i="549"/>
  <c r="N29" i="549" s="1"/>
  <c r="V29" i="549"/>
  <c r="K29" i="549"/>
  <c r="L29" i="549" s="1"/>
  <c r="J29" i="549"/>
  <c r="P29" i="549" s="1"/>
  <c r="F29" i="549"/>
  <c r="H29" i="549" s="1"/>
  <c r="AF28" i="549"/>
  <c r="W28" i="549"/>
  <c r="V28" i="549"/>
  <c r="N28" i="549"/>
  <c r="O28" i="549" s="1"/>
  <c r="K28" i="549"/>
  <c r="J28" i="549"/>
  <c r="F28" i="549"/>
  <c r="H28" i="549" s="1"/>
  <c r="W27" i="549"/>
  <c r="P27" i="549"/>
  <c r="N27" i="549"/>
  <c r="K27" i="549"/>
  <c r="J27" i="549"/>
  <c r="J37" i="549" s="1"/>
  <c r="F27" i="549"/>
  <c r="H27" i="549" s="1"/>
  <c r="AE26" i="549"/>
  <c r="AD26" i="549"/>
  <c r="E20" i="548" s="1"/>
  <c r="AA26" i="549"/>
  <c r="E19" i="548" s="1"/>
  <c r="Z26" i="549"/>
  <c r="M26" i="549"/>
  <c r="W25" i="549"/>
  <c r="H25" i="549"/>
  <c r="W24" i="549"/>
  <c r="H24" i="549"/>
  <c r="W23" i="549"/>
  <c r="W21" i="549"/>
  <c r="N21" i="549" s="1"/>
  <c r="O21" i="549" s="1"/>
  <c r="V21" i="549"/>
  <c r="P21" i="549"/>
  <c r="L21" i="549"/>
  <c r="K21" i="549"/>
  <c r="J21" i="549"/>
  <c r="H21" i="549"/>
  <c r="F21" i="549"/>
  <c r="W20" i="549"/>
  <c r="N20" i="549" s="1"/>
  <c r="O20" i="549" s="1"/>
  <c r="V20" i="549"/>
  <c r="P20" i="549"/>
  <c r="L20" i="549"/>
  <c r="K20" i="549"/>
  <c r="J20" i="549"/>
  <c r="H20" i="549"/>
  <c r="F20" i="549"/>
  <c r="W19" i="549"/>
  <c r="V19" i="549"/>
  <c r="P19" i="549"/>
  <c r="O19" i="549"/>
  <c r="R19" i="549" s="1"/>
  <c r="N19" i="549"/>
  <c r="K19" i="549"/>
  <c r="L19" i="549" s="1"/>
  <c r="J19" i="549"/>
  <c r="H19" i="549"/>
  <c r="F19" i="549"/>
  <c r="W18" i="549"/>
  <c r="V18" i="549"/>
  <c r="P18" i="549"/>
  <c r="N18" i="549"/>
  <c r="K18" i="549"/>
  <c r="L18" i="549" s="1"/>
  <c r="J18" i="549"/>
  <c r="F18" i="549"/>
  <c r="H18" i="549" s="1"/>
  <c r="W17" i="549"/>
  <c r="V17" i="549"/>
  <c r="P17" i="549"/>
  <c r="N17" i="549"/>
  <c r="K17" i="549"/>
  <c r="J17" i="549"/>
  <c r="L17" i="549" s="1"/>
  <c r="H17" i="549"/>
  <c r="F17" i="549"/>
  <c r="AG16" i="549"/>
  <c r="AF16" i="549"/>
  <c r="W16" i="549"/>
  <c r="N16" i="549"/>
  <c r="K16" i="549"/>
  <c r="K26" i="549" s="1"/>
  <c r="J16" i="549"/>
  <c r="P16" i="549" s="1"/>
  <c r="H16" i="549"/>
  <c r="F16" i="549"/>
  <c r="AE15" i="549"/>
  <c r="AD15" i="549"/>
  <c r="D20" i="548" s="1"/>
  <c r="AA15" i="549"/>
  <c r="AA2" i="549" s="1"/>
  <c r="Z15" i="549"/>
  <c r="M15" i="549"/>
  <c r="D22" i="548" s="1"/>
  <c r="W14" i="549"/>
  <c r="W13" i="549"/>
  <c r="W12" i="549"/>
  <c r="AG11" i="549"/>
  <c r="AF11" i="549"/>
  <c r="W11" i="549"/>
  <c r="AG10" i="549"/>
  <c r="AF10" i="549"/>
  <c r="W10" i="549"/>
  <c r="AG9" i="549"/>
  <c r="AF9" i="549"/>
  <c r="W9" i="549"/>
  <c r="AG8" i="549"/>
  <c r="W8" i="549"/>
  <c r="V8" i="549"/>
  <c r="P8" i="549"/>
  <c r="O8" i="549"/>
  <c r="R8" i="549" s="1"/>
  <c r="N8" i="549"/>
  <c r="K8" i="549"/>
  <c r="L8" i="549" s="1"/>
  <c r="J8" i="549"/>
  <c r="H8" i="549"/>
  <c r="F8" i="549"/>
  <c r="W7" i="549"/>
  <c r="V7" i="549"/>
  <c r="P7" i="549"/>
  <c r="N7" i="549"/>
  <c r="K7" i="549"/>
  <c r="L7" i="549" s="1"/>
  <c r="J7" i="549"/>
  <c r="F7" i="549"/>
  <c r="H7" i="549" s="1"/>
  <c r="W6" i="549"/>
  <c r="V6" i="549"/>
  <c r="P6" i="549"/>
  <c r="N6" i="549"/>
  <c r="K6" i="549"/>
  <c r="J6" i="549"/>
  <c r="L6" i="549" s="1"/>
  <c r="H6" i="549"/>
  <c r="F6" i="549"/>
  <c r="AG5" i="549"/>
  <c r="AF5" i="549"/>
  <c r="W5" i="549"/>
  <c r="N5" i="549"/>
  <c r="O5" i="549" s="1"/>
  <c r="K5" i="549"/>
  <c r="J5" i="549"/>
  <c r="P5" i="549" s="1"/>
  <c r="H5" i="549"/>
  <c r="F5" i="549"/>
  <c r="Z2" i="549"/>
  <c r="I2" i="549"/>
  <c r="E1" i="549"/>
  <c r="J22" i="548"/>
  <c r="I22" i="548"/>
  <c r="H22" i="548"/>
  <c r="G22" i="548"/>
  <c r="E22" i="548"/>
  <c r="I21" i="548"/>
  <c r="H21" i="548"/>
  <c r="F21" i="548"/>
  <c r="E21" i="548"/>
  <c r="D21" i="548"/>
  <c r="J20" i="548"/>
  <c r="I20" i="548"/>
  <c r="G20" i="548"/>
  <c r="J19" i="548"/>
  <c r="I19" i="548"/>
  <c r="H19" i="548"/>
  <c r="G19" i="548"/>
  <c r="F19" i="548"/>
  <c r="D19" i="548"/>
  <c r="J18" i="548"/>
  <c r="I18" i="548"/>
  <c r="H18" i="548"/>
  <c r="G18" i="548"/>
  <c r="E18" i="548"/>
  <c r="D18" i="548"/>
  <c r="J16" i="548"/>
  <c r="I16" i="548"/>
  <c r="H16" i="548"/>
  <c r="G16" i="548"/>
  <c r="F16" i="548"/>
  <c r="E16" i="548"/>
  <c r="D16" i="548"/>
  <c r="J15" i="548"/>
  <c r="J14" i="548"/>
  <c r="J13" i="548"/>
  <c r="O8" i="548"/>
  <c r="N8" i="548"/>
  <c r="M8" i="548"/>
  <c r="L8" i="548"/>
  <c r="O7" i="548"/>
  <c r="N7" i="548"/>
  <c r="M7" i="548"/>
  <c r="L7" i="548"/>
  <c r="G3" i="548"/>
  <c r="AG79" i="547"/>
  <c r="AF79" i="547"/>
  <c r="AE79" i="547"/>
  <c r="AD79" i="547"/>
  <c r="J20" i="546" s="1"/>
  <c r="AA79" i="547"/>
  <c r="Z79" i="547"/>
  <c r="W78" i="547"/>
  <c r="W77" i="547"/>
  <c r="W76" i="547"/>
  <c r="W75" i="547"/>
  <c r="W74" i="547"/>
  <c r="W73" i="547"/>
  <c r="W72" i="547"/>
  <c r="W71" i="547"/>
  <c r="AH70" i="547"/>
  <c r="AG70" i="547"/>
  <c r="AF70" i="547"/>
  <c r="W70" i="547"/>
  <c r="S70" i="547"/>
  <c r="AE69" i="547"/>
  <c r="AD69" i="547"/>
  <c r="I20" i="546" s="1"/>
  <c r="AA69" i="547"/>
  <c r="Z69" i="547"/>
  <c r="M69" i="547"/>
  <c r="W68" i="547"/>
  <c r="H68" i="547"/>
  <c r="W67" i="547"/>
  <c r="W66" i="547"/>
  <c r="W65" i="547"/>
  <c r="W64" i="547"/>
  <c r="W63" i="547"/>
  <c r="V63" i="547"/>
  <c r="N63" i="547"/>
  <c r="O63" i="547" s="1"/>
  <c r="K63" i="547"/>
  <c r="J63" i="547"/>
  <c r="F63" i="547"/>
  <c r="H63" i="547" s="1"/>
  <c r="W62" i="547"/>
  <c r="N62" i="547" s="1"/>
  <c r="V62" i="547"/>
  <c r="K62" i="547"/>
  <c r="J62" i="547"/>
  <c r="P62" i="547" s="1"/>
  <c r="H62" i="547"/>
  <c r="F62" i="547"/>
  <c r="AG61" i="547"/>
  <c r="W61" i="547"/>
  <c r="V61" i="547"/>
  <c r="O61" i="547"/>
  <c r="N61" i="547"/>
  <c r="AF61" i="547" s="1"/>
  <c r="L61" i="547"/>
  <c r="K61" i="547"/>
  <c r="J61" i="547"/>
  <c r="P61" i="547" s="1"/>
  <c r="H61" i="547"/>
  <c r="F61" i="547"/>
  <c r="W60" i="547"/>
  <c r="N60" i="547" s="1"/>
  <c r="O60" i="547" s="1"/>
  <c r="V60" i="547"/>
  <c r="K60" i="547"/>
  <c r="L60" i="547" s="1"/>
  <c r="J60" i="547"/>
  <c r="P60" i="547" s="1"/>
  <c r="F60" i="547"/>
  <c r="H60" i="547" s="1"/>
  <c r="G1" i="547" s="1"/>
  <c r="W59" i="547"/>
  <c r="N59" i="547" s="1"/>
  <c r="K59" i="547"/>
  <c r="K69" i="547" s="1"/>
  <c r="J59" i="547"/>
  <c r="P59" i="547" s="1"/>
  <c r="H59" i="547"/>
  <c r="F59" i="547"/>
  <c r="AE58" i="547"/>
  <c r="H21" i="546" s="1"/>
  <c r="AD58" i="547"/>
  <c r="AA58" i="547"/>
  <c r="Z58" i="547"/>
  <c r="M58" i="547"/>
  <c r="W57" i="547"/>
  <c r="W56" i="547"/>
  <c r="W55" i="547"/>
  <c r="W54" i="547"/>
  <c r="W53" i="547"/>
  <c r="N53" i="547" s="1"/>
  <c r="V53" i="547"/>
  <c r="O53" i="547"/>
  <c r="R53" i="547" s="1"/>
  <c r="K53" i="547"/>
  <c r="L53" i="547" s="1"/>
  <c r="J53" i="547"/>
  <c r="P53" i="547" s="1"/>
  <c r="F53" i="547"/>
  <c r="H53" i="547" s="1"/>
  <c r="AG52" i="547"/>
  <c r="W52" i="547"/>
  <c r="V52" i="547"/>
  <c r="N52" i="547"/>
  <c r="O52" i="547" s="1"/>
  <c r="K52" i="547"/>
  <c r="J52" i="547"/>
  <c r="P52" i="547" s="1"/>
  <c r="H52" i="547"/>
  <c r="F52" i="547"/>
  <c r="W51" i="547"/>
  <c r="N51" i="547" s="1"/>
  <c r="AF51" i="547" s="1"/>
  <c r="V51" i="547"/>
  <c r="K51" i="547"/>
  <c r="L51" i="547" s="1"/>
  <c r="J51" i="547"/>
  <c r="P51" i="547" s="1"/>
  <c r="F51" i="547"/>
  <c r="H51" i="547" s="1"/>
  <c r="AF50" i="547"/>
  <c r="W50" i="547"/>
  <c r="V50" i="547"/>
  <c r="N50" i="547"/>
  <c r="O50" i="547" s="1"/>
  <c r="K50" i="547"/>
  <c r="J50" i="547"/>
  <c r="F50" i="547"/>
  <c r="H50" i="547" s="1"/>
  <c r="W49" i="547"/>
  <c r="P49" i="547"/>
  <c r="N49" i="547"/>
  <c r="K49" i="547"/>
  <c r="J49" i="547"/>
  <c r="F49" i="547"/>
  <c r="H49" i="547" s="1"/>
  <c r="AE48" i="547"/>
  <c r="AD48" i="547"/>
  <c r="AA48" i="547"/>
  <c r="G19" i="546" s="1"/>
  <c r="Z48" i="547"/>
  <c r="W48" i="547"/>
  <c r="M48" i="547"/>
  <c r="W47" i="547"/>
  <c r="H47" i="547"/>
  <c r="W46" i="547"/>
  <c r="W45" i="547"/>
  <c r="W44" i="547"/>
  <c r="W43" i="547"/>
  <c r="W42" i="547"/>
  <c r="AG41" i="547"/>
  <c r="AF41" i="547"/>
  <c r="W41" i="547"/>
  <c r="W40" i="547"/>
  <c r="N40" i="547" s="1"/>
  <c r="V40" i="547"/>
  <c r="P40" i="547"/>
  <c r="L40" i="547"/>
  <c r="K40" i="547"/>
  <c r="J40" i="547"/>
  <c r="F40" i="547"/>
  <c r="H40" i="547" s="1"/>
  <c r="W39" i="547"/>
  <c r="N39" i="547" s="1"/>
  <c r="V39" i="547"/>
  <c r="K39" i="547"/>
  <c r="L39" i="547" s="1"/>
  <c r="J39" i="547"/>
  <c r="P39" i="547" s="1"/>
  <c r="H39" i="547"/>
  <c r="F39" i="547"/>
  <c r="W38" i="547"/>
  <c r="N38" i="547"/>
  <c r="K38" i="547"/>
  <c r="J38" i="547"/>
  <c r="F38" i="547"/>
  <c r="H38" i="547" s="1"/>
  <c r="AE37" i="547"/>
  <c r="F21" i="546" s="1"/>
  <c r="AD37" i="547"/>
  <c r="AA37" i="547"/>
  <c r="Z37" i="547"/>
  <c r="M37" i="547"/>
  <c r="W36" i="547"/>
  <c r="H36" i="547"/>
  <c r="W35" i="547"/>
  <c r="W34" i="547"/>
  <c r="W33" i="547"/>
  <c r="W32" i="547"/>
  <c r="AG31" i="547"/>
  <c r="AF31" i="547"/>
  <c r="W31" i="547"/>
  <c r="AG30" i="547"/>
  <c r="AF30" i="547"/>
  <c r="W30" i="547"/>
  <c r="W29" i="547"/>
  <c r="V29" i="547"/>
  <c r="P29" i="547"/>
  <c r="N29" i="547"/>
  <c r="K29" i="547"/>
  <c r="J29" i="547"/>
  <c r="L29" i="547" s="1"/>
  <c r="H29" i="547"/>
  <c r="F29" i="547"/>
  <c r="AF28" i="547"/>
  <c r="W28" i="547"/>
  <c r="N28" i="547" s="1"/>
  <c r="V28" i="547"/>
  <c r="P28" i="547"/>
  <c r="L28" i="547"/>
  <c r="K28" i="547"/>
  <c r="J28" i="547"/>
  <c r="F28" i="547"/>
  <c r="H28" i="547" s="1"/>
  <c r="W27" i="547"/>
  <c r="N27" i="547" s="1"/>
  <c r="AF27" i="547" s="1"/>
  <c r="P27" i="547"/>
  <c r="K27" i="547"/>
  <c r="J27" i="547"/>
  <c r="J37" i="547" s="1"/>
  <c r="F27" i="547"/>
  <c r="H27" i="547" s="1"/>
  <c r="AE26" i="547"/>
  <c r="E21" i="546" s="1"/>
  <c r="AD26" i="547"/>
  <c r="AA26" i="547"/>
  <c r="E19" i="546" s="1"/>
  <c r="Z26" i="547"/>
  <c r="M26" i="547"/>
  <c r="E22" i="546" s="1"/>
  <c r="W25" i="547"/>
  <c r="H25" i="547"/>
  <c r="W24" i="547"/>
  <c r="H24" i="547"/>
  <c r="W23" i="547"/>
  <c r="W21" i="547"/>
  <c r="W20" i="547"/>
  <c r="N20" i="547" s="1"/>
  <c r="O20" i="547" s="1"/>
  <c r="Q20" i="547" s="1"/>
  <c r="V20" i="547"/>
  <c r="R20" i="547"/>
  <c r="P20" i="547"/>
  <c r="L20" i="547"/>
  <c r="K20" i="547"/>
  <c r="J20" i="547"/>
  <c r="F20" i="547"/>
  <c r="H20" i="547" s="1"/>
  <c r="W19" i="547"/>
  <c r="N19" i="547" s="1"/>
  <c r="V19" i="547"/>
  <c r="K19" i="547"/>
  <c r="J19" i="547"/>
  <c r="H19" i="547"/>
  <c r="F19" i="547"/>
  <c r="W18" i="547"/>
  <c r="N18" i="547" s="1"/>
  <c r="AG18" i="547" s="1"/>
  <c r="V18" i="547"/>
  <c r="P18" i="547"/>
  <c r="L18" i="547"/>
  <c r="K18" i="547"/>
  <c r="J18" i="547"/>
  <c r="H18" i="547"/>
  <c r="F18" i="547"/>
  <c r="W17" i="547"/>
  <c r="V17" i="547"/>
  <c r="P17" i="547"/>
  <c r="O17" i="547"/>
  <c r="N17" i="547"/>
  <c r="K17" i="547"/>
  <c r="L17" i="547" s="1"/>
  <c r="J17" i="547"/>
  <c r="H17" i="547"/>
  <c r="F17" i="547"/>
  <c r="AG16" i="547"/>
  <c r="W16" i="547"/>
  <c r="P16" i="547"/>
  <c r="O16" i="547"/>
  <c r="N16" i="547"/>
  <c r="L16" i="547"/>
  <c r="K16" i="547"/>
  <c r="AF16" i="547" s="1"/>
  <c r="J16" i="547"/>
  <c r="H16" i="547"/>
  <c r="F16" i="547"/>
  <c r="AE15" i="547"/>
  <c r="AD15" i="547"/>
  <c r="AA15" i="547"/>
  <c r="Z15" i="547"/>
  <c r="D18" i="546" s="1"/>
  <c r="L6" i="546" s="1"/>
  <c r="M15" i="547"/>
  <c r="W14" i="547"/>
  <c r="W13" i="547"/>
  <c r="W12" i="547"/>
  <c r="AG11" i="547"/>
  <c r="AF11" i="547"/>
  <c r="W11" i="547"/>
  <c r="AG10" i="547"/>
  <c r="AF10" i="547"/>
  <c r="W10" i="547"/>
  <c r="W9" i="547"/>
  <c r="N9" i="547" s="1"/>
  <c r="V9" i="547"/>
  <c r="O9" i="547"/>
  <c r="R9" i="547" s="1"/>
  <c r="K9" i="547"/>
  <c r="L9" i="547" s="1"/>
  <c r="J9" i="547"/>
  <c r="P9" i="547" s="1"/>
  <c r="F9" i="547"/>
  <c r="H9" i="547" s="1"/>
  <c r="AG8" i="547"/>
  <c r="W8" i="547"/>
  <c r="V8" i="547"/>
  <c r="N8" i="547"/>
  <c r="O8" i="547" s="1"/>
  <c r="K8" i="547"/>
  <c r="J8" i="547"/>
  <c r="P8" i="547" s="1"/>
  <c r="H8" i="547"/>
  <c r="F8" i="547"/>
  <c r="W7" i="547"/>
  <c r="N7" i="547" s="1"/>
  <c r="AF7" i="547" s="1"/>
  <c r="V7" i="547"/>
  <c r="K7" i="547"/>
  <c r="L7" i="547" s="1"/>
  <c r="J7" i="547"/>
  <c r="P7" i="547" s="1"/>
  <c r="F7" i="547"/>
  <c r="H7" i="547" s="1"/>
  <c r="W6" i="547"/>
  <c r="V6" i="547"/>
  <c r="N6" i="547"/>
  <c r="K6" i="547"/>
  <c r="J6" i="547"/>
  <c r="J15" i="547" s="1"/>
  <c r="P15" i="547" s="1"/>
  <c r="F6" i="547"/>
  <c r="H6" i="547" s="1"/>
  <c r="W5" i="547"/>
  <c r="P5" i="547"/>
  <c r="N5" i="547"/>
  <c r="K5" i="547"/>
  <c r="J5" i="547"/>
  <c r="F5" i="547"/>
  <c r="H5" i="547" s="1"/>
  <c r="I2" i="547"/>
  <c r="E1" i="547"/>
  <c r="J22" i="546"/>
  <c r="I22" i="546"/>
  <c r="H22" i="546"/>
  <c r="G22" i="546"/>
  <c r="D22" i="546"/>
  <c r="J21" i="546"/>
  <c r="I21" i="546"/>
  <c r="G21" i="546"/>
  <c r="H20" i="546"/>
  <c r="G20" i="546"/>
  <c r="O6" i="546" s="1"/>
  <c r="F20" i="546"/>
  <c r="E20" i="546"/>
  <c r="D20" i="546"/>
  <c r="J19" i="546"/>
  <c r="I19" i="546"/>
  <c r="H19" i="546"/>
  <c r="F19" i="546"/>
  <c r="D19" i="546"/>
  <c r="M6" i="546" s="1"/>
  <c r="J18" i="546"/>
  <c r="I18" i="546"/>
  <c r="H18" i="546"/>
  <c r="G18" i="546"/>
  <c r="F18" i="546"/>
  <c r="E18" i="546"/>
  <c r="J16" i="546"/>
  <c r="I16" i="546"/>
  <c r="H16" i="546"/>
  <c r="G16" i="546"/>
  <c r="F16" i="546"/>
  <c r="E16" i="546"/>
  <c r="D16" i="546"/>
  <c r="J15" i="546"/>
  <c r="J14" i="546"/>
  <c r="J13" i="546"/>
  <c r="O8" i="546"/>
  <c r="N8" i="546"/>
  <c r="M8" i="546"/>
  <c r="L8" i="546"/>
  <c r="O7" i="546"/>
  <c r="N7" i="546"/>
  <c r="M7" i="546"/>
  <c r="L7" i="546"/>
  <c r="G3" i="546"/>
  <c r="AG79" i="545"/>
  <c r="AF79" i="545"/>
  <c r="AE79" i="545"/>
  <c r="AD79" i="545"/>
  <c r="J20" i="544" s="1"/>
  <c r="AA79" i="545"/>
  <c r="Z79" i="545"/>
  <c r="W78" i="545"/>
  <c r="W77" i="545"/>
  <c r="W76" i="545"/>
  <c r="W75" i="545"/>
  <c r="W74" i="545"/>
  <c r="W73" i="545"/>
  <c r="W72" i="545"/>
  <c r="W71" i="545"/>
  <c r="AH70" i="545"/>
  <c r="AG70" i="545"/>
  <c r="AF70" i="545"/>
  <c r="W70" i="545"/>
  <c r="S70" i="545"/>
  <c r="J15" i="544" s="1"/>
  <c r="AE69" i="545"/>
  <c r="AD69" i="545"/>
  <c r="AA69" i="545"/>
  <c r="I19" i="544" s="1"/>
  <c r="Z69" i="545"/>
  <c r="M69" i="545"/>
  <c r="W68" i="545"/>
  <c r="H68" i="545"/>
  <c r="W67" i="545"/>
  <c r="W66" i="545"/>
  <c r="W65" i="545"/>
  <c r="W64" i="545"/>
  <c r="W63" i="545"/>
  <c r="N63" i="545" s="1"/>
  <c r="O63" i="545" s="1"/>
  <c r="Q63" i="545" s="1"/>
  <c r="V63" i="545"/>
  <c r="P63" i="545"/>
  <c r="L63" i="545"/>
  <c r="K63" i="545"/>
  <c r="J63" i="545"/>
  <c r="F63" i="545"/>
  <c r="H63" i="545" s="1"/>
  <c r="W62" i="545"/>
  <c r="N62" i="545" s="1"/>
  <c r="V62" i="545"/>
  <c r="K62" i="545"/>
  <c r="J62" i="545"/>
  <c r="H62" i="545"/>
  <c r="F62" i="545"/>
  <c r="W61" i="545"/>
  <c r="N61" i="545" s="1"/>
  <c r="V61" i="545"/>
  <c r="P61" i="545"/>
  <c r="L61" i="545"/>
  <c r="K61" i="545"/>
  <c r="J61" i="545"/>
  <c r="H61" i="545"/>
  <c r="F61" i="545"/>
  <c r="W60" i="545"/>
  <c r="V60" i="545"/>
  <c r="P60" i="545"/>
  <c r="O60" i="545"/>
  <c r="N60" i="545"/>
  <c r="K60" i="545"/>
  <c r="L60" i="545" s="1"/>
  <c r="J60" i="545"/>
  <c r="H60" i="545"/>
  <c r="F60" i="545"/>
  <c r="AG59" i="545"/>
  <c r="W59" i="545"/>
  <c r="P59" i="545"/>
  <c r="O59" i="545"/>
  <c r="N59" i="545"/>
  <c r="L59" i="545"/>
  <c r="K59" i="545"/>
  <c r="AF59" i="545" s="1"/>
  <c r="J59" i="545"/>
  <c r="H59" i="545"/>
  <c r="F59" i="545"/>
  <c r="AE58" i="545"/>
  <c r="AD58" i="545"/>
  <c r="AA58" i="545"/>
  <c r="Z58" i="545"/>
  <c r="H18" i="544" s="1"/>
  <c r="M58" i="545"/>
  <c r="W57" i="545"/>
  <c r="W56" i="545"/>
  <c r="W55" i="545"/>
  <c r="W54" i="545"/>
  <c r="N54" i="545" s="1"/>
  <c r="O54" i="545" s="1"/>
  <c r="V54" i="545"/>
  <c r="K54" i="545"/>
  <c r="L54" i="545" s="1"/>
  <c r="J54" i="545"/>
  <c r="P54" i="545" s="1"/>
  <c r="F54" i="545"/>
  <c r="H54" i="545" s="1"/>
  <c r="W53" i="545"/>
  <c r="V53" i="545"/>
  <c r="N53" i="545"/>
  <c r="K53" i="545"/>
  <c r="J53" i="545"/>
  <c r="F53" i="545"/>
  <c r="H53" i="545" s="1"/>
  <c r="W52" i="545"/>
  <c r="N52" i="545" s="1"/>
  <c r="V52" i="545"/>
  <c r="P52" i="545"/>
  <c r="L52" i="545"/>
  <c r="K52" i="545"/>
  <c r="J52" i="545"/>
  <c r="J58" i="545" s="1"/>
  <c r="P58" i="545" s="1"/>
  <c r="H52" i="545"/>
  <c r="F52" i="545"/>
  <c r="AG51" i="545"/>
  <c r="W51" i="545"/>
  <c r="V51" i="545"/>
  <c r="P51" i="545"/>
  <c r="O51" i="545"/>
  <c r="R51" i="545" s="1"/>
  <c r="N51" i="545"/>
  <c r="L51" i="545"/>
  <c r="K51" i="545"/>
  <c r="AF51" i="545" s="1"/>
  <c r="J51" i="545"/>
  <c r="H51" i="545"/>
  <c r="F51" i="545"/>
  <c r="W50" i="545"/>
  <c r="N50" i="545" s="1"/>
  <c r="V50" i="545"/>
  <c r="O50" i="545"/>
  <c r="R50" i="545" s="1"/>
  <c r="K50" i="545"/>
  <c r="L50" i="545" s="1"/>
  <c r="J50" i="545"/>
  <c r="P50" i="545" s="1"/>
  <c r="F50" i="545"/>
  <c r="H50" i="545" s="1"/>
  <c r="W49" i="545"/>
  <c r="N49" i="545" s="1"/>
  <c r="K49" i="545"/>
  <c r="L49" i="545" s="1"/>
  <c r="J49" i="545"/>
  <c r="P49" i="545" s="1"/>
  <c r="H49" i="545"/>
  <c r="F49" i="545"/>
  <c r="AE48" i="545"/>
  <c r="G21" i="544" s="1"/>
  <c r="AD48" i="545"/>
  <c r="AA48" i="545"/>
  <c r="Z48" i="545"/>
  <c r="W48" i="545"/>
  <c r="M48" i="545"/>
  <c r="W47" i="545"/>
  <c r="H47" i="545"/>
  <c r="W46" i="545"/>
  <c r="W45" i="545"/>
  <c r="W44" i="545"/>
  <c r="W43" i="545"/>
  <c r="W42" i="545"/>
  <c r="N42" i="545" s="1"/>
  <c r="O42" i="545" s="1"/>
  <c r="Q42" i="545" s="1"/>
  <c r="V42" i="545"/>
  <c r="R42" i="545"/>
  <c r="P42" i="545"/>
  <c r="L42" i="545"/>
  <c r="K42" i="545"/>
  <c r="J42" i="545"/>
  <c r="F42" i="545"/>
  <c r="H42" i="545" s="1"/>
  <c r="AG41" i="545"/>
  <c r="W41" i="545"/>
  <c r="N41" i="545" s="1"/>
  <c r="V41" i="545"/>
  <c r="K41" i="545"/>
  <c r="L41" i="545" s="1"/>
  <c r="J41" i="545"/>
  <c r="H41" i="545"/>
  <c r="F41" i="545"/>
  <c r="AG40" i="545"/>
  <c r="W40" i="545"/>
  <c r="N40" i="545" s="1"/>
  <c r="V40" i="545"/>
  <c r="P40" i="545"/>
  <c r="L40" i="545"/>
  <c r="K40" i="545"/>
  <c r="J40" i="545"/>
  <c r="H40" i="545"/>
  <c r="F40" i="545"/>
  <c r="AG39" i="545"/>
  <c r="W39" i="545"/>
  <c r="V39" i="545"/>
  <c r="P39" i="545"/>
  <c r="O39" i="545"/>
  <c r="N39" i="545"/>
  <c r="K39" i="545"/>
  <c r="L39" i="545" s="1"/>
  <c r="J39" i="545"/>
  <c r="H39" i="545"/>
  <c r="F39" i="545"/>
  <c r="AG38" i="545"/>
  <c r="W38" i="545"/>
  <c r="R38" i="545"/>
  <c r="Q38" i="545"/>
  <c r="P38" i="545"/>
  <c r="O38" i="545"/>
  <c r="N38" i="545"/>
  <c r="L38" i="545"/>
  <c r="K38" i="545"/>
  <c r="AF38" i="545" s="1"/>
  <c r="J38" i="545"/>
  <c r="H38" i="545"/>
  <c r="F38" i="545"/>
  <c r="AE37" i="545"/>
  <c r="F21" i="544" s="1"/>
  <c r="AD37" i="545"/>
  <c r="F20" i="544" s="1"/>
  <c r="AA37" i="545"/>
  <c r="Z37" i="545"/>
  <c r="Z2" i="545" s="1"/>
  <c r="M37" i="545"/>
  <c r="W36" i="545"/>
  <c r="H36" i="545"/>
  <c r="W35" i="545"/>
  <c r="W34" i="545"/>
  <c r="W33" i="545"/>
  <c r="W32" i="545"/>
  <c r="W31" i="545"/>
  <c r="V31" i="545"/>
  <c r="P31" i="545"/>
  <c r="N31" i="545"/>
  <c r="K31" i="545"/>
  <c r="L31" i="545" s="1"/>
  <c r="J31" i="545"/>
  <c r="F31" i="545"/>
  <c r="H31" i="545" s="1"/>
  <c r="W30" i="545"/>
  <c r="V30" i="545"/>
  <c r="N30" i="545"/>
  <c r="K30" i="545"/>
  <c r="J30" i="545"/>
  <c r="L30" i="545" s="1"/>
  <c r="H30" i="545"/>
  <c r="F30" i="545"/>
  <c r="AF29" i="545"/>
  <c r="W29" i="545"/>
  <c r="N29" i="545" s="1"/>
  <c r="V29" i="545"/>
  <c r="P29" i="545"/>
  <c r="L29" i="545"/>
  <c r="K29" i="545"/>
  <c r="J29" i="545"/>
  <c r="F29" i="545"/>
  <c r="H29" i="545" s="1"/>
  <c r="AG28" i="545"/>
  <c r="W28" i="545"/>
  <c r="N28" i="545" s="1"/>
  <c r="AF28" i="545" s="1"/>
  <c r="V28" i="545"/>
  <c r="O28" i="545"/>
  <c r="K28" i="545"/>
  <c r="L28" i="545" s="1"/>
  <c r="J28" i="545"/>
  <c r="P28" i="545" s="1"/>
  <c r="H28" i="545"/>
  <c r="F28" i="545"/>
  <c r="AF27" i="545"/>
  <c r="W27" i="545"/>
  <c r="N27" i="545"/>
  <c r="K27" i="545"/>
  <c r="J27" i="545"/>
  <c r="P27" i="545" s="1"/>
  <c r="F27" i="545"/>
  <c r="H27" i="545" s="1"/>
  <c r="AE26" i="545"/>
  <c r="E21" i="544" s="1"/>
  <c r="AD26" i="545"/>
  <c r="AA26" i="545"/>
  <c r="Z26" i="545"/>
  <c r="M26" i="545"/>
  <c r="W25" i="545"/>
  <c r="H25" i="545"/>
  <c r="W24" i="545"/>
  <c r="H24" i="545"/>
  <c r="W23" i="545"/>
  <c r="W21" i="545"/>
  <c r="V21" i="545"/>
  <c r="O21" i="545"/>
  <c r="N21" i="545"/>
  <c r="K21" i="545"/>
  <c r="J21" i="545"/>
  <c r="P21" i="545" s="1"/>
  <c r="F21" i="545"/>
  <c r="H21" i="545" s="1"/>
  <c r="W20" i="545"/>
  <c r="V20" i="545"/>
  <c r="O20" i="545"/>
  <c r="N20" i="545"/>
  <c r="K20" i="545"/>
  <c r="J20" i="545"/>
  <c r="P20" i="545" s="1"/>
  <c r="F20" i="545"/>
  <c r="H20" i="545" s="1"/>
  <c r="AF19" i="545"/>
  <c r="W19" i="545"/>
  <c r="N19" i="545" s="1"/>
  <c r="V19" i="545"/>
  <c r="K19" i="545"/>
  <c r="J19" i="545"/>
  <c r="P19" i="545" s="1"/>
  <c r="F19" i="545"/>
  <c r="H19" i="545" s="1"/>
  <c r="W18" i="545"/>
  <c r="V18" i="545"/>
  <c r="N18" i="545"/>
  <c r="K18" i="545"/>
  <c r="J18" i="545"/>
  <c r="P18" i="545" s="1"/>
  <c r="F18" i="545"/>
  <c r="H18" i="545" s="1"/>
  <c r="W17" i="545"/>
  <c r="N17" i="545" s="1"/>
  <c r="AG17" i="545" s="1"/>
  <c r="V17" i="545"/>
  <c r="K17" i="545"/>
  <c r="J17" i="545"/>
  <c r="P17" i="545" s="1"/>
  <c r="F17" i="545"/>
  <c r="H17" i="545" s="1"/>
  <c r="W16" i="545"/>
  <c r="P16" i="545"/>
  <c r="N16" i="545"/>
  <c r="K16" i="545"/>
  <c r="L16" i="545" s="1"/>
  <c r="J16" i="545"/>
  <c r="H16" i="545"/>
  <c r="F16" i="545"/>
  <c r="AE15" i="545"/>
  <c r="AD15" i="545"/>
  <c r="AA15" i="545"/>
  <c r="AA2" i="545" s="1"/>
  <c r="Z15" i="545"/>
  <c r="D18" i="544" s="1"/>
  <c r="M15" i="545"/>
  <c r="W14" i="545"/>
  <c r="W13" i="545"/>
  <c r="W12" i="545"/>
  <c r="W11" i="545"/>
  <c r="W10" i="545"/>
  <c r="AG9" i="545"/>
  <c r="AF9" i="545"/>
  <c r="W9" i="545"/>
  <c r="V9" i="545"/>
  <c r="P9" i="545"/>
  <c r="N9" i="545"/>
  <c r="O9" i="545" s="1"/>
  <c r="K9" i="545"/>
  <c r="L9" i="545" s="1"/>
  <c r="Q9" i="545" s="1"/>
  <c r="J9" i="545"/>
  <c r="F9" i="545"/>
  <c r="H9" i="545" s="1"/>
  <c r="W8" i="545"/>
  <c r="N8" i="545" s="1"/>
  <c r="V8" i="545"/>
  <c r="P8" i="545"/>
  <c r="K8" i="545"/>
  <c r="L8" i="545" s="1"/>
  <c r="J8" i="545"/>
  <c r="J15" i="545" s="1"/>
  <c r="P15" i="545" s="1"/>
  <c r="H8" i="545"/>
  <c r="F8" i="545"/>
  <c r="W7" i="545"/>
  <c r="V7" i="545"/>
  <c r="P7" i="545"/>
  <c r="N7" i="545"/>
  <c r="O7" i="545" s="1"/>
  <c r="Q7" i="545" s="1"/>
  <c r="L7" i="545"/>
  <c r="K7" i="545"/>
  <c r="J7" i="545"/>
  <c r="F7" i="545"/>
  <c r="H7" i="545" s="1"/>
  <c r="W6" i="545"/>
  <c r="N6" i="545" s="1"/>
  <c r="V6" i="545"/>
  <c r="P6" i="545"/>
  <c r="O6" i="545"/>
  <c r="K6" i="545"/>
  <c r="L6" i="545" s="1"/>
  <c r="J6" i="545"/>
  <c r="H6" i="545"/>
  <c r="F6" i="545"/>
  <c r="W5" i="545"/>
  <c r="N5" i="545"/>
  <c r="AF5" i="545" s="1"/>
  <c r="L5" i="545"/>
  <c r="K5" i="545"/>
  <c r="J5" i="545"/>
  <c r="P5" i="545" s="1"/>
  <c r="F5" i="545"/>
  <c r="H5" i="545" s="1"/>
  <c r="I2" i="545"/>
  <c r="I1" i="545"/>
  <c r="E1" i="545"/>
  <c r="G3" i="544" s="1"/>
  <c r="J22" i="544"/>
  <c r="I22" i="544"/>
  <c r="H22" i="544"/>
  <c r="F22" i="544"/>
  <c r="D22" i="544"/>
  <c r="J21" i="544"/>
  <c r="I21" i="544"/>
  <c r="H21" i="544"/>
  <c r="D21" i="544"/>
  <c r="I20" i="544"/>
  <c r="H20" i="544"/>
  <c r="G20" i="544"/>
  <c r="E20" i="544"/>
  <c r="O6" i="544" s="1"/>
  <c r="D20" i="544"/>
  <c r="J19" i="544"/>
  <c r="H19" i="544"/>
  <c r="G19" i="544"/>
  <c r="F19" i="544"/>
  <c r="E19" i="544"/>
  <c r="J18" i="544"/>
  <c r="I18" i="544"/>
  <c r="G18" i="544"/>
  <c r="E18" i="544"/>
  <c r="J16" i="544"/>
  <c r="I16" i="544"/>
  <c r="H16" i="544"/>
  <c r="G16" i="544"/>
  <c r="F16" i="544"/>
  <c r="E16" i="544"/>
  <c r="D16" i="544"/>
  <c r="J14" i="544"/>
  <c r="J13" i="544"/>
  <c r="O8" i="544"/>
  <c r="N8" i="544"/>
  <c r="M8" i="544"/>
  <c r="L8" i="544"/>
  <c r="O7" i="544"/>
  <c r="N7" i="544"/>
  <c r="M7" i="544"/>
  <c r="L7" i="544"/>
  <c r="AG79" i="483"/>
  <c r="AF79" i="483"/>
  <c r="AE79" i="483"/>
  <c r="AD79" i="483"/>
  <c r="AA79" i="483"/>
  <c r="Z79" i="483"/>
  <c r="W78" i="483"/>
  <c r="W77" i="483"/>
  <c r="W76" i="483"/>
  <c r="W75" i="483"/>
  <c r="W74" i="483"/>
  <c r="W73" i="483"/>
  <c r="W72" i="483"/>
  <c r="W71" i="483"/>
  <c r="AH70" i="483"/>
  <c r="AG70" i="483"/>
  <c r="AF70" i="483"/>
  <c r="W70" i="483"/>
  <c r="S70" i="483"/>
  <c r="AE69" i="483"/>
  <c r="AD69" i="483"/>
  <c r="AA69" i="483"/>
  <c r="Z69" i="483"/>
  <c r="M69" i="483"/>
  <c r="W68" i="483"/>
  <c r="H68" i="483"/>
  <c r="W67" i="483"/>
  <c r="W66" i="483"/>
  <c r="W65" i="483"/>
  <c r="W64" i="483"/>
  <c r="W63" i="483"/>
  <c r="N63" i="483" s="1"/>
  <c r="V63" i="483"/>
  <c r="O63" i="483"/>
  <c r="K63" i="483"/>
  <c r="J63" i="483"/>
  <c r="P63" i="483" s="1"/>
  <c r="H63" i="483"/>
  <c r="F63" i="483"/>
  <c r="W62" i="483"/>
  <c r="V62" i="483"/>
  <c r="O62" i="483"/>
  <c r="N62" i="483"/>
  <c r="K62" i="483"/>
  <c r="AF62" i="483" s="1"/>
  <c r="J62" i="483"/>
  <c r="P62" i="483" s="1"/>
  <c r="F62" i="483"/>
  <c r="H62" i="483" s="1"/>
  <c r="AG61" i="483"/>
  <c r="W61" i="483"/>
  <c r="V61" i="483"/>
  <c r="O61" i="483"/>
  <c r="N61" i="483"/>
  <c r="AF61" i="483" s="1"/>
  <c r="K61" i="483"/>
  <c r="J61" i="483"/>
  <c r="P61" i="483" s="1"/>
  <c r="F61" i="483"/>
  <c r="H61" i="483" s="1"/>
  <c r="W60" i="483"/>
  <c r="V60" i="483"/>
  <c r="O60" i="483"/>
  <c r="N60" i="483"/>
  <c r="K60" i="483"/>
  <c r="AF60" i="483" s="1"/>
  <c r="J60" i="483"/>
  <c r="P60" i="483" s="1"/>
  <c r="F60" i="483"/>
  <c r="H60" i="483" s="1"/>
  <c r="W59" i="483"/>
  <c r="P59" i="483"/>
  <c r="N59" i="483"/>
  <c r="AG59" i="483" s="1"/>
  <c r="K59" i="483"/>
  <c r="J59" i="483"/>
  <c r="F59" i="483"/>
  <c r="H59" i="483" s="1"/>
  <c r="AE58" i="483"/>
  <c r="AD58" i="483"/>
  <c r="AA58" i="483"/>
  <c r="Z58" i="483"/>
  <c r="M58" i="483"/>
  <c r="K58" i="483"/>
  <c r="W57" i="483"/>
  <c r="W56" i="483"/>
  <c r="W55" i="483"/>
  <c r="W54" i="483"/>
  <c r="AF53" i="483"/>
  <c r="W53" i="483"/>
  <c r="V53" i="483"/>
  <c r="P53" i="483"/>
  <c r="O53" i="483"/>
  <c r="Q53" i="483" s="1"/>
  <c r="N53" i="483"/>
  <c r="L53" i="483"/>
  <c r="K53" i="483"/>
  <c r="J53" i="483"/>
  <c r="F53" i="483"/>
  <c r="H53" i="483" s="1"/>
  <c r="W52" i="483"/>
  <c r="V52" i="483"/>
  <c r="N52" i="483"/>
  <c r="AG52" i="483" s="1"/>
  <c r="K52" i="483"/>
  <c r="J52" i="483"/>
  <c r="P52" i="483" s="1"/>
  <c r="F52" i="483"/>
  <c r="H52" i="483" s="1"/>
  <c r="AG51" i="483"/>
  <c r="AF51" i="483"/>
  <c r="W51" i="483"/>
  <c r="N51" i="483" s="1"/>
  <c r="V51" i="483"/>
  <c r="P51" i="483"/>
  <c r="O51" i="483"/>
  <c r="L51" i="483"/>
  <c r="K51" i="483"/>
  <c r="J51" i="483"/>
  <c r="H51" i="483"/>
  <c r="F51" i="483"/>
  <c r="AG50" i="483"/>
  <c r="AF50" i="483"/>
  <c r="W50" i="483"/>
  <c r="V50" i="483"/>
  <c r="O50" i="483"/>
  <c r="N50" i="483"/>
  <c r="K50" i="483"/>
  <c r="L50" i="483" s="1"/>
  <c r="Q50" i="483" s="1"/>
  <c r="J50" i="483"/>
  <c r="P50" i="483" s="1"/>
  <c r="F50" i="483"/>
  <c r="H50" i="483" s="1"/>
  <c r="W49" i="483"/>
  <c r="P49" i="483"/>
  <c r="N49" i="483"/>
  <c r="AG49" i="483" s="1"/>
  <c r="K49" i="483"/>
  <c r="L49" i="483" s="1"/>
  <c r="J49" i="483"/>
  <c r="F49" i="483"/>
  <c r="H49" i="483" s="1"/>
  <c r="AE48" i="483"/>
  <c r="AD48" i="483"/>
  <c r="AA48" i="483"/>
  <c r="Z48" i="483"/>
  <c r="Z2" i="483" s="1"/>
  <c r="W48" i="483"/>
  <c r="M48" i="483"/>
  <c r="W47" i="483"/>
  <c r="H47" i="483"/>
  <c r="W46" i="483"/>
  <c r="W45" i="483"/>
  <c r="W44" i="483"/>
  <c r="W43" i="483"/>
  <c r="W42" i="483"/>
  <c r="W41" i="483"/>
  <c r="V41" i="483"/>
  <c r="O41" i="483"/>
  <c r="N41" i="483"/>
  <c r="AG41" i="483" s="1"/>
  <c r="K41" i="483"/>
  <c r="J41" i="483"/>
  <c r="P41" i="483" s="1"/>
  <c r="F41" i="483"/>
  <c r="H41" i="483" s="1"/>
  <c r="W40" i="483"/>
  <c r="V40" i="483"/>
  <c r="P40" i="483"/>
  <c r="N40" i="483"/>
  <c r="K40" i="483"/>
  <c r="K48" i="483" s="1"/>
  <c r="J40" i="483"/>
  <c r="F40" i="483"/>
  <c r="H40" i="483" s="1"/>
  <c r="W39" i="483"/>
  <c r="V39" i="483"/>
  <c r="P39" i="483"/>
  <c r="N39" i="483"/>
  <c r="AG39" i="483" s="1"/>
  <c r="L39" i="483"/>
  <c r="K39" i="483"/>
  <c r="J39" i="483"/>
  <c r="F39" i="483"/>
  <c r="H39" i="483" s="1"/>
  <c r="W38" i="483"/>
  <c r="P38" i="483"/>
  <c r="N38" i="483"/>
  <c r="O38" i="483" s="1"/>
  <c r="L38" i="483"/>
  <c r="R38" i="483" s="1"/>
  <c r="K38" i="483"/>
  <c r="J38" i="483"/>
  <c r="H38" i="483"/>
  <c r="F38" i="483"/>
  <c r="AE37" i="483"/>
  <c r="AD37" i="483"/>
  <c r="F20" i="482" s="1"/>
  <c r="AA37" i="483"/>
  <c r="AA2" i="483" s="1"/>
  <c r="Z37" i="483"/>
  <c r="M37" i="483"/>
  <c r="W36" i="483"/>
  <c r="H36" i="483"/>
  <c r="W35" i="483"/>
  <c r="W34" i="483"/>
  <c r="W33" i="483"/>
  <c r="W32" i="483"/>
  <c r="W31" i="483"/>
  <c r="N31" i="483" s="1"/>
  <c r="V31" i="483"/>
  <c r="O31" i="483"/>
  <c r="K31" i="483"/>
  <c r="AG31" i="483" s="1"/>
  <c r="J31" i="483"/>
  <c r="P31" i="483" s="1"/>
  <c r="F31" i="483"/>
  <c r="H31" i="483" s="1"/>
  <c r="W30" i="483"/>
  <c r="V30" i="483"/>
  <c r="N30" i="483"/>
  <c r="AG30" i="483" s="1"/>
  <c r="K30" i="483"/>
  <c r="K37" i="483" s="1"/>
  <c r="J30" i="483"/>
  <c r="P30" i="483" s="1"/>
  <c r="H30" i="483"/>
  <c r="F30" i="483"/>
  <c r="W29" i="483"/>
  <c r="V29" i="483"/>
  <c r="O29" i="483"/>
  <c r="Q29" i="483" s="1"/>
  <c r="N29" i="483"/>
  <c r="AG29" i="483" s="1"/>
  <c r="L29" i="483"/>
  <c r="K29" i="483"/>
  <c r="J29" i="483"/>
  <c r="J37" i="483" s="1"/>
  <c r="H29" i="483"/>
  <c r="F29" i="483"/>
  <c r="AG28" i="483"/>
  <c r="AF28" i="483"/>
  <c r="W28" i="483"/>
  <c r="V28" i="483"/>
  <c r="P28" i="483"/>
  <c r="O28" i="483"/>
  <c r="Q28" i="483" s="1"/>
  <c r="N28" i="483"/>
  <c r="L28" i="483"/>
  <c r="K28" i="483"/>
  <c r="J28" i="483"/>
  <c r="F28" i="483"/>
  <c r="H28" i="483" s="1"/>
  <c r="W27" i="483"/>
  <c r="N27" i="483" s="1"/>
  <c r="P27" i="483"/>
  <c r="K27" i="483"/>
  <c r="L27" i="483" s="1"/>
  <c r="J27" i="483"/>
  <c r="F27" i="483"/>
  <c r="H27" i="483" s="1"/>
  <c r="AE26" i="483"/>
  <c r="E21" i="482" s="1"/>
  <c r="AD26" i="483"/>
  <c r="E20" i="482" s="1"/>
  <c r="AA26" i="483"/>
  <c r="Z26" i="483"/>
  <c r="M26" i="483"/>
  <c r="J26" i="483"/>
  <c r="P26" i="483" s="1"/>
  <c r="W25" i="483"/>
  <c r="H25" i="483"/>
  <c r="W24" i="483"/>
  <c r="H24" i="483"/>
  <c r="W23" i="483"/>
  <c r="W21" i="483"/>
  <c r="V21" i="483"/>
  <c r="P21" i="483"/>
  <c r="N21" i="483"/>
  <c r="O21" i="483" s="1"/>
  <c r="K21" i="483"/>
  <c r="L21" i="483" s="1"/>
  <c r="J21" i="483"/>
  <c r="H21" i="483"/>
  <c r="F21" i="483"/>
  <c r="W20" i="483"/>
  <c r="V20" i="483"/>
  <c r="P20" i="483"/>
  <c r="N20" i="483"/>
  <c r="O20" i="483" s="1"/>
  <c r="K20" i="483"/>
  <c r="L20" i="483" s="1"/>
  <c r="J20" i="483"/>
  <c r="H20" i="483"/>
  <c r="F20" i="483"/>
  <c r="W19" i="483"/>
  <c r="V19" i="483"/>
  <c r="O19" i="483"/>
  <c r="R19" i="483" s="1"/>
  <c r="N19" i="483"/>
  <c r="AF19" i="483" s="1"/>
  <c r="L19" i="483"/>
  <c r="K19" i="483"/>
  <c r="J19" i="483"/>
  <c r="P19" i="483" s="1"/>
  <c r="H19" i="483"/>
  <c r="F19" i="483"/>
  <c r="W18" i="483"/>
  <c r="N18" i="483" s="1"/>
  <c r="V18" i="483"/>
  <c r="P18" i="483"/>
  <c r="L18" i="483"/>
  <c r="K18" i="483"/>
  <c r="J18" i="483"/>
  <c r="F18" i="483"/>
  <c r="H18" i="483" s="1"/>
  <c r="W17" i="483"/>
  <c r="N17" i="483" s="1"/>
  <c r="V17" i="483"/>
  <c r="K17" i="483"/>
  <c r="L17" i="483" s="1"/>
  <c r="J17" i="483"/>
  <c r="P17" i="483" s="1"/>
  <c r="F17" i="483"/>
  <c r="H17" i="483" s="1"/>
  <c r="W16" i="483"/>
  <c r="N16" i="483" s="1"/>
  <c r="K16" i="483"/>
  <c r="L16" i="483" s="1"/>
  <c r="J16" i="483"/>
  <c r="P16" i="483" s="1"/>
  <c r="H16" i="483"/>
  <c r="F16" i="483"/>
  <c r="AE15" i="483"/>
  <c r="AD15" i="483"/>
  <c r="AA15" i="483"/>
  <c r="Z15" i="483"/>
  <c r="D18" i="482" s="1"/>
  <c r="M15" i="483"/>
  <c r="D22" i="482" s="1"/>
  <c r="W14" i="483"/>
  <c r="W13" i="483"/>
  <c r="W12" i="483"/>
  <c r="AG11" i="483"/>
  <c r="AF11" i="483"/>
  <c r="W11" i="483"/>
  <c r="AG10" i="483"/>
  <c r="AF10" i="483"/>
  <c r="W10" i="483"/>
  <c r="AG9" i="483"/>
  <c r="W9" i="483"/>
  <c r="V9" i="483"/>
  <c r="N9" i="483"/>
  <c r="AF9" i="483" s="1"/>
  <c r="K9" i="483"/>
  <c r="L9" i="483" s="1"/>
  <c r="J9" i="483"/>
  <c r="P9" i="483" s="1"/>
  <c r="H9" i="483"/>
  <c r="F9" i="483"/>
  <c r="W8" i="483"/>
  <c r="V8" i="483"/>
  <c r="P8" i="483"/>
  <c r="N8" i="483"/>
  <c r="AG8" i="483" s="1"/>
  <c r="K8" i="483"/>
  <c r="L8" i="483" s="1"/>
  <c r="J8" i="483"/>
  <c r="H8" i="483"/>
  <c r="F8" i="483"/>
  <c r="W7" i="483"/>
  <c r="V7" i="483"/>
  <c r="P7" i="483"/>
  <c r="N7" i="483"/>
  <c r="AG7" i="483" s="1"/>
  <c r="K7" i="483"/>
  <c r="L7" i="483" s="1"/>
  <c r="J7" i="483"/>
  <c r="F7" i="483"/>
  <c r="H7" i="483" s="1"/>
  <c r="W6" i="483"/>
  <c r="N6" i="483" s="1"/>
  <c r="V6" i="483"/>
  <c r="P6" i="483"/>
  <c r="K6" i="483"/>
  <c r="J6" i="483"/>
  <c r="L6" i="483" s="1"/>
  <c r="H6" i="483"/>
  <c r="F6" i="483"/>
  <c r="W5" i="483"/>
  <c r="N5" i="483" s="1"/>
  <c r="K5" i="483"/>
  <c r="K15" i="483" s="1"/>
  <c r="J5" i="483"/>
  <c r="J15" i="483" s="1"/>
  <c r="F5" i="483"/>
  <c r="H5" i="483" s="1"/>
  <c r="AE2" i="483"/>
  <c r="AD2" i="483"/>
  <c r="I2" i="483"/>
  <c r="E1" i="483"/>
  <c r="J22" i="482"/>
  <c r="I22" i="482"/>
  <c r="G22" i="482"/>
  <c r="F22" i="482"/>
  <c r="E22" i="482"/>
  <c r="J21" i="482"/>
  <c r="I21" i="482"/>
  <c r="H21" i="482"/>
  <c r="G21" i="482"/>
  <c r="F21" i="482"/>
  <c r="D21" i="482"/>
  <c r="J20" i="482"/>
  <c r="I20" i="482"/>
  <c r="H20" i="482"/>
  <c r="G20" i="482"/>
  <c r="D20" i="482"/>
  <c r="N6" i="482" s="1"/>
  <c r="J19" i="482"/>
  <c r="I19" i="482"/>
  <c r="H19" i="482"/>
  <c r="G19" i="482"/>
  <c r="F19" i="482"/>
  <c r="E19" i="482"/>
  <c r="D19" i="482"/>
  <c r="M6" i="482" s="1"/>
  <c r="J18" i="482"/>
  <c r="I18" i="482"/>
  <c r="H18" i="482"/>
  <c r="F18" i="482"/>
  <c r="E18" i="482"/>
  <c r="J16" i="482"/>
  <c r="I16" i="482"/>
  <c r="H16" i="482"/>
  <c r="G16" i="482"/>
  <c r="F16" i="482"/>
  <c r="E16" i="482"/>
  <c r="D16" i="482"/>
  <c r="J15" i="482"/>
  <c r="J14" i="482"/>
  <c r="J13" i="482"/>
  <c r="O8" i="482"/>
  <c r="N8" i="482"/>
  <c r="M8" i="482"/>
  <c r="L8" i="482"/>
  <c r="O7" i="482"/>
  <c r="N7" i="482"/>
  <c r="M7" i="482"/>
  <c r="L7" i="482"/>
  <c r="G3" i="482"/>
  <c r="AE79" i="3"/>
  <c r="AD79" i="3"/>
  <c r="AA79" i="3"/>
  <c r="Z79" i="3"/>
  <c r="M79" i="3"/>
  <c r="K79" i="3"/>
  <c r="W78" i="3"/>
  <c r="H78" i="3"/>
  <c r="W77" i="3"/>
  <c r="H77" i="3"/>
  <c r="W76" i="3"/>
  <c r="H76" i="3"/>
  <c r="W75" i="3"/>
  <c r="H75" i="3"/>
  <c r="W74" i="3"/>
  <c r="W73" i="3"/>
  <c r="W72" i="3"/>
  <c r="W71" i="3"/>
  <c r="W70" i="3"/>
  <c r="O70" i="3"/>
  <c r="R70" i="3" s="1"/>
  <c r="N70" i="3"/>
  <c r="AG70" i="3" s="1"/>
  <c r="L70" i="3"/>
  <c r="L79" i="3" s="1"/>
  <c r="J13" i="2" s="1"/>
  <c r="K70" i="3"/>
  <c r="J70" i="3"/>
  <c r="J79" i="3" s="1"/>
  <c r="H70" i="3"/>
  <c r="F70" i="3"/>
  <c r="B70" i="3"/>
  <c r="AE69" i="3"/>
  <c r="AD69" i="3"/>
  <c r="AA69" i="3"/>
  <c r="Z69" i="3"/>
  <c r="M69" i="3"/>
  <c r="J69" i="3"/>
  <c r="P69" i="3" s="1"/>
  <c r="W68" i="3"/>
  <c r="H68" i="3"/>
  <c r="W67" i="3"/>
  <c r="W66" i="3"/>
  <c r="W65" i="3"/>
  <c r="W64" i="3"/>
  <c r="W63" i="3"/>
  <c r="AG62" i="3"/>
  <c r="AF62" i="3"/>
  <c r="W62" i="3"/>
  <c r="W61" i="3"/>
  <c r="N61" i="3" s="1"/>
  <c r="V61" i="3"/>
  <c r="K61" i="3"/>
  <c r="L61" i="3" s="1"/>
  <c r="J61" i="3"/>
  <c r="P61" i="3" s="1"/>
  <c r="F61" i="3"/>
  <c r="H61" i="3" s="1"/>
  <c r="B61" i="3"/>
  <c r="W60" i="3"/>
  <c r="N60" i="3" s="1"/>
  <c r="V60" i="3"/>
  <c r="K60" i="3"/>
  <c r="L60" i="3" s="1"/>
  <c r="J60" i="3"/>
  <c r="P60" i="3" s="1"/>
  <c r="H60" i="3"/>
  <c r="F60" i="3"/>
  <c r="B60" i="3"/>
  <c r="W59" i="3"/>
  <c r="P59" i="3"/>
  <c r="N59" i="3"/>
  <c r="AG59" i="3" s="1"/>
  <c r="K59" i="3"/>
  <c r="K69" i="3" s="1"/>
  <c r="J59" i="3"/>
  <c r="H59" i="3"/>
  <c r="F59" i="3"/>
  <c r="B59" i="3"/>
  <c r="AE58" i="3"/>
  <c r="AD58" i="3"/>
  <c r="AA58" i="3"/>
  <c r="Z58" i="3"/>
  <c r="M58" i="3"/>
  <c r="W57" i="3"/>
  <c r="W56" i="3"/>
  <c r="W55" i="3"/>
  <c r="W54" i="3"/>
  <c r="AG53" i="3"/>
  <c r="AF53" i="3"/>
  <c r="W53" i="3"/>
  <c r="AG52" i="3"/>
  <c r="AF52" i="3"/>
  <c r="W52" i="3"/>
  <c r="V52" i="3"/>
  <c r="W51" i="3"/>
  <c r="N51" i="3" s="1"/>
  <c r="V51" i="3"/>
  <c r="K51" i="3"/>
  <c r="L51" i="3" s="1"/>
  <c r="J51" i="3"/>
  <c r="P51" i="3" s="1"/>
  <c r="F51" i="3"/>
  <c r="H51" i="3" s="1"/>
  <c r="B51" i="3"/>
  <c r="W50" i="3"/>
  <c r="N50" i="3" s="1"/>
  <c r="V50" i="3"/>
  <c r="K50" i="3"/>
  <c r="L50" i="3" s="1"/>
  <c r="J50" i="3"/>
  <c r="P50" i="3" s="1"/>
  <c r="H50" i="3"/>
  <c r="F50" i="3"/>
  <c r="B50" i="3"/>
  <c r="W49" i="3"/>
  <c r="P49" i="3"/>
  <c r="N49" i="3"/>
  <c r="AG49" i="3" s="1"/>
  <c r="K49" i="3"/>
  <c r="K58" i="3" s="1"/>
  <c r="J49" i="3"/>
  <c r="J58" i="3" s="1"/>
  <c r="H49" i="3"/>
  <c r="F49" i="3"/>
  <c r="B49" i="3"/>
  <c r="AE48" i="3"/>
  <c r="AD48" i="3"/>
  <c r="AA48" i="3"/>
  <c r="Z48" i="3"/>
  <c r="W48" i="3"/>
  <c r="M48" i="3"/>
  <c r="G22" i="2" s="1"/>
  <c r="J48" i="3"/>
  <c r="P48" i="3" s="1"/>
  <c r="W47" i="3"/>
  <c r="H47" i="3"/>
  <c r="W46" i="3"/>
  <c r="W45" i="3"/>
  <c r="W44" i="3"/>
  <c r="W43" i="3"/>
  <c r="W42" i="3"/>
  <c r="AG41" i="3"/>
  <c r="AF41" i="3"/>
  <c r="W41" i="3"/>
  <c r="W40" i="3"/>
  <c r="N40" i="3" s="1"/>
  <c r="V40" i="3"/>
  <c r="K40" i="3"/>
  <c r="L40" i="3" s="1"/>
  <c r="J40" i="3"/>
  <c r="P40" i="3" s="1"/>
  <c r="F40" i="3"/>
  <c r="H40" i="3" s="1"/>
  <c r="B40" i="3"/>
  <c r="W39" i="3"/>
  <c r="N39" i="3" s="1"/>
  <c r="V39" i="3"/>
  <c r="K39" i="3"/>
  <c r="L39" i="3" s="1"/>
  <c r="J39" i="3"/>
  <c r="P39" i="3" s="1"/>
  <c r="H39" i="3"/>
  <c r="F39" i="3"/>
  <c r="B39" i="3"/>
  <c r="W38" i="3"/>
  <c r="P38" i="3"/>
  <c r="N38" i="3"/>
  <c r="AG38" i="3" s="1"/>
  <c r="K38" i="3"/>
  <c r="K48" i="3" s="1"/>
  <c r="J38" i="3"/>
  <c r="H38" i="3"/>
  <c r="F38" i="3"/>
  <c r="B38" i="3"/>
  <c r="AE37" i="3"/>
  <c r="AD37" i="3"/>
  <c r="AA37" i="3"/>
  <c r="Z37" i="3"/>
  <c r="M37" i="3"/>
  <c r="P37" i="3" s="1"/>
  <c r="W36" i="3"/>
  <c r="H36" i="3"/>
  <c r="W35" i="3"/>
  <c r="W34" i="3"/>
  <c r="W33" i="3"/>
  <c r="W32" i="3"/>
  <c r="AG31" i="3"/>
  <c r="AF31" i="3"/>
  <c r="W31" i="3"/>
  <c r="AG30" i="3"/>
  <c r="AF30" i="3"/>
  <c r="W30" i="3"/>
  <c r="V30" i="3"/>
  <c r="W29" i="3"/>
  <c r="N29" i="3" s="1"/>
  <c r="V29" i="3"/>
  <c r="K29" i="3"/>
  <c r="J29" i="3"/>
  <c r="P29" i="3" s="1"/>
  <c r="F29" i="3"/>
  <c r="H29" i="3" s="1"/>
  <c r="B29" i="3"/>
  <c r="AG28" i="3"/>
  <c r="W28" i="3"/>
  <c r="V28" i="3"/>
  <c r="N28" i="3"/>
  <c r="AF28" i="3" s="1"/>
  <c r="K28" i="3"/>
  <c r="L28" i="3" s="1"/>
  <c r="J28" i="3"/>
  <c r="P28" i="3" s="1"/>
  <c r="H28" i="3"/>
  <c r="F28" i="3"/>
  <c r="B28" i="3"/>
  <c r="W27" i="3"/>
  <c r="P27" i="3"/>
  <c r="N27" i="3"/>
  <c r="N37" i="3" s="1"/>
  <c r="K27" i="3"/>
  <c r="L27" i="3" s="1"/>
  <c r="L37" i="3" s="1"/>
  <c r="F13" i="2" s="1"/>
  <c r="J27" i="3"/>
  <c r="J37" i="3" s="1"/>
  <c r="F27" i="3"/>
  <c r="H27" i="3" s="1"/>
  <c r="B27" i="3"/>
  <c r="AE26" i="3"/>
  <c r="AD26" i="3"/>
  <c r="AA26" i="3"/>
  <c r="Z26" i="3"/>
  <c r="Z2" i="3" s="1"/>
  <c r="L6" i="2" s="1"/>
  <c r="M26" i="3"/>
  <c r="P26" i="3" s="1"/>
  <c r="K26" i="3"/>
  <c r="J26" i="3"/>
  <c r="W25" i="3"/>
  <c r="H25" i="3"/>
  <c r="W24" i="3"/>
  <c r="H24" i="3"/>
  <c r="W23" i="3"/>
  <c r="W21" i="3"/>
  <c r="W20" i="3"/>
  <c r="V20" i="3"/>
  <c r="AG19" i="3"/>
  <c r="AF19" i="3"/>
  <c r="W19" i="3"/>
  <c r="V19" i="3"/>
  <c r="W18" i="3"/>
  <c r="N18" i="3" s="1"/>
  <c r="V18" i="3"/>
  <c r="K18" i="3"/>
  <c r="L18" i="3" s="1"/>
  <c r="J18" i="3"/>
  <c r="P18" i="3" s="1"/>
  <c r="H18" i="3"/>
  <c r="F18" i="3"/>
  <c r="B18" i="3"/>
  <c r="W17" i="3"/>
  <c r="V17" i="3"/>
  <c r="O17" i="3"/>
  <c r="N17" i="3"/>
  <c r="AG17" i="3" s="1"/>
  <c r="K17" i="3"/>
  <c r="J17" i="3"/>
  <c r="L17" i="3" s="1"/>
  <c r="F17" i="3"/>
  <c r="H17" i="3" s="1"/>
  <c r="B17" i="3"/>
  <c r="W16" i="3"/>
  <c r="N16" i="3" s="1"/>
  <c r="P16" i="3"/>
  <c r="L16" i="3"/>
  <c r="L26" i="3" s="1"/>
  <c r="E13" i="2" s="1"/>
  <c r="K16" i="3"/>
  <c r="J16" i="3"/>
  <c r="F16" i="3"/>
  <c r="H16" i="3" s="1"/>
  <c r="B16" i="3"/>
  <c r="AE15" i="3"/>
  <c r="AD15" i="3"/>
  <c r="AD2" i="3" s="1"/>
  <c r="N6" i="2" s="1"/>
  <c r="AA15" i="3"/>
  <c r="AA2" i="3" s="1"/>
  <c r="M6" i="2" s="1"/>
  <c r="Z15" i="3"/>
  <c r="M15" i="3"/>
  <c r="P15" i="3" s="1"/>
  <c r="K15" i="3"/>
  <c r="J15" i="3"/>
  <c r="W14" i="3"/>
  <c r="W13" i="3"/>
  <c r="W12" i="3"/>
  <c r="AG11" i="3"/>
  <c r="AF11" i="3"/>
  <c r="W11" i="3"/>
  <c r="AG10" i="3"/>
  <c r="AF10" i="3"/>
  <c r="W10" i="3"/>
  <c r="AG9" i="3"/>
  <c r="AF9" i="3"/>
  <c r="W9" i="3"/>
  <c r="AG8" i="3"/>
  <c r="AF8" i="3"/>
  <c r="W8" i="3"/>
  <c r="W7" i="3"/>
  <c r="V7" i="3"/>
  <c r="P7" i="3"/>
  <c r="N7" i="3"/>
  <c r="AG7" i="3" s="1"/>
  <c r="K7" i="3"/>
  <c r="L7" i="3" s="1"/>
  <c r="J7" i="3"/>
  <c r="H7" i="3"/>
  <c r="F7" i="3"/>
  <c r="B7" i="3"/>
  <c r="W6" i="3"/>
  <c r="N6" i="3" s="1"/>
  <c r="V6" i="3"/>
  <c r="P6" i="3"/>
  <c r="L6" i="3"/>
  <c r="K6" i="3"/>
  <c r="J6" i="3"/>
  <c r="F6" i="3"/>
  <c r="H6" i="3" s="1"/>
  <c r="B6" i="3"/>
  <c r="W5" i="3"/>
  <c r="N5" i="3" s="1"/>
  <c r="K5" i="3"/>
  <c r="J5" i="3"/>
  <c r="P5" i="3" s="1"/>
  <c r="F5" i="3"/>
  <c r="H5" i="3" s="1"/>
  <c r="G1" i="3" s="1"/>
  <c r="B5" i="3"/>
  <c r="AE2" i="3"/>
  <c r="O6" i="2" s="1"/>
  <c r="I2" i="3"/>
  <c r="E1" i="3"/>
  <c r="J22" i="2"/>
  <c r="I22" i="2"/>
  <c r="H22" i="2"/>
  <c r="F22" i="2"/>
  <c r="E22" i="2"/>
  <c r="D22" i="2"/>
  <c r="J16" i="2"/>
  <c r="I16" i="2"/>
  <c r="H16" i="2"/>
  <c r="G16" i="2"/>
  <c r="F16" i="2"/>
  <c r="E16" i="2"/>
  <c r="D16" i="2"/>
  <c r="G3" i="2"/>
  <c r="E30" i="4"/>
  <c r="E29" i="4"/>
  <c r="E28" i="4"/>
  <c r="E27" i="4"/>
  <c r="E25" i="4"/>
  <c r="E24" i="4"/>
  <c r="E23" i="4"/>
  <c r="E22" i="4"/>
  <c r="E21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E12" i="4"/>
  <c r="E11" i="4"/>
  <c r="E10" i="4"/>
  <c r="E9" i="4"/>
  <c r="E8" i="4"/>
  <c r="E7" i="4"/>
  <c r="E6" i="4"/>
  <c r="E5" i="4"/>
  <c r="E4" i="4"/>
  <c r="E3" i="4"/>
  <c r="AG43" i="607" l="1"/>
  <c r="AF43" i="607"/>
  <c r="R72" i="607"/>
  <c r="Q72" i="607"/>
  <c r="J79" i="607"/>
  <c r="R70" i="607"/>
  <c r="Q70" i="607"/>
  <c r="K79" i="607"/>
  <c r="Q63" i="607"/>
  <c r="R63" i="607"/>
  <c r="R43" i="607"/>
  <c r="Q43" i="607"/>
  <c r="R42" i="607"/>
  <c r="Q42" i="607"/>
  <c r="R40" i="607"/>
  <c r="Q40" i="607"/>
  <c r="R41" i="607"/>
  <c r="Q41" i="607"/>
  <c r="L39" i="607"/>
  <c r="R39" i="607" s="1"/>
  <c r="N38" i="607"/>
  <c r="AG38" i="607" s="1"/>
  <c r="J48" i="607"/>
  <c r="P48" i="607" s="1"/>
  <c r="Q33" i="607"/>
  <c r="L30" i="607"/>
  <c r="L32" i="607"/>
  <c r="AG32" i="607"/>
  <c r="O32" i="607"/>
  <c r="Q32" i="607" s="1"/>
  <c r="R33" i="607"/>
  <c r="AG18" i="607"/>
  <c r="O18" i="607"/>
  <c r="O5" i="607"/>
  <c r="AF17" i="607"/>
  <c r="L69" i="607"/>
  <c r="I13" i="606" s="1"/>
  <c r="L61" i="607"/>
  <c r="AG70" i="607"/>
  <c r="R32" i="607"/>
  <c r="J69" i="607"/>
  <c r="P69" i="607" s="1"/>
  <c r="L21" i="607"/>
  <c r="L29" i="607"/>
  <c r="E20" i="606"/>
  <c r="L18" i="607"/>
  <c r="K48" i="607"/>
  <c r="AG16" i="607"/>
  <c r="L71" i="607"/>
  <c r="L20" i="607"/>
  <c r="L49" i="607"/>
  <c r="P17" i="607"/>
  <c r="P30" i="607"/>
  <c r="P79" i="607"/>
  <c r="AG39" i="607"/>
  <c r="AF16" i="607"/>
  <c r="O62" i="607"/>
  <c r="O61" i="607"/>
  <c r="M6" i="606"/>
  <c r="Z2" i="607"/>
  <c r="L6" i="606"/>
  <c r="AA2" i="607"/>
  <c r="O6" i="3"/>
  <c r="AG6" i="3"/>
  <c r="AF6" i="3"/>
  <c r="O17" i="483"/>
  <c r="AG17" i="483"/>
  <c r="AF17" i="483"/>
  <c r="O27" i="483"/>
  <c r="N37" i="483"/>
  <c r="AG27" i="483"/>
  <c r="AF27" i="483"/>
  <c r="AG8" i="545"/>
  <c r="AF8" i="545"/>
  <c r="O8" i="545"/>
  <c r="J3" i="546"/>
  <c r="G2" i="547"/>
  <c r="G2" i="3"/>
  <c r="J3" i="2"/>
  <c r="O40" i="3"/>
  <c r="AG40" i="3"/>
  <c r="AF40" i="3"/>
  <c r="O6" i="483"/>
  <c r="AG6" i="483"/>
  <c r="AF6" i="483"/>
  <c r="R50" i="483"/>
  <c r="AG15" i="553"/>
  <c r="AH5" i="553" s="1"/>
  <c r="AF15" i="553"/>
  <c r="O51" i="3"/>
  <c r="AG51" i="3"/>
  <c r="AF51" i="3"/>
  <c r="P58" i="3"/>
  <c r="G1" i="483"/>
  <c r="O61" i="3"/>
  <c r="AG61" i="3"/>
  <c r="AF61" i="3"/>
  <c r="P37" i="483"/>
  <c r="R60" i="547"/>
  <c r="Q60" i="547"/>
  <c r="R38" i="549"/>
  <c r="Q38" i="549"/>
  <c r="O16" i="3"/>
  <c r="N26" i="3"/>
  <c r="AG16" i="3"/>
  <c r="AF16" i="3"/>
  <c r="O5" i="483"/>
  <c r="N15" i="483"/>
  <c r="AF5" i="483"/>
  <c r="AG5" i="483"/>
  <c r="L26" i="483"/>
  <c r="E13" i="482" s="1"/>
  <c r="O6" i="482"/>
  <c r="O16" i="483"/>
  <c r="N26" i="483"/>
  <c r="AG16" i="483"/>
  <c r="AF16" i="483"/>
  <c r="G2" i="551"/>
  <c r="J3" i="550"/>
  <c r="P79" i="3"/>
  <c r="AG18" i="483"/>
  <c r="AF18" i="483"/>
  <c r="O18" i="483"/>
  <c r="R17" i="3"/>
  <c r="O50" i="3"/>
  <c r="AG50" i="3"/>
  <c r="AF50" i="3"/>
  <c r="R20" i="483"/>
  <c r="Q20" i="483"/>
  <c r="AG39" i="3"/>
  <c r="O39" i="3"/>
  <c r="AF39" i="3"/>
  <c r="AG60" i="3"/>
  <c r="O60" i="3"/>
  <c r="AF60" i="3"/>
  <c r="AF5" i="3"/>
  <c r="O5" i="3"/>
  <c r="N15" i="3"/>
  <c r="AG5" i="3"/>
  <c r="O18" i="3"/>
  <c r="AG18" i="3"/>
  <c r="AF18" i="3"/>
  <c r="R21" i="483"/>
  <c r="Q21" i="483"/>
  <c r="O29" i="3"/>
  <c r="AF29" i="3"/>
  <c r="AG29" i="3"/>
  <c r="P48" i="545"/>
  <c r="O6" i="551"/>
  <c r="AG6" i="551"/>
  <c r="O6" i="552"/>
  <c r="N6" i="552"/>
  <c r="G2" i="555"/>
  <c r="J3" i="554"/>
  <c r="R18" i="555"/>
  <c r="Q18" i="555"/>
  <c r="AG16" i="557"/>
  <c r="AF16" i="557"/>
  <c r="O16" i="557"/>
  <c r="O27" i="3"/>
  <c r="L38" i="3"/>
  <c r="L48" i="3" s="1"/>
  <c r="G13" i="2" s="1"/>
  <c r="L49" i="3"/>
  <c r="L58" i="3" s="1"/>
  <c r="H13" i="2" s="1"/>
  <c r="L59" i="3"/>
  <c r="L69" i="3" s="1"/>
  <c r="I13" i="2" s="1"/>
  <c r="J6" i="2" s="1"/>
  <c r="H22" i="482"/>
  <c r="O7" i="483"/>
  <c r="L30" i="483"/>
  <c r="L37" i="483" s="1"/>
  <c r="F13" i="482" s="1"/>
  <c r="L40" i="483"/>
  <c r="O49" i="483"/>
  <c r="R51" i="483"/>
  <c r="O52" i="483"/>
  <c r="F18" i="544"/>
  <c r="L6" i="544" s="1"/>
  <c r="L15" i="545"/>
  <c r="D13" i="544" s="1"/>
  <c r="Q6" i="545"/>
  <c r="AF17" i="545"/>
  <c r="L19" i="545"/>
  <c r="J48" i="545"/>
  <c r="P41" i="545"/>
  <c r="AF17" i="547"/>
  <c r="K26" i="547"/>
  <c r="O40" i="547"/>
  <c r="AG40" i="547"/>
  <c r="AF40" i="547"/>
  <c r="R61" i="547"/>
  <c r="Q61" i="547"/>
  <c r="P63" i="547"/>
  <c r="L63" i="547"/>
  <c r="Q50" i="549"/>
  <c r="AF6" i="551"/>
  <c r="R40" i="551"/>
  <c r="Q40" i="551"/>
  <c r="K58" i="551"/>
  <c r="L49" i="551"/>
  <c r="O59" i="551"/>
  <c r="N69" i="551"/>
  <c r="AG59" i="551"/>
  <c r="AF59" i="551"/>
  <c r="AF62" i="551"/>
  <c r="AG62" i="551"/>
  <c r="O62" i="551"/>
  <c r="Z2" i="553"/>
  <c r="R18" i="553"/>
  <c r="Q18" i="553"/>
  <c r="R21" i="553"/>
  <c r="Q21" i="553"/>
  <c r="D19" i="554"/>
  <c r="M6" i="554" s="1"/>
  <c r="AA2" i="555"/>
  <c r="AG5" i="557"/>
  <c r="N15" i="557"/>
  <c r="AF5" i="557"/>
  <c r="O5" i="557"/>
  <c r="L31" i="483"/>
  <c r="R31" i="483" s="1"/>
  <c r="AG40" i="483"/>
  <c r="O7" i="3"/>
  <c r="O38" i="3"/>
  <c r="O49" i="3"/>
  <c r="O59" i="3"/>
  <c r="P70" i="3"/>
  <c r="N79" i="3"/>
  <c r="O8" i="483"/>
  <c r="K26" i="483"/>
  <c r="R28" i="483"/>
  <c r="P29" i="483"/>
  <c r="O30" i="483"/>
  <c r="Q38" i="483"/>
  <c r="O39" i="483"/>
  <c r="O40" i="483"/>
  <c r="Q51" i="483"/>
  <c r="R53" i="483"/>
  <c r="N58" i="483"/>
  <c r="K69" i="483"/>
  <c r="L59" i="483"/>
  <c r="L69" i="483" s="1"/>
  <c r="I13" i="482" s="1"/>
  <c r="J6" i="482" s="1"/>
  <c r="L60" i="483"/>
  <c r="Q60" i="483" s="1"/>
  <c r="L63" i="483"/>
  <c r="R63" i="483" s="1"/>
  <c r="J69" i="483"/>
  <c r="P69" i="483" s="1"/>
  <c r="O5" i="545"/>
  <c r="R6" i="545"/>
  <c r="P30" i="545"/>
  <c r="AG52" i="545"/>
  <c r="AF52" i="545"/>
  <c r="O52" i="545"/>
  <c r="R54" i="545"/>
  <c r="Q54" i="545"/>
  <c r="Q9" i="547"/>
  <c r="N26" i="547"/>
  <c r="Q53" i="547"/>
  <c r="R63" i="547"/>
  <c r="Q63" i="547"/>
  <c r="AG7" i="549"/>
  <c r="AF7" i="549"/>
  <c r="O7" i="549"/>
  <c r="AG38" i="549"/>
  <c r="AF38" i="549"/>
  <c r="N48" i="549"/>
  <c r="AF40" i="549"/>
  <c r="AG50" i="549"/>
  <c r="AF50" i="549"/>
  <c r="P69" i="549"/>
  <c r="AF5" i="551"/>
  <c r="D22" i="550"/>
  <c r="P15" i="551"/>
  <c r="I1" i="551"/>
  <c r="R17" i="553"/>
  <c r="Q17" i="553"/>
  <c r="AF38" i="553"/>
  <c r="O38" i="553"/>
  <c r="AG38" i="553"/>
  <c r="O51" i="547"/>
  <c r="AG51" i="547"/>
  <c r="P15" i="483"/>
  <c r="Q19" i="483"/>
  <c r="AG60" i="483"/>
  <c r="L61" i="483"/>
  <c r="Q61" i="483" s="1"/>
  <c r="L62" i="483"/>
  <c r="O6" i="547"/>
  <c r="AG6" i="547"/>
  <c r="I1" i="547"/>
  <c r="O26" i="547"/>
  <c r="Q16" i="547"/>
  <c r="N26" i="549"/>
  <c r="R40" i="549"/>
  <c r="R5" i="551"/>
  <c r="N37" i="551"/>
  <c r="AG27" i="551"/>
  <c r="AF27" i="551"/>
  <c r="AG51" i="551"/>
  <c r="R61" i="551"/>
  <c r="Q61" i="551"/>
  <c r="O28" i="553"/>
  <c r="AF28" i="553"/>
  <c r="N37" i="553"/>
  <c r="AG28" i="553"/>
  <c r="R31" i="555"/>
  <c r="Q31" i="555"/>
  <c r="H18" i="558"/>
  <c r="Z2" i="559"/>
  <c r="R20" i="545"/>
  <c r="L41" i="483"/>
  <c r="R41" i="483" s="1"/>
  <c r="K15" i="551"/>
  <c r="L5" i="551"/>
  <c r="AD2" i="553"/>
  <c r="Q70" i="3"/>
  <c r="O79" i="3"/>
  <c r="I1" i="3"/>
  <c r="P17" i="3"/>
  <c r="O28" i="3"/>
  <c r="O9" i="483"/>
  <c r="Q31" i="483"/>
  <c r="AF49" i="483"/>
  <c r="O59" i="483"/>
  <c r="AG62" i="483"/>
  <c r="Q63" i="483"/>
  <c r="D19" i="544"/>
  <c r="M6" i="544" s="1"/>
  <c r="AF6" i="545"/>
  <c r="AF7" i="545"/>
  <c r="AE2" i="545"/>
  <c r="L18" i="545"/>
  <c r="O19" i="545"/>
  <c r="AG19" i="545"/>
  <c r="O41" i="545"/>
  <c r="AF41" i="545"/>
  <c r="Q50" i="545"/>
  <c r="P53" i="545"/>
  <c r="L53" i="545"/>
  <c r="AF60" i="545"/>
  <c r="K69" i="545"/>
  <c r="Z2" i="547"/>
  <c r="AG9" i="547"/>
  <c r="AF9" i="547"/>
  <c r="AG29" i="547"/>
  <c r="AF29" i="547"/>
  <c r="O29" i="547"/>
  <c r="P38" i="547"/>
  <c r="J48" i="547"/>
  <c r="P48" i="547" s="1"/>
  <c r="L38" i="547"/>
  <c r="L48" i="547" s="1"/>
  <c r="G13" i="546" s="1"/>
  <c r="O39" i="547"/>
  <c r="AG39" i="547"/>
  <c r="AF39" i="547"/>
  <c r="AG53" i="547"/>
  <c r="AF53" i="547"/>
  <c r="K15" i="549"/>
  <c r="AF19" i="549"/>
  <c r="K37" i="549"/>
  <c r="L27" i="549"/>
  <c r="L37" i="549" s="1"/>
  <c r="F13" i="548" s="1"/>
  <c r="P37" i="549"/>
  <c r="L52" i="549"/>
  <c r="AG59" i="549"/>
  <c r="AF59" i="549"/>
  <c r="N69" i="549"/>
  <c r="O59" i="549"/>
  <c r="L6" i="550"/>
  <c r="O18" i="551"/>
  <c r="AG18" i="551"/>
  <c r="AF18" i="551"/>
  <c r="K26" i="551"/>
  <c r="AG26" i="551" s="1"/>
  <c r="AH16" i="551" s="1"/>
  <c r="L20" i="551"/>
  <c r="R20" i="551" s="1"/>
  <c r="Z2" i="551"/>
  <c r="E18" i="550"/>
  <c r="P20" i="559"/>
  <c r="L20" i="559"/>
  <c r="P6" i="547"/>
  <c r="L6" i="547"/>
  <c r="R17" i="547"/>
  <c r="Q17" i="547"/>
  <c r="O27" i="547"/>
  <c r="AG27" i="547"/>
  <c r="N37" i="547"/>
  <c r="R30" i="549"/>
  <c r="AG6" i="553"/>
  <c r="AF6" i="553"/>
  <c r="O6" i="553"/>
  <c r="L5" i="3"/>
  <c r="L15" i="3" s="1"/>
  <c r="D13" i="2" s="1"/>
  <c r="Q17" i="3"/>
  <c r="L29" i="3"/>
  <c r="K37" i="3"/>
  <c r="Q37" i="3" s="1"/>
  <c r="I1" i="483"/>
  <c r="L5" i="483"/>
  <c r="L15" i="483" s="1"/>
  <c r="D13" i="482" s="1"/>
  <c r="AF52" i="483"/>
  <c r="R61" i="483"/>
  <c r="R62" i="483"/>
  <c r="N69" i="483"/>
  <c r="AG6" i="545"/>
  <c r="AG7" i="545"/>
  <c r="O18" i="545"/>
  <c r="AG18" i="545"/>
  <c r="J26" i="545"/>
  <c r="P26" i="545" s="1"/>
  <c r="R60" i="545"/>
  <c r="Q60" i="545"/>
  <c r="O61" i="545"/>
  <c r="AF61" i="545"/>
  <c r="R16" i="547"/>
  <c r="AG17" i="547"/>
  <c r="J26" i="547"/>
  <c r="P26" i="547" s="1"/>
  <c r="P19" i="547"/>
  <c r="AG60" i="547"/>
  <c r="AF60" i="547"/>
  <c r="R20" i="549"/>
  <c r="Q20" i="549"/>
  <c r="AG27" i="549"/>
  <c r="AF27" i="549"/>
  <c r="N37" i="549"/>
  <c r="O27" i="549"/>
  <c r="L39" i="551"/>
  <c r="AF8" i="553"/>
  <c r="O8" i="553"/>
  <c r="AG8" i="553"/>
  <c r="R20" i="553"/>
  <c r="Q20" i="553"/>
  <c r="F19" i="552"/>
  <c r="M6" i="552" s="1"/>
  <c r="AA2" i="553"/>
  <c r="R52" i="555"/>
  <c r="Q52" i="555"/>
  <c r="R49" i="567"/>
  <c r="Q49" i="567"/>
  <c r="O7" i="547"/>
  <c r="AG7" i="547"/>
  <c r="O62" i="545"/>
  <c r="AG62" i="545"/>
  <c r="AF62" i="545"/>
  <c r="AF7" i="483"/>
  <c r="AF29" i="483"/>
  <c r="AF38" i="483"/>
  <c r="Q62" i="483"/>
  <c r="K26" i="545"/>
  <c r="Q28" i="545"/>
  <c r="AG50" i="545"/>
  <c r="AF50" i="545"/>
  <c r="O53" i="545"/>
  <c r="AG53" i="545"/>
  <c r="N69" i="545"/>
  <c r="AG61" i="545"/>
  <c r="AF6" i="547"/>
  <c r="L19" i="547"/>
  <c r="N48" i="547"/>
  <c r="O38" i="547"/>
  <c r="AG38" i="547"/>
  <c r="M6" i="548"/>
  <c r="G1" i="549"/>
  <c r="AG39" i="549"/>
  <c r="AF39" i="549"/>
  <c r="O39" i="549"/>
  <c r="O48" i="549" s="1"/>
  <c r="K48" i="549"/>
  <c r="AG52" i="549"/>
  <c r="AF52" i="549"/>
  <c r="O52" i="549"/>
  <c r="O61" i="549"/>
  <c r="AG61" i="549"/>
  <c r="AG5" i="551"/>
  <c r="AD2" i="551"/>
  <c r="AG29" i="551"/>
  <c r="AF29" i="551"/>
  <c r="O29" i="551"/>
  <c r="P50" i="551"/>
  <c r="J58" i="551"/>
  <c r="P58" i="551" s="1"/>
  <c r="AG60" i="551"/>
  <c r="AF60" i="551"/>
  <c r="O60" i="551"/>
  <c r="O5" i="553"/>
  <c r="AF5" i="553"/>
  <c r="AF52" i="553"/>
  <c r="AG52" i="553"/>
  <c r="O52" i="553"/>
  <c r="N26" i="557"/>
  <c r="R29" i="483"/>
  <c r="P50" i="547"/>
  <c r="L50" i="547"/>
  <c r="R50" i="547" s="1"/>
  <c r="R21" i="549"/>
  <c r="Q21" i="549"/>
  <c r="AF27" i="3"/>
  <c r="AG27" i="3"/>
  <c r="N48" i="3"/>
  <c r="N69" i="3"/>
  <c r="AF70" i="3"/>
  <c r="G18" i="482"/>
  <c r="L6" i="482" s="1"/>
  <c r="AG19" i="483"/>
  <c r="AF30" i="483"/>
  <c r="AG38" i="483"/>
  <c r="N48" i="483"/>
  <c r="R9" i="545"/>
  <c r="L17" i="545"/>
  <c r="L26" i="545" s="1"/>
  <c r="E13" i="544" s="1"/>
  <c r="E22" i="544"/>
  <c r="L27" i="545"/>
  <c r="L37" i="545" s="1"/>
  <c r="F13" i="544" s="1"/>
  <c r="O29" i="545"/>
  <c r="AG29" i="545"/>
  <c r="L48" i="545"/>
  <c r="G13" i="544" s="1"/>
  <c r="AF39" i="545"/>
  <c r="Q59" i="545"/>
  <c r="R63" i="545"/>
  <c r="K15" i="547"/>
  <c r="L5" i="547"/>
  <c r="L15" i="547" s="1"/>
  <c r="D13" i="546" s="1"/>
  <c r="AD2" i="547"/>
  <c r="AG6" i="549"/>
  <c r="AF6" i="549"/>
  <c r="N15" i="549"/>
  <c r="O6" i="549"/>
  <c r="O15" i="549" s="1"/>
  <c r="O29" i="549"/>
  <c r="AG29" i="549"/>
  <c r="AG40" i="549"/>
  <c r="P48" i="549"/>
  <c r="N58" i="549"/>
  <c r="O49" i="549"/>
  <c r="AG49" i="549"/>
  <c r="AF49" i="549"/>
  <c r="AF61" i="549"/>
  <c r="O39" i="551"/>
  <c r="AG39" i="551"/>
  <c r="AF39" i="551"/>
  <c r="AG5" i="553"/>
  <c r="N48" i="553"/>
  <c r="N69" i="557"/>
  <c r="O59" i="557"/>
  <c r="AF59" i="557"/>
  <c r="AG59" i="557"/>
  <c r="N15" i="545"/>
  <c r="AG5" i="545"/>
  <c r="R7" i="545"/>
  <c r="Q51" i="545"/>
  <c r="AG17" i="549"/>
  <c r="AF17" i="549"/>
  <c r="O17" i="549"/>
  <c r="AG49" i="551"/>
  <c r="AF49" i="551"/>
  <c r="N58" i="551"/>
  <c r="O49" i="551"/>
  <c r="AF7" i="3"/>
  <c r="AF38" i="3"/>
  <c r="AF49" i="3"/>
  <c r="N58" i="3"/>
  <c r="AF59" i="3"/>
  <c r="P5" i="483"/>
  <c r="AF8" i="483"/>
  <c r="AF31" i="483"/>
  <c r="AF39" i="483"/>
  <c r="AF40" i="483"/>
  <c r="AF41" i="483"/>
  <c r="AD2" i="545"/>
  <c r="K15" i="545"/>
  <c r="O17" i="545"/>
  <c r="N37" i="545"/>
  <c r="O27" i="545"/>
  <c r="AG27" i="545"/>
  <c r="R28" i="545"/>
  <c r="J37" i="545"/>
  <c r="P37" i="545" s="1"/>
  <c r="N48" i="545"/>
  <c r="R39" i="545"/>
  <c r="Q39" i="545"/>
  <c r="O40" i="545"/>
  <c r="AF40" i="545"/>
  <c r="K48" i="545"/>
  <c r="L58" i="545"/>
  <c r="H13" i="544" s="1"/>
  <c r="AG5" i="547"/>
  <c r="N15" i="547"/>
  <c r="AF5" i="547"/>
  <c r="O5" i="547"/>
  <c r="D21" i="546"/>
  <c r="AE2" i="547"/>
  <c r="F22" i="546"/>
  <c r="P37" i="547"/>
  <c r="AF38" i="547"/>
  <c r="K58" i="547"/>
  <c r="L49" i="547"/>
  <c r="L62" i="547"/>
  <c r="N6" i="548"/>
  <c r="AG18" i="549"/>
  <c r="AF18" i="549"/>
  <c r="O18" i="549"/>
  <c r="AF29" i="549"/>
  <c r="R51" i="549"/>
  <c r="Q51" i="549"/>
  <c r="P53" i="549"/>
  <c r="L53" i="549"/>
  <c r="P60" i="549"/>
  <c r="L60" i="549"/>
  <c r="R60" i="549" s="1"/>
  <c r="AG28" i="551"/>
  <c r="AF28" i="551"/>
  <c r="O28" i="551"/>
  <c r="J48" i="551"/>
  <c r="P48" i="551" s="1"/>
  <c r="L50" i="551"/>
  <c r="AG53" i="551"/>
  <c r="AF53" i="551"/>
  <c r="O53" i="551"/>
  <c r="L16" i="553"/>
  <c r="L26" i="553" s="1"/>
  <c r="E13" i="552" s="1"/>
  <c r="AG16" i="553"/>
  <c r="K26" i="553"/>
  <c r="AF16" i="553"/>
  <c r="AG19" i="553"/>
  <c r="AF19" i="553"/>
  <c r="O19" i="553"/>
  <c r="O29" i="553"/>
  <c r="AG29" i="553"/>
  <c r="AF29" i="553"/>
  <c r="O18" i="547"/>
  <c r="AF18" i="547"/>
  <c r="J48" i="483"/>
  <c r="P48" i="483" s="1"/>
  <c r="AF59" i="483"/>
  <c r="G1" i="545"/>
  <c r="AF18" i="545"/>
  <c r="AG31" i="545"/>
  <c r="AF31" i="545"/>
  <c r="O31" i="545"/>
  <c r="AF53" i="545"/>
  <c r="R59" i="545"/>
  <c r="AG60" i="545"/>
  <c r="J69" i="545"/>
  <c r="P69" i="545" s="1"/>
  <c r="P62" i="545"/>
  <c r="O19" i="547"/>
  <c r="AG19" i="547"/>
  <c r="AF19" i="547"/>
  <c r="AG49" i="547"/>
  <c r="AF49" i="547"/>
  <c r="N58" i="547"/>
  <c r="O49" i="547"/>
  <c r="J58" i="547"/>
  <c r="P58" i="547" s="1"/>
  <c r="AE2" i="549"/>
  <c r="AG19" i="549"/>
  <c r="P28" i="549"/>
  <c r="L28" i="549"/>
  <c r="R28" i="549" s="1"/>
  <c r="P16" i="551"/>
  <c r="L16" i="551"/>
  <c r="L26" i="551" s="1"/>
  <c r="E13" i="550" s="1"/>
  <c r="J26" i="551"/>
  <c r="P26" i="551" s="1"/>
  <c r="O17" i="551"/>
  <c r="AG17" i="551"/>
  <c r="AF17" i="551"/>
  <c r="K48" i="551"/>
  <c r="L38" i="551"/>
  <c r="L48" i="551" s="1"/>
  <c r="G13" i="550" s="1"/>
  <c r="AG51" i="553"/>
  <c r="AF51" i="553"/>
  <c r="O51" i="553"/>
  <c r="G22" i="554"/>
  <c r="P48" i="555"/>
  <c r="I1" i="555"/>
  <c r="AG30" i="545"/>
  <c r="AF30" i="545"/>
  <c r="O30" i="545"/>
  <c r="L26" i="547"/>
  <c r="E13" i="546" s="1"/>
  <c r="AF17" i="3"/>
  <c r="L52" i="483"/>
  <c r="L58" i="483" s="1"/>
  <c r="H13" i="482" s="1"/>
  <c r="AG53" i="483"/>
  <c r="J58" i="483"/>
  <c r="P58" i="483" s="1"/>
  <c r="N6" i="544"/>
  <c r="G22" i="544"/>
  <c r="AG16" i="545"/>
  <c r="AF16" i="545"/>
  <c r="N26" i="545"/>
  <c r="O16" i="545"/>
  <c r="N58" i="545"/>
  <c r="O49" i="545"/>
  <c r="AG49" i="545"/>
  <c r="AF49" i="545"/>
  <c r="L62" i="545"/>
  <c r="L69" i="545" s="1"/>
  <c r="I13" i="544" s="1"/>
  <c r="J6" i="544" s="1"/>
  <c r="N6" i="546"/>
  <c r="K37" i="547"/>
  <c r="L27" i="547"/>
  <c r="L37" i="547" s="1"/>
  <c r="F13" i="546" s="1"/>
  <c r="O28" i="547"/>
  <c r="AG28" i="547"/>
  <c r="N69" i="547"/>
  <c r="O59" i="547"/>
  <c r="AG59" i="547"/>
  <c r="AF59" i="547"/>
  <c r="AG62" i="547"/>
  <c r="AF62" i="547"/>
  <c r="O62" i="547"/>
  <c r="AF8" i="549"/>
  <c r="R53" i="549"/>
  <c r="Q53" i="549"/>
  <c r="AG19" i="551"/>
  <c r="AF19" i="551"/>
  <c r="O19" i="551"/>
  <c r="N48" i="551"/>
  <c r="AG38" i="551"/>
  <c r="AF38" i="551"/>
  <c r="O38" i="551"/>
  <c r="AG50" i="551"/>
  <c r="AF50" i="551"/>
  <c r="O50" i="551"/>
  <c r="O62" i="553"/>
  <c r="AG62" i="553"/>
  <c r="AF62" i="553"/>
  <c r="R63" i="555"/>
  <c r="Q63" i="555"/>
  <c r="AG50" i="547"/>
  <c r="F22" i="548"/>
  <c r="J15" i="549"/>
  <c r="AG28" i="549"/>
  <c r="AG53" i="549"/>
  <c r="AG60" i="549"/>
  <c r="N15" i="551"/>
  <c r="AG16" i="551"/>
  <c r="L40" i="551"/>
  <c r="AG61" i="551"/>
  <c r="I1" i="553"/>
  <c r="D22" i="552"/>
  <c r="AG18" i="553"/>
  <c r="AF18" i="553"/>
  <c r="P39" i="553"/>
  <c r="AG53" i="553"/>
  <c r="P69" i="553"/>
  <c r="AG9" i="555"/>
  <c r="AF9" i="555"/>
  <c r="AD2" i="555"/>
  <c r="AG29" i="555"/>
  <c r="AF29" i="555"/>
  <c r="O29" i="555"/>
  <c r="P37" i="555"/>
  <c r="AG38" i="555"/>
  <c r="AF38" i="555"/>
  <c r="O38" i="555"/>
  <c r="N48" i="555"/>
  <c r="N58" i="555"/>
  <c r="O49" i="555"/>
  <c r="AG52" i="555"/>
  <c r="AF52" i="555"/>
  <c r="O6" i="566"/>
  <c r="O17" i="567"/>
  <c r="AG17" i="567"/>
  <c r="AF17" i="567"/>
  <c r="AG19" i="567"/>
  <c r="AF19" i="567"/>
  <c r="O19" i="567"/>
  <c r="P48" i="569"/>
  <c r="R49" i="569"/>
  <c r="AE2" i="553"/>
  <c r="P16" i="553"/>
  <c r="L61" i="553"/>
  <c r="O6" i="554"/>
  <c r="N6" i="554"/>
  <c r="AF5" i="555"/>
  <c r="N15" i="555"/>
  <c r="O5" i="555"/>
  <c r="AG5" i="555"/>
  <c r="AG11" i="555"/>
  <c r="AG40" i="555"/>
  <c r="AG49" i="555"/>
  <c r="AG59" i="555"/>
  <c r="AF59" i="555"/>
  <c r="N69" i="555"/>
  <c r="O7" i="557"/>
  <c r="AG7" i="557"/>
  <c r="O19" i="557"/>
  <c r="AG19" i="557"/>
  <c r="AF19" i="557"/>
  <c r="AG40" i="557"/>
  <c r="O40" i="557"/>
  <c r="R53" i="557"/>
  <c r="Q53" i="557"/>
  <c r="O53" i="563"/>
  <c r="AG53" i="563"/>
  <c r="AF53" i="563"/>
  <c r="R62" i="567"/>
  <c r="Q62" i="567"/>
  <c r="AF6" i="569"/>
  <c r="O6" i="569"/>
  <c r="AG6" i="569"/>
  <c r="AF8" i="547"/>
  <c r="AF52" i="547"/>
  <c r="AF30" i="551"/>
  <c r="L6" i="552"/>
  <c r="P60" i="553"/>
  <c r="J69" i="553"/>
  <c r="AG8" i="555"/>
  <c r="AF8" i="555"/>
  <c r="O8" i="555"/>
  <c r="R11" i="555"/>
  <c r="AF17" i="555"/>
  <c r="O17" i="555"/>
  <c r="AG17" i="555"/>
  <c r="R40" i="555"/>
  <c r="R59" i="555"/>
  <c r="O69" i="555"/>
  <c r="G1" i="557"/>
  <c r="AG29" i="557"/>
  <c r="AF29" i="557"/>
  <c r="O29" i="557"/>
  <c r="AG51" i="559"/>
  <c r="AF51" i="559"/>
  <c r="O51" i="559"/>
  <c r="K58" i="559"/>
  <c r="L53" i="559"/>
  <c r="L58" i="559" s="1"/>
  <c r="H13" i="558" s="1"/>
  <c r="O30" i="563"/>
  <c r="AG30" i="563"/>
  <c r="G1" i="569"/>
  <c r="Q51" i="551"/>
  <c r="G1" i="553"/>
  <c r="L29" i="553"/>
  <c r="L37" i="553" s="1"/>
  <c r="F13" i="552" s="1"/>
  <c r="L58" i="553"/>
  <c r="H13" i="552" s="1"/>
  <c r="L54" i="553"/>
  <c r="R54" i="553" s="1"/>
  <c r="R61" i="553"/>
  <c r="K26" i="555"/>
  <c r="O28" i="555"/>
  <c r="AG28" i="555"/>
  <c r="AG31" i="555"/>
  <c r="AF31" i="555"/>
  <c r="O62" i="555"/>
  <c r="AG62" i="555"/>
  <c r="AF62" i="555"/>
  <c r="P6" i="557"/>
  <c r="J15" i="557"/>
  <c r="P15" i="557" s="1"/>
  <c r="O50" i="557"/>
  <c r="AG50" i="557"/>
  <c r="AF50" i="557"/>
  <c r="N6" i="558"/>
  <c r="P29" i="563"/>
  <c r="L29" i="563"/>
  <c r="Q29" i="563" s="1"/>
  <c r="AF30" i="563"/>
  <c r="R20" i="573"/>
  <c r="Q20" i="573"/>
  <c r="K37" i="545"/>
  <c r="K58" i="545"/>
  <c r="AA2" i="547"/>
  <c r="K48" i="547"/>
  <c r="J69" i="547"/>
  <c r="P69" i="547" s="1"/>
  <c r="J26" i="549"/>
  <c r="P26" i="549" s="1"/>
  <c r="J58" i="549"/>
  <c r="P58" i="549" s="1"/>
  <c r="N6" i="550"/>
  <c r="O16" i="551"/>
  <c r="R51" i="551"/>
  <c r="L7" i="553"/>
  <c r="L9" i="553"/>
  <c r="R9" i="553" s="1"/>
  <c r="N26" i="553"/>
  <c r="O16" i="553"/>
  <c r="L60" i="553"/>
  <c r="AG10" i="555"/>
  <c r="AF10" i="555"/>
  <c r="L26" i="555"/>
  <c r="E13" i="554" s="1"/>
  <c r="AF28" i="555"/>
  <c r="AG39" i="555"/>
  <c r="AF39" i="555"/>
  <c r="Q71" i="559"/>
  <c r="R71" i="559"/>
  <c r="L15" i="563"/>
  <c r="D13" i="562" s="1"/>
  <c r="AF28" i="571"/>
  <c r="AG28" i="571"/>
  <c r="N37" i="571"/>
  <c r="L59" i="547"/>
  <c r="L69" i="547" s="1"/>
  <c r="I13" i="546" s="1"/>
  <c r="J6" i="546" s="1"/>
  <c r="Q8" i="549"/>
  <c r="P15" i="549"/>
  <c r="Q19" i="549"/>
  <c r="Q40" i="549"/>
  <c r="L49" i="549"/>
  <c r="L58" i="549" s="1"/>
  <c r="H13" i="548" s="1"/>
  <c r="Q5" i="551"/>
  <c r="L17" i="551"/>
  <c r="Q30" i="551"/>
  <c r="AF7" i="553"/>
  <c r="L8" i="553"/>
  <c r="Q9" i="553"/>
  <c r="Q30" i="553"/>
  <c r="J37" i="553"/>
  <c r="N58" i="553"/>
  <c r="O49" i="553"/>
  <c r="AF50" i="553"/>
  <c r="O50" i="553"/>
  <c r="Q54" i="553"/>
  <c r="AG60" i="553"/>
  <c r="AF60" i="553"/>
  <c r="R10" i="555"/>
  <c r="Q10" i="555"/>
  <c r="Q20" i="555"/>
  <c r="R39" i="555"/>
  <c r="Q39" i="555"/>
  <c r="AG51" i="555"/>
  <c r="AF51" i="555"/>
  <c r="AG9" i="557"/>
  <c r="AF9" i="557"/>
  <c r="O9" i="557"/>
  <c r="Z2" i="557"/>
  <c r="D18" i="556"/>
  <c r="L6" i="556" s="1"/>
  <c r="AG60" i="557"/>
  <c r="O60" i="557"/>
  <c r="O29" i="559"/>
  <c r="AG29" i="559"/>
  <c r="AF29" i="559"/>
  <c r="N48" i="559"/>
  <c r="AG6" i="563"/>
  <c r="AF6" i="563"/>
  <c r="N15" i="563"/>
  <c r="O6" i="563"/>
  <c r="P20" i="563"/>
  <c r="L20" i="563"/>
  <c r="L26" i="563" s="1"/>
  <c r="E13" i="562" s="1"/>
  <c r="AG27" i="563"/>
  <c r="AF27" i="563"/>
  <c r="N37" i="563"/>
  <c r="O27" i="563"/>
  <c r="O28" i="571"/>
  <c r="O37" i="571" s="1"/>
  <c r="L20" i="545"/>
  <c r="Q20" i="545" s="1"/>
  <c r="L21" i="545"/>
  <c r="Q21" i="545" s="1"/>
  <c r="L8" i="547"/>
  <c r="R8" i="547" s="1"/>
  <c r="L52" i="547"/>
  <c r="R52" i="547" s="1"/>
  <c r="I1" i="549"/>
  <c r="L5" i="549"/>
  <c r="L15" i="549" s="1"/>
  <c r="D13" i="548" s="1"/>
  <c r="L16" i="549"/>
  <c r="L26" i="549" s="1"/>
  <c r="E13" i="548" s="1"/>
  <c r="L30" i="549"/>
  <c r="Q30" i="549" s="1"/>
  <c r="AF51" i="549"/>
  <c r="L62" i="549"/>
  <c r="Q62" i="549" s="1"/>
  <c r="AA2" i="551"/>
  <c r="L7" i="551"/>
  <c r="R7" i="551" s="1"/>
  <c r="J37" i="551"/>
  <c r="P37" i="551" s="1"/>
  <c r="K37" i="553"/>
  <c r="R60" i="553"/>
  <c r="Q60" i="553"/>
  <c r="P6" i="555"/>
  <c r="L6" i="555"/>
  <c r="R6" i="555" s="1"/>
  <c r="J15" i="555"/>
  <c r="P15" i="555" s="1"/>
  <c r="O7" i="555"/>
  <c r="AG7" i="555"/>
  <c r="K37" i="555"/>
  <c r="L27" i="555"/>
  <c r="AG30" i="555"/>
  <c r="AF30" i="555"/>
  <c r="O30" i="555"/>
  <c r="J48" i="555"/>
  <c r="P60" i="555"/>
  <c r="J69" i="555"/>
  <c r="P69" i="555" s="1"/>
  <c r="R61" i="555"/>
  <c r="I22" i="554"/>
  <c r="M6" i="556"/>
  <c r="O28" i="557"/>
  <c r="AG28" i="557"/>
  <c r="AF28" i="557"/>
  <c r="N37" i="557"/>
  <c r="AG30" i="557"/>
  <c r="AF30" i="557"/>
  <c r="Q49" i="557"/>
  <c r="O58" i="557"/>
  <c r="R49" i="557"/>
  <c r="R70" i="559"/>
  <c r="Q70" i="559"/>
  <c r="O79" i="559"/>
  <c r="P42" i="563"/>
  <c r="L42" i="563"/>
  <c r="AG49" i="563"/>
  <c r="AF49" i="563"/>
  <c r="O49" i="563"/>
  <c r="N58" i="563"/>
  <c r="R60" i="569"/>
  <c r="Q60" i="569"/>
  <c r="G2" i="571"/>
  <c r="J3" i="570"/>
  <c r="K37" i="551"/>
  <c r="AF51" i="551"/>
  <c r="AF52" i="551"/>
  <c r="AG27" i="553"/>
  <c r="AF27" i="553"/>
  <c r="AG30" i="553"/>
  <c r="K48" i="553"/>
  <c r="AG40" i="553"/>
  <c r="AF40" i="553"/>
  <c r="AG49" i="553"/>
  <c r="AG59" i="553"/>
  <c r="AF59" i="553"/>
  <c r="N69" i="553"/>
  <c r="AF7" i="555"/>
  <c r="O9" i="555"/>
  <c r="Q19" i="555"/>
  <c r="R19" i="555"/>
  <c r="N37" i="555"/>
  <c r="P41" i="555"/>
  <c r="L41" i="555"/>
  <c r="Q41" i="555" s="1"/>
  <c r="O6" i="556"/>
  <c r="N6" i="556"/>
  <c r="AG17" i="557"/>
  <c r="O30" i="557"/>
  <c r="L38" i="557"/>
  <c r="R41" i="557"/>
  <c r="Q41" i="557"/>
  <c r="G1" i="563"/>
  <c r="AG18" i="563"/>
  <c r="AF18" i="563"/>
  <c r="Q63" i="563"/>
  <c r="K37" i="567"/>
  <c r="L29" i="567"/>
  <c r="R63" i="569"/>
  <c r="Q63" i="569"/>
  <c r="AG17" i="571"/>
  <c r="AF17" i="571"/>
  <c r="O17" i="571"/>
  <c r="P19" i="571"/>
  <c r="L19" i="571"/>
  <c r="O16" i="549"/>
  <c r="L27" i="551"/>
  <c r="L37" i="551" s="1"/>
  <c r="F13" i="550" s="1"/>
  <c r="AG52" i="551"/>
  <c r="K69" i="551"/>
  <c r="Q7" i="553"/>
  <c r="J15" i="553"/>
  <c r="P15" i="553" s="1"/>
  <c r="O27" i="553"/>
  <c r="P37" i="553"/>
  <c r="L39" i="553"/>
  <c r="O40" i="553"/>
  <c r="O53" i="553"/>
  <c r="AF53" i="553"/>
  <c r="O59" i="553"/>
  <c r="AG16" i="555"/>
  <c r="AF16" i="555"/>
  <c r="AF19" i="555"/>
  <c r="N26" i="555"/>
  <c r="AG50" i="555"/>
  <c r="AF50" i="555"/>
  <c r="O50" i="555"/>
  <c r="AG53" i="555"/>
  <c r="R17" i="557"/>
  <c r="AF38" i="557"/>
  <c r="G22" i="556"/>
  <c r="P48" i="557"/>
  <c r="G1" i="559"/>
  <c r="E20" i="558"/>
  <c r="O6" i="558" s="1"/>
  <c r="AD2" i="559"/>
  <c r="R18" i="563"/>
  <c r="Q18" i="563"/>
  <c r="AG40" i="563"/>
  <c r="AF40" i="563"/>
  <c r="AG7" i="567"/>
  <c r="AF7" i="567"/>
  <c r="O7" i="567"/>
  <c r="J58" i="567"/>
  <c r="P58" i="567" s="1"/>
  <c r="P51" i="567"/>
  <c r="L51" i="567"/>
  <c r="AG58" i="567"/>
  <c r="AH49" i="567" s="1"/>
  <c r="AF58" i="567"/>
  <c r="Q58" i="567"/>
  <c r="AG30" i="551"/>
  <c r="L69" i="551"/>
  <c r="I13" i="550" s="1"/>
  <c r="J6" i="550" s="1"/>
  <c r="AG39" i="553"/>
  <c r="AF39" i="553"/>
  <c r="J58" i="553"/>
  <c r="P58" i="553" s="1"/>
  <c r="P62" i="553"/>
  <c r="L62" i="553"/>
  <c r="Z2" i="555"/>
  <c r="AG19" i="555"/>
  <c r="O26" i="555"/>
  <c r="AG27" i="555"/>
  <c r="R53" i="555"/>
  <c r="L15" i="557"/>
  <c r="D13" i="556" s="1"/>
  <c r="O8" i="557"/>
  <c r="AG8" i="557"/>
  <c r="AF8" i="557"/>
  <c r="E22" i="556"/>
  <c r="P26" i="557"/>
  <c r="Q51" i="557"/>
  <c r="AG39" i="559"/>
  <c r="AF39" i="559"/>
  <c r="O39" i="559"/>
  <c r="O40" i="563"/>
  <c r="O5" i="567"/>
  <c r="N15" i="567"/>
  <c r="AG5" i="567"/>
  <c r="AG49" i="567"/>
  <c r="AF49" i="567"/>
  <c r="O26" i="569"/>
  <c r="R16" i="569"/>
  <c r="AG29" i="573"/>
  <c r="AF29" i="573"/>
  <c r="O29" i="573"/>
  <c r="AF11" i="555"/>
  <c r="AF40" i="555"/>
  <c r="AF53" i="555"/>
  <c r="AF60" i="555"/>
  <c r="AF17" i="557"/>
  <c r="K26" i="557"/>
  <c r="AG38" i="557"/>
  <c r="AG7" i="563"/>
  <c r="AF7" i="563"/>
  <c r="O7" i="563"/>
  <c r="AG28" i="563"/>
  <c r="AF28" i="563"/>
  <c r="O28" i="563"/>
  <c r="J58" i="563"/>
  <c r="P58" i="563" s="1"/>
  <c r="P49" i="563"/>
  <c r="AG8" i="567"/>
  <c r="AF8" i="567"/>
  <c r="O8" i="567"/>
  <c r="O70" i="567"/>
  <c r="AG70" i="567"/>
  <c r="AF70" i="567"/>
  <c r="L26" i="569"/>
  <c r="E13" i="568" s="1"/>
  <c r="N58" i="569"/>
  <c r="P69" i="569"/>
  <c r="I22" i="568"/>
  <c r="Q31" i="575"/>
  <c r="R31" i="575"/>
  <c r="AF18" i="555"/>
  <c r="AF27" i="555"/>
  <c r="L59" i="555"/>
  <c r="AF6" i="557"/>
  <c r="O37" i="557"/>
  <c r="O52" i="557"/>
  <c r="J58" i="557"/>
  <c r="J15" i="559"/>
  <c r="R21" i="559"/>
  <c r="Q21" i="559"/>
  <c r="AG59" i="559"/>
  <c r="AF59" i="559"/>
  <c r="L61" i="559"/>
  <c r="P70" i="559"/>
  <c r="L70" i="559"/>
  <c r="L79" i="559" s="1"/>
  <c r="J13" i="558" s="1"/>
  <c r="D21" i="562"/>
  <c r="AE2" i="563"/>
  <c r="L63" i="563"/>
  <c r="R63" i="563" s="1"/>
  <c r="R22" i="567"/>
  <c r="Q22" i="567"/>
  <c r="AF30" i="567"/>
  <c r="Z2" i="567"/>
  <c r="L58" i="567"/>
  <c r="H13" i="566" s="1"/>
  <c r="O52" i="567"/>
  <c r="AG52" i="567"/>
  <c r="Q69" i="567"/>
  <c r="AG69" i="567"/>
  <c r="AH59" i="567" s="1"/>
  <c r="AF69" i="567"/>
  <c r="O60" i="567"/>
  <c r="AG60" i="567"/>
  <c r="AF60" i="567"/>
  <c r="AG62" i="567"/>
  <c r="AF62" i="567"/>
  <c r="P69" i="567"/>
  <c r="R20" i="569"/>
  <c r="Q20" i="569"/>
  <c r="Q52" i="569"/>
  <c r="R52" i="569"/>
  <c r="P60" i="569"/>
  <c r="L60" i="569"/>
  <c r="AF29" i="571"/>
  <c r="O29" i="571"/>
  <c r="AG29" i="571"/>
  <c r="K48" i="571"/>
  <c r="AG48" i="571" s="1"/>
  <c r="AH38" i="571" s="1"/>
  <c r="L38" i="571"/>
  <c r="L48" i="571" s="1"/>
  <c r="G13" i="570" s="1"/>
  <c r="AG38" i="571"/>
  <c r="AF38" i="571"/>
  <c r="R19" i="573"/>
  <c r="Q19" i="573"/>
  <c r="G2" i="575"/>
  <c r="J3" i="574"/>
  <c r="AG37" i="579"/>
  <c r="AH27" i="579" s="1"/>
  <c r="AF37" i="579"/>
  <c r="Q37" i="579"/>
  <c r="N48" i="557"/>
  <c r="AG6" i="559"/>
  <c r="AF6" i="559"/>
  <c r="R7" i="559"/>
  <c r="Q7" i="559"/>
  <c r="P15" i="559"/>
  <c r="AG17" i="559"/>
  <c r="AF17" i="559"/>
  <c r="P28" i="559"/>
  <c r="J37" i="559"/>
  <c r="P37" i="559" s="1"/>
  <c r="P69" i="559"/>
  <c r="R17" i="563"/>
  <c r="R39" i="563"/>
  <c r="R42" i="563"/>
  <c r="Q42" i="563"/>
  <c r="R51" i="567"/>
  <c r="Q51" i="567"/>
  <c r="AG79" i="567"/>
  <c r="AH70" i="567" s="1"/>
  <c r="AF79" i="567"/>
  <c r="Q79" i="567"/>
  <c r="J15" i="569"/>
  <c r="P15" i="569" s="1"/>
  <c r="P5" i="569"/>
  <c r="AG16" i="569"/>
  <c r="N26" i="569"/>
  <c r="AF16" i="569"/>
  <c r="AG29" i="569"/>
  <c r="AF29" i="569"/>
  <c r="O29" i="569"/>
  <c r="P31" i="569"/>
  <c r="L31" i="569"/>
  <c r="AG49" i="569"/>
  <c r="AF49" i="569"/>
  <c r="AG8" i="571"/>
  <c r="AF8" i="571"/>
  <c r="O8" i="571"/>
  <c r="P37" i="571"/>
  <c r="F22" i="570"/>
  <c r="P52" i="571"/>
  <c r="L52" i="571"/>
  <c r="R52" i="571" s="1"/>
  <c r="R8" i="573"/>
  <c r="Q8" i="573"/>
  <c r="L6" i="557"/>
  <c r="R6" i="557" s="1"/>
  <c r="O38" i="557"/>
  <c r="AF51" i="557"/>
  <c r="N58" i="557"/>
  <c r="O6" i="559"/>
  <c r="O10" i="559"/>
  <c r="AG10" i="559"/>
  <c r="N15" i="559"/>
  <c r="R20" i="559"/>
  <c r="Q20" i="559"/>
  <c r="L28" i="559"/>
  <c r="AG53" i="559"/>
  <c r="AF53" i="559"/>
  <c r="O53" i="559"/>
  <c r="AG61" i="559"/>
  <c r="N69" i="559"/>
  <c r="N6" i="562"/>
  <c r="R29" i="563"/>
  <c r="O60" i="563"/>
  <c r="AG60" i="563"/>
  <c r="AF60" i="563"/>
  <c r="O16" i="567"/>
  <c r="N26" i="567"/>
  <c r="AG16" i="567"/>
  <c r="L21" i="567"/>
  <c r="AG29" i="567"/>
  <c r="AF29" i="567"/>
  <c r="O29" i="567"/>
  <c r="O39" i="567"/>
  <c r="AG39" i="567"/>
  <c r="L6" i="566"/>
  <c r="K15" i="569"/>
  <c r="L5" i="569"/>
  <c r="Z2" i="569"/>
  <c r="AG19" i="569"/>
  <c r="AF19" i="569"/>
  <c r="P32" i="571"/>
  <c r="L32" i="571"/>
  <c r="L37" i="571" s="1"/>
  <c r="F13" i="570" s="1"/>
  <c r="O39" i="573"/>
  <c r="AG39" i="573"/>
  <c r="J58" i="555"/>
  <c r="P58" i="555" s="1"/>
  <c r="L61" i="555"/>
  <c r="L18" i="557"/>
  <c r="L26" i="557" s="1"/>
  <c r="E13" i="556" s="1"/>
  <c r="L27" i="557"/>
  <c r="L37" i="557" s="1"/>
  <c r="F13" i="556" s="1"/>
  <c r="L39" i="557"/>
  <c r="R39" i="557" s="1"/>
  <c r="AG51" i="557"/>
  <c r="K69" i="557"/>
  <c r="L59" i="557"/>
  <c r="AF10" i="559"/>
  <c r="L6" i="558"/>
  <c r="N26" i="559"/>
  <c r="O16" i="559"/>
  <c r="AF16" i="559"/>
  <c r="AF28" i="559"/>
  <c r="O28" i="559"/>
  <c r="K37" i="559"/>
  <c r="I1" i="559"/>
  <c r="P48" i="559"/>
  <c r="G22" i="558"/>
  <c r="AG60" i="559"/>
  <c r="AF60" i="559"/>
  <c r="O60" i="559"/>
  <c r="O15" i="563"/>
  <c r="R9" i="563"/>
  <c r="Q9" i="563"/>
  <c r="J15" i="563"/>
  <c r="P15" i="563" s="1"/>
  <c r="Q17" i="563"/>
  <c r="J37" i="563"/>
  <c r="P37" i="563" s="1"/>
  <c r="Q39" i="563"/>
  <c r="L69" i="563"/>
  <c r="I13" i="562" s="1"/>
  <c r="J6" i="562" s="1"/>
  <c r="AG62" i="563"/>
  <c r="AF62" i="563"/>
  <c r="O62" i="563"/>
  <c r="D22" i="566"/>
  <c r="I1" i="567"/>
  <c r="P15" i="567"/>
  <c r="AF16" i="567"/>
  <c r="AG18" i="567"/>
  <c r="AF18" i="567"/>
  <c r="R21" i="567"/>
  <c r="Q21" i="567"/>
  <c r="AF39" i="567"/>
  <c r="AF5" i="569"/>
  <c r="D19" i="568"/>
  <c r="M6" i="568" s="1"/>
  <c r="AA2" i="569"/>
  <c r="R18" i="569"/>
  <c r="Q18" i="569"/>
  <c r="O19" i="569"/>
  <c r="N26" i="571"/>
  <c r="O16" i="571"/>
  <c r="AG79" i="571"/>
  <c r="AH70" i="571" s="1"/>
  <c r="AF79" i="571"/>
  <c r="Q79" i="571"/>
  <c r="R21" i="573"/>
  <c r="Q21" i="573"/>
  <c r="AD2" i="573"/>
  <c r="E20" i="572"/>
  <c r="N6" i="572" s="1"/>
  <c r="AF39" i="573"/>
  <c r="R63" i="573"/>
  <c r="Q63" i="573"/>
  <c r="O27" i="555"/>
  <c r="L49" i="555"/>
  <c r="L58" i="555" s="1"/>
  <c r="H13" i="554" s="1"/>
  <c r="AA2" i="557"/>
  <c r="P58" i="557"/>
  <c r="L60" i="557"/>
  <c r="L9" i="559"/>
  <c r="AG16" i="559"/>
  <c r="R41" i="559"/>
  <c r="Q41" i="559"/>
  <c r="O49" i="559"/>
  <c r="N58" i="559"/>
  <c r="AG49" i="559"/>
  <c r="L6" i="562"/>
  <c r="K15" i="563"/>
  <c r="P19" i="563"/>
  <c r="J26" i="563"/>
  <c r="P26" i="563" s="1"/>
  <c r="O51" i="563"/>
  <c r="AG51" i="563"/>
  <c r="O18" i="567"/>
  <c r="L23" i="567"/>
  <c r="R23" i="567" s="1"/>
  <c r="P38" i="567"/>
  <c r="J48" i="567"/>
  <c r="P48" i="567" s="1"/>
  <c r="AD2" i="569"/>
  <c r="F20" i="568"/>
  <c r="R7" i="571"/>
  <c r="Q7" i="571"/>
  <c r="AF16" i="571"/>
  <c r="R27" i="571"/>
  <c r="Q27" i="571"/>
  <c r="R32" i="571"/>
  <c r="Q32" i="571"/>
  <c r="O40" i="571"/>
  <c r="AG40" i="571"/>
  <c r="J48" i="571"/>
  <c r="AG49" i="571"/>
  <c r="AF49" i="571"/>
  <c r="N58" i="571"/>
  <c r="R79" i="571"/>
  <c r="S70" i="571" s="1"/>
  <c r="J15" i="570" s="1"/>
  <c r="J14" i="570"/>
  <c r="AG39" i="577"/>
  <c r="AF39" i="577"/>
  <c r="O39" i="577"/>
  <c r="O48" i="577" s="1"/>
  <c r="N48" i="577"/>
  <c r="L7" i="555"/>
  <c r="Q11" i="555"/>
  <c r="L28" i="555"/>
  <c r="Q40" i="555"/>
  <c r="Q53" i="555"/>
  <c r="Q60" i="555"/>
  <c r="L62" i="555"/>
  <c r="Q17" i="557"/>
  <c r="L19" i="557"/>
  <c r="J37" i="557"/>
  <c r="P37" i="557" s="1"/>
  <c r="R63" i="557"/>
  <c r="I22" i="558"/>
  <c r="L37" i="559"/>
  <c r="F13" i="558" s="1"/>
  <c r="AG52" i="559"/>
  <c r="AF52" i="559"/>
  <c r="AG17" i="563"/>
  <c r="AF17" i="563"/>
  <c r="AG39" i="563"/>
  <c r="AF39" i="563"/>
  <c r="N69" i="563"/>
  <c r="O59" i="563"/>
  <c r="AG59" i="563"/>
  <c r="AA2" i="567"/>
  <c r="AG28" i="567"/>
  <c r="AF28" i="567"/>
  <c r="K48" i="567"/>
  <c r="L38" i="567"/>
  <c r="L48" i="567" s="1"/>
  <c r="G13" i="566" s="1"/>
  <c r="AG17" i="569"/>
  <c r="AF17" i="569"/>
  <c r="AF51" i="569"/>
  <c r="O51" i="569"/>
  <c r="O58" i="569" s="1"/>
  <c r="AG51" i="569"/>
  <c r="P59" i="569"/>
  <c r="J69" i="569"/>
  <c r="O49" i="571"/>
  <c r="G1" i="573"/>
  <c r="N37" i="573"/>
  <c r="N69" i="573"/>
  <c r="O59" i="573"/>
  <c r="AG59" i="573"/>
  <c r="R33" i="577"/>
  <c r="Q33" i="577"/>
  <c r="AE2" i="557"/>
  <c r="O61" i="557"/>
  <c r="AF62" i="557"/>
  <c r="Q63" i="557"/>
  <c r="O5" i="559"/>
  <c r="AG5" i="559"/>
  <c r="O9" i="559"/>
  <c r="AG9" i="559"/>
  <c r="R19" i="559"/>
  <c r="Q19" i="559"/>
  <c r="AG27" i="559"/>
  <c r="AF27" i="559"/>
  <c r="N37" i="559"/>
  <c r="AG28" i="559"/>
  <c r="AG38" i="559"/>
  <c r="AF38" i="559"/>
  <c r="L40" i="559"/>
  <c r="AG41" i="559"/>
  <c r="O52" i="559"/>
  <c r="K69" i="559"/>
  <c r="L19" i="563"/>
  <c r="P21" i="563"/>
  <c r="L21" i="563"/>
  <c r="R21" i="563" s="1"/>
  <c r="L41" i="563"/>
  <c r="L48" i="563" s="1"/>
  <c r="G13" i="562" s="1"/>
  <c r="R50" i="563"/>
  <c r="Q50" i="563"/>
  <c r="H22" i="562"/>
  <c r="AF59" i="563"/>
  <c r="AG61" i="563"/>
  <c r="AF61" i="563"/>
  <c r="R64" i="563"/>
  <c r="Q64" i="563"/>
  <c r="M6" i="566"/>
  <c r="O28" i="567"/>
  <c r="R31" i="567"/>
  <c r="Q31" i="567"/>
  <c r="AF38" i="567"/>
  <c r="O53" i="567"/>
  <c r="AG53" i="567"/>
  <c r="AF53" i="567"/>
  <c r="O61" i="567"/>
  <c r="AG61" i="567"/>
  <c r="AF61" i="567"/>
  <c r="O6" i="568"/>
  <c r="R7" i="569"/>
  <c r="Q7" i="569"/>
  <c r="O17" i="569"/>
  <c r="J37" i="569"/>
  <c r="P37" i="569" s="1"/>
  <c r="K69" i="569"/>
  <c r="L59" i="569"/>
  <c r="AG62" i="569"/>
  <c r="AF62" i="569"/>
  <c r="P6" i="571"/>
  <c r="L6" i="571"/>
  <c r="L15" i="571" s="1"/>
  <c r="D13" i="570" s="1"/>
  <c r="J15" i="571"/>
  <c r="J15" i="573"/>
  <c r="P15" i="573" s="1"/>
  <c r="P5" i="573"/>
  <c r="Q61" i="553"/>
  <c r="AE2" i="555"/>
  <c r="Q61" i="555"/>
  <c r="Q18" i="557"/>
  <c r="Q27" i="557"/>
  <c r="Q39" i="557"/>
  <c r="O62" i="557"/>
  <c r="M6" i="558"/>
  <c r="AF5" i="559"/>
  <c r="AF9" i="559"/>
  <c r="AG18" i="559"/>
  <c r="AF18" i="559"/>
  <c r="O27" i="559"/>
  <c r="AF40" i="559"/>
  <c r="O40" i="559"/>
  <c r="O59" i="559"/>
  <c r="J79" i="559"/>
  <c r="P79" i="559" s="1"/>
  <c r="O61" i="563"/>
  <c r="G1" i="567"/>
  <c r="L20" i="567"/>
  <c r="L26" i="567" s="1"/>
  <c r="E13" i="566" s="1"/>
  <c r="N37" i="567"/>
  <c r="AF7" i="569"/>
  <c r="R39" i="569"/>
  <c r="O62" i="569"/>
  <c r="L20" i="571"/>
  <c r="O60" i="571"/>
  <c r="AG60" i="571"/>
  <c r="AF60" i="571"/>
  <c r="L8" i="559"/>
  <c r="R8" i="559" s="1"/>
  <c r="O18" i="559"/>
  <c r="AG19" i="559"/>
  <c r="AF19" i="559"/>
  <c r="R62" i="559"/>
  <c r="Q62" i="559"/>
  <c r="AG8" i="563"/>
  <c r="O16" i="563"/>
  <c r="N26" i="563"/>
  <c r="AG16" i="563"/>
  <c r="AF16" i="563"/>
  <c r="AG19" i="563"/>
  <c r="AF19" i="563"/>
  <c r="O19" i="563"/>
  <c r="N48" i="563"/>
  <c r="O38" i="563"/>
  <c r="AG38" i="563"/>
  <c r="AF38" i="563"/>
  <c r="AG41" i="563"/>
  <c r="AF41" i="563"/>
  <c r="O41" i="563"/>
  <c r="O6" i="567"/>
  <c r="AG6" i="567"/>
  <c r="AF6" i="567"/>
  <c r="R20" i="567"/>
  <c r="Q20" i="567"/>
  <c r="AG38" i="567"/>
  <c r="AG50" i="567"/>
  <c r="AF50" i="567"/>
  <c r="O50" i="567"/>
  <c r="P59" i="567"/>
  <c r="J69" i="567"/>
  <c r="L59" i="567"/>
  <c r="L69" i="567" s="1"/>
  <c r="I13" i="566" s="1"/>
  <c r="J6" i="566" s="1"/>
  <c r="AG7" i="569"/>
  <c r="H22" i="568"/>
  <c r="P58" i="569"/>
  <c r="R61" i="569"/>
  <c r="Q61" i="569"/>
  <c r="R6" i="571"/>
  <c r="R20" i="571"/>
  <c r="Q20" i="571"/>
  <c r="O17" i="573"/>
  <c r="AG17" i="573"/>
  <c r="J58" i="559"/>
  <c r="P58" i="559" s="1"/>
  <c r="K26" i="567"/>
  <c r="I1" i="569"/>
  <c r="AF38" i="569"/>
  <c r="AF39" i="569"/>
  <c r="O6" i="570"/>
  <c r="N6" i="570"/>
  <c r="R38" i="571"/>
  <c r="P58" i="571"/>
  <c r="N69" i="571"/>
  <c r="O59" i="571"/>
  <c r="K15" i="573"/>
  <c r="L5" i="573"/>
  <c r="AE2" i="573"/>
  <c r="O49" i="573"/>
  <c r="N58" i="573"/>
  <c r="AG49" i="573"/>
  <c r="L16" i="575"/>
  <c r="L26" i="575" s="1"/>
  <c r="E13" i="574" s="1"/>
  <c r="K26" i="575"/>
  <c r="R63" i="575"/>
  <c r="Q63" i="575"/>
  <c r="O16" i="579"/>
  <c r="N26" i="579"/>
  <c r="AG16" i="579"/>
  <c r="AF16" i="579"/>
  <c r="R20" i="579"/>
  <c r="Q20" i="579"/>
  <c r="AF31" i="563"/>
  <c r="AF52" i="563"/>
  <c r="J69" i="563"/>
  <c r="P69" i="563" s="1"/>
  <c r="AG38" i="569"/>
  <c r="N69" i="569"/>
  <c r="O59" i="569"/>
  <c r="J58" i="571"/>
  <c r="P51" i="571"/>
  <c r="Q52" i="571"/>
  <c r="AG62" i="571"/>
  <c r="AF62" i="571"/>
  <c r="AF5" i="573"/>
  <c r="O5" i="573"/>
  <c r="L48" i="573"/>
  <c r="G13" i="572" s="1"/>
  <c r="N26" i="575"/>
  <c r="O16" i="575"/>
  <c r="AG16" i="575"/>
  <c r="AF16" i="575"/>
  <c r="R27" i="575"/>
  <c r="Q27" i="575"/>
  <c r="AG49" i="575"/>
  <c r="AF49" i="575"/>
  <c r="O49" i="575"/>
  <c r="N58" i="575"/>
  <c r="AG30" i="577"/>
  <c r="AF30" i="577"/>
  <c r="O30" i="577"/>
  <c r="J26" i="559"/>
  <c r="P26" i="559" s="1"/>
  <c r="AG50" i="559"/>
  <c r="O61" i="559"/>
  <c r="N79" i="559"/>
  <c r="AG5" i="563"/>
  <c r="O8" i="563"/>
  <c r="AG31" i="563"/>
  <c r="AG52" i="563"/>
  <c r="K69" i="563"/>
  <c r="O30" i="567"/>
  <c r="O38" i="567"/>
  <c r="AG40" i="567"/>
  <c r="O5" i="569"/>
  <c r="L27" i="569"/>
  <c r="L29" i="569"/>
  <c r="E18" i="570"/>
  <c r="L6" i="570" s="1"/>
  <c r="Q6" i="571"/>
  <c r="AG19" i="571"/>
  <c r="AF19" i="571"/>
  <c r="AF52" i="571"/>
  <c r="O62" i="571"/>
  <c r="AG5" i="573"/>
  <c r="AG8" i="573"/>
  <c r="AF8" i="573"/>
  <c r="L16" i="573"/>
  <c r="L26" i="573" s="1"/>
  <c r="E13" i="572" s="1"/>
  <c r="L31" i="573"/>
  <c r="AF38" i="573"/>
  <c r="O38" i="573"/>
  <c r="N48" i="573"/>
  <c r="O41" i="573"/>
  <c r="AG41" i="573"/>
  <c r="AF41" i="573"/>
  <c r="R62" i="575"/>
  <c r="Q62" i="575"/>
  <c r="AG7" i="579"/>
  <c r="O7" i="579"/>
  <c r="AF7" i="579"/>
  <c r="J48" i="563"/>
  <c r="P48" i="563" s="1"/>
  <c r="O59" i="567"/>
  <c r="N6" i="568"/>
  <c r="L6" i="569"/>
  <c r="L7" i="569"/>
  <c r="P27" i="569"/>
  <c r="R31" i="569"/>
  <c r="J48" i="569"/>
  <c r="Q5" i="571"/>
  <c r="P17" i="571"/>
  <c r="L17" i="571"/>
  <c r="O19" i="571"/>
  <c r="AF27" i="571"/>
  <c r="P30" i="571"/>
  <c r="L30" i="571"/>
  <c r="R30" i="571" s="1"/>
  <c r="L51" i="571"/>
  <c r="AG52" i="571"/>
  <c r="AF16" i="573"/>
  <c r="N26" i="573"/>
  <c r="O16" i="573"/>
  <c r="Q28" i="573"/>
  <c r="R31" i="573"/>
  <c r="Q31" i="573"/>
  <c r="AG38" i="573"/>
  <c r="O51" i="573"/>
  <c r="AG51" i="573"/>
  <c r="AF51" i="573"/>
  <c r="AF62" i="573"/>
  <c r="O62" i="573"/>
  <c r="R41" i="575"/>
  <c r="Q41" i="575"/>
  <c r="G1" i="577"/>
  <c r="L16" i="559"/>
  <c r="L26" i="559" s="1"/>
  <c r="E13" i="558" s="1"/>
  <c r="E22" i="568"/>
  <c r="K48" i="569"/>
  <c r="AG48" i="569" s="1"/>
  <c r="AH38" i="569" s="1"/>
  <c r="AF59" i="569"/>
  <c r="R31" i="571"/>
  <c r="R64" i="571"/>
  <c r="Q64" i="571"/>
  <c r="N15" i="573"/>
  <c r="AG19" i="573"/>
  <c r="AF19" i="573"/>
  <c r="J37" i="573"/>
  <c r="P37" i="573" s="1"/>
  <c r="Q32" i="577"/>
  <c r="P69" i="577"/>
  <c r="I22" i="576"/>
  <c r="I1" i="563"/>
  <c r="P26" i="567"/>
  <c r="L27" i="567"/>
  <c r="J37" i="567"/>
  <c r="P37" i="567" s="1"/>
  <c r="N48" i="567"/>
  <c r="F22" i="568"/>
  <c r="Q28" i="569"/>
  <c r="Q30" i="569"/>
  <c r="Q31" i="569"/>
  <c r="N37" i="569"/>
  <c r="AG59" i="569"/>
  <c r="AF7" i="571"/>
  <c r="P16" i="571"/>
  <c r="L16" i="571"/>
  <c r="J26" i="571"/>
  <c r="P26" i="571" s="1"/>
  <c r="Q30" i="571"/>
  <c r="AF31" i="571"/>
  <c r="AF51" i="571"/>
  <c r="O51" i="571"/>
  <c r="O7" i="573"/>
  <c r="AG7" i="573"/>
  <c r="AF7" i="573"/>
  <c r="AG28" i="573"/>
  <c r="AF28" i="573"/>
  <c r="O40" i="573"/>
  <c r="AG40" i="573"/>
  <c r="O27" i="577"/>
  <c r="AG27" i="577"/>
  <c r="AF27" i="577"/>
  <c r="N37" i="577"/>
  <c r="O50" i="577"/>
  <c r="AG50" i="577"/>
  <c r="AF50" i="577"/>
  <c r="N6" i="566"/>
  <c r="P5" i="567"/>
  <c r="N15" i="569"/>
  <c r="O37" i="569"/>
  <c r="L39" i="569"/>
  <c r="Q39" i="569" s="1"/>
  <c r="AF50" i="569"/>
  <c r="L51" i="569"/>
  <c r="D22" i="570"/>
  <c r="P15" i="571"/>
  <c r="AG31" i="571"/>
  <c r="R50" i="571"/>
  <c r="Q50" i="571"/>
  <c r="J26" i="573"/>
  <c r="P26" i="573" s="1"/>
  <c r="AF40" i="573"/>
  <c r="Q71" i="573"/>
  <c r="R71" i="573"/>
  <c r="O38" i="575"/>
  <c r="N48" i="575"/>
  <c r="AG38" i="575"/>
  <c r="AF38" i="575"/>
  <c r="J58" i="577"/>
  <c r="P58" i="577" s="1"/>
  <c r="AF7" i="559"/>
  <c r="L38" i="559"/>
  <c r="L48" i="559" s="1"/>
  <c r="G13" i="558" s="1"/>
  <c r="L59" i="559"/>
  <c r="L69" i="559" s="1"/>
  <c r="I13" i="558" s="1"/>
  <c r="J6" i="558" s="1"/>
  <c r="AE2" i="569"/>
  <c r="AF27" i="569"/>
  <c r="O38" i="569"/>
  <c r="K58" i="569"/>
  <c r="L49" i="569"/>
  <c r="O50" i="569"/>
  <c r="E19" i="570"/>
  <c r="M6" i="570" s="1"/>
  <c r="AG5" i="571"/>
  <c r="N15" i="571"/>
  <c r="AG61" i="571"/>
  <c r="AF61" i="571"/>
  <c r="O18" i="573"/>
  <c r="AG18" i="573"/>
  <c r="AF18" i="573"/>
  <c r="K26" i="573"/>
  <c r="O50" i="573"/>
  <c r="AG50" i="573"/>
  <c r="AF50" i="573"/>
  <c r="P5" i="577"/>
  <c r="J15" i="577"/>
  <c r="P15" i="577" s="1"/>
  <c r="J69" i="577"/>
  <c r="P61" i="577"/>
  <c r="AG27" i="569"/>
  <c r="AF31" i="569"/>
  <c r="R64" i="569"/>
  <c r="O15" i="571"/>
  <c r="J37" i="571"/>
  <c r="K58" i="571"/>
  <c r="L49" i="571"/>
  <c r="L58" i="571" s="1"/>
  <c r="H13" i="570" s="1"/>
  <c r="L63" i="571"/>
  <c r="R63" i="571" s="1"/>
  <c r="E21" i="572"/>
  <c r="O6" i="573"/>
  <c r="AG6" i="573"/>
  <c r="M6" i="572"/>
  <c r="O27" i="573"/>
  <c r="AG27" i="573"/>
  <c r="AF27" i="573"/>
  <c r="AG30" i="573"/>
  <c r="AG19" i="575"/>
  <c r="L19" i="575"/>
  <c r="K15" i="577"/>
  <c r="L5" i="577"/>
  <c r="L15" i="577" s="1"/>
  <c r="D13" i="576" s="1"/>
  <c r="AF5" i="577"/>
  <c r="O59" i="577"/>
  <c r="N69" i="577"/>
  <c r="AG59" i="577"/>
  <c r="L61" i="577"/>
  <c r="J69" i="571"/>
  <c r="P69" i="571" s="1"/>
  <c r="AF27" i="575"/>
  <c r="N37" i="575"/>
  <c r="L52" i="575"/>
  <c r="Q5" i="577"/>
  <c r="P41" i="577"/>
  <c r="L41" i="577"/>
  <c r="R50" i="579"/>
  <c r="Q50" i="579"/>
  <c r="J58" i="581"/>
  <c r="P58" i="581" s="1"/>
  <c r="P49" i="581"/>
  <c r="O30" i="573"/>
  <c r="L70" i="573"/>
  <c r="L79" i="573" s="1"/>
  <c r="J13" i="572" s="1"/>
  <c r="K79" i="573"/>
  <c r="O5" i="575"/>
  <c r="N15" i="575"/>
  <c r="AG5" i="575"/>
  <c r="AF5" i="575"/>
  <c r="AF19" i="575"/>
  <c r="AG27" i="575"/>
  <c r="AF6" i="577"/>
  <c r="R29" i="577"/>
  <c r="Q29" i="577"/>
  <c r="R6" i="579"/>
  <c r="Q6" i="579"/>
  <c r="AG40" i="579"/>
  <c r="AF40" i="579"/>
  <c r="O40" i="579"/>
  <c r="AG59" i="591"/>
  <c r="AF59" i="591"/>
  <c r="O59" i="591"/>
  <c r="AG61" i="591"/>
  <c r="AF61" i="591"/>
  <c r="O61" i="591"/>
  <c r="L59" i="571"/>
  <c r="AF52" i="573"/>
  <c r="P70" i="573"/>
  <c r="M6" i="574"/>
  <c r="R30" i="575"/>
  <c r="R40" i="575"/>
  <c r="Q40" i="575"/>
  <c r="AF41" i="575"/>
  <c r="R43" i="575"/>
  <c r="Q43" i="575"/>
  <c r="R21" i="577"/>
  <c r="Q21" i="577"/>
  <c r="R38" i="577"/>
  <c r="Q38" i="577"/>
  <c r="R49" i="577"/>
  <c r="Q49" i="577"/>
  <c r="L6" i="578"/>
  <c r="R19" i="579"/>
  <c r="Q19" i="579"/>
  <c r="O28" i="579"/>
  <c r="AG28" i="579"/>
  <c r="AF28" i="579"/>
  <c r="P52" i="579"/>
  <c r="J58" i="579"/>
  <c r="R22" i="581"/>
  <c r="R30" i="581"/>
  <c r="Q30" i="581"/>
  <c r="P48" i="573"/>
  <c r="AG52" i="573"/>
  <c r="K69" i="573"/>
  <c r="L59" i="573"/>
  <c r="L69" i="573" s="1"/>
  <c r="I13" i="572" s="1"/>
  <c r="J6" i="572" s="1"/>
  <c r="L8" i="575"/>
  <c r="L15" i="575" s="1"/>
  <c r="D13" i="574" s="1"/>
  <c r="AA2" i="575"/>
  <c r="AG18" i="575"/>
  <c r="L21" i="575"/>
  <c r="Q21" i="575" s="1"/>
  <c r="L29" i="575"/>
  <c r="L37" i="575" s="1"/>
  <c r="F13" i="574" s="1"/>
  <c r="L51" i="575"/>
  <c r="O52" i="575"/>
  <c r="AF52" i="575"/>
  <c r="O61" i="575"/>
  <c r="AG61" i="575"/>
  <c r="AF61" i="575"/>
  <c r="AG62" i="575"/>
  <c r="AF62" i="575"/>
  <c r="AG8" i="577"/>
  <c r="AF8" i="577"/>
  <c r="O8" i="577"/>
  <c r="L31" i="577"/>
  <c r="AF31" i="577"/>
  <c r="R32" i="577"/>
  <c r="R18" i="579"/>
  <c r="Q18" i="579"/>
  <c r="L52" i="579"/>
  <c r="O40" i="581"/>
  <c r="AG40" i="581"/>
  <c r="AF40" i="581"/>
  <c r="D22" i="582"/>
  <c r="I1" i="583"/>
  <c r="E22" i="572"/>
  <c r="L27" i="573"/>
  <c r="L37" i="573" s="1"/>
  <c r="F13" i="572" s="1"/>
  <c r="O70" i="573"/>
  <c r="N79" i="573"/>
  <c r="AG70" i="573"/>
  <c r="AF8" i="575"/>
  <c r="O18" i="575"/>
  <c r="AF51" i="575"/>
  <c r="AG52" i="575"/>
  <c r="O17" i="577"/>
  <c r="L28" i="577"/>
  <c r="AG31" i="577"/>
  <c r="L40" i="577"/>
  <c r="O41" i="577"/>
  <c r="AF41" i="577"/>
  <c r="AG52" i="577"/>
  <c r="AF52" i="577"/>
  <c r="O52" i="577"/>
  <c r="AG69" i="579"/>
  <c r="AH59" i="579" s="1"/>
  <c r="AF69" i="579"/>
  <c r="Q38" i="571"/>
  <c r="L60" i="571"/>
  <c r="AA2" i="573"/>
  <c r="L7" i="573"/>
  <c r="L18" i="573"/>
  <c r="AG60" i="573"/>
  <c r="AF70" i="573"/>
  <c r="K58" i="575"/>
  <c r="D21" i="576"/>
  <c r="O18" i="577"/>
  <c r="AG18" i="577"/>
  <c r="AF18" i="577"/>
  <c r="Z2" i="577"/>
  <c r="F18" i="576"/>
  <c r="L6" i="576" s="1"/>
  <c r="AF40" i="577"/>
  <c r="G1" i="579"/>
  <c r="AE2" i="579"/>
  <c r="AG17" i="579"/>
  <c r="AF17" i="579"/>
  <c r="Q17" i="581"/>
  <c r="R29" i="581"/>
  <c r="Q29" i="581"/>
  <c r="P48" i="571"/>
  <c r="R21" i="575"/>
  <c r="O29" i="575"/>
  <c r="AF29" i="575"/>
  <c r="AG39" i="575"/>
  <c r="AF39" i="575"/>
  <c r="O39" i="575"/>
  <c r="R50" i="575"/>
  <c r="Q50" i="575"/>
  <c r="R60" i="575"/>
  <c r="Q60" i="575"/>
  <c r="L16" i="577"/>
  <c r="AF16" i="577"/>
  <c r="R20" i="577"/>
  <c r="Q20" i="577"/>
  <c r="R17" i="579"/>
  <c r="Q17" i="579"/>
  <c r="AF27" i="579"/>
  <c r="AG27" i="579"/>
  <c r="O31" i="579"/>
  <c r="AG31" i="579"/>
  <c r="AF31" i="579"/>
  <c r="Q61" i="579"/>
  <c r="O51" i="581"/>
  <c r="AG51" i="581"/>
  <c r="AF51" i="581"/>
  <c r="AF30" i="573"/>
  <c r="R61" i="573"/>
  <c r="R7" i="575"/>
  <c r="Q7" i="575"/>
  <c r="AG17" i="575"/>
  <c r="AF17" i="575"/>
  <c r="O17" i="575"/>
  <c r="R53" i="575"/>
  <c r="Q53" i="575"/>
  <c r="L69" i="575"/>
  <c r="I13" i="574" s="1"/>
  <c r="J6" i="574" s="1"/>
  <c r="AG26" i="577"/>
  <c r="AH16" i="577" s="1"/>
  <c r="AF26" i="577"/>
  <c r="L62" i="577"/>
  <c r="AF62" i="577"/>
  <c r="L15" i="579"/>
  <c r="D13" i="578" s="1"/>
  <c r="AG8" i="579"/>
  <c r="AF8" i="579"/>
  <c r="O8" i="579"/>
  <c r="R27" i="579"/>
  <c r="R60" i="579"/>
  <c r="Q60" i="579"/>
  <c r="R16" i="581"/>
  <c r="Q16" i="581"/>
  <c r="N37" i="581"/>
  <c r="AF27" i="581"/>
  <c r="O27" i="581"/>
  <c r="P39" i="581"/>
  <c r="J48" i="581"/>
  <c r="P48" i="581" s="1"/>
  <c r="O6" i="582"/>
  <c r="AG16" i="585"/>
  <c r="AF16" i="585"/>
  <c r="O16" i="585"/>
  <c r="N26" i="585"/>
  <c r="N6" i="574"/>
  <c r="AD2" i="575"/>
  <c r="P17" i="575"/>
  <c r="L20" i="575"/>
  <c r="R20" i="575" s="1"/>
  <c r="J37" i="575"/>
  <c r="P37" i="575" s="1"/>
  <c r="J58" i="575"/>
  <c r="P58" i="575" s="1"/>
  <c r="AF59" i="575"/>
  <c r="F19" i="576"/>
  <c r="M6" i="576" s="1"/>
  <c r="AF17" i="577"/>
  <c r="L19" i="577"/>
  <c r="AG60" i="577"/>
  <c r="AF60" i="577"/>
  <c r="O60" i="577"/>
  <c r="K48" i="579"/>
  <c r="AG38" i="579"/>
  <c r="N48" i="579"/>
  <c r="AG27" i="581"/>
  <c r="Q50" i="581"/>
  <c r="R50" i="581"/>
  <c r="AG6" i="575"/>
  <c r="O6" i="575"/>
  <c r="R42" i="575"/>
  <c r="Q42" i="575"/>
  <c r="L58" i="575"/>
  <c r="H13" i="574" s="1"/>
  <c r="O6" i="577"/>
  <c r="R7" i="577"/>
  <c r="D22" i="576"/>
  <c r="I1" i="577"/>
  <c r="O51" i="577"/>
  <c r="AG51" i="577"/>
  <c r="AF51" i="577"/>
  <c r="O5" i="579"/>
  <c r="AG5" i="579"/>
  <c r="AF5" i="579"/>
  <c r="N15" i="579"/>
  <c r="K15" i="581"/>
  <c r="L6" i="581"/>
  <c r="L15" i="581" s="1"/>
  <c r="D13" i="580" s="1"/>
  <c r="AG26" i="581"/>
  <c r="AH16" i="581" s="1"/>
  <c r="AG61" i="577"/>
  <c r="AF61" i="577"/>
  <c r="I1" i="579"/>
  <c r="P15" i="579"/>
  <c r="K58" i="579"/>
  <c r="L49" i="579"/>
  <c r="AG60" i="581"/>
  <c r="AF60" i="581"/>
  <c r="O60" i="581"/>
  <c r="R16" i="583"/>
  <c r="AG38" i="583"/>
  <c r="AF38" i="583"/>
  <c r="N48" i="583"/>
  <c r="O38" i="583"/>
  <c r="AG50" i="587"/>
  <c r="AF50" i="587"/>
  <c r="O50" i="587"/>
  <c r="AG5" i="577"/>
  <c r="N15" i="577"/>
  <c r="AG16" i="577"/>
  <c r="O19" i="577"/>
  <c r="O28" i="577"/>
  <c r="O53" i="577"/>
  <c r="O61" i="577"/>
  <c r="L27" i="579"/>
  <c r="L37" i="579" s="1"/>
  <c r="F13" i="578" s="1"/>
  <c r="O49" i="579"/>
  <c r="AG49" i="579"/>
  <c r="AG60" i="579"/>
  <c r="AF60" i="579"/>
  <c r="AG62" i="579"/>
  <c r="Z2" i="581"/>
  <c r="K26" i="581"/>
  <c r="AF26" i="581" s="1"/>
  <c r="AG18" i="581"/>
  <c r="G21" i="580"/>
  <c r="AE2" i="581"/>
  <c r="J69" i="581"/>
  <c r="P69" i="581" s="1"/>
  <c r="P59" i="581"/>
  <c r="AD2" i="583"/>
  <c r="E20" i="582"/>
  <c r="R19" i="585"/>
  <c r="Q19" i="585"/>
  <c r="K48" i="575"/>
  <c r="AG6" i="579"/>
  <c r="AF6" i="579"/>
  <c r="L30" i="579"/>
  <c r="AG41" i="579"/>
  <c r="O52" i="579"/>
  <c r="L69" i="579"/>
  <c r="I13" i="578" s="1"/>
  <c r="J6" i="578" s="1"/>
  <c r="R63" i="579"/>
  <c r="Q63" i="579"/>
  <c r="G1" i="581"/>
  <c r="AG6" i="581"/>
  <c r="AF6" i="581"/>
  <c r="P15" i="581"/>
  <c r="Q20" i="581"/>
  <c r="L39" i="581"/>
  <c r="L49" i="581"/>
  <c r="Q61" i="581"/>
  <c r="R61" i="581"/>
  <c r="O62" i="581"/>
  <c r="AG62" i="581"/>
  <c r="AG30" i="583"/>
  <c r="AF30" i="583"/>
  <c r="O30" i="583"/>
  <c r="AG61" i="583"/>
  <c r="AF61" i="583"/>
  <c r="O61" i="583"/>
  <c r="R64" i="583"/>
  <c r="Q64" i="583"/>
  <c r="O8" i="575"/>
  <c r="O19" i="575"/>
  <c r="O28" i="575"/>
  <c r="AF31" i="575"/>
  <c r="O51" i="575"/>
  <c r="O59" i="575"/>
  <c r="D20" i="576"/>
  <c r="AF7" i="577"/>
  <c r="J37" i="577"/>
  <c r="P37" i="577" s="1"/>
  <c r="N58" i="577"/>
  <c r="D21" i="578"/>
  <c r="O30" i="579"/>
  <c r="AF39" i="579"/>
  <c r="AF49" i="579"/>
  <c r="O69" i="579"/>
  <c r="AG61" i="579"/>
  <c r="R6" i="581"/>
  <c r="AG16" i="581"/>
  <c r="AF16" i="581"/>
  <c r="AG30" i="581"/>
  <c r="AF30" i="581"/>
  <c r="R39" i="581"/>
  <c r="Q39" i="581"/>
  <c r="AG59" i="581"/>
  <c r="N69" i="581"/>
  <c r="O59" i="581"/>
  <c r="AF59" i="581"/>
  <c r="O15" i="583"/>
  <c r="R5" i="583"/>
  <c r="O48" i="585"/>
  <c r="R38" i="585"/>
  <c r="AG31" i="575"/>
  <c r="N69" i="575"/>
  <c r="AG7" i="577"/>
  <c r="K37" i="577"/>
  <c r="O38" i="579"/>
  <c r="AF38" i="579"/>
  <c r="AG39" i="579"/>
  <c r="P58" i="579"/>
  <c r="L6" i="580"/>
  <c r="Q22" i="581"/>
  <c r="AF15" i="585"/>
  <c r="AG15" i="585"/>
  <c r="AH5" i="585" s="1"/>
  <c r="AF19" i="577"/>
  <c r="AF28" i="577"/>
  <c r="AF53" i="577"/>
  <c r="K69" i="577"/>
  <c r="N58" i="579"/>
  <c r="R59" i="579"/>
  <c r="O15" i="581"/>
  <c r="L21" i="581"/>
  <c r="R21" i="581" s="1"/>
  <c r="AF50" i="581"/>
  <c r="AG52" i="581"/>
  <c r="AF52" i="581"/>
  <c r="Q5" i="583"/>
  <c r="N37" i="583"/>
  <c r="O27" i="583"/>
  <c r="AG27" i="583"/>
  <c r="AF27" i="583"/>
  <c r="O39" i="583"/>
  <c r="AF39" i="583"/>
  <c r="AG39" i="583"/>
  <c r="AG50" i="583"/>
  <c r="AF50" i="583"/>
  <c r="O50" i="583"/>
  <c r="N58" i="583"/>
  <c r="L27" i="577"/>
  <c r="L37" i="577" s="1"/>
  <c r="F13" i="576" s="1"/>
  <c r="L59" i="577"/>
  <c r="L29" i="579"/>
  <c r="P62" i="579"/>
  <c r="L62" i="579"/>
  <c r="G20" i="580"/>
  <c r="O6" i="580" s="1"/>
  <c r="Q5" i="581"/>
  <c r="N6" i="580"/>
  <c r="P18" i="581"/>
  <c r="L18" i="581"/>
  <c r="O19" i="581"/>
  <c r="AG19" i="581"/>
  <c r="K37" i="581"/>
  <c r="O52" i="581"/>
  <c r="L60" i="581"/>
  <c r="R5" i="581"/>
  <c r="AF19" i="581"/>
  <c r="AG29" i="581"/>
  <c r="L31" i="581"/>
  <c r="AG38" i="581"/>
  <c r="AF38" i="581"/>
  <c r="N48" i="581"/>
  <c r="AF39" i="581"/>
  <c r="M6" i="582"/>
  <c r="P38" i="583"/>
  <c r="J48" i="583"/>
  <c r="P48" i="583" s="1"/>
  <c r="L52" i="577"/>
  <c r="L58" i="577" s="1"/>
  <c r="H13" i="576" s="1"/>
  <c r="D20" i="578"/>
  <c r="D22" i="578"/>
  <c r="AF30" i="579"/>
  <c r="O62" i="579"/>
  <c r="N15" i="581"/>
  <c r="AF5" i="581"/>
  <c r="O18" i="581"/>
  <c r="AG31" i="581"/>
  <c r="AF31" i="581"/>
  <c r="O31" i="581"/>
  <c r="O38" i="581"/>
  <c r="R63" i="581"/>
  <c r="Q63" i="581"/>
  <c r="K26" i="583"/>
  <c r="L16" i="583"/>
  <c r="L26" i="583" s="1"/>
  <c r="E13" i="582" s="1"/>
  <c r="AG62" i="577"/>
  <c r="J26" i="579"/>
  <c r="P26" i="579" s="1"/>
  <c r="J37" i="579"/>
  <c r="P37" i="579" s="1"/>
  <c r="L28" i="579"/>
  <c r="O29" i="579"/>
  <c r="AF29" i="579"/>
  <c r="O51" i="579"/>
  <c r="AG51" i="579"/>
  <c r="AF51" i="579"/>
  <c r="AF61" i="579"/>
  <c r="AG5" i="581"/>
  <c r="AF17" i="581"/>
  <c r="P27" i="581"/>
  <c r="J37" i="581"/>
  <c r="P37" i="581" s="1"/>
  <c r="L27" i="581"/>
  <c r="O28" i="581"/>
  <c r="AG28" i="581"/>
  <c r="AF28" i="581"/>
  <c r="AG16" i="583"/>
  <c r="N26" i="583"/>
  <c r="AF16" i="583"/>
  <c r="L38" i="583"/>
  <c r="AG27" i="585"/>
  <c r="AF27" i="585"/>
  <c r="O27" i="585"/>
  <c r="O6" i="586"/>
  <c r="P59" i="579"/>
  <c r="D22" i="580"/>
  <c r="P5" i="581"/>
  <c r="P29" i="581"/>
  <c r="AG39" i="581"/>
  <c r="L52" i="581"/>
  <c r="Q17" i="583"/>
  <c r="R18" i="583"/>
  <c r="Q18" i="583"/>
  <c r="J58" i="583"/>
  <c r="AF51" i="583"/>
  <c r="O60" i="585"/>
  <c r="O69" i="585" s="1"/>
  <c r="AG60" i="585"/>
  <c r="O61" i="587"/>
  <c r="AG61" i="587"/>
  <c r="AF61" i="587"/>
  <c r="J22" i="586"/>
  <c r="O19" i="593"/>
  <c r="AG19" i="593"/>
  <c r="AF19" i="593"/>
  <c r="R29" i="585"/>
  <c r="Q29" i="585"/>
  <c r="L32" i="585"/>
  <c r="R32" i="585" s="1"/>
  <c r="N37" i="585"/>
  <c r="AG38" i="585"/>
  <c r="AF38" i="585"/>
  <c r="L59" i="585"/>
  <c r="R59" i="585" s="1"/>
  <c r="AG59" i="585"/>
  <c r="AG6" i="587"/>
  <c r="AF6" i="587"/>
  <c r="O6" i="587"/>
  <c r="R32" i="587"/>
  <c r="Q32" i="587"/>
  <c r="L40" i="591"/>
  <c r="L48" i="591" s="1"/>
  <c r="G13" i="590" s="1"/>
  <c r="AF40" i="591"/>
  <c r="K48" i="591"/>
  <c r="AF49" i="581"/>
  <c r="R29" i="583"/>
  <c r="Q29" i="583"/>
  <c r="R49" i="583"/>
  <c r="O58" i="583"/>
  <c r="Q49" i="583"/>
  <c r="L52" i="585"/>
  <c r="R52" i="585" s="1"/>
  <c r="Q69" i="585"/>
  <c r="AG69" i="585"/>
  <c r="AH59" i="585" s="1"/>
  <c r="AF69" i="585"/>
  <c r="N79" i="585"/>
  <c r="L40" i="581"/>
  <c r="L48" i="581" s="1"/>
  <c r="G13" i="580" s="1"/>
  <c r="AG49" i="581"/>
  <c r="K58" i="581"/>
  <c r="P28" i="583"/>
  <c r="G1" i="585"/>
  <c r="AG6" i="585"/>
  <c r="O6" i="585"/>
  <c r="AF6" i="585"/>
  <c r="Z2" i="585"/>
  <c r="K37" i="585"/>
  <c r="L28" i="585"/>
  <c r="N48" i="585"/>
  <c r="N6" i="586"/>
  <c r="G1" i="587"/>
  <c r="AG7" i="589"/>
  <c r="L7" i="589"/>
  <c r="P48" i="589"/>
  <c r="G1" i="583"/>
  <c r="J15" i="583"/>
  <c r="P15" i="583" s="1"/>
  <c r="P6" i="583"/>
  <c r="O19" i="583"/>
  <c r="O26" i="583" s="1"/>
  <c r="AG19" i="583"/>
  <c r="AF19" i="583"/>
  <c r="Q28" i="583"/>
  <c r="L31" i="583"/>
  <c r="AG31" i="583"/>
  <c r="R32" i="583"/>
  <c r="Q32" i="583"/>
  <c r="L51" i="583"/>
  <c r="R51" i="583" s="1"/>
  <c r="AG51" i="583"/>
  <c r="H22" i="582"/>
  <c r="P58" i="583"/>
  <c r="R63" i="583"/>
  <c r="Q63" i="583"/>
  <c r="J15" i="585"/>
  <c r="P15" i="585" s="1"/>
  <c r="P5" i="585"/>
  <c r="M6" i="584"/>
  <c r="P17" i="585"/>
  <c r="J26" i="585"/>
  <c r="P26" i="585" s="1"/>
  <c r="AG58" i="585"/>
  <c r="AH49" i="585" s="1"/>
  <c r="AF58" i="585"/>
  <c r="O20" i="589"/>
  <c r="N26" i="589"/>
  <c r="K69" i="581"/>
  <c r="L59" i="581"/>
  <c r="L63" i="581"/>
  <c r="N6" i="582"/>
  <c r="K15" i="583"/>
  <c r="R7" i="583"/>
  <c r="K37" i="583"/>
  <c r="Q31" i="583"/>
  <c r="R52" i="583"/>
  <c r="Q52" i="583"/>
  <c r="O60" i="583"/>
  <c r="AG60" i="583"/>
  <c r="AF60" i="583"/>
  <c r="AG62" i="583"/>
  <c r="L5" i="585"/>
  <c r="L15" i="585" s="1"/>
  <c r="D13" i="584" s="1"/>
  <c r="L17" i="585"/>
  <c r="R17" i="585" s="1"/>
  <c r="AG17" i="585"/>
  <c r="R21" i="585"/>
  <c r="Q21" i="585"/>
  <c r="O28" i="585"/>
  <c r="L31" i="585"/>
  <c r="R31" i="585" s="1"/>
  <c r="Q58" i="585"/>
  <c r="O8" i="587"/>
  <c r="AF8" i="587"/>
  <c r="Q42" i="589"/>
  <c r="R42" i="589"/>
  <c r="K69" i="579"/>
  <c r="Q69" i="579" s="1"/>
  <c r="L6" i="583"/>
  <c r="L15" i="583" s="1"/>
  <c r="D13" i="582" s="1"/>
  <c r="AF7" i="583"/>
  <c r="AG29" i="583"/>
  <c r="R31" i="583"/>
  <c r="L39" i="583"/>
  <c r="Q51" i="583"/>
  <c r="AF52" i="583"/>
  <c r="N69" i="583"/>
  <c r="O59" i="583"/>
  <c r="O62" i="583"/>
  <c r="AF5" i="585"/>
  <c r="AE2" i="585"/>
  <c r="L51" i="585"/>
  <c r="R51" i="585" s="1"/>
  <c r="R5" i="587"/>
  <c r="AG31" i="587"/>
  <c r="O31" i="587"/>
  <c r="AF31" i="587"/>
  <c r="I1" i="581"/>
  <c r="N58" i="581"/>
  <c r="AF6" i="583"/>
  <c r="O6" i="583"/>
  <c r="AG7" i="583"/>
  <c r="P26" i="583"/>
  <c r="AG28" i="583"/>
  <c r="AF28" i="583"/>
  <c r="AG52" i="583"/>
  <c r="AF59" i="583"/>
  <c r="Q17" i="585"/>
  <c r="O18" i="585"/>
  <c r="AF18" i="585"/>
  <c r="J37" i="585"/>
  <c r="AF19" i="587"/>
  <c r="O19" i="587"/>
  <c r="AG19" i="587"/>
  <c r="R49" i="587"/>
  <c r="O58" i="587"/>
  <c r="Q49" i="587"/>
  <c r="L16" i="579"/>
  <c r="L26" i="579" s="1"/>
  <c r="E13" i="578" s="1"/>
  <c r="O49" i="581"/>
  <c r="N15" i="583"/>
  <c r="AF5" i="583"/>
  <c r="P18" i="583"/>
  <c r="AG59" i="583"/>
  <c r="L61" i="583"/>
  <c r="L69" i="583" s="1"/>
  <c r="I13" i="582" s="1"/>
  <c r="J6" i="582" s="1"/>
  <c r="AG28" i="585"/>
  <c r="R39" i="585"/>
  <c r="Q39" i="585"/>
  <c r="Q51" i="585"/>
  <c r="R71" i="585"/>
  <c r="Q71" i="585"/>
  <c r="Q5" i="587"/>
  <c r="K26" i="585"/>
  <c r="P59" i="585"/>
  <c r="AF18" i="587"/>
  <c r="O18" i="587"/>
  <c r="O40" i="587"/>
  <c r="AG40" i="587"/>
  <c r="AF40" i="587"/>
  <c r="O8" i="589"/>
  <c r="K37" i="589"/>
  <c r="L27" i="589"/>
  <c r="L37" i="589" s="1"/>
  <c r="F13" i="588" s="1"/>
  <c r="O30" i="589"/>
  <c r="AG30" i="589"/>
  <c r="AF30" i="589"/>
  <c r="AF39" i="589"/>
  <c r="K48" i="589"/>
  <c r="L39" i="589"/>
  <c r="P5" i="591"/>
  <c r="J15" i="591"/>
  <c r="J58" i="585"/>
  <c r="P58" i="585" s="1"/>
  <c r="AG17" i="587"/>
  <c r="AF17" i="587"/>
  <c r="O70" i="587"/>
  <c r="AG70" i="587"/>
  <c r="AF70" i="587"/>
  <c r="R16" i="589"/>
  <c r="P20" i="591"/>
  <c r="L20" i="591"/>
  <c r="O63" i="591"/>
  <c r="AF63" i="591"/>
  <c r="AG63" i="591"/>
  <c r="AG6" i="597"/>
  <c r="AF6" i="597"/>
  <c r="O6" i="597"/>
  <c r="R72" i="597"/>
  <c r="Q72" i="597"/>
  <c r="K58" i="585"/>
  <c r="L49" i="585"/>
  <c r="P79" i="585"/>
  <c r="AG7" i="587"/>
  <c r="K15" i="587"/>
  <c r="O17" i="587"/>
  <c r="O26" i="587" s="1"/>
  <c r="AF7" i="589"/>
  <c r="AG8" i="589"/>
  <c r="R19" i="589"/>
  <c r="Q19" i="589"/>
  <c r="R50" i="589"/>
  <c r="Q50" i="589"/>
  <c r="AG70" i="589"/>
  <c r="AF70" i="589"/>
  <c r="O70" i="589"/>
  <c r="P70" i="591"/>
  <c r="J79" i="591"/>
  <c r="P79" i="591" s="1"/>
  <c r="O31" i="593"/>
  <c r="AG31" i="593"/>
  <c r="AF31" i="593"/>
  <c r="O5" i="585"/>
  <c r="O30" i="585"/>
  <c r="AG31" i="585"/>
  <c r="AF31" i="585"/>
  <c r="AG51" i="585"/>
  <c r="AF51" i="585"/>
  <c r="I1" i="587"/>
  <c r="Q21" i="587"/>
  <c r="Q30" i="587"/>
  <c r="O60" i="587"/>
  <c r="O69" i="587" s="1"/>
  <c r="AG60" i="587"/>
  <c r="K15" i="589"/>
  <c r="L6" i="589"/>
  <c r="Q16" i="589"/>
  <c r="AG27" i="589"/>
  <c r="AG39" i="589"/>
  <c r="AG18" i="591"/>
  <c r="AF18" i="591"/>
  <c r="N26" i="591"/>
  <c r="O18" i="591"/>
  <c r="P58" i="591"/>
  <c r="G1" i="597"/>
  <c r="P49" i="585"/>
  <c r="AF5" i="587"/>
  <c r="N15" i="587"/>
  <c r="P29" i="587"/>
  <c r="L29" i="587"/>
  <c r="P37" i="587"/>
  <c r="K48" i="587"/>
  <c r="O39" i="587"/>
  <c r="AG39" i="587"/>
  <c r="AF39" i="587"/>
  <c r="AG41" i="587"/>
  <c r="O41" i="587"/>
  <c r="G1" i="589"/>
  <c r="AG6" i="589"/>
  <c r="AF6" i="589"/>
  <c r="N15" i="589"/>
  <c r="O29" i="589"/>
  <c r="AG29" i="589"/>
  <c r="AF29" i="589"/>
  <c r="J48" i="589"/>
  <c r="P38" i="589"/>
  <c r="AG41" i="589"/>
  <c r="AF41" i="589"/>
  <c r="O41" i="589"/>
  <c r="AG60" i="589"/>
  <c r="AF60" i="589"/>
  <c r="O60" i="589"/>
  <c r="N6" i="591"/>
  <c r="E1" i="591"/>
  <c r="G3" i="590" s="1"/>
  <c r="P62" i="591"/>
  <c r="L62" i="591"/>
  <c r="O70" i="591"/>
  <c r="N79" i="591"/>
  <c r="AG70" i="591"/>
  <c r="AF70" i="591"/>
  <c r="O6" i="593"/>
  <c r="AF6" i="593"/>
  <c r="AG6" i="593"/>
  <c r="AE2" i="583"/>
  <c r="J37" i="583"/>
  <c r="P37" i="583" s="1"/>
  <c r="Q49" i="585"/>
  <c r="L61" i="585"/>
  <c r="AD2" i="587"/>
  <c r="L6" i="586"/>
  <c r="N37" i="587"/>
  <c r="N48" i="587"/>
  <c r="O38" i="587"/>
  <c r="O6" i="589"/>
  <c r="L6" i="588"/>
  <c r="AG16" i="589"/>
  <c r="AF18" i="589"/>
  <c r="AG19" i="589"/>
  <c r="Q31" i="589"/>
  <c r="N79" i="589"/>
  <c r="L27" i="583"/>
  <c r="L37" i="583" s="1"/>
  <c r="F13" i="582" s="1"/>
  <c r="L20" i="585"/>
  <c r="Q20" i="585" s="1"/>
  <c r="P37" i="585"/>
  <c r="AG39" i="585"/>
  <c r="R49" i="585"/>
  <c r="L8" i="587"/>
  <c r="R52" i="587"/>
  <c r="O62" i="587"/>
  <c r="AG62" i="587"/>
  <c r="AF62" i="587"/>
  <c r="L15" i="589"/>
  <c r="D13" i="588" s="1"/>
  <c r="L38" i="589"/>
  <c r="O20" i="593"/>
  <c r="AG20" i="593"/>
  <c r="AF20" i="593"/>
  <c r="AF16" i="587"/>
  <c r="N26" i="587"/>
  <c r="Q20" i="587"/>
  <c r="J37" i="587"/>
  <c r="O29" i="587"/>
  <c r="AG29" i="587"/>
  <c r="AG49" i="587"/>
  <c r="AF49" i="587"/>
  <c r="L51" i="587"/>
  <c r="L58" i="587" s="1"/>
  <c r="H13" i="586" s="1"/>
  <c r="AG51" i="587"/>
  <c r="P58" i="587"/>
  <c r="H22" i="586"/>
  <c r="N69" i="587"/>
  <c r="AF59" i="587"/>
  <c r="P61" i="587"/>
  <c r="L61" i="587"/>
  <c r="O5" i="589"/>
  <c r="D20" i="588"/>
  <c r="AD2" i="589"/>
  <c r="Q21" i="589"/>
  <c r="O28" i="589"/>
  <c r="AG28" i="589"/>
  <c r="N37" i="589"/>
  <c r="AG38" i="589"/>
  <c r="AF38" i="589"/>
  <c r="N48" i="589"/>
  <c r="O38" i="589"/>
  <c r="AG19" i="591"/>
  <c r="AF19" i="591"/>
  <c r="O19" i="591"/>
  <c r="P21" i="591"/>
  <c r="L21" i="591"/>
  <c r="J22" i="590"/>
  <c r="F22" i="584"/>
  <c r="F22" i="586"/>
  <c r="AE2" i="587"/>
  <c r="AG16" i="587"/>
  <c r="AF29" i="587"/>
  <c r="AF38" i="587"/>
  <c r="N58" i="587"/>
  <c r="AG59" i="587"/>
  <c r="P30" i="589"/>
  <c r="P37" i="589"/>
  <c r="AG61" i="589"/>
  <c r="AF61" i="589"/>
  <c r="O61" i="589"/>
  <c r="R31" i="591"/>
  <c r="I1" i="585"/>
  <c r="AF59" i="585"/>
  <c r="P69" i="585"/>
  <c r="L70" i="585"/>
  <c r="R70" i="585" s="1"/>
  <c r="G22" i="586"/>
  <c r="L15" i="587"/>
  <c r="D13" i="586" s="1"/>
  <c r="AF7" i="587"/>
  <c r="O7" i="587"/>
  <c r="L27" i="587"/>
  <c r="L37" i="587" s="1"/>
  <c r="F13" i="586" s="1"/>
  <c r="R28" i="587"/>
  <c r="AG38" i="587"/>
  <c r="AF41" i="587"/>
  <c r="R51" i="587"/>
  <c r="AF52" i="587"/>
  <c r="AG17" i="589"/>
  <c r="AF17" i="589"/>
  <c r="O17" i="589"/>
  <c r="AG18" i="589"/>
  <c r="AG17" i="593"/>
  <c r="AF17" i="593"/>
  <c r="O17" i="593"/>
  <c r="O63" i="593"/>
  <c r="AF63" i="593"/>
  <c r="AG63" i="593"/>
  <c r="J69" i="587"/>
  <c r="L41" i="589"/>
  <c r="P27" i="591"/>
  <c r="J37" i="591"/>
  <c r="P37" i="591" s="1"/>
  <c r="O28" i="591"/>
  <c r="AF28" i="591"/>
  <c r="AG39" i="591"/>
  <c r="AF39" i="591"/>
  <c r="O39" i="591"/>
  <c r="L70" i="591"/>
  <c r="P72" i="591"/>
  <c r="L72" i="591"/>
  <c r="R72" i="591" s="1"/>
  <c r="AF5" i="593"/>
  <c r="O5" i="593"/>
  <c r="AG60" i="593"/>
  <c r="AF60" i="593"/>
  <c r="J15" i="589"/>
  <c r="P15" i="589" s="1"/>
  <c r="AG52" i="589"/>
  <c r="AF52" i="589"/>
  <c r="J58" i="589"/>
  <c r="O6" i="590"/>
  <c r="N6" i="590"/>
  <c r="O5" i="591"/>
  <c r="N15" i="591"/>
  <c r="AF5" i="591"/>
  <c r="AG30" i="591"/>
  <c r="AF30" i="591"/>
  <c r="O30" i="591"/>
  <c r="P49" i="591"/>
  <c r="L49" i="591"/>
  <c r="L58" i="591" s="1"/>
  <c r="H13" i="590" s="1"/>
  <c r="J58" i="591"/>
  <c r="AG53" i="591"/>
  <c r="AF53" i="591"/>
  <c r="O53" i="591"/>
  <c r="O18" i="597"/>
  <c r="AG18" i="597"/>
  <c r="AF18" i="597"/>
  <c r="J48" i="587"/>
  <c r="P48" i="587" s="1"/>
  <c r="Q39" i="589"/>
  <c r="O40" i="589"/>
  <c r="AF40" i="589"/>
  <c r="L49" i="589"/>
  <c r="K58" i="589"/>
  <c r="O69" i="589"/>
  <c r="R59" i="589"/>
  <c r="AG5" i="591"/>
  <c r="AG8" i="591"/>
  <c r="AF8" i="591"/>
  <c r="O8" i="591"/>
  <c r="N37" i="591"/>
  <c r="O27" i="591"/>
  <c r="AF27" i="591"/>
  <c r="AG38" i="591"/>
  <c r="AF38" i="591"/>
  <c r="O38" i="591"/>
  <c r="R41" i="591"/>
  <c r="Q41" i="591"/>
  <c r="O50" i="591"/>
  <c r="AG50" i="591"/>
  <c r="R30" i="593"/>
  <c r="L59" i="587"/>
  <c r="L69" i="587" s="1"/>
  <c r="AE2" i="589"/>
  <c r="O7" i="589"/>
  <c r="O18" i="589"/>
  <c r="O27" i="589"/>
  <c r="AF31" i="589"/>
  <c r="Q49" i="589"/>
  <c r="O58" i="589"/>
  <c r="AF51" i="589"/>
  <c r="P58" i="589"/>
  <c r="O20" i="591"/>
  <c r="AF20" i="591"/>
  <c r="AG27" i="591"/>
  <c r="AF50" i="591"/>
  <c r="AG52" i="591"/>
  <c r="AF52" i="591"/>
  <c r="Q60" i="591"/>
  <c r="L63" i="591"/>
  <c r="P69" i="591"/>
  <c r="Q72" i="591"/>
  <c r="E1" i="593"/>
  <c r="G3" i="592" s="1"/>
  <c r="AG5" i="593"/>
  <c r="R16" i="593"/>
  <c r="Q16" i="593"/>
  <c r="AF21" i="593"/>
  <c r="AG21" i="593"/>
  <c r="O21" i="593"/>
  <c r="N37" i="593"/>
  <c r="Q30" i="593"/>
  <c r="AG50" i="597"/>
  <c r="AF50" i="597"/>
  <c r="O50" i="597"/>
  <c r="L38" i="587"/>
  <c r="L48" i="587" s="1"/>
  <c r="G13" i="586" s="1"/>
  <c r="L52" i="587"/>
  <c r="Q52" i="587" s="1"/>
  <c r="P27" i="589"/>
  <c r="AG31" i="589"/>
  <c r="R39" i="589"/>
  <c r="Q53" i="589"/>
  <c r="N58" i="589"/>
  <c r="Q59" i="589"/>
  <c r="I1" i="591"/>
  <c r="H6" i="591"/>
  <c r="AG7" i="591"/>
  <c r="AF7" i="591"/>
  <c r="O7" i="591"/>
  <c r="J26" i="591"/>
  <c r="P26" i="591" s="1"/>
  <c r="P16" i="591"/>
  <c r="L16" i="591"/>
  <c r="O21" i="591"/>
  <c r="AG21" i="591"/>
  <c r="N48" i="591"/>
  <c r="O49" i="591"/>
  <c r="N58" i="591"/>
  <c r="AG49" i="591"/>
  <c r="R52" i="591"/>
  <c r="N62" i="591"/>
  <c r="N69" i="591" s="1"/>
  <c r="H62" i="591"/>
  <c r="G1" i="593"/>
  <c r="P15" i="593"/>
  <c r="L18" i="593"/>
  <c r="L26" i="593" s="1"/>
  <c r="E13" i="592" s="1"/>
  <c r="AG27" i="597"/>
  <c r="AF27" i="597"/>
  <c r="N37" i="597"/>
  <c r="O27" i="597"/>
  <c r="O63" i="597"/>
  <c r="AF63" i="597"/>
  <c r="AG63" i="597"/>
  <c r="E18" i="600"/>
  <c r="L6" i="600" s="1"/>
  <c r="Z2" i="601"/>
  <c r="P71" i="591"/>
  <c r="L71" i="591"/>
  <c r="R71" i="591" s="1"/>
  <c r="N18" i="593"/>
  <c r="AG29" i="593"/>
  <c r="AF29" i="593"/>
  <c r="O29" i="593"/>
  <c r="O5" i="597"/>
  <c r="AG5" i="597"/>
  <c r="AF5" i="597"/>
  <c r="N15" i="597"/>
  <c r="L7" i="597"/>
  <c r="AG7" i="597"/>
  <c r="O29" i="597"/>
  <c r="AF29" i="597"/>
  <c r="AG29" i="597"/>
  <c r="Q27" i="587"/>
  <c r="Q51" i="587"/>
  <c r="AG49" i="589"/>
  <c r="R53" i="589"/>
  <c r="N69" i="589"/>
  <c r="AF59" i="589"/>
  <c r="L63" i="589"/>
  <c r="Q63" i="589" s="1"/>
  <c r="AD2" i="591"/>
  <c r="L32" i="591"/>
  <c r="L37" i="591" s="1"/>
  <c r="F13" i="590" s="1"/>
  <c r="O40" i="591"/>
  <c r="AG40" i="591"/>
  <c r="AG41" i="591"/>
  <c r="Q52" i="591"/>
  <c r="L69" i="591"/>
  <c r="I13" i="590" s="1"/>
  <c r="O32" i="593"/>
  <c r="AF32" i="593"/>
  <c r="P28" i="597"/>
  <c r="J37" i="597"/>
  <c r="P15" i="587"/>
  <c r="K26" i="589"/>
  <c r="AF49" i="589"/>
  <c r="M6" i="590"/>
  <c r="AE2" i="591"/>
  <c r="O16" i="591"/>
  <c r="AG16" i="591"/>
  <c r="AG17" i="591"/>
  <c r="AF17" i="591"/>
  <c r="AG32" i="591"/>
  <c r="AF32" i="591"/>
  <c r="O32" i="591"/>
  <c r="AA2" i="591"/>
  <c r="F19" i="590"/>
  <c r="AG51" i="591"/>
  <c r="AF51" i="591"/>
  <c r="O51" i="591"/>
  <c r="O7" i="593"/>
  <c r="AG7" i="593"/>
  <c r="M6" i="592"/>
  <c r="AG32" i="593"/>
  <c r="K26" i="597"/>
  <c r="L16" i="587"/>
  <c r="AG40" i="589"/>
  <c r="AG53" i="589"/>
  <c r="AF53" i="589"/>
  <c r="Q62" i="589"/>
  <c r="K79" i="589"/>
  <c r="L70" i="589"/>
  <c r="L79" i="589" s="1"/>
  <c r="J13" i="588" s="1"/>
  <c r="D22" i="590"/>
  <c r="P15" i="591"/>
  <c r="AF16" i="591"/>
  <c r="O29" i="591"/>
  <c r="AG29" i="591"/>
  <c r="AF7" i="593"/>
  <c r="P17" i="593"/>
  <c r="J26" i="593"/>
  <c r="P26" i="593" s="1"/>
  <c r="AG28" i="593"/>
  <c r="AF28" i="593"/>
  <c r="O28" i="593"/>
  <c r="O52" i="589"/>
  <c r="G1" i="591"/>
  <c r="K58" i="591"/>
  <c r="P61" i="591"/>
  <c r="L61" i="591"/>
  <c r="Q73" i="591"/>
  <c r="K79" i="591"/>
  <c r="R72" i="593"/>
  <c r="Q72" i="593"/>
  <c r="P6" i="599"/>
  <c r="J15" i="599"/>
  <c r="P15" i="599" s="1"/>
  <c r="AG18" i="599"/>
  <c r="AF18" i="599"/>
  <c r="O18" i="599"/>
  <c r="O28" i="599"/>
  <c r="AG28" i="599"/>
  <c r="AF28" i="599"/>
  <c r="P59" i="591"/>
  <c r="J37" i="593"/>
  <c r="P37" i="593" s="1"/>
  <c r="P29" i="593"/>
  <c r="J69" i="593"/>
  <c r="P69" i="593" s="1"/>
  <c r="P60" i="593"/>
  <c r="L60" i="593"/>
  <c r="L69" i="593" s="1"/>
  <c r="I13" i="592" s="1"/>
  <c r="AF7" i="597"/>
  <c r="O8" i="597"/>
  <c r="AF8" i="597"/>
  <c r="D20" i="596"/>
  <c r="AD2" i="597"/>
  <c r="AG32" i="597"/>
  <c r="AF32" i="597"/>
  <c r="F21" i="596"/>
  <c r="AE2" i="597"/>
  <c r="N71" i="597"/>
  <c r="L6" i="599"/>
  <c r="O17" i="597"/>
  <c r="AG17" i="597"/>
  <c r="AF17" i="597"/>
  <c r="AG20" i="597"/>
  <c r="AF20" i="597"/>
  <c r="O20" i="597"/>
  <c r="L28" i="597"/>
  <c r="Q28" i="597" s="1"/>
  <c r="AG39" i="597"/>
  <c r="AF39" i="597"/>
  <c r="R62" i="597"/>
  <c r="AG28" i="601"/>
  <c r="AF28" i="601"/>
  <c r="O28" i="601"/>
  <c r="E1" i="603"/>
  <c r="G3" i="602" s="1"/>
  <c r="N40" i="603"/>
  <c r="J69" i="589"/>
  <c r="P69" i="589" s="1"/>
  <c r="K37" i="593"/>
  <c r="L27" i="593"/>
  <c r="L37" i="593" s="1"/>
  <c r="F13" i="592" s="1"/>
  <c r="O71" i="593"/>
  <c r="N79" i="593"/>
  <c r="P16" i="597"/>
  <c r="J26" i="597"/>
  <c r="P26" i="597" s="1"/>
  <c r="N17" i="599"/>
  <c r="N26" i="599" s="1"/>
  <c r="AF69" i="599"/>
  <c r="Q69" i="599"/>
  <c r="AG69" i="599"/>
  <c r="AH59" i="599" s="1"/>
  <c r="E20" i="600"/>
  <c r="AD2" i="601"/>
  <c r="R28" i="597"/>
  <c r="R59" i="597"/>
  <c r="Q59" i="597"/>
  <c r="P61" i="597"/>
  <c r="L61" i="597"/>
  <c r="O8" i="599"/>
  <c r="AG8" i="599"/>
  <c r="AF8" i="599"/>
  <c r="M6" i="602"/>
  <c r="AA2" i="593"/>
  <c r="Z2" i="593"/>
  <c r="P38" i="593"/>
  <c r="J48" i="593"/>
  <c r="AF59" i="593"/>
  <c r="N69" i="593"/>
  <c r="O59" i="593"/>
  <c r="N26" i="597"/>
  <c r="O31" i="597"/>
  <c r="AG31" i="597"/>
  <c r="AF31" i="597"/>
  <c r="N48" i="597"/>
  <c r="O38" i="597"/>
  <c r="AG38" i="597"/>
  <c r="AF38" i="597"/>
  <c r="Q52" i="597"/>
  <c r="O6" i="598"/>
  <c r="O62" i="599"/>
  <c r="AF62" i="599"/>
  <c r="AG62" i="599"/>
  <c r="G1" i="603"/>
  <c r="K48" i="593"/>
  <c r="AG48" i="593" s="1"/>
  <c r="AH38" i="593" s="1"/>
  <c r="AF19" i="597"/>
  <c r="O19" i="597"/>
  <c r="O30" i="597"/>
  <c r="AG30" i="597"/>
  <c r="AF30" i="597"/>
  <c r="K79" i="597"/>
  <c r="L70" i="597"/>
  <c r="AG5" i="599"/>
  <c r="AF5" i="599"/>
  <c r="N15" i="599"/>
  <c r="O5" i="599"/>
  <c r="K37" i="599"/>
  <c r="L27" i="599"/>
  <c r="AG27" i="599"/>
  <c r="AF27" i="599"/>
  <c r="P19" i="603"/>
  <c r="L19" i="603"/>
  <c r="Q19" i="603" s="1"/>
  <c r="J26" i="603"/>
  <c r="AF31" i="591"/>
  <c r="AF60" i="591"/>
  <c r="AD2" i="593"/>
  <c r="L38" i="593"/>
  <c r="L48" i="593" s="1"/>
  <c r="G13" i="592" s="1"/>
  <c r="Q39" i="593"/>
  <c r="J58" i="593"/>
  <c r="P58" i="593" s="1"/>
  <c r="P49" i="593"/>
  <c r="L70" i="593"/>
  <c r="AG70" i="593"/>
  <c r="P37" i="597"/>
  <c r="AG40" i="597"/>
  <c r="AF40" i="597"/>
  <c r="O40" i="597"/>
  <c r="K48" i="597"/>
  <c r="K58" i="597"/>
  <c r="L49" i="597"/>
  <c r="L58" i="597" s="1"/>
  <c r="H13" i="596" s="1"/>
  <c r="O7" i="599"/>
  <c r="AF7" i="599"/>
  <c r="E22" i="602"/>
  <c r="P26" i="603"/>
  <c r="J69" i="591"/>
  <c r="O6" i="592"/>
  <c r="D21" i="592"/>
  <c r="AE2" i="593"/>
  <c r="O27" i="593"/>
  <c r="AF27" i="593"/>
  <c r="P48" i="593"/>
  <c r="G22" i="592"/>
  <c r="R50" i="593"/>
  <c r="H22" i="592"/>
  <c r="K15" i="597"/>
  <c r="L5" i="597"/>
  <c r="I1" i="597"/>
  <c r="P15" i="597"/>
  <c r="K37" i="597"/>
  <c r="L27" i="597"/>
  <c r="L32" i="597"/>
  <c r="N51" i="597"/>
  <c r="N6" i="600"/>
  <c r="O6" i="600"/>
  <c r="F22" i="592"/>
  <c r="N8" i="593"/>
  <c r="N15" i="593" s="1"/>
  <c r="AG27" i="593"/>
  <c r="O48" i="593"/>
  <c r="O40" i="593"/>
  <c r="AG40" i="593"/>
  <c r="AF40" i="593"/>
  <c r="L49" i="593"/>
  <c r="L58" i="593" s="1"/>
  <c r="H13" i="592" s="1"/>
  <c r="O52" i="593"/>
  <c r="O58" i="593" s="1"/>
  <c r="AG59" i="593"/>
  <c r="AG61" i="593"/>
  <c r="AF61" i="593"/>
  <c r="O61" i="593"/>
  <c r="R70" i="593"/>
  <c r="O32" i="597"/>
  <c r="I22" i="596"/>
  <c r="AG70" i="597"/>
  <c r="L48" i="599"/>
  <c r="G13" i="598" s="1"/>
  <c r="J69" i="599"/>
  <c r="P59" i="599"/>
  <c r="L59" i="599"/>
  <c r="AA2" i="603"/>
  <c r="H19" i="602"/>
  <c r="L6" i="593"/>
  <c r="L15" i="593" s="1"/>
  <c r="D13" i="592" s="1"/>
  <c r="AG16" i="593"/>
  <c r="AG49" i="593"/>
  <c r="AF49" i="593"/>
  <c r="N58" i="593"/>
  <c r="AG19" i="597"/>
  <c r="AF21" i="597"/>
  <c r="L39" i="597"/>
  <c r="R39" i="597" s="1"/>
  <c r="J69" i="597"/>
  <c r="P69" i="597" s="1"/>
  <c r="AG7" i="599"/>
  <c r="Z2" i="597"/>
  <c r="AG16" i="597"/>
  <c r="AG28" i="597"/>
  <c r="N69" i="597"/>
  <c r="H71" i="597"/>
  <c r="L20" i="599"/>
  <c r="O50" i="599"/>
  <c r="AG50" i="599"/>
  <c r="AF50" i="599"/>
  <c r="R50" i="601"/>
  <c r="Q50" i="601"/>
  <c r="O20" i="599"/>
  <c r="AF20" i="599"/>
  <c r="Q48" i="599"/>
  <c r="AG48" i="599"/>
  <c r="AH38" i="599" s="1"/>
  <c r="AG59" i="599"/>
  <c r="AF59" i="599"/>
  <c r="P61" i="599"/>
  <c r="L61" i="599"/>
  <c r="Q61" i="599" s="1"/>
  <c r="O31" i="601"/>
  <c r="AF31" i="601"/>
  <c r="L58" i="601"/>
  <c r="H13" i="600" s="1"/>
  <c r="O52" i="601"/>
  <c r="AG52" i="601"/>
  <c r="AF52" i="601"/>
  <c r="R71" i="601"/>
  <c r="Q71" i="601"/>
  <c r="P79" i="601"/>
  <c r="O15" i="603"/>
  <c r="Q5" i="603"/>
  <c r="L16" i="597"/>
  <c r="O60" i="597"/>
  <c r="L62" i="597"/>
  <c r="Q62" i="597" s="1"/>
  <c r="N6" i="598"/>
  <c r="AG20" i="599"/>
  <c r="O29" i="599"/>
  <c r="AG29" i="599"/>
  <c r="AF29" i="599"/>
  <c r="P37" i="599"/>
  <c r="R38" i="599"/>
  <c r="Q38" i="599"/>
  <c r="N58" i="599"/>
  <c r="O49" i="599"/>
  <c r="R51" i="599"/>
  <c r="Q51" i="599"/>
  <c r="O59" i="599"/>
  <c r="R61" i="599"/>
  <c r="N15" i="601"/>
  <c r="O5" i="601"/>
  <c r="AG5" i="601"/>
  <c r="AF5" i="601"/>
  <c r="R8" i="601"/>
  <c r="K26" i="601"/>
  <c r="L16" i="601"/>
  <c r="J15" i="603"/>
  <c r="P15" i="603" s="1"/>
  <c r="Q17" i="605"/>
  <c r="R17" i="605"/>
  <c r="O51" i="593"/>
  <c r="O62" i="593"/>
  <c r="L63" i="593"/>
  <c r="O7" i="597"/>
  <c r="O21" i="597"/>
  <c r="O49" i="597"/>
  <c r="P60" i="597"/>
  <c r="O61" i="597"/>
  <c r="L63" i="597"/>
  <c r="L69" i="597" s="1"/>
  <c r="I13" i="596" s="1"/>
  <c r="P70" i="597"/>
  <c r="O16" i="599"/>
  <c r="AG16" i="599"/>
  <c r="L19" i="599"/>
  <c r="L26" i="599" s="1"/>
  <c r="E13" i="598" s="1"/>
  <c r="AF49" i="599"/>
  <c r="AF51" i="599"/>
  <c r="AG16" i="601"/>
  <c r="AF16" i="601"/>
  <c r="O19" i="601"/>
  <c r="AG19" i="601"/>
  <c r="AF19" i="601"/>
  <c r="J37" i="601"/>
  <c r="P37" i="601" s="1"/>
  <c r="R30" i="601"/>
  <c r="Q30" i="601"/>
  <c r="J48" i="601"/>
  <c r="P48" i="601" s="1"/>
  <c r="Q49" i="601"/>
  <c r="H59" i="601"/>
  <c r="G1" i="601" s="1"/>
  <c r="O60" i="601"/>
  <c r="AG60" i="601"/>
  <c r="N15" i="603"/>
  <c r="AG5" i="603"/>
  <c r="AF5" i="603"/>
  <c r="AF21" i="603"/>
  <c r="AG21" i="603"/>
  <c r="O21" i="603"/>
  <c r="AG28" i="603"/>
  <c r="AF28" i="603"/>
  <c r="O28" i="603"/>
  <c r="N37" i="603"/>
  <c r="N58" i="603"/>
  <c r="O49" i="603"/>
  <c r="AG49" i="603"/>
  <c r="AF49" i="603"/>
  <c r="F22" i="606"/>
  <c r="P49" i="597"/>
  <c r="E1" i="599"/>
  <c r="G3" i="598" s="1"/>
  <c r="N6" i="599"/>
  <c r="P31" i="599"/>
  <c r="L31" i="599"/>
  <c r="R31" i="599" s="1"/>
  <c r="AG7" i="601"/>
  <c r="AF7" i="601"/>
  <c r="R16" i="601"/>
  <c r="Q16" i="601"/>
  <c r="O39" i="601"/>
  <c r="AG39" i="601"/>
  <c r="O59" i="601"/>
  <c r="AA2" i="601"/>
  <c r="J18" i="600"/>
  <c r="J79" i="603"/>
  <c r="P79" i="603" s="1"/>
  <c r="P72" i="603"/>
  <c r="J48" i="597"/>
  <c r="P48" i="597" s="1"/>
  <c r="H6" i="599"/>
  <c r="G1" i="599" s="1"/>
  <c r="L7" i="599"/>
  <c r="P27" i="599"/>
  <c r="J37" i="599"/>
  <c r="AG31" i="599"/>
  <c r="AF31" i="599"/>
  <c r="F19" i="598"/>
  <c r="M6" i="598" s="1"/>
  <c r="AA2" i="599"/>
  <c r="R71" i="599"/>
  <c r="AE2" i="601"/>
  <c r="O7" i="601"/>
  <c r="AG8" i="601"/>
  <c r="E1" i="601"/>
  <c r="G3" i="600" s="1"/>
  <c r="N38" i="601"/>
  <c r="H38" i="601"/>
  <c r="AF39" i="601"/>
  <c r="AG49" i="601"/>
  <c r="AF49" i="601"/>
  <c r="AG51" i="601"/>
  <c r="AF51" i="601"/>
  <c r="O51" i="601"/>
  <c r="O58" i="601" s="1"/>
  <c r="AF8" i="603"/>
  <c r="O8" i="603"/>
  <c r="AG8" i="603"/>
  <c r="N30" i="603"/>
  <c r="R8" i="605"/>
  <c r="Q8" i="605"/>
  <c r="AG28" i="605"/>
  <c r="O28" i="605"/>
  <c r="AF28" i="605"/>
  <c r="O21" i="607"/>
  <c r="AF21" i="607"/>
  <c r="AG21" i="607"/>
  <c r="P79" i="599"/>
  <c r="Q62" i="601"/>
  <c r="AG63" i="601"/>
  <c r="AF63" i="601"/>
  <c r="O70" i="601"/>
  <c r="N79" i="601"/>
  <c r="AG70" i="601"/>
  <c r="AF70" i="601"/>
  <c r="AD2" i="603"/>
  <c r="D20" i="602"/>
  <c r="R16" i="597"/>
  <c r="AD2" i="599"/>
  <c r="N37" i="599"/>
  <c r="O52" i="599"/>
  <c r="AG52" i="599"/>
  <c r="P70" i="599"/>
  <c r="L70" i="599"/>
  <c r="L79" i="599" s="1"/>
  <c r="J13" i="598" s="1"/>
  <c r="J79" i="599"/>
  <c r="N17" i="601"/>
  <c r="O18" i="601"/>
  <c r="AG18" i="601"/>
  <c r="R27" i="601"/>
  <c r="L38" i="601"/>
  <c r="L48" i="601" s="1"/>
  <c r="G13" i="600" s="1"/>
  <c r="AF7" i="603"/>
  <c r="AG7" i="603"/>
  <c r="J48" i="603"/>
  <c r="P48" i="603" s="1"/>
  <c r="P61" i="603"/>
  <c r="G1" i="605"/>
  <c r="O62" i="605"/>
  <c r="AG62" i="605"/>
  <c r="AF62" i="605"/>
  <c r="N69" i="605"/>
  <c r="AF51" i="593"/>
  <c r="AF60" i="597"/>
  <c r="K69" i="597"/>
  <c r="AF70" i="597"/>
  <c r="K15" i="599"/>
  <c r="AG30" i="599"/>
  <c r="AF30" i="599"/>
  <c r="O30" i="599"/>
  <c r="AF48" i="599"/>
  <c r="AF52" i="599"/>
  <c r="AG6" i="601"/>
  <c r="AF6" i="601"/>
  <c r="O6" i="601"/>
  <c r="P9" i="601"/>
  <c r="L9" i="601"/>
  <c r="R9" i="601" s="1"/>
  <c r="AF18" i="601"/>
  <c r="AG27" i="601"/>
  <c r="AF27" i="601"/>
  <c r="AG29" i="601"/>
  <c r="AF29" i="601"/>
  <c r="O29" i="601"/>
  <c r="I1" i="601"/>
  <c r="P58" i="601"/>
  <c r="AF59" i="601"/>
  <c r="O7" i="603"/>
  <c r="O39" i="603"/>
  <c r="AG39" i="603"/>
  <c r="AF39" i="603"/>
  <c r="L41" i="603"/>
  <c r="L5" i="599"/>
  <c r="L15" i="599" s="1"/>
  <c r="D13" i="598" s="1"/>
  <c r="P69" i="599"/>
  <c r="O70" i="599"/>
  <c r="N79" i="599"/>
  <c r="AF70" i="599"/>
  <c r="K15" i="601"/>
  <c r="P17" i="601"/>
  <c r="L17" i="601"/>
  <c r="AG20" i="601"/>
  <c r="AF20" i="601"/>
  <c r="O20" i="601"/>
  <c r="P26" i="601"/>
  <c r="N37" i="601"/>
  <c r="N58" i="601"/>
  <c r="AG59" i="601"/>
  <c r="AG62" i="601"/>
  <c r="AF62" i="601"/>
  <c r="O17" i="603"/>
  <c r="N26" i="603"/>
  <c r="AG17" i="603"/>
  <c r="AG41" i="603"/>
  <c r="AF41" i="603"/>
  <c r="O41" i="603"/>
  <c r="H18" i="602"/>
  <c r="L6" i="602" s="1"/>
  <c r="Z2" i="603"/>
  <c r="K15" i="605"/>
  <c r="L6" i="605"/>
  <c r="L26" i="605"/>
  <c r="E13" i="604" s="1"/>
  <c r="N37" i="605"/>
  <c r="O27" i="605"/>
  <c r="AG27" i="605"/>
  <c r="AF52" i="607"/>
  <c r="AG52" i="607"/>
  <c r="O52" i="607"/>
  <c r="AG61" i="599"/>
  <c r="P27" i="601"/>
  <c r="AG30" i="601"/>
  <c r="P49" i="601"/>
  <c r="O6" i="603"/>
  <c r="AF6" i="603"/>
  <c r="K37" i="603"/>
  <c r="L27" i="603"/>
  <c r="L37" i="603" s="1"/>
  <c r="F13" i="602" s="1"/>
  <c r="O6" i="605"/>
  <c r="AG6" i="605"/>
  <c r="AF6" i="605"/>
  <c r="D21" i="604"/>
  <c r="AE2" i="605"/>
  <c r="AG40" i="605"/>
  <c r="AF40" i="605"/>
  <c r="L40" i="605"/>
  <c r="R40" i="605" s="1"/>
  <c r="O53" i="605"/>
  <c r="AF53" i="605"/>
  <c r="J58" i="603"/>
  <c r="AG63" i="603"/>
  <c r="AF63" i="603"/>
  <c r="N79" i="603"/>
  <c r="AG70" i="603"/>
  <c r="AF70" i="603"/>
  <c r="L72" i="603"/>
  <c r="R21" i="605"/>
  <c r="AF30" i="605"/>
  <c r="O30" i="605"/>
  <c r="AG30" i="605"/>
  <c r="O19" i="599"/>
  <c r="O39" i="599"/>
  <c r="O60" i="599"/>
  <c r="L62" i="599"/>
  <c r="P69" i="601"/>
  <c r="I1" i="603"/>
  <c r="R20" i="603"/>
  <c r="K58" i="603"/>
  <c r="L49" i="603"/>
  <c r="L58" i="603" s="1"/>
  <c r="H13" i="602" s="1"/>
  <c r="O50" i="603"/>
  <c r="AG50" i="603"/>
  <c r="AG60" i="603"/>
  <c r="AF60" i="603"/>
  <c r="R63" i="603"/>
  <c r="Q63" i="603"/>
  <c r="AG72" i="603"/>
  <c r="AF72" i="603"/>
  <c r="O72" i="603"/>
  <c r="L15" i="605"/>
  <c r="D13" i="604" s="1"/>
  <c r="O27" i="599"/>
  <c r="L49" i="599"/>
  <c r="L58" i="599" s="1"/>
  <c r="H13" i="598" s="1"/>
  <c r="L59" i="601"/>
  <c r="N61" i="601"/>
  <c r="N69" i="601" s="1"/>
  <c r="AE2" i="603"/>
  <c r="L16" i="603"/>
  <c r="P49" i="603"/>
  <c r="AF50" i="603"/>
  <c r="O60" i="603"/>
  <c r="AF5" i="605"/>
  <c r="N15" i="605"/>
  <c r="AG5" i="605"/>
  <c r="O5" i="605"/>
  <c r="L7" i="605"/>
  <c r="R20" i="605"/>
  <c r="Q21" i="605"/>
  <c r="J58" i="599"/>
  <c r="P58" i="599" s="1"/>
  <c r="Q8" i="601"/>
  <c r="K79" i="601"/>
  <c r="AG6" i="603"/>
  <c r="AG16" i="603"/>
  <c r="Q18" i="603"/>
  <c r="Q20" i="603"/>
  <c r="AF27" i="603"/>
  <c r="P37" i="603"/>
  <c r="K48" i="603"/>
  <c r="R7" i="605"/>
  <c r="AF27" i="605"/>
  <c r="L39" i="605"/>
  <c r="L48" i="605" s="1"/>
  <c r="G13" i="604" s="1"/>
  <c r="AG49" i="605"/>
  <c r="N58" i="605"/>
  <c r="O49" i="605"/>
  <c r="AF38" i="599"/>
  <c r="AF71" i="601"/>
  <c r="AG27" i="603"/>
  <c r="L69" i="603"/>
  <c r="I13" i="602" s="1"/>
  <c r="AG62" i="603"/>
  <c r="AF62" i="603"/>
  <c r="AF29" i="605"/>
  <c r="O29" i="605"/>
  <c r="AG29" i="605"/>
  <c r="O32" i="605"/>
  <c r="AG32" i="605"/>
  <c r="AF32" i="605"/>
  <c r="AG20" i="607"/>
  <c r="AF20" i="607"/>
  <c r="O20" i="607"/>
  <c r="O6" i="606"/>
  <c r="N6" i="606"/>
  <c r="J26" i="599"/>
  <c r="P26" i="599" s="1"/>
  <c r="K37" i="601"/>
  <c r="L61" i="601"/>
  <c r="Q16" i="603"/>
  <c r="R18" i="603"/>
  <c r="R31" i="603"/>
  <c r="O38" i="603"/>
  <c r="R51" i="603"/>
  <c r="Q51" i="603"/>
  <c r="AG59" i="603"/>
  <c r="AF59" i="603"/>
  <c r="O62" i="603"/>
  <c r="AG71" i="603"/>
  <c r="AF71" i="603"/>
  <c r="O71" i="603"/>
  <c r="P15" i="605"/>
  <c r="O16" i="605"/>
  <c r="N26" i="605"/>
  <c r="AG16" i="605"/>
  <c r="AF16" i="605"/>
  <c r="AG19" i="605"/>
  <c r="AF19" i="605"/>
  <c r="O19" i="605"/>
  <c r="K48" i="605"/>
  <c r="O29" i="607"/>
  <c r="AG29" i="607"/>
  <c r="AF29" i="607"/>
  <c r="K15" i="603"/>
  <c r="L5" i="603"/>
  <c r="R16" i="603"/>
  <c r="AF20" i="603"/>
  <c r="R59" i="603"/>
  <c r="P62" i="603"/>
  <c r="D18" i="604"/>
  <c r="L6" i="604" s="1"/>
  <c r="Z2" i="605"/>
  <c r="Q31" i="605"/>
  <c r="P38" i="605"/>
  <c r="J48" i="605"/>
  <c r="P48" i="605" s="1"/>
  <c r="AG18" i="603"/>
  <c r="J37" i="603"/>
  <c r="P28" i="603"/>
  <c r="H40" i="603"/>
  <c r="P58" i="603"/>
  <c r="J15" i="605"/>
  <c r="P6" i="605"/>
  <c r="D19" i="604"/>
  <c r="M6" i="604" s="1"/>
  <c r="AA2" i="605"/>
  <c r="AG18" i="605"/>
  <c r="AF18" i="605"/>
  <c r="L58" i="607"/>
  <c r="H13" i="606" s="1"/>
  <c r="AD2" i="605"/>
  <c r="P70" i="605"/>
  <c r="L70" i="605"/>
  <c r="L79" i="605" s="1"/>
  <c r="J13" i="604" s="1"/>
  <c r="L8" i="607"/>
  <c r="Q8" i="607" s="1"/>
  <c r="Q7" i="605"/>
  <c r="AF9" i="605"/>
  <c r="AG38" i="605"/>
  <c r="AF38" i="605"/>
  <c r="AG63" i="605"/>
  <c r="P7" i="607"/>
  <c r="J15" i="607"/>
  <c r="P15" i="607" s="1"/>
  <c r="AG9" i="607"/>
  <c r="L28" i="607"/>
  <c r="N37" i="607"/>
  <c r="P50" i="607"/>
  <c r="L50" i="607"/>
  <c r="AF19" i="603"/>
  <c r="O29" i="603"/>
  <c r="L38" i="603"/>
  <c r="O52" i="603"/>
  <c r="J69" i="603"/>
  <c r="P69" i="603" s="1"/>
  <c r="O9" i="605"/>
  <c r="O38" i="605"/>
  <c r="O39" i="605"/>
  <c r="Q40" i="605"/>
  <c r="AF41" i="605"/>
  <c r="G22" i="604"/>
  <c r="J58" i="605"/>
  <c r="P58" i="605" s="1"/>
  <c r="L61" i="605"/>
  <c r="R61" i="605" s="1"/>
  <c r="P69" i="605"/>
  <c r="J79" i="605"/>
  <c r="G1" i="607"/>
  <c r="AF8" i="607"/>
  <c r="AG19" i="607"/>
  <c r="AF19" i="607"/>
  <c r="D20" i="604"/>
  <c r="Q48" i="605"/>
  <c r="AG51" i="605"/>
  <c r="AF51" i="605"/>
  <c r="AG8" i="607"/>
  <c r="Q50" i="607"/>
  <c r="R50" i="607"/>
  <c r="AG71" i="607"/>
  <c r="AF71" i="607"/>
  <c r="L50" i="605"/>
  <c r="Q50" i="605" s="1"/>
  <c r="O51" i="605"/>
  <c r="AF52" i="605"/>
  <c r="P79" i="605"/>
  <c r="K15" i="607"/>
  <c r="O7" i="607"/>
  <c r="AF7" i="607"/>
  <c r="AF28" i="607"/>
  <c r="AF50" i="607"/>
  <c r="J58" i="607"/>
  <c r="P58" i="607" s="1"/>
  <c r="AG60" i="607"/>
  <c r="AF60" i="607"/>
  <c r="O60" i="607"/>
  <c r="O71" i="607"/>
  <c r="AF7" i="605"/>
  <c r="L27" i="605"/>
  <c r="L29" i="605"/>
  <c r="AF39" i="605"/>
  <c r="AG50" i="605"/>
  <c r="AF50" i="605"/>
  <c r="L60" i="605"/>
  <c r="Q60" i="605" s="1"/>
  <c r="AF61" i="605"/>
  <c r="L6" i="607"/>
  <c r="Q18" i="607"/>
  <c r="Q19" i="607"/>
  <c r="AG28" i="607"/>
  <c r="AG50" i="607"/>
  <c r="K58" i="607"/>
  <c r="AG7" i="605"/>
  <c r="AF8" i="605"/>
  <c r="R60" i="605"/>
  <c r="AF6" i="607"/>
  <c r="AG6" i="607"/>
  <c r="AG31" i="607"/>
  <c r="AF31" i="607"/>
  <c r="O31" i="607"/>
  <c r="AG53" i="607"/>
  <c r="AF53" i="607"/>
  <c r="O59" i="607"/>
  <c r="N69" i="607"/>
  <c r="AG63" i="607"/>
  <c r="AF63" i="607"/>
  <c r="AF52" i="603"/>
  <c r="N61" i="603"/>
  <c r="K79" i="603"/>
  <c r="L70" i="603"/>
  <c r="P27" i="605"/>
  <c r="L59" i="605"/>
  <c r="O6" i="607"/>
  <c r="AG7" i="607"/>
  <c r="P16" i="607"/>
  <c r="J26" i="607"/>
  <c r="P26" i="607" s="1"/>
  <c r="AG27" i="607"/>
  <c r="AF27" i="607"/>
  <c r="AG41" i="607"/>
  <c r="AF41" i="607"/>
  <c r="O53" i="607"/>
  <c r="H22" i="606"/>
  <c r="AF59" i="607"/>
  <c r="AG9" i="605"/>
  <c r="AG17" i="605"/>
  <c r="K37" i="605"/>
  <c r="Q63" i="605"/>
  <c r="I1" i="607"/>
  <c r="K26" i="607"/>
  <c r="L16" i="607"/>
  <c r="L26" i="607" s="1"/>
  <c r="E13" i="606" s="1"/>
  <c r="AG17" i="607"/>
  <c r="O17" i="607"/>
  <c r="R27" i="607"/>
  <c r="Q27" i="607"/>
  <c r="N58" i="607"/>
  <c r="O49" i="607"/>
  <c r="AG49" i="607"/>
  <c r="AF49" i="607"/>
  <c r="AG59" i="607"/>
  <c r="P41" i="605"/>
  <c r="Q59" i="605"/>
  <c r="AF60" i="605"/>
  <c r="P62" i="605"/>
  <c r="L62" i="605"/>
  <c r="N70" i="605"/>
  <c r="N15" i="607"/>
  <c r="O16" i="607"/>
  <c r="N26" i="607"/>
  <c r="AG30" i="607"/>
  <c r="O30" i="607"/>
  <c r="AG40" i="607"/>
  <c r="AF40" i="607"/>
  <c r="O51" i="607"/>
  <c r="AG51" i="607"/>
  <c r="AF51" i="607"/>
  <c r="L79" i="607"/>
  <c r="J13" i="606" s="1"/>
  <c r="N79" i="607"/>
  <c r="J37" i="607"/>
  <c r="P37" i="607" s="1"/>
  <c r="AE2" i="607"/>
  <c r="AF71" i="605"/>
  <c r="AF5" i="607"/>
  <c r="AF18" i="607"/>
  <c r="AF32" i="607"/>
  <c r="AF39" i="607"/>
  <c r="AF61" i="607"/>
  <c r="L38" i="607"/>
  <c r="AF62" i="607"/>
  <c r="AF70" i="607"/>
  <c r="N48" i="607" l="1"/>
  <c r="AF48" i="607" s="1"/>
  <c r="AF38" i="607"/>
  <c r="O38" i="607"/>
  <c r="J6" i="606"/>
  <c r="L48" i="607"/>
  <c r="G13" i="606" s="1"/>
  <c r="Q39" i="607"/>
  <c r="O37" i="607"/>
  <c r="L15" i="607"/>
  <c r="D13" i="606" s="1"/>
  <c r="R8" i="607"/>
  <c r="L37" i="607"/>
  <c r="F13" i="606" s="1"/>
  <c r="R28" i="607"/>
  <c r="R18" i="607"/>
  <c r="Q5" i="607"/>
  <c r="R5" i="607"/>
  <c r="R61" i="607"/>
  <c r="Q61" i="607"/>
  <c r="R62" i="607"/>
  <c r="Q62" i="607"/>
  <c r="H14" i="592"/>
  <c r="H15" i="592" s="1"/>
  <c r="R58" i="593"/>
  <c r="S49" i="593" s="1"/>
  <c r="J3" i="598"/>
  <c r="G2" i="599"/>
  <c r="G2" i="601"/>
  <c r="J3" i="600"/>
  <c r="H14" i="568"/>
  <c r="D14" i="548"/>
  <c r="R15" i="549"/>
  <c r="S5" i="549" s="1"/>
  <c r="Q15" i="549"/>
  <c r="Q69" i="601"/>
  <c r="AG69" i="601"/>
  <c r="AH59" i="601" s="1"/>
  <c r="AF69" i="601"/>
  <c r="R58" i="601"/>
  <c r="S49" i="601" s="1"/>
  <c r="H14" i="600"/>
  <c r="H15" i="600" s="1"/>
  <c r="O79" i="585"/>
  <c r="I14" i="584"/>
  <c r="AG69" i="591"/>
  <c r="AH59" i="591" s="1"/>
  <c r="AF69" i="591"/>
  <c r="Q69" i="591"/>
  <c r="AG15" i="593"/>
  <c r="AH5" i="593" s="1"/>
  <c r="AF15" i="593"/>
  <c r="AG26" i="599"/>
  <c r="AH16" i="599" s="1"/>
  <c r="AF26" i="599"/>
  <c r="Q26" i="583"/>
  <c r="R26" i="583"/>
  <c r="S16" i="583" s="1"/>
  <c r="E14" i="582"/>
  <c r="E15" i="582" s="1"/>
  <c r="R48" i="549"/>
  <c r="S38" i="549" s="1"/>
  <c r="G14" i="548"/>
  <c r="G15" i="548" s="1"/>
  <c r="G14" i="576"/>
  <c r="F14" i="570"/>
  <c r="F15" i="570" s="1"/>
  <c r="R37" i="571"/>
  <c r="S27" i="571" s="1"/>
  <c r="F6" i="592"/>
  <c r="H6" i="592"/>
  <c r="R69" i="587"/>
  <c r="S59" i="587" s="1"/>
  <c r="O79" i="587"/>
  <c r="I14" i="586"/>
  <c r="E14" i="586"/>
  <c r="Q18" i="601"/>
  <c r="R18" i="601"/>
  <c r="R18" i="549"/>
  <c r="Q18" i="549"/>
  <c r="O69" i="607"/>
  <c r="R59" i="607"/>
  <c r="Q59" i="607"/>
  <c r="R29" i="601"/>
  <c r="Q29" i="601"/>
  <c r="R28" i="603"/>
  <c r="Q28" i="603"/>
  <c r="D14" i="602"/>
  <c r="R7" i="599"/>
  <c r="Q7" i="599"/>
  <c r="R30" i="573"/>
  <c r="Q30" i="573"/>
  <c r="R17" i="569"/>
  <c r="Q17" i="569"/>
  <c r="D14" i="562"/>
  <c r="R15" i="563"/>
  <c r="S5" i="563" s="1"/>
  <c r="Q15" i="563"/>
  <c r="R39" i="573"/>
  <c r="Q39" i="573"/>
  <c r="R7" i="567"/>
  <c r="Q7" i="567"/>
  <c r="R61" i="545"/>
  <c r="Q61" i="545"/>
  <c r="Q41" i="545"/>
  <c r="R41" i="545"/>
  <c r="Q48" i="549"/>
  <c r="AF48" i="549"/>
  <c r="AG48" i="549"/>
  <c r="AH38" i="549" s="1"/>
  <c r="Q79" i="3"/>
  <c r="AF79" i="3"/>
  <c r="AG79" i="3"/>
  <c r="AH70" i="3" s="1"/>
  <c r="AG69" i="551"/>
  <c r="AH59" i="551" s="1"/>
  <c r="AF69" i="551"/>
  <c r="Q69" i="551"/>
  <c r="R16" i="557"/>
  <c r="Q16" i="557"/>
  <c r="O26" i="557"/>
  <c r="R50" i="605"/>
  <c r="O15" i="601"/>
  <c r="R5" i="601"/>
  <c r="Q5" i="601"/>
  <c r="AF15" i="599"/>
  <c r="AG15" i="599"/>
  <c r="AH5" i="599" s="1"/>
  <c r="R8" i="591"/>
  <c r="Q8" i="591"/>
  <c r="R70" i="591"/>
  <c r="Q70" i="591"/>
  <c r="O79" i="591"/>
  <c r="R59" i="591"/>
  <c r="Q59" i="591"/>
  <c r="R28" i="567"/>
  <c r="Q28" i="567"/>
  <c r="R58" i="557"/>
  <c r="S49" i="557" s="1"/>
  <c r="H14" i="556"/>
  <c r="H15" i="556" s="1"/>
  <c r="R6" i="563"/>
  <c r="Q6" i="563"/>
  <c r="R9" i="557"/>
  <c r="Q9" i="557"/>
  <c r="Q40" i="557"/>
  <c r="R40" i="557"/>
  <c r="AG58" i="555"/>
  <c r="AH49" i="555" s="1"/>
  <c r="AF58" i="555"/>
  <c r="Q58" i="555"/>
  <c r="R41" i="555"/>
  <c r="R19" i="553"/>
  <c r="Q19" i="553"/>
  <c r="R28" i="551"/>
  <c r="Q28" i="551"/>
  <c r="AG15" i="547"/>
  <c r="AH5" i="547" s="1"/>
  <c r="AF15" i="547"/>
  <c r="O37" i="545"/>
  <c r="Q27" i="545"/>
  <c r="R27" i="545"/>
  <c r="AG15" i="549"/>
  <c r="AH5" i="549" s="1"/>
  <c r="AF15" i="549"/>
  <c r="Q29" i="545"/>
  <c r="R29" i="545"/>
  <c r="R52" i="553"/>
  <c r="Q52" i="553"/>
  <c r="Q62" i="545"/>
  <c r="R62" i="545"/>
  <c r="Q41" i="483"/>
  <c r="R9" i="483"/>
  <c r="Q9" i="483"/>
  <c r="Q58" i="483"/>
  <c r="AG58" i="483"/>
  <c r="AH49" i="483" s="1"/>
  <c r="AF58" i="483"/>
  <c r="O69" i="551"/>
  <c r="Q59" i="551"/>
  <c r="R59" i="551"/>
  <c r="R52" i="483"/>
  <c r="Q52" i="483"/>
  <c r="Q28" i="549"/>
  <c r="AF15" i="483"/>
  <c r="AG15" i="483"/>
  <c r="AH5" i="483" s="1"/>
  <c r="R6" i="483"/>
  <c r="Q6" i="483"/>
  <c r="R38" i="583"/>
  <c r="Q38" i="583"/>
  <c r="O48" i="583"/>
  <c r="Q28" i="579"/>
  <c r="R28" i="579"/>
  <c r="Q16" i="563"/>
  <c r="O26" i="563"/>
  <c r="R16" i="563"/>
  <c r="R51" i="569"/>
  <c r="Q51" i="569"/>
  <c r="O15" i="569"/>
  <c r="R5" i="569"/>
  <c r="Q5" i="569"/>
  <c r="Q69" i="563"/>
  <c r="AG69" i="563"/>
  <c r="AH59" i="563" s="1"/>
  <c r="AF69" i="563"/>
  <c r="AG15" i="559"/>
  <c r="AH5" i="559" s="1"/>
  <c r="AF15" i="559"/>
  <c r="O58" i="555"/>
  <c r="Q49" i="555"/>
  <c r="R49" i="555"/>
  <c r="Q69" i="545"/>
  <c r="AG69" i="545"/>
  <c r="AH59" i="545" s="1"/>
  <c r="AF69" i="545"/>
  <c r="J3" i="606"/>
  <c r="G2" i="607"/>
  <c r="R71" i="603"/>
  <c r="Q71" i="603"/>
  <c r="AF79" i="603"/>
  <c r="AG79" i="603"/>
  <c r="AH70" i="603" s="1"/>
  <c r="Q79" i="603"/>
  <c r="R50" i="599"/>
  <c r="Q50" i="599"/>
  <c r="AF51" i="597"/>
  <c r="AG51" i="597"/>
  <c r="O51" i="597"/>
  <c r="AG40" i="603"/>
  <c r="AF40" i="603"/>
  <c r="O40" i="603"/>
  <c r="R6" i="585"/>
  <c r="Q6" i="585"/>
  <c r="Q60" i="593"/>
  <c r="R20" i="585"/>
  <c r="O48" i="563"/>
  <c r="Q38" i="563"/>
  <c r="R38" i="563"/>
  <c r="R18" i="567"/>
  <c r="Q18" i="567"/>
  <c r="Q38" i="559"/>
  <c r="R62" i="563"/>
  <c r="Q62" i="563"/>
  <c r="R60" i="559"/>
  <c r="Q60" i="559"/>
  <c r="AG69" i="559"/>
  <c r="AH59" i="559" s="1"/>
  <c r="AF69" i="559"/>
  <c r="Q69" i="559"/>
  <c r="L69" i="605"/>
  <c r="I13" i="604" s="1"/>
  <c r="J6" i="604" s="1"/>
  <c r="R71" i="607"/>
  <c r="Q71" i="607"/>
  <c r="Q61" i="605"/>
  <c r="Q28" i="607"/>
  <c r="Q52" i="603"/>
  <c r="R52" i="603"/>
  <c r="R49" i="605"/>
  <c r="O58" i="605"/>
  <c r="Q49" i="605"/>
  <c r="R60" i="603"/>
  <c r="Q60" i="603"/>
  <c r="Q41" i="603"/>
  <c r="R41" i="603"/>
  <c r="R20" i="601"/>
  <c r="Q20" i="601"/>
  <c r="Q62" i="605"/>
  <c r="O69" i="605"/>
  <c r="R62" i="605"/>
  <c r="AF79" i="601"/>
  <c r="AG79" i="601"/>
  <c r="AH70" i="601" s="1"/>
  <c r="Q79" i="601"/>
  <c r="AG15" i="601"/>
  <c r="AH5" i="601" s="1"/>
  <c r="AF15" i="601"/>
  <c r="R28" i="599"/>
  <c r="Q28" i="599"/>
  <c r="G2" i="593"/>
  <c r="J3" i="592"/>
  <c r="O15" i="589"/>
  <c r="Q5" i="589"/>
  <c r="R5" i="589"/>
  <c r="R29" i="587"/>
  <c r="Q29" i="587"/>
  <c r="Q62" i="587"/>
  <c r="R62" i="587"/>
  <c r="L69" i="589"/>
  <c r="I13" i="588" s="1"/>
  <c r="J6" i="588" s="1"/>
  <c r="R58" i="587"/>
  <c r="S49" i="587" s="1"/>
  <c r="H14" i="586"/>
  <c r="H15" i="586" s="1"/>
  <c r="R60" i="593"/>
  <c r="Q31" i="581"/>
  <c r="R31" i="581"/>
  <c r="R53" i="577"/>
  <c r="Q53" i="577"/>
  <c r="Q51" i="577"/>
  <c r="R51" i="577"/>
  <c r="O37" i="581"/>
  <c r="R27" i="581"/>
  <c r="Q27" i="581"/>
  <c r="R31" i="579"/>
  <c r="Q31" i="579"/>
  <c r="AG69" i="577"/>
  <c r="AH59" i="577" s="1"/>
  <c r="AF69" i="577"/>
  <c r="Q69" i="577"/>
  <c r="AG37" i="569"/>
  <c r="AH27" i="569" s="1"/>
  <c r="AF37" i="569"/>
  <c r="Q37" i="569"/>
  <c r="G2" i="577"/>
  <c r="J3" i="576"/>
  <c r="R16" i="573"/>
  <c r="Q16" i="573"/>
  <c r="O26" i="573"/>
  <c r="O48" i="567"/>
  <c r="R38" i="567"/>
  <c r="Q38" i="567"/>
  <c r="AG26" i="575"/>
  <c r="AH16" i="575" s="1"/>
  <c r="AF26" i="575"/>
  <c r="AG48" i="563"/>
  <c r="AH38" i="563" s="1"/>
  <c r="AF48" i="563"/>
  <c r="Q48" i="563"/>
  <c r="AG37" i="567"/>
  <c r="AH27" i="567" s="1"/>
  <c r="AF37" i="567"/>
  <c r="Q37" i="567"/>
  <c r="R10" i="559"/>
  <c r="Q10" i="559"/>
  <c r="R8" i="571"/>
  <c r="Q8" i="571"/>
  <c r="AG26" i="569"/>
  <c r="AH16" i="569" s="1"/>
  <c r="AF26" i="569"/>
  <c r="Q20" i="563"/>
  <c r="R28" i="563"/>
  <c r="Q28" i="563"/>
  <c r="O69" i="553"/>
  <c r="R59" i="553"/>
  <c r="Q59" i="553"/>
  <c r="O26" i="549"/>
  <c r="E2" i="549" s="1"/>
  <c r="R16" i="549"/>
  <c r="Q16" i="549"/>
  <c r="O37" i="567"/>
  <c r="AG15" i="563"/>
  <c r="AH5" i="563" s="1"/>
  <c r="AF15" i="563"/>
  <c r="R28" i="555"/>
  <c r="Q28" i="555"/>
  <c r="R19" i="567"/>
  <c r="Q19" i="567"/>
  <c r="Q48" i="555"/>
  <c r="AF48" i="555"/>
  <c r="AG48" i="555"/>
  <c r="AH38" i="555" s="1"/>
  <c r="O48" i="551"/>
  <c r="R38" i="551"/>
  <c r="Q38" i="551"/>
  <c r="Q5" i="549"/>
  <c r="R51" i="553"/>
  <c r="Q51" i="553"/>
  <c r="Q19" i="547"/>
  <c r="R19" i="547"/>
  <c r="AG37" i="545"/>
  <c r="AH27" i="545" s="1"/>
  <c r="AF37" i="545"/>
  <c r="Q37" i="545"/>
  <c r="Q58" i="3"/>
  <c r="AG58" i="3"/>
  <c r="AH49" i="3" s="1"/>
  <c r="AF58" i="3"/>
  <c r="R39" i="551"/>
  <c r="Q39" i="551"/>
  <c r="Q69" i="3"/>
  <c r="AG69" i="3"/>
  <c r="AH59" i="3" s="1"/>
  <c r="AF69" i="3"/>
  <c r="G2" i="549"/>
  <c r="J3" i="548"/>
  <c r="R53" i="545"/>
  <c r="Q53" i="545"/>
  <c r="R27" i="547"/>
  <c r="Q27" i="547"/>
  <c r="O37" i="547"/>
  <c r="R19" i="545"/>
  <c r="Q19" i="545"/>
  <c r="R28" i="3"/>
  <c r="Q28" i="3"/>
  <c r="R6" i="547"/>
  <c r="Q6" i="547"/>
  <c r="R52" i="545"/>
  <c r="Q52" i="545"/>
  <c r="O69" i="3"/>
  <c r="R59" i="3"/>
  <c r="Q59" i="3"/>
  <c r="L58" i="551"/>
  <c r="H13" i="550" s="1"/>
  <c r="AG15" i="3"/>
  <c r="AH5" i="3" s="1"/>
  <c r="AF15" i="3"/>
  <c r="R5" i="483"/>
  <c r="Q5" i="483"/>
  <c r="O15" i="483"/>
  <c r="AG69" i="607"/>
  <c r="AH59" i="607" s="1"/>
  <c r="AF69" i="607"/>
  <c r="Q69" i="607"/>
  <c r="R38" i="605"/>
  <c r="O48" i="605"/>
  <c r="Q38" i="605"/>
  <c r="Q21" i="597"/>
  <c r="R21" i="597"/>
  <c r="N6" i="578"/>
  <c r="O6" i="578"/>
  <c r="L58" i="583"/>
  <c r="H13" i="582" s="1"/>
  <c r="R15" i="583"/>
  <c r="S5" i="583" s="1"/>
  <c r="Q15" i="583"/>
  <c r="D14" i="582"/>
  <c r="R40" i="581"/>
  <c r="Q40" i="581"/>
  <c r="R50" i="567"/>
  <c r="Q50" i="567"/>
  <c r="R62" i="569"/>
  <c r="Q62" i="569"/>
  <c r="AG37" i="571"/>
  <c r="AH27" i="571" s="1"/>
  <c r="Q37" i="571"/>
  <c r="AF37" i="571"/>
  <c r="AG26" i="557"/>
  <c r="AH16" i="557" s="1"/>
  <c r="AF26" i="557"/>
  <c r="R9" i="605"/>
  <c r="Q9" i="605"/>
  <c r="AG15" i="605"/>
  <c r="AH5" i="605" s="1"/>
  <c r="AF15" i="605"/>
  <c r="O17" i="601"/>
  <c r="AF17" i="601"/>
  <c r="AG17" i="601"/>
  <c r="R63" i="591"/>
  <c r="Q63" i="591"/>
  <c r="AG26" i="583"/>
  <c r="AH16" i="583" s="1"/>
  <c r="AF26" i="583"/>
  <c r="R8" i="579"/>
  <c r="Q8" i="579"/>
  <c r="R7" i="579"/>
  <c r="Q7" i="579"/>
  <c r="R51" i="607"/>
  <c r="Q51" i="607"/>
  <c r="R6" i="607"/>
  <c r="Q6" i="607"/>
  <c r="O15" i="607"/>
  <c r="J3" i="602"/>
  <c r="G2" i="603"/>
  <c r="N6" i="588"/>
  <c r="O6" i="588"/>
  <c r="R28" i="585"/>
  <c r="Q28" i="585"/>
  <c r="R38" i="581"/>
  <c r="Q38" i="581"/>
  <c r="O48" i="581"/>
  <c r="R15" i="581"/>
  <c r="S5" i="581" s="1"/>
  <c r="D14" i="580"/>
  <c r="Q15" i="581"/>
  <c r="R69" i="579"/>
  <c r="S59" i="579" s="1"/>
  <c r="I14" i="578"/>
  <c r="R62" i="581"/>
  <c r="Q62" i="581"/>
  <c r="R52" i="577"/>
  <c r="Q52" i="577"/>
  <c r="R30" i="577"/>
  <c r="Q30" i="577"/>
  <c r="O26" i="575"/>
  <c r="R16" i="575"/>
  <c r="Q16" i="575"/>
  <c r="R52" i="607"/>
  <c r="Q52" i="607"/>
  <c r="R30" i="599"/>
  <c r="Q30" i="599"/>
  <c r="O6" i="599"/>
  <c r="AG6" i="599"/>
  <c r="AF6" i="599"/>
  <c r="Q62" i="593"/>
  <c r="R62" i="593"/>
  <c r="AG58" i="593"/>
  <c r="AH49" i="593" s="1"/>
  <c r="AF58" i="593"/>
  <c r="Q58" i="593"/>
  <c r="AF48" i="593"/>
  <c r="AF26" i="597"/>
  <c r="AG26" i="597"/>
  <c r="AH16" i="597" s="1"/>
  <c r="O6" i="596"/>
  <c r="N6" i="596"/>
  <c r="Q71" i="591"/>
  <c r="Q5" i="593"/>
  <c r="R5" i="593"/>
  <c r="R39" i="587"/>
  <c r="Q39" i="587"/>
  <c r="AF26" i="591"/>
  <c r="AG26" i="591"/>
  <c r="AH16" i="591" s="1"/>
  <c r="R70" i="589"/>
  <c r="O79" i="589"/>
  <c r="Q70" i="589"/>
  <c r="G2" i="587"/>
  <c r="J3" i="586"/>
  <c r="Q6" i="587"/>
  <c r="R6" i="587"/>
  <c r="R51" i="579"/>
  <c r="Q51" i="579"/>
  <c r="R39" i="583"/>
  <c r="Q39" i="583"/>
  <c r="AF69" i="581"/>
  <c r="AG69" i="581"/>
  <c r="AH59" i="581" s="1"/>
  <c r="Q69" i="581"/>
  <c r="R19" i="575"/>
  <c r="Q19" i="575"/>
  <c r="R52" i="579"/>
  <c r="Q52" i="579"/>
  <c r="R59" i="605"/>
  <c r="R17" i="607"/>
  <c r="Q17" i="607"/>
  <c r="R31" i="607"/>
  <c r="Q31" i="607"/>
  <c r="R60" i="607"/>
  <c r="Q60" i="607"/>
  <c r="L48" i="603"/>
  <c r="G13" i="602" s="1"/>
  <c r="R29" i="607"/>
  <c r="Q29" i="607"/>
  <c r="R29" i="605"/>
  <c r="Q29" i="605"/>
  <c r="AG58" i="605"/>
  <c r="AH49" i="605" s="1"/>
  <c r="AF58" i="605"/>
  <c r="Q58" i="605"/>
  <c r="R60" i="599"/>
  <c r="Q60" i="599"/>
  <c r="Q6" i="605"/>
  <c r="R6" i="605"/>
  <c r="J3" i="604"/>
  <c r="G2" i="605"/>
  <c r="O79" i="601"/>
  <c r="R70" i="601"/>
  <c r="Q70" i="601"/>
  <c r="Q21" i="603"/>
  <c r="R21" i="603"/>
  <c r="R51" i="593"/>
  <c r="Q51" i="593"/>
  <c r="L37" i="597"/>
  <c r="F13" i="596" s="1"/>
  <c r="R59" i="593"/>
  <c r="Q59" i="593"/>
  <c r="O69" i="593"/>
  <c r="R28" i="601"/>
  <c r="Q28" i="601"/>
  <c r="R18" i="599"/>
  <c r="Q18" i="599"/>
  <c r="Q29" i="591"/>
  <c r="R29" i="591"/>
  <c r="Q69" i="589"/>
  <c r="AG69" i="589"/>
  <c r="AH59" i="589" s="1"/>
  <c r="AF69" i="589"/>
  <c r="R63" i="597"/>
  <c r="Q63" i="597"/>
  <c r="R20" i="591"/>
  <c r="Q20" i="591"/>
  <c r="Q18" i="597"/>
  <c r="R18" i="597"/>
  <c r="Q61" i="585"/>
  <c r="R61" i="585"/>
  <c r="L58" i="585"/>
  <c r="Q40" i="587"/>
  <c r="R40" i="587"/>
  <c r="O15" i="587"/>
  <c r="G2" i="585"/>
  <c r="J3" i="584"/>
  <c r="Q58" i="579"/>
  <c r="AG58" i="579"/>
  <c r="AH49" i="579" s="1"/>
  <c r="AF58" i="579"/>
  <c r="O48" i="579"/>
  <c r="R38" i="579"/>
  <c r="Q38" i="579"/>
  <c r="R8" i="575"/>
  <c r="Q8" i="575"/>
  <c r="R28" i="577"/>
  <c r="Q28" i="577"/>
  <c r="Q16" i="583"/>
  <c r="AG48" i="579"/>
  <c r="AH38" i="579" s="1"/>
  <c r="AF48" i="579"/>
  <c r="Q48" i="579"/>
  <c r="R39" i="575"/>
  <c r="Q39" i="575"/>
  <c r="Q79" i="573"/>
  <c r="AG79" i="573"/>
  <c r="AH70" i="573" s="1"/>
  <c r="AF79" i="573"/>
  <c r="R61" i="575"/>
  <c r="Q61" i="575"/>
  <c r="O58" i="577"/>
  <c r="R5" i="577"/>
  <c r="Q59" i="577"/>
  <c r="O69" i="577"/>
  <c r="R59" i="577"/>
  <c r="AF15" i="571"/>
  <c r="AG15" i="571"/>
  <c r="AH5" i="571" s="1"/>
  <c r="R50" i="577"/>
  <c r="Q50" i="577"/>
  <c r="AG26" i="573"/>
  <c r="AH16" i="573" s="1"/>
  <c r="AF26" i="573"/>
  <c r="R62" i="571"/>
  <c r="Q62" i="571"/>
  <c r="R30" i="567"/>
  <c r="Q30" i="567"/>
  <c r="Q21" i="563"/>
  <c r="R59" i="573"/>
  <c r="Q59" i="573"/>
  <c r="O69" i="573"/>
  <c r="R51" i="563"/>
  <c r="Q51" i="563"/>
  <c r="L69" i="557"/>
  <c r="I13" i="556" s="1"/>
  <c r="J6" i="556" s="1"/>
  <c r="R53" i="559"/>
  <c r="Q53" i="559"/>
  <c r="R6" i="559"/>
  <c r="Q6" i="559"/>
  <c r="R20" i="563"/>
  <c r="AF48" i="557"/>
  <c r="Q48" i="557"/>
  <c r="AG48" i="557"/>
  <c r="AH38" i="557" s="1"/>
  <c r="AF58" i="569"/>
  <c r="AG58" i="569"/>
  <c r="AH49" i="569" s="1"/>
  <c r="Q58" i="569"/>
  <c r="Q8" i="557"/>
  <c r="R8" i="557"/>
  <c r="R27" i="557"/>
  <c r="L48" i="555"/>
  <c r="G13" i="554" s="1"/>
  <c r="Q58" i="563"/>
  <c r="AF58" i="563"/>
  <c r="AG58" i="563"/>
  <c r="AH49" i="563" s="1"/>
  <c r="L37" i="563"/>
  <c r="F13" i="562" s="1"/>
  <c r="F6" i="562" s="1"/>
  <c r="L69" i="553"/>
  <c r="I13" i="552" s="1"/>
  <c r="J6" i="552" s="1"/>
  <c r="R51" i="559"/>
  <c r="Q51" i="559"/>
  <c r="R17" i="555"/>
  <c r="Q17" i="555"/>
  <c r="O15" i="555"/>
  <c r="R5" i="555"/>
  <c r="Q5" i="555"/>
  <c r="Q38" i="555"/>
  <c r="O48" i="555"/>
  <c r="R38" i="555"/>
  <c r="R62" i="547"/>
  <c r="Q62" i="547"/>
  <c r="J3" i="544"/>
  <c r="G2" i="545"/>
  <c r="R21" i="545"/>
  <c r="Q48" i="3"/>
  <c r="AG48" i="3"/>
  <c r="AH38" i="3" s="1"/>
  <c r="AF48" i="3"/>
  <c r="Q7" i="551"/>
  <c r="R7" i="547"/>
  <c r="Q7" i="547"/>
  <c r="R8" i="553"/>
  <c r="Q8" i="553"/>
  <c r="AF37" i="551"/>
  <c r="AG37" i="551"/>
  <c r="AH27" i="551" s="1"/>
  <c r="Q37" i="551"/>
  <c r="R7" i="549"/>
  <c r="Q7" i="549"/>
  <c r="O58" i="3"/>
  <c r="R49" i="3"/>
  <c r="Q49" i="3"/>
  <c r="Q40" i="547"/>
  <c r="R40" i="547"/>
  <c r="O58" i="483"/>
  <c r="Q49" i="483"/>
  <c r="R49" i="483"/>
  <c r="R5" i="3"/>
  <c r="Q5" i="3"/>
  <c r="O15" i="3"/>
  <c r="AF37" i="3"/>
  <c r="Q51" i="3"/>
  <c r="R51" i="3"/>
  <c r="AG37" i="483"/>
  <c r="AH27" i="483" s="1"/>
  <c r="AF37" i="483"/>
  <c r="Q37" i="483"/>
  <c r="R29" i="567"/>
  <c r="Q29" i="567"/>
  <c r="G2" i="559"/>
  <c r="J3" i="558"/>
  <c r="O15" i="599"/>
  <c r="R5" i="599"/>
  <c r="Q5" i="599"/>
  <c r="R32" i="591"/>
  <c r="Q32" i="591"/>
  <c r="Q37" i="591"/>
  <c r="AG37" i="591"/>
  <c r="AH27" i="591" s="1"/>
  <c r="AF37" i="591"/>
  <c r="R18" i="575"/>
  <c r="Q18" i="575"/>
  <c r="R6" i="551"/>
  <c r="Q6" i="551"/>
  <c r="O15" i="551"/>
  <c r="Q58" i="587"/>
  <c r="AG58" i="587"/>
  <c r="AH49" i="587" s="1"/>
  <c r="AF58" i="587"/>
  <c r="Q30" i="607"/>
  <c r="R30" i="607"/>
  <c r="L79" i="603"/>
  <c r="J13" i="602" s="1"/>
  <c r="J6" i="602" s="1"/>
  <c r="R70" i="603"/>
  <c r="R29" i="603"/>
  <c r="Q29" i="603"/>
  <c r="AG48" i="605"/>
  <c r="AH38" i="605" s="1"/>
  <c r="AF48" i="605"/>
  <c r="R62" i="603"/>
  <c r="Q62" i="603"/>
  <c r="R39" i="599"/>
  <c r="Q39" i="599"/>
  <c r="Q70" i="603"/>
  <c r="R39" i="603"/>
  <c r="Q39" i="603"/>
  <c r="O30" i="603"/>
  <c r="AG30" i="603"/>
  <c r="AF30" i="603"/>
  <c r="R59" i="601"/>
  <c r="Q59" i="601"/>
  <c r="Q16" i="599"/>
  <c r="R16" i="599"/>
  <c r="Q29" i="599"/>
  <c r="R29" i="599"/>
  <c r="AG69" i="597"/>
  <c r="AH59" i="597" s="1"/>
  <c r="AF69" i="597"/>
  <c r="Q69" i="597"/>
  <c r="R40" i="593"/>
  <c r="Q40" i="593"/>
  <c r="O37" i="593"/>
  <c r="R27" i="593"/>
  <c r="Q27" i="593"/>
  <c r="R40" i="597"/>
  <c r="Q40" i="597"/>
  <c r="L79" i="597"/>
  <c r="J13" i="596" s="1"/>
  <c r="J6" i="596" s="1"/>
  <c r="Q70" i="597"/>
  <c r="R62" i="599"/>
  <c r="Q62" i="599"/>
  <c r="AG69" i="593"/>
  <c r="AH59" i="593" s="1"/>
  <c r="AF69" i="593"/>
  <c r="Q69" i="593"/>
  <c r="R8" i="599"/>
  <c r="Q8" i="599"/>
  <c r="AG17" i="599"/>
  <c r="AF17" i="599"/>
  <c r="O17" i="599"/>
  <c r="O26" i="599" s="1"/>
  <c r="Q17" i="597"/>
  <c r="R17" i="597"/>
  <c r="R8" i="597"/>
  <c r="Q8" i="597"/>
  <c r="Q5" i="597"/>
  <c r="R5" i="597"/>
  <c r="O15" i="597"/>
  <c r="R27" i="597"/>
  <c r="O37" i="597"/>
  <c r="Q27" i="597"/>
  <c r="AF62" i="591"/>
  <c r="O62" i="591"/>
  <c r="AG62" i="591"/>
  <c r="R7" i="591"/>
  <c r="Q7" i="591"/>
  <c r="Q50" i="591"/>
  <c r="R50" i="591"/>
  <c r="R53" i="591"/>
  <c r="Q53" i="591"/>
  <c r="AF15" i="591"/>
  <c r="AG15" i="591"/>
  <c r="AH5" i="591" s="1"/>
  <c r="P69" i="587"/>
  <c r="J79" i="587"/>
  <c r="P79" i="587" s="1"/>
  <c r="O48" i="589"/>
  <c r="Q38" i="589"/>
  <c r="R38" i="589"/>
  <c r="Q29" i="589"/>
  <c r="R29" i="589"/>
  <c r="R27" i="587"/>
  <c r="R58" i="583"/>
  <c r="S49" i="583" s="1"/>
  <c r="H14" i="582"/>
  <c r="H15" i="582" s="1"/>
  <c r="O37" i="585"/>
  <c r="R27" i="585"/>
  <c r="Q27" i="585"/>
  <c r="R28" i="581"/>
  <c r="Q28" i="581"/>
  <c r="R29" i="579"/>
  <c r="Q29" i="579"/>
  <c r="R52" i="581"/>
  <c r="Q52" i="581"/>
  <c r="R30" i="579"/>
  <c r="Q30" i="579"/>
  <c r="L58" i="581"/>
  <c r="H13" i="580" s="1"/>
  <c r="R19" i="577"/>
  <c r="Q19" i="577"/>
  <c r="AG37" i="581"/>
  <c r="AH27" i="581" s="1"/>
  <c r="Q37" i="581"/>
  <c r="AF37" i="581"/>
  <c r="G2" i="579"/>
  <c r="J3" i="578"/>
  <c r="Q70" i="573"/>
  <c r="O79" i="573"/>
  <c r="R70" i="573"/>
  <c r="R6" i="573"/>
  <c r="Q6" i="573"/>
  <c r="AG37" i="577"/>
  <c r="AH27" i="577" s="1"/>
  <c r="AF37" i="577"/>
  <c r="Q37" i="577"/>
  <c r="R7" i="573"/>
  <c r="Q7" i="573"/>
  <c r="AG58" i="575"/>
  <c r="AH49" i="575" s="1"/>
  <c r="Q58" i="575"/>
  <c r="AF58" i="575"/>
  <c r="R5" i="573"/>
  <c r="Q5" i="573"/>
  <c r="O15" i="573"/>
  <c r="Q58" i="573"/>
  <c r="AG58" i="573"/>
  <c r="AH49" i="573" s="1"/>
  <c r="AF58" i="573"/>
  <c r="G2" i="567"/>
  <c r="J3" i="566"/>
  <c r="R62" i="557"/>
  <c r="Q62" i="557"/>
  <c r="AG69" i="573"/>
  <c r="AH59" i="573" s="1"/>
  <c r="AF69" i="573"/>
  <c r="Q69" i="573"/>
  <c r="Q63" i="571"/>
  <c r="AG26" i="567"/>
  <c r="AH16" i="567" s="1"/>
  <c r="AF26" i="567"/>
  <c r="Q58" i="557"/>
  <c r="AF58" i="557"/>
  <c r="AG58" i="557"/>
  <c r="AH49" i="557" s="1"/>
  <c r="Q48" i="569"/>
  <c r="AF15" i="567"/>
  <c r="AG15" i="567"/>
  <c r="AH5" i="567" s="1"/>
  <c r="F6" i="556"/>
  <c r="R53" i="553"/>
  <c r="Q53" i="553"/>
  <c r="Q37" i="555"/>
  <c r="AG37" i="555"/>
  <c r="AH27" i="555" s="1"/>
  <c r="AF37" i="555"/>
  <c r="R49" i="563"/>
  <c r="Q49" i="563"/>
  <c r="O58" i="563"/>
  <c r="R30" i="555"/>
  <c r="Q30" i="555"/>
  <c r="Q6" i="557"/>
  <c r="H6" i="562"/>
  <c r="Q16" i="553"/>
  <c r="O26" i="553"/>
  <c r="R16" i="553"/>
  <c r="Q6" i="569"/>
  <c r="R6" i="569"/>
  <c r="AG15" i="555"/>
  <c r="AH5" i="555" s="1"/>
  <c r="AF15" i="555"/>
  <c r="L58" i="547"/>
  <c r="H13" i="546" s="1"/>
  <c r="H6" i="546" s="1"/>
  <c r="R17" i="545"/>
  <c r="Q17" i="545"/>
  <c r="AG15" i="545"/>
  <c r="AH5" i="545" s="1"/>
  <c r="AF15" i="545"/>
  <c r="Q52" i="547"/>
  <c r="L48" i="483"/>
  <c r="G13" i="482" s="1"/>
  <c r="H6" i="482" s="1"/>
  <c r="Q18" i="551"/>
  <c r="R18" i="551"/>
  <c r="R40" i="483"/>
  <c r="Q40" i="483"/>
  <c r="O48" i="3"/>
  <c r="R38" i="3"/>
  <c r="Q38" i="3"/>
  <c r="AF26" i="483"/>
  <c r="AG26" i="483"/>
  <c r="AH16" i="483" s="1"/>
  <c r="AG37" i="3"/>
  <c r="AH27" i="3" s="1"/>
  <c r="Q40" i="3"/>
  <c r="R40" i="3"/>
  <c r="O37" i="483"/>
  <c r="Q27" i="483"/>
  <c r="R27" i="483"/>
  <c r="AF37" i="603"/>
  <c r="Q37" i="603"/>
  <c r="AG37" i="603"/>
  <c r="AH27" i="603" s="1"/>
  <c r="R27" i="591"/>
  <c r="O37" i="591"/>
  <c r="Q27" i="591"/>
  <c r="Q48" i="587"/>
  <c r="AF48" i="587"/>
  <c r="AG48" i="587"/>
  <c r="AH38" i="587" s="1"/>
  <c r="R49" i="579"/>
  <c r="O58" i="579"/>
  <c r="Q49" i="579"/>
  <c r="F6" i="574"/>
  <c r="H6" i="574"/>
  <c r="R40" i="573"/>
  <c r="Q40" i="573"/>
  <c r="R59" i="563"/>
  <c r="Q59" i="563"/>
  <c r="O69" i="563"/>
  <c r="R26" i="569"/>
  <c r="S16" i="569" s="1"/>
  <c r="Q26" i="569"/>
  <c r="E14" i="568"/>
  <c r="E15" i="568" s="1"/>
  <c r="R50" i="551"/>
  <c r="Q50" i="551"/>
  <c r="R29" i="551"/>
  <c r="Q29" i="551"/>
  <c r="H6" i="544"/>
  <c r="F6" i="544"/>
  <c r="AG37" i="601"/>
  <c r="AH27" i="601" s="1"/>
  <c r="AF37" i="601"/>
  <c r="Q37" i="601"/>
  <c r="Q7" i="597"/>
  <c r="R7" i="597"/>
  <c r="Q31" i="599"/>
  <c r="R8" i="589"/>
  <c r="Q8" i="589"/>
  <c r="Q27" i="573"/>
  <c r="R27" i="573"/>
  <c r="O37" i="573"/>
  <c r="Q32" i="605"/>
  <c r="R32" i="605"/>
  <c r="Q48" i="593"/>
  <c r="R31" i="597"/>
  <c r="Q31" i="597"/>
  <c r="L26" i="587"/>
  <c r="E13" i="586" s="1"/>
  <c r="H6" i="586" s="1"/>
  <c r="Q16" i="587"/>
  <c r="AG15" i="597"/>
  <c r="AH5" i="597" s="1"/>
  <c r="AF15" i="597"/>
  <c r="L26" i="591"/>
  <c r="E13" i="590" s="1"/>
  <c r="I13" i="586"/>
  <c r="L79" i="587"/>
  <c r="J13" i="586" s="1"/>
  <c r="R17" i="589"/>
  <c r="Q17" i="589"/>
  <c r="R19" i="591"/>
  <c r="Q19" i="591"/>
  <c r="AF79" i="589"/>
  <c r="Q79" i="589"/>
  <c r="AG79" i="589"/>
  <c r="AH70" i="589" s="1"/>
  <c r="Q18" i="591"/>
  <c r="R18" i="591"/>
  <c r="O69" i="581"/>
  <c r="R59" i="581"/>
  <c r="Q59" i="581"/>
  <c r="R28" i="575"/>
  <c r="Q28" i="575"/>
  <c r="R61" i="577"/>
  <c r="Q61" i="577"/>
  <c r="R53" i="607"/>
  <c r="Q53" i="607"/>
  <c r="R51" i="605"/>
  <c r="Q51" i="605"/>
  <c r="R19" i="605"/>
  <c r="Q19" i="605"/>
  <c r="L26" i="603"/>
  <c r="E13" i="602" s="1"/>
  <c r="R19" i="599"/>
  <c r="Q19" i="599"/>
  <c r="O79" i="603"/>
  <c r="Q27" i="603"/>
  <c r="N48" i="601"/>
  <c r="O38" i="601"/>
  <c r="AG38" i="601"/>
  <c r="AF38" i="601"/>
  <c r="R59" i="599"/>
  <c r="Q59" i="599"/>
  <c r="O69" i="599"/>
  <c r="R20" i="599"/>
  <c r="Q20" i="599"/>
  <c r="Q38" i="593"/>
  <c r="R32" i="597"/>
  <c r="Q32" i="597"/>
  <c r="R38" i="593"/>
  <c r="L15" i="601"/>
  <c r="D13" i="600" s="1"/>
  <c r="Q32" i="593"/>
  <c r="R32" i="593"/>
  <c r="R29" i="593"/>
  <c r="Q29" i="593"/>
  <c r="Q37" i="597"/>
  <c r="AF37" i="597"/>
  <c r="AG37" i="597"/>
  <c r="AH27" i="597" s="1"/>
  <c r="R50" i="597"/>
  <c r="Q50" i="597"/>
  <c r="R5" i="591"/>
  <c r="Q5" i="591"/>
  <c r="O15" i="591"/>
  <c r="AF48" i="589"/>
  <c r="AG48" i="589"/>
  <c r="AH38" i="589" s="1"/>
  <c r="Q48" i="589"/>
  <c r="AG26" i="587"/>
  <c r="AH16" i="587" s="1"/>
  <c r="AF26" i="587"/>
  <c r="O37" i="587"/>
  <c r="O6" i="591"/>
  <c r="AG6" i="591"/>
  <c r="AF6" i="591"/>
  <c r="AG15" i="589"/>
  <c r="AH5" i="589" s="1"/>
  <c r="AF15" i="589"/>
  <c r="O26" i="589"/>
  <c r="L37" i="585"/>
  <c r="F13" i="584" s="1"/>
  <c r="R19" i="587"/>
  <c r="Q19" i="587"/>
  <c r="Q70" i="585"/>
  <c r="Q19" i="593"/>
  <c r="R19" i="593"/>
  <c r="L37" i="581"/>
  <c r="F13" i="580" s="1"/>
  <c r="R18" i="581"/>
  <c r="Q18" i="581"/>
  <c r="O26" i="581"/>
  <c r="L69" i="577"/>
  <c r="I13" i="576" s="1"/>
  <c r="J6" i="576" s="1"/>
  <c r="R27" i="583"/>
  <c r="Q27" i="583"/>
  <c r="O37" i="583"/>
  <c r="R62" i="577"/>
  <c r="Q62" i="577"/>
  <c r="R41" i="577"/>
  <c r="Q41" i="577"/>
  <c r="R52" i="575"/>
  <c r="Q52" i="575"/>
  <c r="R40" i="579"/>
  <c r="Q40" i="579"/>
  <c r="R51" i="571"/>
  <c r="Q51" i="571"/>
  <c r="R62" i="573"/>
  <c r="Q62" i="573"/>
  <c r="O6" i="572"/>
  <c r="R49" i="575"/>
  <c r="O58" i="575"/>
  <c r="Q49" i="575"/>
  <c r="O58" i="573"/>
  <c r="Q49" i="573"/>
  <c r="R49" i="573"/>
  <c r="R19" i="563"/>
  <c r="Q19" i="563"/>
  <c r="R18" i="559"/>
  <c r="Q18" i="559"/>
  <c r="R61" i="563"/>
  <c r="Q61" i="563"/>
  <c r="R52" i="559"/>
  <c r="Q52" i="559"/>
  <c r="R9" i="559"/>
  <c r="Q9" i="559"/>
  <c r="AG37" i="573"/>
  <c r="AH27" i="573" s="1"/>
  <c r="AF37" i="573"/>
  <c r="Q37" i="573"/>
  <c r="R16" i="567"/>
  <c r="Q16" i="567"/>
  <c r="O26" i="567"/>
  <c r="R29" i="571"/>
  <c r="Q29" i="571"/>
  <c r="R52" i="557"/>
  <c r="Q52" i="557"/>
  <c r="R7" i="563"/>
  <c r="Q7" i="563"/>
  <c r="R5" i="567"/>
  <c r="Q5" i="567"/>
  <c r="O15" i="567"/>
  <c r="R40" i="553"/>
  <c r="Q40" i="553"/>
  <c r="R17" i="571"/>
  <c r="Q17" i="571"/>
  <c r="G2" i="563"/>
  <c r="J3" i="562"/>
  <c r="AG37" i="557"/>
  <c r="AH27" i="557" s="1"/>
  <c r="AF37" i="557"/>
  <c r="Q37" i="557"/>
  <c r="Q48" i="559"/>
  <c r="AF48" i="559"/>
  <c r="AG48" i="559"/>
  <c r="AH38" i="559" s="1"/>
  <c r="R50" i="553"/>
  <c r="Q50" i="553"/>
  <c r="AG26" i="553"/>
  <c r="AH16" i="553" s="1"/>
  <c r="AF26" i="553"/>
  <c r="R50" i="557"/>
  <c r="Q50" i="557"/>
  <c r="R19" i="557"/>
  <c r="Q19" i="557"/>
  <c r="AG48" i="551"/>
  <c r="AH38" i="551" s="1"/>
  <c r="AF48" i="551"/>
  <c r="Q48" i="551"/>
  <c r="R5" i="549"/>
  <c r="F6" i="546"/>
  <c r="R5" i="553"/>
  <c r="Q5" i="553"/>
  <c r="O15" i="553"/>
  <c r="O58" i="567"/>
  <c r="R79" i="3"/>
  <c r="S70" i="3" s="1"/>
  <c r="J15" i="2" s="1"/>
  <c r="J14" i="2"/>
  <c r="L69" i="549"/>
  <c r="I13" i="548" s="1"/>
  <c r="J6" i="548" s="1"/>
  <c r="R39" i="483"/>
  <c r="Q39" i="483"/>
  <c r="R7" i="3"/>
  <c r="Q7" i="3"/>
  <c r="R50" i="3"/>
  <c r="Q50" i="3"/>
  <c r="O26" i="483"/>
  <c r="R16" i="483"/>
  <c r="Q16" i="483"/>
  <c r="O26" i="605"/>
  <c r="R16" i="605"/>
  <c r="Q16" i="605"/>
  <c r="R20" i="597"/>
  <c r="Q20" i="597"/>
  <c r="R7" i="589"/>
  <c r="Q7" i="589"/>
  <c r="R30" i="591"/>
  <c r="Q30" i="591"/>
  <c r="R17" i="587"/>
  <c r="Q17" i="587"/>
  <c r="Q40" i="571"/>
  <c r="R40" i="571"/>
  <c r="Q28" i="547"/>
  <c r="R28" i="547"/>
  <c r="O15" i="547"/>
  <c r="R5" i="547"/>
  <c r="Q5" i="547"/>
  <c r="R26" i="547"/>
  <c r="S16" i="547" s="1"/>
  <c r="Q26" i="547"/>
  <c r="E14" i="546"/>
  <c r="E15" i="546" s="1"/>
  <c r="L37" i="605"/>
  <c r="F13" i="604" s="1"/>
  <c r="H6" i="604" s="1"/>
  <c r="R28" i="605"/>
  <c r="Q28" i="605"/>
  <c r="Q21" i="591"/>
  <c r="R21" i="591"/>
  <c r="R28" i="591"/>
  <c r="Q28" i="591"/>
  <c r="Q37" i="587"/>
  <c r="AG37" i="587"/>
  <c r="AH27" i="587" s="1"/>
  <c r="AF37" i="587"/>
  <c r="R31" i="587"/>
  <c r="Q31" i="587"/>
  <c r="R60" i="585"/>
  <c r="Q60" i="585"/>
  <c r="AG26" i="607"/>
  <c r="AH16" i="607" s="1"/>
  <c r="AF26" i="607"/>
  <c r="AG61" i="603"/>
  <c r="AF61" i="603"/>
  <c r="O61" i="603"/>
  <c r="AG26" i="603"/>
  <c r="AH16" i="603" s="1"/>
  <c r="AF26" i="603"/>
  <c r="R52" i="601"/>
  <c r="Q52" i="601"/>
  <c r="G2" i="591"/>
  <c r="J3" i="590"/>
  <c r="Q7" i="593"/>
  <c r="R7" i="593"/>
  <c r="Q16" i="591"/>
  <c r="R16" i="591"/>
  <c r="O26" i="591"/>
  <c r="J6" i="590"/>
  <c r="H14" i="588"/>
  <c r="H15" i="588" s="1"/>
  <c r="R58" i="589"/>
  <c r="S49" i="589" s="1"/>
  <c r="I14" i="588"/>
  <c r="R69" i="589"/>
  <c r="S59" i="589" s="1"/>
  <c r="Q69" i="587"/>
  <c r="AG69" i="587"/>
  <c r="AH59" i="587" s="1"/>
  <c r="AF69" i="587"/>
  <c r="N79" i="587"/>
  <c r="R60" i="589"/>
  <c r="Q60" i="589"/>
  <c r="R18" i="587"/>
  <c r="Q18" i="587"/>
  <c r="R6" i="583"/>
  <c r="Q6" i="583"/>
  <c r="AF37" i="583"/>
  <c r="AG37" i="583"/>
  <c r="AH27" i="583" s="1"/>
  <c r="Q37" i="583"/>
  <c r="AG69" i="575"/>
  <c r="AH59" i="575" s="1"/>
  <c r="AF69" i="575"/>
  <c r="Q69" i="575"/>
  <c r="Q58" i="577"/>
  <c r="AG58" i="577"/>
  <c r="AH49" i="577" s="1"/>
  <c r="AF58" i="577"/>
  <c r="R61" i="583"/>
  <c r="Q61" i="583"/>
  <c r="AG15" i="577"/>
  <c r="AH5" i="577" s="1"/>
  <c r="AF15" i="577"/>
  <c r="Q60" i="581"/>
  <c r="R60" i="581"/>
  <c r="Q6" i="577"/>
  <c r="R6" i="577"/>
  <c r="O15" i="577"/>
  <c r="R60" i="577"/>
  <c r="Q60" i="577"/>
  <c r="L26" i="585"/>
  <c r="E13" i="584" s="1"/>
  <c r="R40" i="577"/>
  <c r="Q40" i="577"/>
  <c r="R50" i="569"/>
  <c r="Q50" i="569"/>
  <c r="Q48" i="575"/>
  <c r="AG48" i="575"/>
  <c r="AH38" i="575" s="1"/>
  <c r="AF48" i="575"/>
  <c r="AG15" i="573"/>
  <c r="AH5" i="573" s="1"/>
  <c r="AF15" i="573"/>
  <c r="R41" i="573"/>
  <c r="Q41" i="573"/>
  <c r="L48" i="569"/>
  <c r="G13" i="568" s="1"/>
  <c r="R61" i="567"/>
  <c r="Q61" i="567"/>
  <c r="G2" i="573"/>
  <c r="J3" i="572"/>
  <c r="AF58" i="571"/>
  <c r="Q58" i="571"/>
  <c r="AG58" i="571"/>
  <c r="AH49" i="571" s="1"/>
  <c r="L15" i="569"/>
  <c r="D13" i="568" s="1"/>
  <c r="R38" i="557"/>
  <c r="Q38" i="557"/>
  <c r="O48" i="557"/>
  <c r="Q60" i="567"/>
  <c r="R60" i="567"/>
  <c r="F14" i="556"/>
  <c r="F15" i="556" s="1"/>
  <c r="R37" i="557"/>
  <c r="S27" i="557" s="1"/>
  <c r="R29" i="573"/>
  <c r="Q29" i="573"/>
  <c r="R40" i="563"/>
  <c r="Q40" i="563"/>
  <c r="R50" i="555"/>
  <c r="Q50" i="555"/>
  <c r="Q39" i="553"/>
  <c r="L48" i="553"/>
  <c r="G13" i="552" s="1"/>
  <c r="Q28" i="571"/>
  <c r="R28" i="571"/>
  <c r="R29" i="557"/>
  <c r="Q29" i="557"/>
  <c r="Q8" i="555"/>
  <c r="R8" i="555"/>
  <c r="R19" i="551"/>
  <c r="Q19" i="551"/>
  <c r="Q49" i="545"/>
  <c r="O58" i="545"/>
  <c r="R49" i="545"/>
  <c r="R40" i="545"/>
  <c r="Q40" i="545"/>
  <c r="O58" i="551"/>
  <c r="R49" i="551"/>
  <c r="Q49" i="551"/>
  <c r="O58" i="549"/>
  <c r="Q49" i="549"/>
  <c r="R49" i="549"/>
  <c r="R60" i="551"/>
  <c r="Q60" i="551"/>
  <c r="R61" i="549"/>
  <c r="Q61" i="549"/>
  <c r="O48" i="547"/>
  <c r="R38" i="547"/>
  <c r="Q38" i="547"/>
  <c r="Q20" i="551"/>
  <c r="Q18" i="545"/>
  <c r="R18" i="545"/>
  <c r="O69" i="549"/>
  <c r="R59" i="549"/>
  <c r="Q59" i="549"/>
  <c r="R7" i="483"/>
  <c r="Q7" i="483"/>
  <c r="Q27" i="551"/>
  <c r="R52" i="567"/>
  <c r="Q52" i="567"/>
  <c r="I14" i="554"/>
  <c r="AG15" i="551"/>
  <c r="AH5" i="551" s="1"/>
  <c r="AF15" i="551"/>
  <c r="R29" i="549"/>
  <c r="Q29" i="549"/>
  <c r="R39" i="3"/>
  <c r="Q39" i="3"/>
  <c r="Q48" i="583"/>
  <c r="AG48" i="583"/>
  <c r="AH38" i="583" s="1"/>
  <c r="AF48" i="583"/>
  <c r="R30" i="563"/>
  <c r="Q30" i="563"/>
  <c r="L15" i="555"/>
  <c r="D13" i="554" s="1"/>
  <c r="AG37" i="547"/>
  <c r="AH27" i="547" s="1"/>
  <c r="AF37" i="547"/>
  <c r="Q37" i="547"/>
  <c r="R29" i="547"/>
  <c r="Q29" i="547"/>
  <c r="O48" i="553"/>
  <c r="Q38" i="553"/>
  <c r="R38" i="553"/>
  <c r="R18" i="3"/>
  <c r="Q18" i="3"/>
  <c r="L79" i="591"/>
  <c r="J13" i="590" s="1"/>
  <c r="R63" i="593"/>
  <c r="Q63" i="593"/>
  <c r="R61" i="589"/>
  <c r="Q61" i="589"/>
  <c r="Q52" i="585"/>
  <c r="AG15" i="587"/>
  <c r="AH5" i="587" s="1"/>
  <c r="AF15" i="587"/>
  <c r="R30" i="585"/>
  <c r="Q30" i="585"/>
  <c r="R6" i="597"/>
  <c r="Q6" i="597"/>
  <c r="Q31" i="585"/>
  <c r="R62" i="583"/>
  <c r="Q62" i="583"/>
  <c r="L69" i="581"/>
  <c r="I13" i="580" s="1"/>
  <c r="J6" i="580" s="1"/>
  <c r="R19" i="583"/>
  <c r="Q19" i="583"/>
  <c r="AF48" i="585"/>
  <c r="Q48" i="585"/>
  <c r="AG48" i="585"/>
  <c r="AH38" i="585" s="1"/>
  <c r="L69" i="585"/>
  <c r="R69" i="585" s="1"/>
  <c r="S59" i="585" s="1"/>
  <c r="Q59" i="585"/>
  <c r="AF15" i="581"/>
  <c r="AG15" i="581"/>
  <c r="AH5" i="581" s="1"/>
  <c r="Q58" i="583"/>
  <c r="AG58" i="583"/>
  <c r="AH49" i="583" s="1"/>
  <c r="AF58" i="583"/>
  <c r="AF26" i="585"/>
  <c r="AG26" i="585"/>
  <c r="AH16" i="585" s="1"/>
  <c r="R29" i="575"/>
  <c r="Q29" i="575"/>
  <c r="O48" i="571"/>
  <c r="Q31" i="577"/>
  <c r="R31" i="577"/>
  <c r="L58" i="569"/>
  <c r="H13" i="568" s="1"/>
  <c r="Q49" i="569"/>
  <c r="O48" i="575"/>
  <c r="R38" i="575"/>
  <c r="Q38" i="575"/>
  <c r="O37" i="577"/>
  <c r="R27" i="577"/>
  <c r="Q27" i="577"/>
  <c r="Q48" i="567"/>
  <c r="AG48" i="567"/>
  <c r="AH38" i="567" s="1"/>
  <c r="AF48" i="567"/>
  <c r="AF48" i="573"/>
  <c r="Q48" i="573"/>
  <c r="AG48" i="573"/>
  <c r="AH38" i="573" s="1"/>
  <c r="R8" i="563"/>
  <c r="Q8" i="563"/>
  <c r="L15" i="573"/>
  <c r="D13" i="572" s="1"/>
  <c r="R6" i="567"/>
  <c r="Q6" i="567"/>
  <c r="R59" i="559"/>
  <c r="O69" i="559"/>
  <c r="Q59" i="559"/>
  <c r="O15" i="559"/>
  <c r="R5" i="559"/>
  <c r="Q5" i="559"/>
  <c r="R49" i="571"/>
  <c r="O58" i="571"/>
  <c r="Q49" i="571"/>
  <c r="Q23" i="567"/>
  <c r="R38" i="559"/>
  <c r="R39" i="559"/>
  <c r="Q39" i="559"/>
  <c r="R26" i="555"/>
  <c r="S16" i="555" s="1"/>
  <c r="E14" i="554"/>
  <c r="E15" i="554" s="1"/>
  <c r="Q26" i="555"/>
  <c r="R9" i="555"/>
  <c r="Q9" i="555"/>
  <c r="L37" i="555"/>
  <c r="F13" i="554" s="1"/>
  <c r="O37" i="563"/>
  <c r="R27" i="563"/>
  <c r="Q27" i="563"/>
  <c r="O58" i="553"/>
  <c r="R49" i="553"/>
  <c r="Q49" i="553"/>
  <c r="L15" i="553"/>
  <c r="D13" i="552" s="1"/>
  <c r="Q7" i="557"/>
  <c r="R7" i="557"/>
  <c r="Q17" i="567"/>
  <c r="R17" i="567"/>
  <c r="R29" i="555"/>
  <c r="Q29" i="555"/>
  <c r="AG58" i="545"/>
  <c r="AH49" i="545" s="1"/>
  <c r="AF58" i="545"/>
  <c r="Q58" i="545"/>
  <c r="Q30" i="545"/>
  <c r="R30" i="545"/>
  <c r="R18" i="547"/>
  <c r="Q18" i="547"/>
  <c r="Q58" i="551"/>
  <c r="AG58" i="551"/>
  <c r="AH49" i="551" s="1"/>
  <c r="AF58" i="551"/>
  <c r="R59" i="557"/>
  <c r="Q59" i="557"/>
  <c r="O69" i="557"/>
  <c r="AG58" i="549"/>
  <c r="AH49" i="549" s="1"/>
  <c r="AF58" i="549"/>
  <c r="Q58" i="549"/>
  <c r="R52" i="549"/>
  <c r="Q52" i="549"/>
  <c r="AG48" i="547"/>
  <c r="AH38" i="547" s="1"/>
  <c r="AF48" i="547"/>
  <c r="Q48" i="547"/>
  <c r="F6" i="2"/>
  <c r="H6" i="2"/>
  <c r="Q69" i="549"/>
  <c r="AG69" i="549"/>
  <c r="AH59" i="549" s="1"/>
  <c r="AF69" i="549"/>
  <c r="Q37" i="553"/>
  <c r="AG37" i="553"/>
  <c r="AH27" i="553" s="1"/>
  <c r="AF37" i="553"/>
  <c r="AG26" i="549"/>
  <c r="AH16" i="549" s="1"/>
  <c r="AF26" i="549"/>
  <c r="Q5" i="545"/>
  <c r="O15" i="545"/>
  <c r="R5" i="545"/>
  <c r="R30" i="483"/>
  <c r="Q30" i="483"/>
  <c r="R62" i="551"/>
  <c r="Q62" i="551"/>
  <c r="R62" i="549"/>
  <c r="R29" i="3"/>
  <c r="Q29" i="3"/>
  <c r="R60" i="483"/>
  <c r="O37" i="551"/>
  <c r="Q17" i="483"/>
  <c r="R17" i="483"/>
  <c r="Q69" i="605"/>
  <c r="AF69" i="605"/>
  <c r="AG69" i="605"/>
  <c r="AH59" i="605" s="1"/>
  <c r="R52" i="593"/>
  <c r="Q52" i="593"/>
  <c r="O26" i="597"/>
  <c r="G2" i="597"/>
  <c r="J3" i="596"/>
  <c r="R51" i="575"/>
  <c r="Q51" i="575"/>
  <c r="O15" i="579"/>
  <c r="R5" i="579"/>
  <c r="Q5" i="579"/>
  <c r="R17" i="575"/>
  <c r="Q17" i="575"/>
  <c r="R19" i="571"/>
  <c r="Q19" i="571"/>
  <c r="L37" i="569"/>
  <c r="F13" i="568" s="1"/>
  <c r="Q27" i="569"/>
  <c r="Q59" i="569"/>
  <c r="O69" i="569"/>
  <c r="R59" i="569"/>
  <c r="Q37" i="559"/>
  <c r="AG37" i="559"/>
  <c r="AH27" i="559" s="1"/>
  <c r="AF37" i="559"/>
  <c r="Q16" i="559"/>
  <c r="O26" i="559"/>
  <c r="R16" i="559"/>
  <c r="R8" i="483"/>
  <c r="Q8" i="483"/>
  <c r="R72" i="603"/>
  <c r="Q72" i="603"/>
  <c r="AG79" i="591"/>
  <c r="AH70" i="591" s="1"/>
  <c r="Q79" i="591"/>
  <c r="AF79" i="591"/>
  <c r="R18" i="573"/>
  <c r="Q18" i="573"/>
  <c r="AG26" i="559"/>
  <c r="AH16" i="559" s="1"/>
  <c r="AF26" i="559"/>
  <c r="H6" i="548"/>
  <c r="F6" i="548"/>
  <c r="R27" i="603"/>
  <c r="R52" i="599"/>
  <c r="Q52" i="599"/>
  <c r="R8" i="603"/>
  <c r="Q8" i="603"/>
  <c r="Q39" i="601"/>
  <c r="R39" i="601"/>
  <c r="R48" i="593"/>
  <c r="S38" i="593" s="1"/>
  <c r="G14" i="592"/>
  <c r="G15" i="592" s="1"/>
  <c r="Q16" i="607"/>
  <c r="R16" i="607"/>
  <c r="O26" i="607"/>
  <c r="L58" i="605"/>
  <c r="H13" i="604" s="1"/>
  <c r="N6" i="604"/>
  <c r="O6" i="604"/>
  <c r="N69" i="603"/>
  <c r="R20" i="607"/>
  <c r="Q20" i="607"/>
  <c r="O61" i="601"/>
  <c r="O69" i="601" s="1"/>
  <c r="AG61" i="601"/>
  <c r="AF61" i="601"/>
  <c r="R30" i="605"/>
  <c r="Q30" i="605"/>
  <c r="Q53" i="605"/>
  <c r="R53" i="605"/>
  <c r="Q27" i="605"/>
  <c r="R27" i="605"/>
  <c r="O37" i="605"/>
  <c r="R17" i="603"/>
  <c r="Q17" i="603"/>
  <c r="O37" i="603"/>
  <c r="Q37" i="599"/>
  <c r="AG37" i="599"/>
  <c r="AH27" i="599" s="1"/>
  <c r="AF37" i="599"/>
  <c r="O37" i="601"/>
  <c r="Q19" i="601"/>
  <c r="R19" i="601"/>
  <c r="R61" i="593"/>
  <c r="Q61" i="593"/>
  <c r="L15" i="597"/>
  <c r="D13" i="596" s="1"/>
  <c r="O71" i="597"/>
  <c r="N79" i="597"/>
  <c r="Q52" i="589"/>
  <c r="R52" i="589"/>
  <c r="R51" i="591"/>
  <c r="Q51" i="591"/>
  <c r="Q58" i="591"/>
  <c r="AG58" i="591"/>
  <c r="AH49" i="591" s="1"/>
  <c r="AF58" i="591"/>
  <c r="O48" i="591"/>
  <c r="R38" i="591"/>
  <c r="Q38" i="591"/>
  <c r="AG79" i="607"/>
  <c r="AH70" i="607" s="1"/>
  <c r="AF79" i="607"/>
  <c r="Q79" i="607"/>
  <c r="AF15" i="607"/>
  <c r="AG15" i="607"/>
  <c r="AH5" i="607" s="1"/>
  <c r="O79" i="607"/>
  <c r="AG48" i="607"/>
  <c r="AH38" i="607" s="1"/>
  <c r="Q37" i="607"/>
  <c r="AG37" i="607"/>
  <c r="AH27" i="607" s="1"/>
  <c r="AF37" i="607"/>
  <c r="N48" i="603"/>
  <c r="L69" i="601"/>
  <c r="I13" i="600" s="1"/>
  <c r="J6" i="600" s="1"/>
  <c r="Q50" i="603"/>
  <c r="R50" i="603"/>
  <c r="AG37" i="605"/>
  <c r="AH27" i="605" s="1"/>
  <c r="AF37" i="605"/>
  <c r="Q37" i="605"/>
  <c r="R7" i="603"/>
  <c r="Q7" i="603"/>
  <c r="R70" i="597"/>
  <c r="AF15" i="603"/>
  <c r="AG15" i="603"/>
  <c r="AH5" i="603" s="1"/>
  <c r="N26" i="601"/>
  <c r="Q61" i="597"/>
  <c r="R61" i="597"/>
  <c r="L26" i="601"/>
  <c r="E13" i="600" s="1"/>
  <c r="R49" i="599"/>
  <c r="Q49" i="599"/>
  <c r="O58" i="599"/>
  <c r="AG8" i="593"/>
  <c r="O8" i="593"/>
  <c r="AF8" i="593"/>
  <c r="Q30" i="597"/>
  <c r="R30" i="597"/>
  <c r="Q79" i="593"/>
  <c r="AG79" i="593"/>
  <c r="AH70" i="593" s="1"/>
  <c r="AF79" i="593"/>
  <c r="Q39" i="597"/>
  <c r="R28" i="593"/>
  <c r="Q28" i="593"/>
  <c r="O18" i="593"/>
  <c r="AG18" i="593"/>
  <c r="AF18" i="593"/>
  <c r="Q49" i="591"/>
  <c r="O58" i="591"/>
  <c r="R49" i="591"/>
  <c r="L58" i="589"/>
  <c r="H13" i="588" s="1"/>
  <c r="R49" i="589"/>
  <c r="R39" i="591"/>
  <c r="Q39" i="591"/>
  <c r="N26" i="593"/>
  <c r="AG37" i="589"/>
  <c r="AH27" i="589" s="1"/>
  <c r="AF37" i="589"/>
  <c r="Q37" i="589"/>
  <c r="R6" i="589"/>
  <c r="Q6" i="589"/>
  <c r="J3" i="588"/>
  <c r="G2" i="589"/>
  <c r="O15" i="585"/>
  <c r="R5" i="585"/>
  <c r="Q5" i="585"/>
  <c r="R59" i="583"/>
  <c r="Q59" i="583"/>
  <c r="O69" i="583"/>
  <c r="R16" i="587"/>
  <c r="Q32" i="585"/>
  <c r="Q59" i="587"/>
  <c r="Q21" i="581"/>
  <c r="R62" i="579"/>
  <c r="Q62" i="579"/>
  <c r="AG48" i="581"/>
  <c r="AH38" i="581" s="1"/>
  <c r="Q48" i="581"/>
  <c r="AF48" i="581"/>
  <c r="Q19" i="581"/>
  <c r="R19" i="581"/>
  <c r="R50" i="583"/>
  <c r="Q50" i="583"/>
  <c r="Q50" i="587"/>
  <c r="R50" i="587"/>
  <c r="AG15" i="579"/>
  <c r="AH5" i="579" s="1"/>
  <c r="AF15" i="579"/>
  <c r="O26" i="585"/>
  <c r="R16" i="585"/>
  <c r="Q16" i="585"/>
  <c r="R8" i="577"/>
  <c r="Q8" i="577"/>
  <c r="L69" i="571"/>
  <c r="I13" i="570" s="1"/>
  <c r="J6" i="570" s="1"/>
  <c r="AG15" i="575"/>
  <c r="AH5" i="575" s="1"/>
  <c r="AF15" i="575"/>
  <c r="Q50" i="573"/>
  <c r="R50" i="573"/>
  <c r="R27" i="569"/>
  <c r="Q20" i="575"/>
  <c r="R38" i="573"/>
  <c r="Q38" i="573"/>
  <c r="O48" i="573"/>
  <c r="R41" i="563"/>
  <c r="Q41" i="563"/>
  <c r="R40" i="559"/>
  <c r="Q40" i="559"/>
  <c r="L69" i="569"/>
  <c r="I13" i="568" s="1"/>
  <c r="J6" i="568" s="1"/>
  <c r="R27" i="555"/>
  <c r="O37" i="555"/>
  <c r="Q27" i="555"/>
  <c r="O26" i="571"/>
  <c r="Q16" i="571"/>
  <c r="R16" i="571"/>
  <c r="R28" i="559"/>
  <c r="Q28" i="559"/>
  <c r="O48" i="559"/>
  <c r="L69" i="555"/>
  <c r="I13" i="554" s="1"/>
  <c r="J6" i="554" s="1"/>
  <c r="R70" i="567"/>
  <c r="Q70" i="567"/>
  <c r="O79" i="567"/>
  <c r="O37" i="553"/>
  <c r="R27" i="553"/>
  <c r="Q27" i="553"/>
  <c r="L48" i="557"/>
  <c r="G13" i="556" s="1"/>
  <c r="H6" i="556" s="1"/>
  <c r="Q28" i="557"/>
  <c r="R28" i="557"/>
  <c r="Q37" i="563"/>
  <c r="AF37" i="563"/>
  <c r="AG37" i="563"/>
  <c r="AH27" i="563" s="1"/>
  <c r="R29" i="559"/>
  <c r="Q29" i="559"/>
  <c r="AG58" i="553"/>
  <c r="AH49" i="553" s="1"/>
  <c r="AF58" i="553"/>
  <c r="Q58" i="553"/>
  <c r="R18" i="557"/>
  <c r="Q48" i="571"/>
  <c r="G2" i="553"/>
  <c r="J3" i="552"/>
  <c r="Q69" i="555"/>
  <c r="AF69" i="555"/>
  <c r="AG69" i="555"/>
  <c r="AH59" i="555" s="1"/>
  <c r="O69" i="547"/>
  <c r="Q59" i="547"/>
  <c r="R59" i="547"/>
  <c r="Q16" i="545"/>
  <c r="O26" i="545"/>
  <c r="R16" i="545"/>
  <c r="R49" i="547"/>
  <c r="O58" i="547"/>
  <c r="Q49" i="547"/>
  <c r="O48" i="545"/>
  <c r="L15" i="559"/>
  <c r="D13" i="558" s="1"/>
  <c r="R53" i="551"/>
  <c r="Q53" i="551"/>
  <c r="AG69" i="557"/>
  <c r="AH59" i="557" s="1"/>
  <c r="AF69" i="557"/>
  <c r="Q69" i="557"/>
  <c r="AF48" i="483"/>
  <c r="Q48" i="483"/>
  <c r="AG48" i="483"/>
  <c r="AH38" i="483" s="1"/>
  <c r="R6" i="553"/>
  <c r="Q6" i="553"/>
  <c r="Q39" i="547"/>
  <c r="R39" i="547"/>
  <c r="Q50" i="547"/>
  <c r="O15" i="557"/>
  <c r="R5" i="557"/>
  <c r="Q5" i="557"/>
  <c r="R60" i="3"/>
  <c r="Q60" i="3"/>
  <c r="Q18" i="483"/>
  <c r="R18" i="483"/>
  <c r="AG26" i="3"/>
  <c r="AH16" i="3" s="1"/>
  <c r="AF26" i="3"/>
  <c r="R27" i="551"/>
  <c r="H6" i="588"/>
  <c r="R31" i="593"/>
  <c r="Q31" i="593"/>
  <c r="O58" i="581"/>
  <c r="Q49" i="581"/>
  <c r="R49" i="581"/>
  <c r="R20" i="593"/>
  <c r="Q20" i="593"/>
  <c r="Q6" i="593"/>
  <c r="R6" i="593"/>
  <c r="R41" i="589"/>
  <c r="Q41" i="589"/>
  <c r="R70" i="587"/>
  <c r="Q70" i="587"/>
  <c r="Q30" i="589"/>
  <c r="R30" i="589"/>
  <c r="Q58" i="581"/>
  <c r="AG58" i="581"/>
  <c r="AH49" i="581" s="1"/>
  <c r="AF58" i="581"/>
  <c r="Q69" i="583"/>
  <c r="AG69" i="583"/>
  <c r="AH59" i="583" s="1"/>
  <c r="AF69" i="583"/>
  <c r="AG26" i="589"/>
  <c r="AH16" i="589" s="1"/>
  <c r="AF26" i="589"/>
  <c r="Q79" i="585"/>
  <c r="AG79" i="585"/>
  <c r="AH70" i="585" s="1"/>
  <c r="AF79" i="585"/>
  <c r="R59" i="587"/>
  <c r="R48" i="585"/>
  <c r="S38" i="585" s="1"/>
  <c r="G14" i="584"/>
  <c r="G15" i="584" s="1"/>
  <c r="O6" i="576"/>
  <c r="N6" i="576"/>
  <c r="R30" i="583"/>
  <c r="Q30" i="583"/>
  <c r="L58" i="579"/>
  <c r="H13" i="578" s="1"/>
  <c r="H6" i="578" s="1"/>
  <c r="O37" i="579"/>
  <c r="R51" i="581"/>
  <c r="Q51" i="581"/>
  <c r="Q17" i="577"/>
  <c r="O26" i="577"/>
  <c r="R17" i="577"/>
  <c r="O15" i="575"/>
  <c r="R5" i="575"/>
  <c r="Q5" i="575"/>
  <c r="Q37" i="575"/>
  <c r="AG37" i="575"/>
  <c r="AH27" i="575" s="1"/>
  <c r="AF37" i="575"/>
  <c r="O48" i="569"/>
  <c r="Q38" i="569"/>
  <c r="R38" i="569"/>
  <c r="R37" i="569"/>
  <c r="S27" i="569" s="1"/>
  <c r="F14" i="568"/>
  <c r="F15" i="568" s="1"/>
  <c r="L37" i="567"/>
  <c r="F13" i="566" s="1"/>
  <c r="H6" i="566" s="1"/>
  <c r="Q27" i="567"/>
  <c r="R27" i="567"/>
  <c r="R51" i="573"/>
  <c r="Q51" i="573"/>
  <c r="O69" i="567"/>
  <c r="R59" i="567"/>
  <c r="Q59" i="567"/>
  <c r="AF48" i="569"/>
  <c r="Q79" i="559"/>
  <c r="AG79" i="559"/>
  <c r="AH70" i="559" s="1"/>
  <c r="AF79" i="559"/>
  <c r="AF26" i="579"/>
  <c r="AG26" i="579"/>
  <c r="AH16" i="579" s="1"/>
  <c r="R60" i="571"/>
  <c r="Q60" i="571"/>
  <c r="Q53" i="567"/>
  <c r="R53" i="567"/>
  <c r="Q58" i="559"/>
  <c r="AG58" i="559"/>
  <c r="AH49" i="559" s="1"/>
  <c r="AF58" i="559"/>
  <c r="AF26" i="571"/>
  <c r="AG26" i="571"/>
  <c r="AH16" i="571" s="1"/>
  <c r="Q60" i="563"/>
  <c r="R60" i="563"/>
  <c r="R8" i="567"/>
  <c r="Q8" i="567"/>
  <c r="Q8" i="559"/>
  <c r="AF26" i="555"/>
  <c r="AG26" i="555"/>
  <c r="AH16" i="555" s="1"/>
  <c r="R30" i="557"/>
  <c r="Q30" i="557"/>
  <c r="Q69" i="553"/>
  <c r="AG69" i="553"/>
  <c r="AH59" i="553" s="1"/>
  <c r="AF69" i="553"/>
  <c r="R79" i="559"/>
  <c r="S70" i="559" s="1"/>
  <c r="J15" i="558" s="1"/>
  <c r="J14" i="558"/>
  <c r="Q60" i="557"/>
  <c r="R60" i="557"/>
  <c r="R16" i="551"/>
  <c r="O26" i="551"/>
  <c r="Q16" i="551"/>
  <c r="AF48" i="571"/>
  <c r="J3" i="556"/>
  <c r="G2" i="557"/>
  <c r="Q60" i="549"/>
  <c r="AG69" i="547"/>
  <c r="AH59" i="547" s="1"/>
  <c r="AF69" i="547"/>
  <c r="Q69" i="547"/>
  <c r="AG26" i="545"/>
  <c r="AH16" i="545" s="1"/>
  <c r="AF26" i="545"/>
  <c r="Q17" i="551"/>
  <c r="R17" i="551"/>
  <c r="Q58" i="547"/>
  <c r="AF58" i="547"/>
  <c r="AG58" i="547"/>
  <c r="AH49" i="547" s="1"/>
  <c r="R39" i="553"/>
  <c r="Q48" i="545"/>
  <c r="AF48" i="545"/>
  <c r="AG48" i="545"/>
  <c r="AH38" i="545" s="1"/>
  <c r="Q48" i="553"/>
  <c r="AF48" i="553"/>
  <c r="AG48" i="553"/>
  <c r="AH38" i="553" s="1"/>
  <c r="O69" i="545"/>
  <c r="Q8" i="547"/>
  <c r="O37" i="549"/>
  <c r="R27" i="549"/>
  <c r="Q27" i="549"/>
  <c r="AF69" i="483"/>
  <c r="Q69" i="483"/>
  <c r="AG69" i="483"/>
  <c r="AH59" i="483" s="1"/>
  <c r="L15" i="551"/>
  <c r="D13" i="550" s="1"/>
  <c r="R28" i="553"/>
  <c r="Q28" i="553"/>
  <c r="AF26" i="551"/>
  <c r="Q16" i="3"/>
  <c r="O26" i="3"/>
  <c r="R16" i="3"/>
  <c r="Q61" i="3"/>
  <c r="R61" i="3"/>
  <c r="R7" i="607"/>
  <c r="Q7" i="607"/>
  <c r="Q58" i="601"/>
  <c r="AG58" i="601"/>
  <c r="AH49" i="601" s="1"/>
  <c r="AF58" i="601"/>
  <c r="Q60" i="587"/>
  <c r="R60" i="587"/>
  <c r="Q69" i="571"/>
  <c r="AG69" i="571"/>
  <c r="AH59" i="571" s="1"/>
  <c r="AF69" i="571"/>
  <c r="R39" i="577"/>
  <c r="Q39" i="577"/>
  <c r="R39" i="549"/>
  <c r="Q39" i="549"/>
  <c r="O37" i="3"/>
  <c r="R27" i="3"/>
  <c r="Q27" i="3"/>
  <c r="G2" i="483"/>
  <c r="J3" i="482"/>
  <c r="AG69" i="569"/>
  <c r="AH59" i="569" s="1"/>
  <c r="AF69" i="569"/>
  <c r="Q69" i="569"/>
  <c r="Q29" i="553"/>
  <c r="R29" i="553"/>
  <c r="R6" i="549"/>
  <c r="Q6" i="549"/>
  <c r="R49" i="607"/>
  <c r="Q49" i="607"/>
  <c r="O58" i="607"/>
  <c r="O48" i="607"/>
  <c r="R38" i="607"/>
  <c r="Q38" i="607"/>
  <c r="R6" i="603"/>
  <c r="Q6" i="603"/>
  <c r="Q79" i="599"/>
  <c r="AF79" i="599"/>
  <c r="AG79" i="599"/>
  <c r="AH70" i="599" s="1"/>
  <c r="R6" i="601"/>
  <c r="Q6" i="601"/>
  <c r="N58" i="597"/>
  <c r="R51" i="601"/>
  <c r="Q51" i="601"/>
  <c r="R7" i="601"/>
  <c r="Q7" i="601"/>
  <c r="O58" i="603"/>
  <c r="R49" i="603"/>
  <c r="Q49" i="603"/>
  <c r="AG58" i="599"/>
  <c r="AH49" i="599" s="1"/>
  <c r="AF58" i="599"/>
  <c r="Q58" i="599"/>
  <c r="R60" i="597"/>
  <c r="Q60" i="597"/>
  <c r="R31" i="601"/>
  <c r="Q31" i="601"/>
  <c r="Q9" i="601"/>
  <c r="O69" i="597"/>
  <c r="L79" i="593"/>
  <c r="J13" i="592" s="1"/>
  <c r="J6" i="592" s="1"/>
  <c r="Q70" i="593"/>
  <c r="R19" i="597"/>
  <c r="Q19" i="597"/>
  <c r="Q38" i="597"/>
  <c r="O48" i="597"/>
  <c r="R38" i="597"/>
  <c r="L48" i="597"/>
  <c r="G13" i="596" s="1"/>
  <c r="R71" i="593"/>
  <c r="Q71" i="593"/>
  <c r="R63" i="589"/>
  <c r="Q49" i="593"/>
  <c r="Q48" i="591"/>
  <c r="AF48" i="591"/>
  <c r="AG48" i="591"/>
  <c r="AH38" i="591" s="1"/>
  <c r="AG37" i="593"/>
  <c r="AH27" i="593" s="1"/>
  <c r="AF37" i="593"/>
  <c r="Q37" i="593"/>
  <c r="R27" i="589"/>
  <c r="O37" i="589"/>
  <c r="Q27" i="589"/>
  <c r="R17" i="593"/>
  <c r="Q17" i="593"/>
  <c r="O70" i="605"/>
  <c r="N79" i="605"/>
  <c r="AG70" i="605"/>
  <c r="AF70" i="605"/>
  <c r="Q58" i="607"/>
  <c r="AG58" i="607"/>
  <c r="AH49" i="607" s="1"/>
  <c r="AF58" i="607"/>
  <c r="R39" i="605"/>
  <c r="Q39" i="605"/>
  <c r="L15" i="603"/>
  <c r="D13" i="602" s="1"/>
  <c r="R5" i="603"/>
  <c r="AF26" i="605"/>
  <c r="AG26" i="605"/>
  <c r="AH16" i="605" s="1"/>
  <c r="R38" i="603"/>
  <c r="Q38" i="603"/>
  <c r="O48" i="603"/>
  <c r="O26" i="603"/>
  <c r="O15" i="605"/>
  <c r="R5" i="605"/>
  <c r="Q5" i="605"/>
  <c r="O37" i="599"/>
  <c r="R27" i="599"/>
  <c r="Q27" i="599"/>
  <c r="R70" i="599"/>
  <c r="Q70" i="599"/>
  <c r="O79" i="599"/>
  <c r="N6" i="602"/>
  <c r="O6" i="602"/>
  <c r="R21" i="607"/>
  <c r="Q21" i="607"/>
  <c r="O79" i="593"/>
  <c r="AG58" i="603"/>
  <c r="AH49" i="603" s="1"/>
  <c r="AF58" i="603"/>
  <c r="Q58" i="603"/>
  <c r="Q60" i="601"/>
  <c r="R60" i="601"/>
  <c r="O58" i="597"/>
  <c r="Q49" i="597"/>
  <c r="R49" i="597"/>
  <c r="O48" i="599"/>
  <c r="L26" i="597"/>
  <c r="E13" i="596" s="1"/>
  <c r="Q16" i="597"/>
  <c r="L69" i="599"/>
  <c r="I13" i="598" s="1"/>
  <c r="J6" i="598" s="1"/>
  <c r="R19" i="603"/>
  <c r="L37" i="599"/>
  <c r="F13" i="598" s="1"/>
  <c r="F6" i="598" s="1"/>
  <c r="AG48" i="597"/>
  <c r="AH38" i="597" s="1"/>
  <c r="AF48" i="597"/>
  <c r="Q48" i="597"/>
  <c r="R40" i="591"/>
  <c r="Q40" i="591"/>
  <c r="R29" i="597"/>
  <c r="Q29" i="597"/>
  <c r="R49" i="593"/>
  <c r="Q58" i="589"/>
  <c r="AG58" i="589"/>
  <c r="AH49" i="589" s="1"/>
  <c r="AF58" i="589"/>
  <c r="R21" i="593"/>
  <c r="Q21" i="593"/>
  <c r="R18" i="589"/>
  <c r="Q18" i="589"/>
  <c r="Q40" i="589"/>
  <c r="R40" i="589"/>
  <c r="R7" i="587"/>
  <c r="Q7" i="587"/>
  <c r="R28" i="589"/>
  <c r="Q28" i="589"/>
  <c r="L48" i="589"/>
  <c r="G13" i="588" s="1"/>
  <c r="F6" i="588" s="1"/>
  <c r="R38" i="587"/>
  <c r="Q38" i="587"/>
  <c r="O48" i="587"/>
  <c r="R41" i="587"/>
  <c r="Q41" i="587"/>
  <c r="AG15" i="583"/>
  <c r="AH5" i="583" s="1"/>
  <c r="AF15" i="583"/>
  <c r="R18" i="585"/>
  <c r="Q18" i="585"/>
  <c r="R8" i="587"/>
  <c r="Q8" i="587"/>
  <c r="Q60" i="583"/>
  <c r="R60" i="583"/>
  <c r="Q20" i="589"/>
  <c r="R20" i="589"/>
  <c r="J3" i="582"/>
  <c r="G2" i="583"/>
  <c r="Q37" i="585"/>
  <c r="AG37" i="585"/>
  <c r="AH27" i="585" s="1"/>
  <c r="AF37" i="585"/>
  <c r="R61" i="587"/>
  <c r="Q61" i="587"/>
  <c r="L48" i="583"/>
  <c r="G13" i="582" s="1"/>
  <c r="H6" i="582" s="1"/>
  <c r="Q6" i="581"/>
  <c r="R59" i="575"/>
  <c r="O69" i="575"/>
  <c r="Q59" i="575"/>
  <c r="G2" i="581"/>
  <c r="J3" i="580"/>
  <c r="R6" i="575"/>
  <c r="Q6" i="575"/>
  <c r="Q27" i="579"/>
  <c r="L26" i="581"/>
  <c r="E13" i="580" s="1"/>
  <c r="H6" i="580" s="1"/>
  <c r="Q16" i="577"/>
  <c r="L26" i="577"/>
  <c r="E13" i="576" s="1"/>
  <c r="H6" i="576" s="1"/>
  <c r="R16" i="577"/>
  <c r="Q18" i="577"/>
  <c r="R18" i="577"/>
  <c r="R61" i="591"/>
  <c r="Q61" i="591"/>
  <c r="L48" i="577"/>
  <c r="G13" i="576" s="1"/>
  <c r="D14" i="570"/>
  <c r="Q15" i="571"/>
  <c r="R15" i="571"/>
  <c r="S5" i="571" s="1"/>
  <c r="AF15" i="569"/>
  <c r="AG15" i="569"/>
  <c r="AH5" i="569" s="1"/>
  <c r="L26" i="571"/>
  <c r="E13" i="570" s="1"/>
  <c r="H6" i="570" s="1"/>
  <c r="R61" i="559"/>
  <c r="Q61" i="559"/>
  <c r="O37" i="575"/>
  <c r="R16" i="579"/>
  <c r="O26" i="579"/>
  <c r="Q16" i="579"/>
  <c r="R59" i="571"/>
  <c r="Q59" i="571"/>
  <c r="O69" i="571"/>
  <c r="R17" i="573"/>
  <c r="Q17" i="573"/>
  <c r="AG26" i="563"/>
  <c r="AH16" i="563" s="1"/>
  <c r="AF26" i="563"/>
  <c r="O37" i="559"/>
  <c r="R27" i="559"/>
  <c r="Q27" i="559"/>
  <c r="Q6" i="555"/>
  <c r="Q61" i="557"/>
  <c r="R61" i="557"/>
  <c r="Q48" i="577"/>
  <c r="AG48" i="577"/>
  <c r="AH38" i="577" s="1"/>
  <c r="AF48" i="577"/>
  <c r="R49" i="559"/>
  <c r="Q49" i="559"/>
  <c r="O58" i="559"/>
  <c r="R19" i="569"/>
  <c r="Q19" i="569"/>
  <c r="R39" i="567"/>
  <c r="Q39" i="567"/>
  <c r="R29" i="569"/>
  <c r="Q29" i="569"/>
  <c r="R7" i="555"/>
  <c r="Q7" i="555"/>
  <c r="R62" i="555"/>
  <c r="Q62" i="555"/>
  <c r="G2" i="569"/>
  <c r="J3" i="568"/>
  <c r="Q59" i="555"/>
  <c r="Q53" i="563"/>
  <c r="R53" i="563"/>
  <c r="R62" i="553"/>
  <c r="Q62" i="553"/>
  <c r="R31" i="545"/>
  <c r="Q31" i="545"/>
  <c r="R17" i="549"/>
  <c r="Q17" i="549"/>
  <c r="R7" i="553"/>
  <c r="Q37" i="549"/>
  <c r="AG37" i="549"/>
  <c r="AH27" i="549" s="1"/>
  <c r="AF37" i="549"/>
  <c r="O69" i="483"/>
  <c r="Q59" i="483"/>
  <c r="R59" i="483"/>
  <c r="R51" i="547"/>
  <c r="Q51" i="547"/>
  <c r="AG26" i="547"/>
  <c r="AH16" i="547" s="1"/>
  <c r="AF26" i="547"/>
  <c r="AG15" i="557"/>
  <c r="AH5" i="557" s="1"/>
  <c r="AF15" i="557"/>
  <c r="O48" i="483"/>
  <c r="Q8" i="545"/>
  <c r="R8" i="545"/>
  <c r="Q6" i="3"/>
  <c r="R6" i="3"/>
  <c r="H6" i="606" l="1"/>
  <c r="Q48" i="607"/>
  <c r="R37" i="607"/>
  <c r="S27" i="607" s="1"/>
  <c r="F14" i="606"/>
  <c r="F15" i="606" s="1"/>
  <c r="F6" i="606"/>
  <c r="R69" i="601"/>
  <c r="S59" i="601" s="1"/>
  <c r="I14" i="600"/>
  <c r="R26" i="599"/>
  <c r="S16" i="599" s="1"/>
  <c r="Q26" i="599"/>
  <c r="E14" i="598"/>
  <c r="E15" i="598" s="1"/>
  <c r="Q26" i="571"/>
  <c r="E14" i="570"/>
  <c r="E15" i="570" s="1"/>
  <c r="R26" i="571"/>
  <c r="S16" i="571" s="1"/>
  <c r="H14" i="590"/>
  <c r="H15" i="590" s="1"/>
  <c r="R58" i="591"/>
  <c r="S49" i="591" s="1"/>
  <c r="Q69" i="603"/>
  <c r="AG69" i="603"/>
  <c r="AH59" i="603" s="1"/>
  <c r="AF69" i="603"/>
  <c r="I14" i="592"/>
  <c r="R69" i="593"/>
  <c r="S59" i="593" s="1"/>
  <c r="R79" i="589"/>
  <c r="S70" i="589" s="1"/>
  <c r="J15" i="588" s="1"/>
  <c r="J14" i="588"/>
  <c r="I15" i="578"/>
  <c r="J7" i="578"/>
  <c r="J8" i="578" s="1"/>
  <c r="H14" i="554"/>
  <c r="H15" i="554" s="1"/>
  <c r="R58" i="555"/>
  <c r="S49" i="555" s="1"/>
  <c r="Q26" i="563"/>
  <c r="E14" i="562"/>
  <c r="E15" i="562" s="1"/>
  <c r="R26" i="563"/>
  <c r="S16" i="563" s="1"/>
  <c r="I14" i="606"/>
  <c r="R69" i="607"/>
  <c r="S59" i="607" s="1"/>
  <c r="J7" i="584"/>
  <c r="R69" i="483"/>
  <c r="S59" i="483" s="1"/>
  <c r="I14" i="482"/>
  <c r="F14" i="574"/>
  <c r="F15" i="574" s="1"/>
  <c r="R37" i="575"/>
  <c r="S27" i="575" s="1"/>
  <c r="R48" i="587"/>
  <c r="S38" i="587" s="1"/>
  <c r="G14" i="586"/>
  <c r="G15" i="586" s="1"/>
  <c r="H6" i="602"/>
  <c r="F6" i="602"/>
  <c r="R48" i="607"/>
  <c r="S38" i="607" s="1"/>
  <c r="G14" i="606"/>
  <c r="G15" i="606" s="1"/>
  <c r="D14" i="574"/>
  <c r="Q15" i="575"/>
  <c r="E2" i="575"/>
  <c r="R15" i="575"/>
  <c r="S5" i="575" s="1"/>
  <c r="E14" i="544"/>
  <c r="E15" i="544" s="1"/>
  <c r="R26" i="545"/>
  <c r="S16" i="545" s="1"/>
  <c r="Q26" i="545"/>
  <c r="R48" i="591"/>
  <c r="S38" i="591" s="1"/>
  <c r="G14" i="590"/>
  <c r="G15" i="590" s="1"/>
  <c r="F14" i="550"/>
  <c r="F15" i="550" s="1"/>
  <c r="R37" i="551"/>
  <c r="S27" i="551" s="1"/>
  <c r="R48" i="571"/>
  <c r="S38" i="571" s="1"/>
  <c r="G14" i="570"/>
  <c r="G15" i="570" s="1"/>
  <c r="G14" i="546"/>
  <c r="G15" i="546" s="1"/>
  <c r="R48" i="547"/>
  <c r="S38" i="547" s="1"/>
  <c r="R48" i="557"/>
  <c r="S38" i="557" s="1"/>
  <c r="G14" i="556"/>
  <c r="G15" i="556" s="1"/>
  <c r="D14" i="566"/>
  <c r="R15" i="567"/>
  <c r="S5" i="567" s="1"/>
  <c r="E2" i="567"/>
  <c r="Q15" i="567"/>
  <c r="F6" i="576"/>
  <c r="R26" i="589"/>
  <c r="S16" i="589" s="1"/>
  <c r="Q26" i="589"/>
  <c r="E14" i="588"/>
  <c r="E15" i="588" s="1"/>
  <c r="R15" i="591"/>
  <c r="S5" i="591" s="1"/>
  <c r="Q15" i="591"/>
  <c r="D14" i="590"/>
  <c r="H6" i="600"/>
  <c r="F6" i="600"/>
  <c r="R38" i="601"/>
  <c r="Q38" i="601"/>
  <c r="O48" i="601"/>
  <c r="H14" i="576"/>
  <c r="H15" i="576" s="1"/>
  <c r="R58" i="577"/>
  <c r="S49" i="577" s="1"/>
  <c r="D14" i="482"/>
  <c r="E2" i="483"/>
  <c r="R15" i="483"/>
  <c r="S5" i="483" s="1"/>
  <c r="Q15" i="483"/>
  <c r="R69" i="553"/>
  <c r="S59" i="553" s="1"/>
  <c r="I14" i="552"/>
  <c r="R37" i="581"/>
  <c r="S27" i="581" s="1"/>
  <c r="F14" i="580"/>
  <c r="F15" i="580" s="1"/>
  <c r="J14" i="584"/>
  <c r="R69" i="569"/>
  <c r="S59" i="569" s="1"/>
  <c r="I14" i="568"/>
  <c r="H6" i="552"/>
  <c r="F6" i="552"/>
  <c r="R69" i="559"/>
  <c r="S59" i="559" s="1"/>
  <c r="I14" i="558"/>
  <c r="R48" i="553"/>
  <c r="S38" i="553" s="1"/>
  <c r="G14" i="552"/>
  <c r="G15" i="552" s="1"/>
  <c r="H6" i="598"/>
  <c r="Q48" i="601"/>
  <c r="AG48" i="601"/>
  <c r="AH38" i="601" s="1"/>
  <c r="AF48" i="601"/>
  <c r="H14" i="604"/>
  <c r="H15" i="604" s="1"/>
  <c r="R58" i="605"/>
  <c r="S49" i="605" s="1"/>
  <c r="F14" i="552"/>
  <c r="F15" i="552" s="1"/>
  <c r="R37" i="553"/>
  <c r="S27" i="553" s="1"/>
  <c r="R58" i="559"/>
  <c r="S49" i="559" s="1"/>
  <c r="H14" i="558"/>
  <c r="H15" i="558" s="1"/>
  <c r="R37" i="589"/>
  <c r="S27" i="589" s="1"/>
  <c r="F14" i="588"/>
  <c r="F15" i="588" s="1"/>
  <c r="R26" i="577"/>
  <c r="S16" i="577" s="1"/>
  <c r="E14" i="576"/>
  <c r="E15" i="576" s="1"/>
  <c r="Q26" i="577"/>
  <c r="R58" i="581"/>
  <c r="S49" i="581" s="1"/>
  <c r="H14" i="580"/>
  <c r="H15" i="580" s="1"/>
  <c r="H14" i="2"/>
  <c r="H15" i="2" s="1"/>
  <c r="R58" i="3"/>
  <c r="S49" i="3" s="1"/>
  <c r="D14" i="554"/>
  <c r="R15" i="555"/>
  <c r="S5" i="555" s="1"/>
  <c r="Q15" i="555"/>
  <c r="E2" i="555"/>
  <c r="R15" i="587"/>
  <c r="S5" i="587" s="1"/>
  <c r="E2" i="587"/>
  <c r="Q15" i="587"/>
  <c r="D14" i="586"/>
  <c r="D15" i="580"/>
  <c r="R15" i="607"/>
  <c r="S5" i="607" s="1"/>
  <c r="Q15" i="607"/>
  <c r="E2" i="607"/>
  <c r="D14" i="606"/>
  <c r="Q15" i="603"/>
  <c r="F6" i="582"/>
  <c r="D15" i="548"/>
  <c r="F14" i="554"/>
  <c r="F15" i="554" s="1"/>
  <c r="R37" i="555"/>
  <c r="S27" i="555" s="1"/>
  <c r="AF58" i="597"/>
  <c r="Q58" i="597"/>
  <c r="AG58" i="597"/>
  <c r="AH49" i="597" s="1"/>
  <c r="F6" i="550"/>
  <c r="H6" i="550"/>
  <c r="R48" i="589"/>
  <c r="S38" i="589" s="1"/>
  <c r="G14" i="588"/>
  <c r="G15" i="588" s="1"/>
  <c r="R37" i="601"/>
  <c r="S27" i="601" s="1"/>
  <c r="F14" i="600"/>
  <c r="F15" i="600" s="1"/>
  <c r="Q26" i="607"/>
  <c r="E14" i="606"/>
  <c r="E15" i="606" s="1"/>
  <c r="R26" i="607"/>
  <c r="S16" i="607" s="1"/>
  <c r="H6" i="568"/>
  <c r="F6" i="568"/>
  <c r="E14" i="590"/>
  <c r="E15" i="590" s="1"/>
  <c r="R26" i="591"/>
  <c r="S16" i="591" s="1"/>
  <c r="Q26" i="591"/>
  <c r="H14" i="572"/>
  <c r="H15" i="572" s="1"/>
  <c r="R58" i="573"/>
  <c r="S49" i="573" s="1"/>
  <c r="R79" i="603"/>
  <c r="S70" i="603" s="1"/>
  <c r="J15" i="602" s="1"/>
  <c r="J14" i="602"/>
  <c r="F6" i="586"/>
  <c r="R48" i="3"/>
  <c r="S38" i="3" s="1"/>
  <c r="G14" i="2"/>
  <c r="G15" i="2" s="1"/>
  <c r="R58" i="563"/>
  <c r="S49" i="563" s="1"/>
  <c r="H14" i="562"/>
  <c r="H15" i="562" s="1"/>
  <c r="R40" i="603"/>
  <c r="Q40" i="603"/>
  <c r="G14" i="582"/>
  <c r="G15" i="582" s="1"/>
  <c r="R48" i="583"/>
  <c r="S38" i="583" s="1"/>
  <c r="R69" i="551"/>
  <c r="S59" i="551" s="1"/>
  <c r="I14" i="550"/>
  <c r="D15" i="602"/>
  <c r="R58" i="569"/>
  <c r="S49" i="569" s="1"/>
  <c r="R37" i="559"/>
  <c r="S27" i="559" s="1"/>
  <c r="F14" i="558"/>
  <c r="F15" i="558" s="1"/>
  <c r="Q8" i="593"/>
  <c r="R8" i="593"/>
  <c r="R79" i="567"/>
  <c r="S70" i="567" s="1"/>
  <c r="J15" i="566" s="1"/>
  <c r="J14" i="566"/>
  <c r="D14" i="576"/>
  <c r="R15" i="577"/>
  <c r="S5" i="577" s="1"/>
  <c r="E2" i="577"/>
  <c r="Q15" i="577"/>
  <c r="R61" i="603"/>
  <c r="Q61" i="603"/>
  <c r="O69" i="603"/>
  <c r="D14" i="546"/>
  <c r="R15" i="547"/>
  <c r="S5" i="547" s="1"/>
  <c r="Q15" i="547"/>
  <c r="E2" i="547"/>
  <c r="R26" i="581"/>
  <c r="S16" i="581" s="1"/>
  <c r="Q26" i="581"/>
  <c r="E14" i="580"/>
  <c r="E15" i="580" s="1"/>
  <c r="R17" i="599"/>
  <c r="Q17" i="599"/>
  <c r="J14" i="592"/>
  <c r="R79" i="593"/>
  <c r="S70" i="593" s="1"/>
  <c r="J15" i="592" s="1"/>
  <c r="R37" i="3"/>
  <c r="S27" i="3" s="1"/>
  <c r="F14" i="2"/>
  <c r="F15" i="2" s="1"/>
  <c r="R18" i="593"/>
  <c r="Q18" i="593"/>
  <c r="H14" i="598"/>
  <c r="H15" i="598" s="1"/>
  <c r="R58" i="599"/>
  <c r="S49" i="599" s="1"/>
  <c r="Q15" i="605"/>
  <c r="R15" i="605"/>
  <c r="S5" i="605" s="1"/>
  <c r="D14" i="604"/>
  <c r="R48" i="597"/>
  <c r="S38" i="597" s="1"/>
  <c r="G14" i="596"/>
  <c r="G15" i="596" s="1"/>
  <c r="D14" i="556"/>
  <c r="Q15" i="557"/>
  <c r="R15" i="557"/>
  <c r="S5" i="557" s="1"/>
  <c r="E2" i="557"/>
  <c r="I14" i="546"/>
  <c r="R69" i="547"/>
  <c r="S59" i="547" s="1"/>
  <c r="I14" i="582"/>
  <c r="R69" i="583"/>
  <c r="S59" i="583" s="1"/>
  <c r="J14" i="606"/>
  <c r="R79" i="607"/>
  <c r="S70" i="607" s="1"/>
  <c r="J15" i="606" s="1"/>
  <c r="Q26" i="597"/>
  <c r="R26" i="597"/>
  <c r="S16" i="597" s="1"/>
  <c r="E14" i="596"/>
  <c r="E15" i="596" s="1"/>
  <c r="R58" i="553"/>
  <c r="S49" i="553" s="1"/>
  <c r="H14" i="552"/>
  <c r="H15" i="552" s="1"/>
  <c r="F14" i="576"/>
  <c r="F15" i="576" s="1"/>
  <c r="R37" i="577"/>
  <c r="S27" i="577" s="1"/>
  <c r="R58" i="579"/>
  <c r="S49" i="579" s="1"/>
  <c r="H14" i="578"/>
  <c r="H15" i="578" s="1"/>
  <c r="D14" i="2"/>
  <c r="R15" i="3"/>
  <c r="S5" i="3" s="1"/>
  <c r="Q15" i="3"/>
  <c r="E2" i="3"/>
  <c r="E14" i="574"/>
  <c r="E15" i="574" s="1"/>
  <c r="Q26" i="575"/>
  <c r="R26" i="575"/>
  <c r="S16" i="575" s="1"/>
  <c r="E2" i="581"/>
  <c r="R69" i="605"/>
  <c r="S59" i="605" s="1"/>
  <c r="I14" i="604"/>
  <c r="R15" i="603"/>
  <c r="S5" i="603" s="1"/>
  <c r="F6" i="604"/>
  <c r="G15" i="576"/>
  <c r="O26" i="593"/>
  <c r="H15" i="568"/>
  <c r="R37" i="599"/>
  <c r="S27" i="599" s="1"/>
  <c r="F14" i="598"/>
  <c r="F15" i="598" s="1"/>
  <c r="R58" i="607"/>
  <c r="S49" i="607" s="1"/>
  <c r="H14" i="606"/>
  <c r="H15" i="606" s="1"/>
  <c r="R58" i="545"/>
  <c r="S49" i="545" s="1"/>
  <c r="H14" i="544"/>
  <c r="H15" i="544" s="1"/>
  <c r="R62" i="591"/>
  <c r="Q62" i="591"/>
  <c r="G14" i="482"/>
  <c r="G15" i="482" s="1"/>
  <c r="R48" i="483"/>
  <c r="S38" i="483" s="1"/>
  <c r="R26" i="603"/>
  <c r="S16" i="603" s="1"/>
  <c r="Q26" i="603"/>
  <c r="E14" i="602"/>
  <c r="E15" i="602" s="1"/>
  <c r="AF26" i="593"/>
  <c r="AG26" i="593"/>
  <c r="AH16" i="593" s="1"/>
  <c r="H6" i="572"/>
  <c r="F6" i="572"/>
  <c r="F6" i="580"/>
  <c r="R26" i="605"/>
  <c r="S16" i="605" s="1"/>
  <c r="Q26" i="605"/>
  <c r="E14" i="604"/>
  <c r="E15" i="604" s="1"/>
  <c r="R58" i="575"/>
  <c r="S49" i="575" s="1"/>
  <c r="H14" i="574"/>
  <c r="H15" i="574" s="1"/>
  <c r="Q6" i="591"/>
  <c r="R6" i="591"/>
  <c r="F14" i="596"/>
  <c r="F15" i="596" s="1"/>
  <c r="R37" i="597"/>
  <c r="S27" i="597" s="1"/>
  <c r="R15" i="551"/>
  <c r="S5" i="551" s="1"/>
  <c r="D14" i="550"/>
  <c r="Q15" i="551"/>
  <c r="E2" i="551"/>
  <c r="R15" i="599"/>
  <c r="S5" i="599" s="1"/>
  <c r="D14" i="598"/>
  <c r="Q15" i="599"/>
  <c r="E2" i="599"/>
  <c r="H13" i="584"/>
  <c r="H15" i="584" s="1"/>
  <c r="R58" i="585"/>
  <c r="S49" i="585" s="1"/>
  <c r="R48" i="581"/>
  <c r="S38" i="581" s="1"/>
  <c r="G14" i="580"/>
  <c r="G15" i="580" s="1"/>
  <c r="R17" i="601"/>
  <c r="Q17" i="601"/>
  <c r="O26" i="601"/>
  <c r="R37" i="547"/>
  <c r="S27" i="547" s="1"/>
  <c r="F14" i="546"/>
  <c r="F15" i="546" s="1"/>
  <c r="R15" i="589"/>
  <c r="S5" i="589" s="1"/>
  <c r="E2" i="589"/>
  <c r="Q15" i="589"/>
  <c r="D14" i="588"/>
  <c r="O69" i="591"/>
  <c r="E2" i="591" s="1"/>
  <c r="D14" i="600"/>
  <c r="Q15" i="601"/>
  <c r="R15" i="601"/>
  <c r="S5" i="601" s="1"/>
  <c r="E2" i="563"/>
  <c r="R48" i="577"/>
  <c r="S38" i="577" s="1"/>
  <c r="R37" i="579"/>
  <c r="S27" i="579" s="1"/>
  <c r="F14" i="578"/>
  <c r="F15" i="578" s="1"/>
  <c r="H6" i="558"/>
  <c r="F6" i="558"/>
  <c r="R48" i="559"/>
  <c r="S38" i="559" s="1"/>
  <c r="G14" i="558"/>
  <c r="G15" i="558" s="1"/>
  <c r="R69" i="557"/>
  <c r="S59" i="557" s="1"/>
  <c r="I14" i="556"/>
  <c r="R69" i="549"/>
  <c r="S59" i="549" s="1"/>
  <c r="I14" i="548"/>
  <c r="Q79" i="587"/>
  <c r="AG79" i="587"/>
  <c r="AH70" i="587" s="1"/>
  <c r="AF79" i="587"/>
  <c r="R58" i="567"/>
  <c r="S49" i="567" s="1"/>
  <c r="H14" i="566"/>
  <c r="H15" i="566" s="1"/>
  <c r="R37" i="587"/>
  <c r="S27" i="587" s="1"/>
  <c r="F14" i="586"/>
  <c r="F15" i="586" s="1"/>
  <c r="R37" i="585"/>
  <c r="S27" i="585" s="1"/>
  <c r="F14" i="584"/>
  <c r="F15" i="584" s="1"/>
  <c r="F14" i="592"/>
  <c r="F15" i="592" s="1"/>
  <c r="R37" i="593"/>
  <c r="S27" i="593" s="1"/>
  <c r="R69" i="573"/>
  <c r="S59" i="573" s="1"/>
  <c r="I14" i="572"/>
  <c r="F14" i="566"/>
  <c r="F15" i="566" s="1"/>
  <c r="R37" i="567"/>
  <c r="S27" i="567" s="1"/>
  <c r="R51" i="597"/>
  <c r="Q51" i="597"/>
  <c r="D15" i="562"/>
  <c r="Q26" i="587"/>
  <c r="F6" i="566"/>
  <c r="Q15" i="579"/>
  <c r="D14" i="578"/>
  <c r="E2" i="579"/>
  <c r="R15" i="579"/>
  <c r="S5" i="579" s="1"/>
  <c r="E2" i="553"/>
  <c r="R15" i="553"/>
  <c r="S5" i="553" s="1"/>
  <c r="Q15" i="553"/>
  <c r="D14" i="552"/>
  <c r="R69" i="599"/>
  <c r="S59" i="599" s="1"/>
  <c r="I14" i="598"/>
  <c r="F14" i="482"/>
  <c r="F15" i="482" s="1"/>
  <c r="R37" i="483"/>
  <c r="S27" i="483" s="1"/>
  <c r="D14" i="596"/>
  <c r="R15" i="597"/>
  <c r="S5" i="597" s="1"/>
  <c r="Q15" i="597"/>
  <c r="O15" i="593"/>
  <c r="R48" i="605"/>
  <c r="S38" i="605" s="1"/>
  <c r="G14" i="604"/>
  <c r="G15" i="604" s="1"/>
  <c r="Q15" i="569"/>
  <c r="D14" i="568"/>
  <c r="E2" i="569"/>
  <c r="R15" i="569"/>
  <c r="S5" i="569" s="1"/>
  <c r="R26" i="557"/>
  <c r="S16" i="557" s="1"/>
  <c r="Q26" i="557"/>
  <c r="E14" i="556"/>
  <c r="E15" i="556" s="1"/>
  <c r="E15" i="586"/>
  <c r="D14" i="558"/>
  <c r="E2" i="559"/>
  <c r="R15" i="559"/>
  <c r="S5" i="559" s="1"/>
  <c r="Q15" i="559"/>
  <c r="L79" i="585"/>
  <c r="J13" i="584" s="1"/>
  <c r="I13" i="584"/>
  <c r="J6" i="584" s="1"/>
  <c r="J7" i="588"/>
  <c r="J8" i="588" s="1"/>
  <c r="I15" i="588"/>
  <c r="R69" i="571"/>
  <c r="S59" i="571" s="1"/>
  <c r="I14" i="570"/>
  <c r="R48" i="569"/>
  <c r="S38" i="569" s="1"/>
  <c r="G14" i="568"/>
  <c r="G15" i="568" s="1"/>
  <c r="R48" i="545"/>
  <c r="S38" i="545" s="1"/>
  <c r="G14" i="544"/>
  <c r="G15" i="544" s="1"/>
  <c r="R26" i="559"/>
  <c r="S16" i="559" s="1"/>
  <c r="Q26" i="559"/>
  <c r="E14" i="558"/>
  <c r="E15" i="558" s="1"/>
  <c r="R37" i="563"/>
  <c r="S27" i="563" s="1"/>
  <c r="F14" i="562"/>
  <c r="F15" i="562" s="1"/>
  <c r="F6" i="554"/>
  <c r="H6" i="554"/>
  <c r="AG79" i="597"/>
  <c r="AH70" i="597" s="1"/>
  <c r="AF79" i="597"/>
  <c r="Q79" i="597"/>
  <c r="R26" i="483"/>
  <c r="S16" i="483" s="1"/>
  <c r="E14" i="482"/>
  <c r="E15" i="482" s="1"/>
  <c r="Q26" i="483"/>
  <c r="I14" i="562"/>
  <c r="R69" i="563"/>
  <c r="S59" i="563" s="1"/>
  <c r="R26" i="553"/>
  <c r="S16" i="553" s="1"/>
  <c r="E14" i="552"/>
  <c r="E15" i="552" s="1"/>
  <c r="Q26" i="553"/>
  <c r="D14" i="572"/>
  <c r="R15" i="573"/>
  <c r="S5" i="573" s="1"/>
  <c r="E2" i="573"/>
  <c r="Q15" i="573"/>
  <c r="F6" i="578"/>
  <c r="R48" i="579"/>
  <c r="S38" i="579" s="1"/>
  <c r="G14" i="578"/>
  <c r="G15" i="578" s="1"/>
  <c r="I14" i="2"/>
  <c r="R69" i="3"/>
  <c r="S59" i="3" s="1"/>
  <c r="F6" i="482"/>
  <c r="G14" i="550"/>
  <c r="G15" i="550" s="1"/>
  <c r="R48" i="551"/>
  <c r="S38" i="551" s="1"/>
  <c r="G14" i="566"/>
  <c r="G15" i="566" s="1"/>
  <c r="R48" i="567"/>
  <c r="S38" i="567" s="1"/>
  <c r="F14" i="544"/>
  <c r="F15" i="544" s="1"/>
  <c r="R37" i="545"/>
  <c r="S27" i="545" s="1"/>
  <c r="R79" i="591"/>
  <c r="S70" i="591" s="1"/>
  <c r="J15" i="590" s="1"/>
  <c r="J14" i="590"/>
  <c r="R26" i="587"/>
  <c r="S16" i="587" s="1"/>
  <c r="F6" i="570"/>
  <c r="R69" i="575"/>
  <c r="S59" i="575" s="1"/>
  <c r="I14" i="574"/>
  <c r="F14" i="602"/>
  <c r="F15" i="602" s="1"/>
  <c r="R37" i="603"/>
  <c r="S27" i="603" s="1"/>
  <c r="R79" i="599"/>
  <c r="S70" i="599" s="1"/>
  <c r="J15" i="598" s="1"/>
  <c r="J14" i="598"/>
  <c r="AG79" i="605"/>
  <c r="AH70" i="605" s="1"/>
  <c r="Q79" i="605"/>
  <c r="AF79" i="605"/>
  <c r="R37" i="549"/>
  <c r="S27" i="549" s="1"/>
  <c r="F14" i="548"/>
  <c r="F15" i="548" s="1"/>
  <c r="I14" i="566"/>
  <c r="R69" i="567"/>
  <c r="S59" i="567" s="1"/>
  <c r="R48" i="573"/>
  <c r="S38" i="573" s="1"/>
  <c r="G14" i="572"/>
  <c r="G15" i="572" s="1"/>
  <c r="D15" i="570"/>
  <c r="R58" i="597"/>
  <c r="S49" i="597" s="1"/>
  <c r="H14" i="596"/>
  <c r="H15" i="596" s="1"/>
  <c r="O79" i="605"/>
  <c r="R70" i="605"/>
  <c r="Q70" i="605"/>
  <c r="H14" i="602"/>
  <c r="H15" i="602" s="1"/>
  <c r="R58" i="603"/>
  <c r="S49" i="603" s="1"/>
  <c r="R26" i="3"/>
  <c r="S16" i="3" s="1"/>
  <c r="Q26" i="3"/>
  <c r="E14" i="2"/>
  <c r="E15" i="2" s="1"/>
  <c r="R26" i="551"/>
  <c r="S16" i="551" s="1"/>
  <c r="Q26" i="551"/>
  <c r="E14" i="550"/>
  <c r="E15" i="550" s="1"/>
  <c r="R58" i="547"/>
  <c r="S49" i="547" s="1"/>
  <c r="H14" i="546"/>
  <c r="H15" i="546" s="1"/>
  <c r="D14" i="584"/>
  <c r="E2" i="585"/>
  <c r="R15" i="585"/>
  <c r="S5" i="585" s="1"/>
  <c r="Q15" i="585"/>
  <c r="AG26" i="601"/>
  <c r="AH16" i="601" s="1"/>
  <c r="AF26" i="601"/>
  <c r="AG48" i="603"/>
  <c r="AH38" i="603" s="1"/>
  <c r="AF48" i="603"/>
  <c r="Q48" i="603"/>
  <c r="R71" i="597"/>
  <c r="Q71" i="597"/>
  <c r="O79" i="597"/>
  <c r="R69" i="555"/>
  <c r="S59" i="555" s="1"/>
  <c r="R26" i="567"/>
  <c r="S16" i="567" s="1"/>
  <c r="Q26" i="567"/>
  <c r="E14" i="566"/>
  <c r="E15" i="566" s="1"/>
  <c r="J6" i="586"/>
  <c r="H14" i="482"/>
  <c r="H15" i="482" s="1"/>
  <c r="R58" i="483"/>
  <c r="S49" i="483" s="1"/>
  <c r="I14" i="576"/>
  <c r="R69" i="577"/>
  <c r="S59" i="577" s="1"/>
  <c r="J14" i="600"/>
  <c r="R79" i="601"/>
  <c r="S70" i="601" s="1"/>
  <c r="J15" i="600" s="1"/>
  <c r="R6" i="599"/>
  <c r="Q6" i="599"/>
  <c r="F7" i="582"/>
  <c r="F8" i="582" s="1"/>
  <c r="D15" i="582"/>
  <c r="E14" i="548"/>
  <c r="E15" i="548" s="1"/>
  <c r="Q26" i="549"/>
  <c r="R26" i="549"/>
  <c r="S16" i="549" s="1"/>
  <c r="R26" i="573"/>
  <c r="S16" i="573" s="1"/>
  <c r="Q26" i="573"/>
  <c r="E14" i="572"/>
  <c r="E15" i="572" s="1"/>
  <c r="J7" i="586"/>
  <c r="J8" i="586" s="1"/>
  <c r="I15" i="586"/>
  <c r="R48" i="599"/>
  <c r="S38" i="599" s="1"/>
  <c r="G14" i="598"/>
  <c r="G15" i="598" s="1"/>
  <c r="R48" i="603"/>
  <c r="S38" i="603" s="1"/>
  <c r="G14" i="602"/>
  <c r="G15" i="602" s="1"/>
  <c r="E2" i="571"/>
  <c r="R61" i="601"/>
  <c r="Q61" i="601"/>
  <c r="H14" i="570"/>
  <c r="H15" i="570" s="1"/>
  <c r="R58" i="571"/>
  <c r="S49" i="571" s="1"/>
  <c r="R48" i="575"/>
  <c r="S38" i="575" s="1"/>
  <c r="G14" i="574"/>
  <c r="G15" i="574" s="1"/>
  <c r="R58" i="549"/>
  <c r="S49" i="549" s="1"/>
  <c r="H14" i="548"/>
  <c r="H15" i="548" s="1"/>
  <c r="E14" i="578"/>
  <c r="E15" i="578" s="1"/>
  <c r="R26" i="579"/>
  <c r="S16" i="579" s="1"/>
  <c r="Q26" i="579"/>
  <c r="R69" i="597"/>
  <c r="S59" i="597" s="1"/>
  <c r="I14" i="596"/>
  <c r="I14" i="544"/>
  <c r="R69" i="545"/>
  <c r="S59" i="545" s="1"/>
  <c r="R26" i="585"/>
  <c r="S16" i="585" s="1"/>
  <c r="Q26" i="585"/>
  <c r="E14" i="584"/>
  <c r="E15" i="584" s="1"/>
  <c r="F6" i="596"/>
  <c r="H6" i="596"/>
  <c r="R37" i="605"/>
  <c r="S27" i="605" s="1"/>
  <c r="F14" i="604"/>
  <c r="F15" i="604" s="1"/>
  <c r="Q15" i="545"/>
  <c r="D14" i="544"/>
  <c r="E2" i="545"/>
  <c r="R15" i="545"/>
  <c r="S5" i="545" s="1"/>
  <c r="J7" i="554"/>
  <c r="J8" i="554" s="1"/>
  <c r="I15" i="554"/>
  <c r="H14" i="550"/>
  <c r="H15" i="550" s="1"/>
  <c r="R58" i="551"/>
  <c r="S49" i="551" s="1"/>
  <c r="R37" i="583"/>
  <c r="S27" i="583" s="1"/>
  <c r="F14" i="582"/>
  <c r="F15" i="582" s="1"/>
  <c r="I14" i="580"/>
  <c r="R69" i="581"/>
  <c r="S59" i="581" s="1"/>
  <c r="H6" i="590"/>
  <c r="F6" i="590"/>
  <c r="F14" i="572"/>
  <c r="F15" i="572" s="1"/>
  <c r="R37" i="573"/>
  <c r="S27" i="573" s="1"/>
  <c r="F14" i="590"/>
  <c r="F15" i="590" s="1"/>
  <c r="R37" i="591"/>
  <c r="S27" i="591" s="1"/>
  <c r="J14" i="572"/>
  <c r="R79" i="573"/>
  <c r="S70" i="573" s="1"/>
  <c r="J15" i="572" s="1"/>
  <c r="R30" i="603"/>
  <c r="Q30" i="603"/>
  <c r="G14" i="554"/>
  <c r="G15" i="554" s="1"/>
  <c r="R48" i="555"/>
  <c r="S38" i="555" s="1"/>
  <c r="E2" i="583"/>
  <c r="G14" i="562"/>
  <c r="G15" i="562" s="1"/>
  <c r="R48" i="563"/>
  <c r="S38" i="563" s="1"/>
  <c r="R79" i="587"/>
  <c r="S70" i="587" s="1"/>
  <c r="J15" i="586" s="1"/>
  <c r="J14" i="586"/>
  <c r="J7" i="580" l="1"/>
  <c r="J8" i="580" s="1"/>
  <c r="I15" i="580"/>
  <c r="H7" i="582"/>
  <c r="H8" i="582" s="1"/>
  <c r="D15" i="598"/>
  <c r="H7" i="598"/>
  <c r="H8" i="598" s="1"/>
  <c r="F7" i="598"/>
  <c r="F8" i="598" s="1"/>
  <c r="J7" i="582"/>
  <c r="J8" i="582" s="1"/>
  <c r="I15" i="582"/>
  <c r="H7" i="576"/>
  <c r="H8" i="576" s="1"/>
  <c r="D15" i="576"/>
  <c r="F7" i="576"/>
  <c r="F8" i="576" s="1"/>
  <c r="Q15" i="593"/>
  <c r="D14" i="592"/>
  <c r="R15" i="593"/>
  <c r="S5" i="593" s="1"/>
  <c r="E2" i="593"/>
  <c r="I15" i="552"/>
  <c r="J7" i="552"/>
  <c r="J8" i="552" s="1"/>
  <c r="F7" i="566"/>
  <c r="F8" i="566" s="1"/>
  <c r="D15" i="566"/>
  <c r="H7" i="566"/>
  <c r="H8" i="566" s="1"/>
  <c r="J7" i="550"/>
  <c r="J8" i="550" s="1"/>
  <c r="I15" i="550"/>
  <c r="F7" i="584"/>
  <c r="F8" i="584" s="1"/>
  <c r="D15" i="584"/>
  <c r="H7" i="584"/>
  <c r="J14" i="596"/>
  <c r="R79" i="597"/>
  <c r="S70" i="597" s="1"/>
  <c r="J15" i="596" s="1"/>
  <c r="J14" i="604"/>
  <c r="R79" i="605"/>
  <c r="S70" i="605" s="1"/>
  <c r="J15" i="604" s="1"/>
  <c r="D15" i="558"/>
  <c r="H7" i="558"/>
  <c r="H8" i="558" s="1"/>
  <c r="F7" i="558"/>
  <c r="F8" i="558" s="1"/>
  <c r="I15" i="604"/>
  <c r="J7" i="604"/>
  <c r="J8" i="604" s="1"/>
  <c r="J7" i="546"/>
  <c r="J8" i="546" s="1"/>
  <c r="I15" i="546"/>
  <c r="D15" i="606"/>
  <c r="H7" i="606"/>
  <c r="H8" i="606" s="1"/>
  <c r="F7" i="606"/>
  <c r="F8" i="606" s="1"/>
  <c r="I15" i="558"/>
  <c r="J7" i="558"/>
  <c r="J8" i="558" s="1"/>
  <c r="H7" i="590"/>
  <c r="H8" i="590" s="1"/>
  <c r="D15" i="590"/>
  <c r="I15" i="482"/>
  <c r="J7" i="482"/>
  <c r="J8" i="482" s="1"/>
  <c r="J7" i="572"/>
  <c r="J8" i="572" s="1"/>
  <c r="I15" i="572"/>
  <c r="R26" i="601"/>
  <c r="S16" i="601" s="1"/>
  <c r="E14" i="600"/>
  <c r="E15" i="600" s="1"/>
  <c r="Q26" i="601"/>
  <c r="E2" i="597"/>
  <c r="F7" i="578"/>
  <c r="F8" i="578" s="1"/>
  <c r="D15" i="578"/>
  <c r="H7" i="578"/>
  <c r="H8" i="578" s="1"/>
  <c r="I15" i="548"/>
  <c r="J7" i="548"/>
  <c r="J8" i="548" s="1"/>
  <c r="H7" i="550"/>
  <c r="H8" i="550" s="1"/>
  <c r="F7" i="550"/>
  <c r="F8" i="550" s="1"/>
  <c r="D15" i="550"/>
  <c r="H7" i="554"/>
  <c r="H8" i="554" s="1"/>
  <c r="F7" i="554"/>
  <c r="F8" i="554" s="1"/>
  <c r="D15" i="554"/>
  <c r="I15" i="570"/>
  <c r="J7" i="570"/>
  <c r="J8" i="570" s="1"/>
  <c r="D15" i="596"/>
  <c r="H7" i="596"/>
  <c r="H8" i="596" s="1"/>
  <c r="F7" i="596"/>
  <c r="F8" i="596" s="1"/>
  <c r="D15" i="546"/>
  <c r="H7" i="546"/>
  <c r="H8" i="546" s="1"/>
  <c r="F7" i="546"/>
  <c r="F8" i="546" s="1"/>
  <c r="J8" i="584"/>
  <c r="J7" i="576"/>
  <c r="J8" i="576" s="1"/>
  <c r="I15" i="576"/>
  <c r="F7" i="570"/>
  <c r="F8" i="570" s="1"/>
  <c r="H7" i="572"/>
  <c r="H8" i="572" s="1"/>
  <c r="F7" i="572"/>
  <c r="F8" i="572" s="1"/>
  <c r="D15" i="572"/>
  <c r="J7" i="556"/>
  <c r="J8" i="556" s="1"/>
  <c r="I15" i="556"/>
  <c r="E2" i="601"/>
  <c r="D15" i="556"/>
  <c r="H7" i="556"/>
  <c r="H8" i="556" s="1"/>
  <c r="F7" i="556"/>
  <c r="F8" i="556" s="1"/>
  <c r="R69" i="603"/>
  <c r="S59" i="603" s="1"/>
  <c r="I14" i="602"/>
  <c r="J7" i="568"/>
  <c r="J8" i="568" s="1"/>
  <c r="I15" i="568"/>
  <c r="F7" i="482"/>
  <c r="F8" i="482" s="1"/>
  <c r="H7" i="482"/>
  <c r="H8" i="482" s="1"/>
  <c r="D15" i="482"/>
  <c r="D15" i="574"/>
  <c r="F7" i="574"/>
  <c r="F8" i="574" s="1"/>
  <c r="H7" i="574"/>
  <c r="H8" i="574" s="1"/>
  <c r="I15" i="584"/>
  <c r="I15" i="566"/>
  <c r="J7" i="566"/>
  <c r="J8" i="566" s="1"/>
  <c r="I15" i="2"/>
  <c r="J8" i="2" s="1"/>
  <c r="J7" i="2"/>
  <c r="J7" i="544"/>
  <c r="J8" i="544" s="1"/>
  <c r="I15" i="544"/>
  <c r="F7" i="580"/>
  <c r="F8" i="580" s="1"/>
  <c r="J7" i="592"/>
  <c r="J8" i="592" s="1"/>
  <c r="I15" i="592"/>
  <c r="I15" i="600"/>
  <c r="J7" i="600"/>
  <c r="J8" i="600" s="1"/>
  <c r="D15" i="600"/>
  <c r="F7" i="600"/>
  <c r="F8" i="600" s="1"/>
  <c r="I15" i="596"/>
  <c r="J7" i="596"/>
  <c r="J8" i="596" s="1"/>
  <c r="I15" i="598"/>
  <c r="J7" i="598"/>
  <c r="J8" i="598" s="1"/>
  <c r="F7" i="562"/>
  <c r="F8" i="562" s="1"/>
  <c r="R69" i="591"/>
  <c r="S59" i="591" s="1"/>
  <c r="I14" i="590"/>
  <c r="F7" i="602"/>
  <c r="F8" i="602" s="1"/>
  <c r="H7" i="580"/>
  <c r="H8" i="580" s="1"/>
  <c r="H6" i="584"/>
  <c r="J7" i="606"/>
  <c r="J8" i="606" s="1"/>
  <c r="I15" i="606"/>
  <c r="H7" i="2"/>
  <c r="F7" i="2"/>
  <c r="D15" i="2"/>
  <c r="D15" i="544"/>
  <c r="H7" i="544"/>
  <c r="H8" i="544" s="1"/>
  <c r="F7" i="544"/>
  <c r="F8" i="544" s="1"/>
  <c r="H7" i="548"/>
  <c r="H8" i="548" s="1"/>
  <c r="D15" i="586"/>
  <c r="H7" i="586"/>
  <c r="H8" i="586" s="1"/>
  <c r="F7" i="586"/>
  <c r="F8" i="586" s="1"/>
  <c r="R48" i="601"/>
  <c r="S38" i="601" s="1"/>
  <c r="G14" i="600"/>
  <c r="G15" i="600" s="1"/>
  <c r="F6" i="584"/>
  <c r="I15" i="562"/>
  <c r="J7" i="562"/>
  <c r="J8" i="562" s="1"/>
  <c r="H7" i="570"/>
  <c r="H8" i="570" s="1"/>
  <c r="I15" i="574"/>
  <c r="J7" i="574"/>
  <c r="J8" i="574" s="1"/>
  <c r="H7" i="568"/>
  <c r="H8" i="568" s="1"/>
  <c r="F7" i="568"/>
  <c r="F8" i="568" s="1"/>
  <c r="D15" i="568"/>
  <c r="H7" i="562"/>
  <c r="H8" i="562" s="1"/>
  <c r="H7" i="588"/>
  <c r="H8" i="588" s="1"/>
  <c r="F7" i="588"/>
  <c r="F8" i="588" s="1"/>
  <c r="D15" i="588"/>
  <c r="E2" i="605"/>
  <c r="H7" i="552"/>
  <c r="H8" i="552" s="1"/>
  <c r="D15" i="552"/>
  <c r="F7" i="552"/>
  <c r="F8" i="552" s="1"/>
  <c r="R26" i="593"/>
  <c r="S16" i="593" s="1"/>
  <c r="Q26" i="593"/>
  <c r="E14" i="592"/>
  <c r="E15" i="592" s="1"/>
  <c r="H7" i="604"/>
  <c r="H8" i="604" s="1"/>
  <c r="D15" i="604"/>
  <c r="F7" i="604"/>
  <c r="F8" i="604" s="1"/>
  <c r="H7" i="602"/>
  <c r="H8" i="602" s="1"/>
  <c r="F7" i="548"/>
  <c r="F8" i="548" s="1"/>
  <c r="R79" i="585"/>
  <c r="S70" i="585" s="1"/>
  <c r="J15" i="584" s="1"/>
  <c r="E2" i="603"/>
  <c r="I15" i="590" l="1"/>
  <c r="J7" i="590"/>
  <c r="J8" i="590" s="1"/>
  <c r="F7" i="590"/>
  <c r="F8" i="590" s="1"/>
  <c r="H8" i="2"/>
  <c r="F8" i="2"/>
  <c r="I15" i="602"/>
  <c r="J7" i="602"/>
  <c r="J8" i="602" s="1"/>
  <c r="H7" i="600"/>
  <c r="H8" i="600" s="1"/>
  <c r="H8" i="584"/>
  <c r="H7" i="592"/>
  <c r="H8" i="592" s="1"/>
  <c r="F7" i="592"/>
  <c r="F8" i="592" s="1"/>
  <c r="D15" i="592"/>
</calcChain>
</file>

<file path=xl/sharedStrings.xml><?xml version="1.0" encoding="utf-8"?>
<sst xmlns="http://schemas.openxmlformats.org/spreadsheetml/2006/main" count="6553" uniqueCount="264">
  <si>
    <t xml:space="preserve">長家廠4度C日報分析                              </t>
  </si>
  <si>
    <t>總生產量</t>
  </si>
  <si>
    <t>營業額</t>
  </si>
  <si>
    <t>出勤人數</t>
  </si>
  <si>
    <t>產線配置圖</t>
  </si>
  <si>
    <t>生產實績</t>
  </si>
  <si>
    <t>人時性差異分析</t>
  </si>
  <si>
    <t>日報登錄</t>
  </si>
  <si>
    <t>合計
次數</t>
  </si>
  <si>
    <t>合計
時間/分</t>
  </si>
  <si>
    <t>分析說明</t>
  </si>
  <si>
    <t>合計
設備次數</t>
  </si>
  <si>
    <t>產能差異分析</t>
  </si>
  <si>
    <t>12月24日  星期三</t>
  </si>
  <si>
    <t>人時性</t>
  </si>
  <si>
    <t>平均廠價</t>
  </si>
  <si>
    <t>多次生產數</t>
  </si>
  <si>
    <t>線別</t>
  </si>
  <si>
    <t>品類</t>
  </si>
  <si>
    <t>品名</t>
  </si>
  <si>
    <t>廠價</t>
  </si>
  <si>
    <t>生產量</t>
  </si>
  <si>
    <t>營收</t>
  </si>
  <si>
    <t>多次
生產</t>
  </si>
  <si>
    <t>人數</t>
  </si>
  <si>
    <t>產能/時</t>
  </si>
  <si>
    <t>達成率</t>
  </si>
  <si>
    <t>達成率平均</t>
  </si>
  <si>
    <t>生產時間</t>
  </si>
  <si>
    <t>前置、換線時間/分</t>
  </si>
  <si>
    <t>稼動時間/分</t>
  </si>
  <si>
    <t>休息時間</t>
  </si>
  <si>
    <t>產線異常統計
(5分鐘以上)</t>
  </si>
  <si>
    <t>短暫停線統計
(5分鐘以下)</t>
  </si>
  <si>
    <t>開始</t>
  </si>
  <si>
    <t>結束</t>
  </si>
  <si>
    <t>次數</t>
  </si>
  <si>
    <t>時間/分</t>
  </si>
  <si>
    <t>總次數</t>
  </si>
  <si>
    <t>設備因素(次數)</t>
  </si>
  <si>
    <t>自動一線
(ET-600)</t>
  </si>
  <si>
    <t>4度一組</t>
  </si>
  <si>
    <t>平均</t>
  </si>
  <si>
    <t>自動二線
(ET-600)</t>
  </si>
  <si>
    <t xml:space="preserve">4度二組A
</t>
  </si>
  <si>
    <t>手工三線
(ET-55)</t>
  </si>
  <si>
    <t xml:space="preserve"> </t>
  </si>
  <si>
    <t xml:space="preserve">
4度二組B
</t>
  </si>
  <si>
    <t>手工四線
(ET-55)</t>
  </si>
  <si>
    <t xml:space="preserve">
4度二組C1
</t>
  </si>
  <si>
    <t>手工五線
(ET-55)</t>
  </si>
  <si>
    <t xml:space="preserve">
4度二組C2
</t>
  </si>
  <si>
    <t>調理包一線
(八爪機)</t>
  </si>
  <si>
    <t xml:space="preserve">               </t>
  </si>
  <si>
    <t xml:space="preserve">
4度三組
</t>
  </si>
  <si>
    <t>調理包二線
(手工)</t>
  </si>
  <si>
    <t xml:space="preserve">
4度四組
</t>
  </si>
  <si>
    <t>1.當日出勤人數較多</t>
  </si>
  <si>
    <t>2.當日出勤人數較少</t>
  </si>
  <si>
    <t>3.當日出勤熟手較少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</si>
  <si>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</si>
  <si>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</si>
  <si>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</si>
  <si>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</si>
  <si>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</si>
  <si>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</si>
  <si>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</si>
  <si>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</si>
  <si>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</si>
  <si>
    <t>13.區域出貨，分段生產</t>
  </si>
  <si>
    <t>長家廠組合室生產人時性分析</t>
  </si>
  <si>
    <t>日期</t>
  </si>
  <si>
    <t>訂單量</t>
  </si>
  <si>
    <t>項目</t>
  </si>
  <si>
    <t>➀</t>
  </si>
  <si>
    <t>➁</t>
  </si>
  <si>
    <t>③</t>
  </si>
  <si>
    <t>異常停線</t>
  </si>
  <si>
    <t>短暫停線</t>
  </si>
  <si>
    <t>組合室</t>
  </si>
  <si>
    <t>全溫層</t>
  </si>
  <si>
    <t>義大利麵</t>
  </si>
  <si>
    <t>袋裝小吃、義麵</t>
  </si>
  <si>
    <t>合計次數</t>
  </si>
  <si>
    <t>時間</t>
  </si>
  <si>
    <t>設備次數</t>
  </si>
  <si>
    <t>排關平均</t>
  </si>
  <si>
    <t>實績平均</t>
  </si>
  <si>
    <t>※現行日本鮮食廠以達成率80%為基本(即為現行KPI)</t>
  </si>
  <si>
    <t>溫層</t>
  </si>
  <si>
    <t>4度C-各編組展開</t>
  </si>
  <si>
    <t>編組</t>
  </si>
  <si>
    <t>自動1線</t>
  </si>
  <si>
    <t>自動2線</t>
  </si>
  <si>
    <t>手工3線</t>
  </si>
  <si>
    <t>手工4線</t>
  </si>
  <si>
    <t>手工5線</t>
  </si>
  <si>
    <t>調理包1線</t>
  </si>
  <si>
    <t>調理包2線</t>
  </si>
  <si>
    <t>排關</t>
  </si>
  <si>
    <t>實績</t>
  </si>
  <si>
    <t>作業
時間</t>
  </si>
  <si>
    <t>產線異常
(5分鐘以上)</t>
  </si>
  <si>
    <t>短暫停線
(5分鐘以下)</t>
  </si>
  <si>
    <t>配置人數</t>
  </si>
  <si>
    <t>主要應用設備</t>
  </si>
  <si>
    <t>ET-600</t>
  </si>
  <si>
    <t>ET-55</t>
  </si>
  <si>
    <t>八爪機</t>
  </si>
  <si>
    <t>次要應用設備</t>
  </si>
  <si>
    <t>封口機</t>
  </si>
  <si>
    <t>備註</t>
  </si>
  <si>
    <t>06月01日  星期一</t>
  </si>
  <si>
    <t>白酒清炒鮮蛤義大利麵</t>
  </si>
  <si>
    <t>香煎魚排佐檸檬奶油義大利麵</t>
  </si>
  <si>
    <t>奶油培根義大利麵</t>
  </si>
  <si>
    <t>青醬蛤蜊義大利麵</t>
  </si>
  <si>
    <t>8:05-8:47封口機異常鳴叫(斷線)</t>
  </si>
  <si>
    <t>蒜香奶油蝦蝦義大利麵</t>
  </si>
  <si>
    <t>義式辣味嫩烤雞腿排義大利麵</t>
  </si>
  <si>
    <t>義式蕃茄起司義大利麵</t>
  </si>
  <si>
    <t>補封膜</t>
  </si>
  <si>
    <t>整條德式香腸義大利麵</t>
  </si>
  <si>
    <t>焗烤起司肉醬筆尖麵</t>
  </si>
  <si>
    <t>奶油鮮蝦明太子細扁麵</t>
  </si>
  <si>
    <t>小吃、微波</t>
  </si>
  <si>
    <t>韓式炒冬粉</t>
  </si>
  <si>
    <t>支援製作</t>
  </si>
  <si>
    <t>熱乾麵</t>
  </si>
  <si>
    <t>青花椒麻雞肉拌麵</t>
  </si>
  <si>
    <t>府城鹽水意麵</t>
  </si>
  <si>
    <t>沙茶豬肉炒麵</t>
  </si>
  <si>
    <t>焗烤起司雙饗筆尖麵</t>
  </si>
  <si>
    <t>黑松露野菇義大利麵</t>
  </si>
  <si>
    <t>小滷青蔬</t>
  </si>
  <si>
    <t>起司馬鈴薯</t>
  </si>
  <si>
    <t>06月02日  星期二</t>
  </si>
  <si>
    <t>今日為學生第一天上線，產速降低</t>
  </si>
  <si>
    <t>08:23-08:40封膜異常</t>
  </si>
  <si>
    <t xml:space="preserve">14:12-14:18封膜異常     </t>
  </si>
  <si>
    <t>生產數量少</t>
  </si>
  <si>
    <t>13:28-13:44試產焦糖拿鐵烤雞細扁麵94份</t>
  </si>
  <si>
    <t>生產數量少、湯凍異常故延後開線</t>
  </si>
  <si>
    <t>06月02日  星期三</t>
  </si>
  <si>
    <t>生產數量少、支援製作</t>
  </si>
  <si>
    <t/>
  </si>
  <si>
    <t>07:00-09:10手挖醬作業、靜電導致夾袋，多一人放袋、加2人</t>
  </si>
  <si>
    <t>09:25-09:35測試開袋、07:00-10:45靜電導致夾袋，多一人放袋</t>
  </si>
  <si>
    <t>11:00-14:35教育新人</t>
  </si>
  <si>
    <t>06月04日  星期四</t>
  </si>
  <si>
    <t>06月05日  星期五</t>
  </si>
  <si>
    <t>外線支援</t>
  </si>
  <si>
    <t>實習幹部帶線</t>
  </si>
  <si>
    <t>靜電-多一人放袋</t>
  </si>
  <si>
    <t>06月06日  星期六</t>
  </si>
  <si>
    <t>08:15-08:25封膜異常，收150盒</t>
  </si>
  <si>
    <t>10:23-10:24、10:50-10:53、10:54-10:58、11:06-11:09封膜異常共收222盒</t>
  </si>
  <si>
    <t>06月07日  星期日</t>
  </si>
  <si>
    <t>07:00-08:20自動封膜機異常，貼標、08:20-08:54封膜異常請工務排除</t>
  </si>
  <si>
    <t xml:space="preserve">7:20-7:30熱轉印異常,收籃170盒      </t>
  </si>
  <si>
    <t xml:space="preserve">9:25-9:30熱轉印異常,收籃120盒 </t>
  </si>
  <si>
    <t xml:space="preserve">13:58-14:06包裝機異常,收籃240盒  </t>
  </si>
  <si>
    <t>06月08日  星期一</t>
  </si>
  <si>
    <t xml:space="preserve">08:40-08:45熱轉印異常，收60盒、08:55-09:00封膜異常，收60盒
</t>
  </si>
  <si>
    <t>09:54-09:59封膜異常，收110盒</t>
  </si>
  <si>
    <t>靜電導致夾袋、教育新人，各多一人</t>
  </si>
  <si>
    <t>06月09日  星期二</t>
  </si>
  <si>
    <t>10:00-10:06熱轉印異常</t>
  </si>
  <si>
    <t>焦糖拿鐵烤雞細扁麵</t>
  </si>
  <si>
    <t>顧袋、教育新人，各多一人</t>
  </si>
  <si>
    <t>06月10日  星期三</t>
  </si>
  <si>
    <t xml:space="preserve">8:42-8:50熱轉印異常  </t>
  </si>
  <si>
    <t>13:05-13:30試產</t>
  </si>
  <si>
    <t>13:35-13:50 試產、生產數量少</t>
  </si>
  <si>
    <t>06月11日  星期四</t>
  </si>
  <si>
    <t>08:26-08:54 熱轉印轉向調整</t>
  </si>
  <si>
    <t>08:22-10:55熱轉印轉向調整</t>
  </si>
  <si>
    <t>半成品異常(蒜酥結塊)，切線</t>
  </si>
  <si>
    <t>.</t>
  </si>
  <si>
    <t>顧袋各多一人</t>
  </si>
  <si>
    <t>單排生產</t>
  </si>
  <si>
    <t>06月12日  星期五</t>
  </si>
  <si>
    <t>9:50-10:00補封膜</t>
  </si>
  <si>
    <t>10:01-10:02熱轉印異常</t>
  </si>
  <si>
    <t>06月13日  星期六</t>
  </si>
  <si>
    <t>06月14日  星期日</t>
  </si>
  <si>
    <t>15:06-15:35封膜轉向(切DC)</t>
  </si>
  <si>
    <t>10:10-10:20熱轉印異常、10:35-10:46、10:48-10:54下貼標異常</t>
  </si>
  <si>
    <t>06月15日  星期一</t>
  </si>
  <si>
    <t>6月16日  星期二</t>
  </si>
  <si>
    <t>13:10-13:33試產</t>
  </si>
  <si>
    <t>06月17日  星期三</t>
  </si>
  <si>
    <t>麻辣雞心</t>
  </si>
  <si>
    <t>06月18日  星期四</t>
  </si>
  <si>
    <t>下午做冷凍</t>
  </si>
  <si>
    <t>06月19日  星期五</t>
  </si>
  <si>
    <t>6月20日  星期六</t>
  </si>
  <si>
    <t>7:00-7:11分流輸送帶斷裂,停線</t>
  </si>
  <si>
    <t xml:space="preserve">7:04-7:48分流輸送帶斷裂,手抓麵 </t>
  </si>
  <si>
    <t>06月22日  星期一</t>
  </si>
  <si>
    <t>10:02-10:07注醬機異常，停線</t>
  </si>
  <si>
    <t>13:30-13:45試產、14:04-14:12試產</t>
  </si>
  <si>
    <t>14:17-14:23封膜機異常</t>
  </si>
  <si>
    <r>
      <t>06月23日  星期</t>
    </r>
    <r>
      <rPr>
        <sz val="14"/>
        <rFont val="Microsoft JhengHei UI"/>
        <family val="2"/>
        <charset val="136"/>
      </rPr>
      <t>二</t>
    </r>
  </si>
  <si>
    <t>8:53-8:56整列機異常</t>
  </si>
  <si>
    <t>10:27-10:30煮麵機異常</t>
  </si>
  <si>
    <t>義式蛋蛋青醬鮪魚冷義大利麵</t>
  </si>
  <si>
    <t>14:56-15:06;15:11-15:15熱轉印異常</t>
  </si>
  <si>
    <t xml:space="preserve">8:35-8:50待料(培根) </t>
  </si>
  <si>
    <t>15:30-15:35待料</t>
  </si>
  <si>
    <r>
      <t>06月24日  星期</t>
    </r>
    <r>
      <rPr>
        <sz val="14"/>
        <rFont val="Microsoft JhengHei UI"/>
        <family val="2"/>
        <charset val="136"/>
      </rPr>
      <t>三</t>
    </r>
  </si>
  <si>
    <t>13:00-13:33試產金沙豆腐</t>
  </si>
  <si>
    <t>10:45-11:10熱轉印異常、生產數量少</t>
  </si>
  <si>
    <t>10:15-12:50冬粉未冷卻,降速生產</t>
  </si>
  <si>
    <t>06月25日  星期四</t>
  </si>
  <si>
    <t>落盒機多次停麵</t>
  </si>
  <si>
    <t>15:47-15:50封膜異常停線</t>
  </si>
  <si>
    <t xml:space="preserve">人少、降速單排生產 </t>
  </si>
  <si>
    <t>06月26日  星期五</t>
  </si>
  <si>
    <t>手工線製作</t>
  </si>
  <si>
    <t>08:33-09:17封膜頻繁異常</t>
  </si>
  <si>
    <t>11:02-11:08、13:00-13:06玉取機停麵</t>
  </si>
  <si>
    <t>06月27日  星期六</t>
  </si>
  <si>
    <t>8:32-8:44煮麵機異常</t>
  </si>
  <si>
    <t>check</t>
  </si>
  <si>
    <t>類別</t>
  </si>
  <si>
    <t>4度C</t>
  </si>
  <si>
    <t>焗烤明太子筆尖麵</t>
  </si>
  <si>
    <t>蕃茄莎莎海鮮冷義大利麵</t>
  </si>
  <si>
    <t>鮮奶油白醬醬杯</t>
  </si>
  <si>
    <t>冷麵醬杯</t>
  </si>
  <si>
    <t>冷凍</t>
  </si>
  <si>
    <t>冷凍調理麵</t>
  </si>
  <si>
    <t>經典肉醬義大利麵</t>
  </si>
  <si>
    <t>奶油蘑菇培根義大利麵</t>
  </si>
  <si>
    <t>清炒蛤蜊義大利麵</t>
  </si>
  <si>
    <t>青醬乳酪筆尖麵</t>
  </si>
  <si>
    <t>辣蕃茄義大利麵</t>
  </si>
  <si>
    <t>韓式起司義大利麵</t>
  </si>
  <si>
    <t>和風明太子細扁麵</t>
  </si>
  <si>
    <t>06月28日  星期日</t>
  </si>
  <si>
    <t>9:35-10:24玉取機出麵降速</t>
  </si>
  <si>
    <t>各線人力支援</t>
  </si>
  <si>
    <t>06月29日  星期一</t>
  </si>
  <si>
    <t>7:58-8:08熱轉印異常，停線</t>
  </si>
  <si>
    <t>10:21-10:27封膜吋動異常</t>
  </si>
  <si>
    <t>13:10-13:18試產</t>
  </si>
  <si>
    <t>08:40-08:50注醬機異常</t>
  </si>
  <si>
    <r>
      <t>06月30日  星期</t>
    </r>
    <r>
      <rPr>
        <sz val="14"/>
        <rFont val="Microsoft JhengHei UI"/>
        <family val="2"/>
        <charset val="136"/>
      </rPr>
      <t>二</t>
    </r>
  </si>
  <si>
    <t>品項</t>
  </si>
  <si>
    <t>產能</t>
  </si>
  <si>
    <t>人時</t>
  </si>
  <si>
    <t>白酒清炒鮮蛤義大利麵-手</t>
  </si>
  <si>
    <t>青醬蛤蜊義大利麵-手</t>
  </si>
  <si>
    <t>蒜香奶油蝦蝦義大利麵-手</t>
  </si>
  <si>
    <t>目前使用手工</t>
  </si>
  <si>
    <t>焗烤起司肉醬筆尖麵-降</t>
  </si>
  <si>
    <t>目前使用雙排</t>
  </si>
  <si>
    <t>調理包</t>
  </si>
  <si>
    <t>夏季+1人補料</t>
  </si>
  <si>
    <t>更新日期05/28</t>
  </si>
  <si>
    <t>15:25-15:31熱轉印異常</t>
    <phoneticPr fontId="0" type="noConversion"/>
  </si>
  <si>
    <t>9:43-9:47封膜異常</t>
    <phoneticPr fontId="0" type="noConversion"/>
  </si>
  <si>
    <t>9:50-9:56熱轉印異常、11:40-11:46包裝機異常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</si>
</sst>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[$-F800]dddd\,\ mmmm\ dd\,\ yyyy"/>
    <numFmt numFmtId="177" formatCode="#,##0_ "/>
    <numFmt numFmtId="178" formatCode="_-* #,##0_-;\-* #,##0_-;_-* &quot;-&quot;??_-;_-@_-"/>
    <numFmt numFmtId="179" formatCode="0.0"/>
    <numFmt numFmtId="180" formatCode="0.0%"/>
    <numFmt numFmtId="181" formatCode="h:mm;@"/>
    <numFmt numFmtId="182" formatCode="0_ "/>
    <numFmt numFmtId="183" formatCode="0.0_ "/>
    <numFmt numFmtId="184" formatCode="0_);[Red]\(0\)"/>
    <numFmt numFmtId="185" formatCode="m&quot;月&quot;d&quot;日&quot;"/>
  </numFmts>
  <fonts count="32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4"/>
      <name val="Microsoft JhengHei UI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521">
    <xf numFmtId="0" fontId="0" fillId="0" borderId="0" xfId="0"/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7" fillId="0" borderId="1" xfId="2" applyFont="1" applyBorder="1" applyAlignment="1">
      <alignment horizontal="center" vertical="center"/>
    </xf>
    <xf numFmtId="178" fontId="7" fillId="0" borderId="0" xfId="16" applyNumberFormat="1" applyFont="1" applyBorder="1" applyAlignment="1">
      <alignment vertical="center"/>
    </xf>
    <xf numFmtId="0" fontId="7" fillId="0" borderId="0" xfId="2" applyFont="1">
      <alignment vertical="center"/>
    </xf>
    <xf numFmtId="0" fontId="11" fillId="0" borderId="0" xfId="2" applyFont="1">
      <alignment vertical="center"/>
    </xf>
    <xf numFmtId="0" fontId="12" fillId="0" borderId="0" xfId="6" applyFont="1">
      <alignment vertical="center"/>
    </xf>
    <xf numFmtId="0" fontId="13" fillId="0" borderId="0" xfId="2" applyFont="1">
      <alignment vertical="center"/>
    </xf>
    <xf numFmtId="0" fontId="14" fillId="0" borderId="0" xfId="2" applyFont="1">
      <alignment vertical="center"/>
    </xf>
    <xf numFmtId="0" fontId="6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179" fontId="16" fillId="0" borderId="1" xfId="2" applyNumberFormat="1" applyFont="1" applyBorder="1" applyAlignment="1">
      <alignment horizontal="center" vertical="center"/>
    </xf>
    <xf numFmtId="180" fontId="16" fillId="0" borderId="9" xfId="17" applyNumberFormat="1" applyFont="1" applyBorder="1" applyAlignment="1">
      <alignment horizontal="center" vertical="center"/>
    </xf>
    <xf numFmtId="180" fontId="16" fillId="0" borderId="9" xfId="17" applyNumberFormat="1" applyFont="1" applyFill="1" applyBorder="1" applyAlignment="1">
      <alignment horizontal="center" vertical="center"/>
    </xf>
    <xf numFmtId="20" fontId="17" fillId="0" borderId="1" xfId="2" applyNumberFormat="1" applyFont="1" applyBorder="1" applyAlignment="1">
      <alignment horizontal="center" vertical="center"/>
    </xf>
    <xf numFmtId="181" fontId="17" fillId="0" borderId="12" xfId="12" applyNumberFormat="1" applyFont="1" applyBorder="1" applyAlignment="1">
      <alignment horizontal="center" vertical="center"/>
    </xf>
    <xf numFmtId="20" fontId="17" fillId="0" borderId="11" xfId="2" applyNumberFormat="1" applyFont="1" applyBorder="1" applyAlignment="1">
      <alignment horizontal="center" vertical="center"/>
    </xf>
    <xf numFmtId="20" fontId="17" fillId="0" borderId="1" xfId="12" applyNumberFormat="1" applyFont="1" applyBorder="1" applyAlignment="1">
      <alignment horizontal="center" vertical="center"/>
    </xf>
    <xf numFmtId="20" fontId="6" fillId="0" borderId="11" xfId="8" applyNumberFormat="1" applyFont="1" applyBorder="1" applyAlignment="1">
      <alignment horizontal="center" vertical="center"/>
    </xf>
    <xf numFmtId="20" fontId="6" fillId="6" borderId="11" xfId="8" applyNumberFormat="1" applyFont="1" applyFill="1" applyBorder="1" applyAlignment="1">
      <alignment horizontal="center" vertical="center"/>
    </xf>
    <xf numFmtId="20" fontId="17" fillId="0" borderId="13" xfId="12" applyNumberFormat="1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9" fillId="0" borderId="13" xfId="12" applyFont="1" applyBorder="1">
      <alignment vertical="center"/>
    </xf>
    <xf numFmtId="0" fontId="19" fillId="0" borderId="13" xfId="12" applyFont="1" applyBorder="1" applyAlignment="1">
      <alignment horizontal="left" vertical="center"/>
    </xf>
    <xf numFmtId="178" fontId="20" fillId="7" borderId="13" xfId="14" applyNumberFormat="1" applyFont="1" applyFill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/>
    </xf>
    <xf numFmtId="43" fontId="19" fillId="0" borderId="13" xfId="14" applyFont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1" fontId="19" fillId="0" borderId="13" xfId="12" applyNumberFormat="1" applyFont="1" applyBorder="1" applyAlignment="1">
      <alignment horizontal="center" vertical="center"/>
    </xf>
    <xf numFmtId="0" fontId="17" fillId="0" borderId="0" xfId="12" applyFont="1">
      <alignment vertical="center"/>
    </xf>
    <xf numFmtId="179" fontId="19" fillId="0" borderId="13" xfId="12" applyNumberFormat="1" applyFont="1" applyBorder="1" applyAlignment="1">
      <alignment horizontal="center" vertical="center"/>
    </xf>
    <xf numFmtId="179" fontId="22" fillId="0" borderId="13" xfId="12" applyNumberFormat="1" applyFont="1" applyBorder="1" applyAlignment="1">
      <alignment horizontal="center" vertical="center" wrapText="1"/>
    </xf>
    <xf numFmtId="2" fontId="19" fillId="0" borderId="13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17" fillId="0" borderId="17" xfId="11" applyFont="1" applyBorder="1" applyAlignment="1">
      <alignment horizontal="center"/>
    </xf>
    <xf numFmtId="0" fontId="17" fillId="0" borderId="18" xfId="12" applyFont="1" applyBorder="1" applyAlignment="1">
      <alignment horizontal="center"/>
    </xf>
    <xf numFmtId="0" fontId="17" fillId="0" borderId="18" xfId="11" applyFont="1" applyBorder="1" applyAlignment="1"/>
    <xf numFmtId="1" fontId="17" fillId="0" borderId="19" xfId="12" applyNumberFormat="1" applyFont="1" applyBorder="1" applyAlignment="1">
      <alignment horizontal="center" vertical="center"/>
    </xf>
    <xf numFmtId="43" fontId="17" fillId="0" borderId="20" xfId="14" applyFont="1" applyBorder="1" applyAlignment="1">
      <alignment horizontal="center" vertical="center"/>
    </xf>
    <xf numFmtId="0" fontId="17" fillId="0" borderId="20" xfId="12" applyFont="1" applyBorder="1" applyAlignment="1">
      <alignment horizontal="center" vertical="center" wrapText="1"/>
    </xf>
    <xf numFmtId="1" fontId="17" fillId="3" borderId="20" xfId="12" applyNumberFormat="1" applyFont="1" applyFill="1" applyBorder="1" applyAlignment="1">
      <alignment horizontal="center" vertical="center"/>
    </xf>
    <xf numFmtId="1" fontId="17" fillId="0" borderId="20" xfId="12" applyNumberFormat="1" applyFont="1" applyBorder="1" applyAlignment="1">
      <alignment horizontal="center" vertical="center"/>
    </xf>
    <xf numFmtId="179" fontId="17" fillId="0" borderId="20" xfId="12" applyNumberFormat="1" applyFont="1" applyBorder="1" applyAlignment="1">
      <alignment horizontal="center" vertical="center"/>
    </xf>
    <xf numFmtId="0" fontId="17" fillId="3" borderId="20" xfId="12" applyFont="1" applyFill="1" applyBorder="1" applyAlignment="1">
      <alignment horizontal="center" vertical="center"/>
    </xf>
    <xf numFmtId="182" fontId="17" fillId="0" borderId="20" xfId="12" applyNumberFormat="1" applyFont="1" applyBorder="1" applyAlignment="1">
      <alignment horizontal="center" vertical="center"/>
    </xf>
    <xf numFmtId="183" fontId="17" fillId="0" borderId="20" xfId="12" applyNumberFormat="1" applyFont="1" applyBorder="1" applyAlignment="1">
      <alignment horizontal="center" vertical="center"/>
    </xf>
    <xf numFmtId="180" fontId="17" fillId="0" borderId="20" xfId="20" applyNumberFormat="1" applyFont="1" applyBorder="1" applyAlignment="1">
      <alignment horizontal="center" vertical="center"/>
    </xf>
    <xf numFmtId="180" fontId="17" fillId="0" borderId="21" xfId="20" applyNumberFormat="1" applyFont="1" applyBorder="1" applyAlignment="1">
      <alignment horizontal="center" vertical="center"/>
    </xf>
    <xf numFmtId="0" fontId="17" fillId="0" borderId="22" xfId="12" applyFont="1" applyBorder="1">
      <alignment vertical="center"/>
    </xf>
    <xf numFmtId="0" fontId="17" fillId="0" borderId="21" xfId="12" applyFont="1" applyBorder="1" applyAlignment="1">
      <alignment horizontal="center" vertical="center" wrapText="1"/>
    </xf>
    <xf numFmtId="0" fontId="17" fillId="0" borderId="21" xfId="12" applyFont="1" applyBorder="1" applyAlignment="1">
      <alignment horizontal="center" vertical="center"/>
    </xf>
    <xf numFmtId="182" fontId="17" fillId="0" borderId="21" xfId="12" applyNumberFormat="1" applyFont="1" applyBorder="1" applyAlignment="1">
      <alignment horizontal="center" vertical="center"/>
    </xf>
    <xf numFmtId="0" fontId="17" fillId="0" borderId="25" xfId="11" applyFont="1" applyBorder="1" applyAlignment="1">
      <alignment horizontal="center"/>
    </xf>
    <xf numFmtId="0" fontId="17" fillId="0" borderId="26" xfId="12" applyFont="1" applyBorder="1" applyAlignment="1">
      <alignment horizontal="center"/>
    </xf>
    <xf numFmtId="0" fontId="17" fillId="0" borderId="27" xfId="11" applyFont="1" applyBorder="1" applyAlignment="1"/>
    <xf numFmtId="0" fontId="17" fillId="0" borderId="28" xfId="11" applyFont="1" applyBorder="1" applyAlignment="1"/>
    <xf numFmtId="0" fontId="17" fillId="0" borderId="29" xfId="11" applyFont="1" applyBorder="1" applyAlignment="1">
      <alignment horizontal="center"/>
    </xf>
    <xf numFmtId="1" fontId="17" fillId="0" borderId="30" xfId="12" applyNumberFormat="1" applyFont="1" applyBorder="1" applyAlignment="1">
      <alignment horizontal="center" vertical="center"/>
    </xf>
    <xf numFmtId="43" fontId="17" fillId="0" borderId="31" xfId="14" applyFont="1" applyBorder="1" applyAlignment="1">
      <alignment horizontal="center" vertical="center"/>
    </xf>
    <xf numFmtId="0" fontId="17" fillId="0" borderId="31" xfId="12" applyFont="1" applyBorder="1" applyAlignment="1">
      <alignment horizontal="center" vertical="center" wrapText="1"/>
    </xf>
    <xf numFmtId="1" fontId="17" fillId="3" borderId="31" xfId="12" applyNumberFormat="1" applyFont="1" applyFill="1" applyBorder="1" applyAlignment="1">
      <alignment horizontal="center" vertical="center"/>
    </xf>
    <xf numFmtId="1" fontId="17" fillId="0" borderId="31" xfId="12" applyNumberFormat="1" applyFont="1" applyBorder="1" applyAlignment="1">
      <alignment horizontal="center" vertical="center"/>
    </xf>
    <xf numFmtId="179" fontId="17" fillId="0" borderId="31" xfId="12" applyNumberFormat="1" applyFont="1" applyBorder="1" applyAlignment="1">
      <alignment horizontal="center" vertical="center"/>
    </xf>
    <xf numFmtId="0" fontId="17" fillId="3" borderId="31" xfId="12" applyFont="1" applyFill="1" applyBorder="1" applyAlignment="1">
      <alignment horizontal="center" vertical="center"/>
    </xf>
    <xf numFmtId="182" fontId="17" fillId="0" borderId="31" xfId="12" applyNumberFormat="1" applyFont="1" applyBorder="1" applyAlignment="1">
      <alignment horizontal="center" vertical="center"/>
    </xf>
    <xf numFmtId="183" fontId="17" fillId="0" borderId="31" xfId="12" applyNumberFormat="1" applyFont="1" applyBorder="1" applyAlignment="1">
      <alignment horizontal="center" vertical="center"/>
    </xf>
    <xf numFmtId="180" fontId="17" fillId="0" borderId="3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 wrapText="1"/>
    </xf>
    <xf numFmtId="182" fontId="17" fillId="0" borderId="13" xfId="12" applyNumberFormat="1" applyFont="1" applyBorder="1" applyAlignment="1">
      <alignment horizontal="center" vertical="center"/>
    </xf>
    <xf numFmtId="0" fontId="17" fillId="0" borderId="1" xfId="11" applyFont="1" applyBorder="1" applyAlignment="1">
      <alignment horizontal="center"/>
    </xf>
    <xf numFmtId="0" fontId="17" fillId="0" borderId="33" xfId="12" applyFont="1" applyBorder="1" applyAlignment="1">
      <alignment horizontal="center"/>
    </xf>
    <xf numFmtId="0" fontId="17" fillId="0" borderId="33" xfId="11" applyFont="1" applyBorder="1" applyAlignment="1"/>
    <xf numFmtId="43" fontId="17" fillId="0" borderId="13" xfId="14" applyFont="1" applyBorder="1" applyAlignment="1">
      <alignment horizontal="center" vertical="center"/>
    </xf>
    <xf numFmtId="1" fontId="17" fillId="3" borderId="13" xfId="12" applyNumberFormat="1" applyFont="1" applyFill="1" applyBorder="1" applyAlignment="1">
      <alignment horizontal="center" vertical="center"/>
    </xf>
    <xf numFmtId="1" fontId="17" fillId="0" borderId="13" xfId="12" applyNumberFormat="1" applyFont="1" applyBorder="1" applyAlignment="1">
      <alignment horizontal="center" vertical="center"/>
    </xf>
    <xf numFmtId="179" fontId="17" fillId="0" borderId="13" xfId="12" applyNumberFormat="1" applyFont="1" applyBorder="1" applyAlignment="1">
      <alignment horizontal="center" vertical="center"/>
    </xf>
    <xf numFmtId="0" fontId="17" fillId="3" borderId="13" xfId="12" applyFont="1" applyFill="1" applyBorder="1" applyAlignment="1">
      <alignment horizontal="center" vertical="center"/>
    </xf>
    <xf numFmtId="183" fontId="17" fillId="0" borderId="13" xfId="12" applyNumberFormat="1" applyFont="1" applyBorder="1" applyAlignment="1">
      <alignment horizontal="center" vertical="center"/>
    </xf>
    <xf numFmtId="20" fontId="17" fillId="0" borderId="27" xfId="12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/>
    </xf>
    <xf numFmtId="0" fontId="17" fillId="0" borderId="30" xfId="11" applyFont="1" applyBorder="1" applyAlignment="1"/>
    <xf numFmtId="0" fontId="17" fillId="0" borderId="37" xfId="12" applyFont="1" applyBorder="1" applyAlignment="1">
      <alignment horizontal="center"/>
    </xf>
    <xf numFmtId="0" fontId="17" fillId="0" borderId="38" xfId="11" applyFont="1" applyBorder="1" applyAlignment="1"/>
    <xf numFmtId="184" fontId="17" fillId="0" borderId="1" xfId="12" applyNumberFormat="1" applyFont="1" applyBorder="1" applyAlignment="1">
      <alignment horizontal="center" vertical="center"/>
    </xf>
    <xf numFmtId="43" fontId="17" fillId="0" borderId="1" xfId="14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/>
    </xf>
    <xf numFmtId="179" fontId="17" fillId="0" borderId="30" xfId="12" applyNumberFormat="1" applyFont="1" applyBorder="1" applyAlignment="1">
      <alignment horizontal="center" vertical="center"/>
    </xf>
    <xf numFmtId="0" fontId="17" fillId="3" borderId="1" xfId="12" applyFont="1" applyFill="1" applyBorder="1" applyAlignment="1">
      <alignment horizontal="center" vertical="center"/>
    </xf>
    <xf numFmtId="1" fontId="17" fillId="0" borderId="1" xfId="12" applyNumberFormat="1" applyFont="1" applyBorder="1" applyAlignment="1">
      <alignment horizontal="center" vertical="center"/>
    </xf>
    <xf numFmtId="179" fontId="17" fillId="0" borderId="1" xfId="12" applyNumberFormat="1" applyFont="1" applyBorder="1" applyAlignment="1">
      <alignment horizontal="center" vertical="center"/>
    </xf>
    <xf numFmtId="182" fontId="17" fillId="0" borderId="1" xfId="12" applyNumberFormat="1" applyFont="1" applyBorder="1" applyAlignment="1">
      <alignment horizontal="center" vertical="center"/>
    </xf>
    <xf numFmtId="183" fontId="17" fillId="0" borderId="1" xfId="12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0" fontId="17" fillId="0" borderId="30" xfId="12" applyFont="1" applyBorder="1" applyAlignment="1">
      <alignment horizontal="center" vertical="center" wrapText="1"/>
    </xf>
    <xf numFmtId="0" fontId="17" fillId="0" borderId="39" xfId="12" applyFont="1" applyBorder="1" applyAlignment="1">
      <alignment horizontal="center" vertical="center"/>
    </xf>
    <xf numFmtId="0" fontId="17" fillId="0" borderId="40" xfId="12" applyFont="1" applyBorder="1" applyAlignment="1">
      <alignment horizontal="center" vertical="center"/>
    </xf>
    <xf numFmtId="0" fontId="17" fillId="0" borderId="41" xfId="11" applyFont="1" applyBorder="1" applyAlignment="1"/>
    <xf numFmtId="0" fontId="17" fillId="0" borderId="39" xfId="11" applyFont="1" applyBorder="1" applyAlignment="1"/>
    <xf numFmtId="0" fontId="17" fillId="0" borderId="30" xfId="11" applyFont="1" applyBorder="1" applyAlignment="1">
      <alignment horizontal="center"/>
    </xf>
    <xf numFmtId="1" fontId="17" fillId="3" borderId="14" xfId="12" applyNumberFormat="1" applyFont="1" applyFill="1" applyBorder="1" applyAlignment="1">
      <alignment horizontal="center" vertical="center"/>
    </xf>
    <xf numFmtId="1" fontId="17" fillId="0" borderId="14" xfId="12" applyNumberFormat="1" applyFont="1" applyBorder="1" applyAlignment="1">
      <alignment horizontal="center" vertical="center"/>
    </xf>
    <xf numFmtId="0" fontId="17" fillId="3" borderId="14" xfId="12" applyFont="1" applyFill="1" applyBorder="1" applyAlignment="1">
      <alignment horizontal="center" vertical="center"/>
    </xf>
    <xf numFmtId="181" fontId="17" fillId="0" borderId="14" xfId="12" applyNumberFormat="1" applyFont="1" applyBorder="1" applyAlignment="1">
      <alignment horizontal="center" vertical="center"/>
    </xf>
    <xf numFmtId="20" fontId="17" fillId="0" borderId="14" xfId="12" applyNumberFormat="1" applyFont="1" applyBorder="1" applyAlignment="1">
      <alignment horizontal="center" vertical="center"/>
    </xf>
    <xf numFmtId="182" fontId="17" fillId="0" borderId="14" xfId="12" applyNumberFormat="1" applyFont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181" fontId="6" fillId="6" borderId="1" xfId="8" applyNumberFormat="1" applyFont="1" applyFill="1" applyBorder="1" applyAlignment="1">
      <alignment horizontal="center" vertical="center"/>
    </xf>
    <xf numFmtId="181" fontId="6" fillId="6" borderId="11" xfId="8" applyNumberFormat="1" applyFont="1" applyFill="1" applyBorder="1" applyAlignment="1">
      <alignment horizontal="center" vertical="center"/>
    </xf>
    <xf numFmtId="0" fontId="17" fillId="0" borderId="43" xfId="12" applyFont="1" applyBorder="1" applyAlignment="1">
      <alignment horizontal="center"/>
    </xf>
    <xf numFmtId="0" fontId="17" fillId="11" borderId="44" xfId="12" applyFont="1" applyFill="1" applyBorder="1" applyAlignment="1">
      <alignment horizontal="center"/>
    </xf>
    <xf numFmtId="179" fontId="17" fillId="11" borderId="44" xfId="12" applyNumberFormat="1" applyFont="1" applyFill="1" applyBorder="1" applyAlignment="1">
      <alignment horizontal="center" vertical="center"/>
    </xf>
    <xf numFmtId="43" fontId="17" fillId="11" borderId="44" xfId="14" applyFont="1" applyFill="1" applyBorder="1" applyAlignment="1">
      <alignment horizontal="center" vertical="center"/>
    </xf>
    <xf numFmtId="0" fontId="17" fillId="11" borderId="44" xfId="12" applyFont="1" applyFill="1" applyBorder="1" applyAlignment="1">
      <alignment horizontal="center" vertical="center"/>
    </xf>
    <xf numFmtId="1" fontId="17" fillId="11" borderId="44" xfId="12" applyNumberFormat="1" applyFont="1" applyFill="1" applyBorder="1" applyAlignment="1">
      <alignment horizontal="center" vertical="center"/>
    </xf>
    <xf numFmtId="182" fontId="17" fillId="0" borderId="44" xfId="12" applyNumberFormat="1" applyFont="1" applyBorder="1" applyAlignment="1">
      <alignment horizontal="center" vertical="center"/>
    </xf>
    <xf numFmtId="183" fontId="17" fillId="0" borderId="44" xfId="12" applyNumberFormat="1" applyFont="1" applyBorder="1" applyAlignment="1">
      <alignment horizontal="center" vertical="center"/>
    </xf>
    <xf numFmtId="180" fontId="17" fillId="0" borderId="44" xfId="20" applyNumberFormat="1" applyFont="1" applyFill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181" fontId="17" fillId="0" borderId="4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 vertical="center"/>
    </xf>
    <xf numFmtId="0" fontId="17" fillId="0" borderId="43" xfId="12" applyFont="1" applyBorder="1" applyAlignment="1">
      <alignment horizontal="center" vertical="center" wrapText="1"/>
    </xf>
    <xf numFmtId="179" fontId="17" fillId="0" borderId="44" xfId="12" applyNumberFormat="1" applyFont="1" applyBorder="1" applyAlignment="1">
      <alignment horizontal="center" vertical="center"/>
    </xf>
    <xf numFmtId="0" fontId="17" fillId="0" borderId="46" xfId="11" applyFont="1" applyBorder="1" applyAlignment="1">
      <alignment horizontal="center"/>
    </xf>
    <xf numFmtId="0" fontId="17" fillId="0" borderId="47" xfId="12" applyFont="1" applyBorder="1" applyAlignment="1">
      <alignment horizontal="center"/>
    </xf>
    <xf numFmtId="0" fontId="17" fillId="0" borderId="48" xfId="11" applyFont="1" applyBorder="1" applyAlignment="1"/>
    <xf numFmtId="0" fontId="17" fillId="0" borderId="49" xfId="11" applyFont="1" applyBorder="1" applyAlignment="1"/>
    <xf numFmtId="184" fontId="17" fillId="0" borderId="17" xfId="2" applyNumberFormat="1" applyFont="1" applyBorder="1" applyAlignment="1">
      <alignment horizontal="center" vertical="center"/>
    </xf>
    <xf numFmtId="43" fontId="17" fillId="0" borderId="17" xfId="14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1" fontId="17" fillId="3" borderId="21" xfId="12" applyNumberFormat="1" applyFont="1" applyFill="1" applyBorder="1" applyAlignment="1">
      <alignment horizontal="center" vertical="center"/>
    </xf>
    <xf numFmtId="1" fontId="17" fillId="0" borderId="21" xfId="12" applyNumberFormat="1" applyFont="1" applyBorder="1" applyAlignment="1">
      <alignment horizontal="center" vertical="center"/>
    </xf>
    <xf numFmtId="179" fontId="17" fillId="0" borderId="21" xfId="12" applyNumberFormat="1" applyFont="1" applyBorder="1" applyAlignment="1">
      <alignment horizontal="center" vertical="center"/>
    </xf>
    <xf numFmtId="1" fontId="17" fillId="3" borderId="17" xfId="12" applyNumberFormat="1" applyFont="1" applyFill="1" applyBorder="1" applyAlignment="1">
      <alignment horizontal="center" vertical="center"/>
    </xf>
    <xf numFmtId="1" fontId="17" fillId="0" borderId="17" xfId="12" applyNumberFormat="1" applyFont="1" applyBorder="1" applyAlignment="1">
      <alignment horizontal="center" vertical="center"/>
    </xf>
    <xf numFmtId="179" fontId="17" fillId="0" borderId="17" xfId="12" applyNumberFormat="1" applyFont="1" applyBorder="1" applyAlignment="1">
      <alignment horizontal="center" vertical="center"/>
    </xf>
    <xf numFmtId="182" fontId="17" fillId="0" borderId="17" xfId="12" applyNumberFormat="1" applyFont="1" applyBorder="1" applyAlignment="1">
      <alignment horizontal="center" vertical="center"/>
    </xf>
    <xf numFmtId="183" fontId="17" fillId="0" borderId="17" xfId="12" applyNumberFormat="1" applyFont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20" fontId="17" fillId="0" borderId="17" xfId="12" applyNumberFormat="1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 wrapText="1"/>
    </xf>
    <xf numFmtId="184" fontId="17" fillId="0" borderId="1" xfId="2" applyNumberFormat="1" applyFont="1" applyBorder="1" applyAlignment="1">
      <alignment horizontal="center" vertical="center"/>
    </xf>
    <xf numFmtId="1" fontId="17" fillId="3" borderId="1" xfId="12" applyNumberFormat="1" applyFont="1" applyFill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181" fontId="17" fillId="0" borderId="1" xfId="12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 vertical="center"/>
    </xf>
    <xf numFmtId="0" fontId="17" fillId="0" borderId="50" xfId="12" applyFont="1" applyBorder="1" applyAlignment="1">
      <alignment horizontal="center"/>
    </xf>
    <xf numFmtId="0" fontId="15" fillId="0" borderId="50" xfId="2" applyFont="1" applyBorder="1" applyAlignment="1">
      <alignment horizontal="center" vertical="center"/>
    </xf>
    <xf numFmtId="0" fontId="17" fillId="11" borderId="50" xfId="12" applyFont="1" applyFill="1" applyBorder="1" applyAlignment="1">
      <alignment horizontal="center"/>
    </xf>
    <xf numFmtId="1" fontId="17" fillId="11" borderId="50" xfId="12" applyNumberFormat="1" applyFont="1" applyFill="1" applyBorder="1" applyAlignment="1">
      <alignment horizontal="center" vertical="center"/>
    </xf>
    <xf numFmtId="43" fontId="17" fillId="11" borderId="50" xfId="14" applyFont="1" applyFill="1" applyBorder="1" applyAlignment="1">
      <alignment horizontal="center" vertical="center"/>
    </xf>
    <xf numFmtId="0" fontId="17" fillId="11" borderId="50" xfId="12" applyFont="1" applyFill="1" applyBorder="1" applyAlignment="1">
      <alignment horizontal="center" vertical="center"/>
    </xf>
    <xf numFmtId="179" fontId="17" fillId="11" borderId="50" xfId="12" applyNumberFormat="1" applyFont="1" applyFill="1" applyBorder="1" applyAlignment="1">
      <alignment horizontal="center" vertical="center"/>
    </xf>
    <xf numFmtId="182" fontId="17" fillId="0" borderId="50" xfId="12" applyNumberFormat="1" applyFont="1" applyBorder="1" applyAlignment="1">
      <alignment horizontal="center" vertical="center"/>
    </xf>
    <xf numFmtId="183" fontId="17" fillId="0" borderId="50" xfId="12" applyNumberFormat="1" applyFont="1" applyBorder="1" applyAlignment="1">
      <alignment horizontal="center" vertical="center"/>
    </xf>
    <xf numFmtId="180" fontId="17" fillId="0" borderId="50" xfId="20" applyNumberFormat="1" applyFont="1" applyFill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181" fontId="17" fillId="0" borderId="50" xfId="12" applyNumberFormat="1" applyFont="1" applyBorder="1" applyAlignment="1">
      <alignment horizontal="center" vertical="center"/>
    </xf>
    <xf numFmtId="0" fontId="17" fillId="0" borderId="50" xfId="12" applyFont="1" applyBorder="1" applyAlignment="1">
      <alignment horizontal="center" vertical="center"/>
    </xf>
    <xf numFmtId="1" fontId="17" fillId="0" borderId="50" xfId="12" applyNumberFormat="1" applyFont="1" applyBorder="1" applyAlignment="1">
      <alignment horizontal="center" vertical="center"/>
    </xf>
    <xf numFmtId="179" fontId="17" fillId="0" borderId="50" xfId="12" applyNumberFormat="1" applyFont="1" applyBorder="1" applyAlignment="1">
      <alignment horizontal="center" vertical="center"/>
    </xf>
    <xf numFmtId="0" fontId="17" fillId="0" borderId="52" xfId="11" applyFont="1" applyBorder="1" applyAlignment="1">
      <alignment horizontal="center"/>
    </xf>
    <xf numFmtId="0" fontId="17" fillId="0" borderId="53" xfId="11" applyFont="1" applyBorder="1" applyAlignment="1"/>
    <xf numFmtId="184" fontId="17" fillId="0" borderId="17" xfId="12" applyNumberFormat="1" applyFont="1" applyBorder="1" applyAlignment="1">
      <alignment horizontal="center" vertical="center"/>
    </xf>
    <xf numFmtId="0" fontId="17" fillId="3" borderId="17" xfId="12" applyFont="1" applyFill="1" applyBorder="1" applyAlignment="1">
      <alignment horizontal="center" vertical="center"/>
    </xf>
    <xf numFmtId="20" fontId="17" fillId="0" borderId="17" xfId="2" applyNumberFormat="1" applyFont="1" applyBorder="1" applyAlignment="1">
      <alignment horizontal="center" vertical="center"/>
    </xf>
    <xf numFmtId="180" fontId="17" fillId="0" borderId="55" xfId="20" applyNumberFormat="1" applyFont="1" applyBorder="1" applyAlignment="1">
      <alignment horizontal="center" vertical="center"/>
    </xf>
    <xf numFmtId="0" fontId="17" fillId="0" borderId="41" xfId="12" applyFont="1" applyBorder="1" applyAlignment="1">
      <alignment horizontal="center"/>
    </xf>
    <xf numFmtId="20" fontId="17" fillId="0" borderId="1" xfId="11" applyNumberFormat="1" applyFont="1" applyBorder="1" applyAlignment="1">
      <alignment horizontal="center" vertical="center"/>
    </xf>
    <xf numFmtId="0" fontId="17" fillId="0" borderId="58" xfId="11" applyFont="1" applyBorder="1" applyAlignment="1"/>
    <xf numFmtId="0" fontId="17" fillId="0" borderId="3" xfId="11" applyFont="1" applyBorder="1" applyAlignment="1"/>
    <xf numFmtId="0" fontId="17" fillId="0" borderId="58" xfId="12" applyFont="1" applyBorder="1" applyAlignment="1">
      <alignment horizontal="center" vertical="center"/>
    </xf>
    <xf numFmtId="0" fontId="17" fillId="0" borderId="60" xfId="11" applyFont="1" applyBorder="1" applyAlignment="1"/>
    <xf numFmtId="0" fontId="17" fillId="0" borderId="61" xfId="12" applyFont="1" applyBorder="1" applyAlignment="1">
      <alignment horizontal="center" vertical="center"/>
    </xf>
    <xf numFmtId="182" fontId="17" fillId="0" borderId="9" xfId="12" applyNumberFormat="1" applyFont="1" applyBorder="1" applyAlignment="1">
      <alignment horizontal="center" vertical="center"/>
    </xf>
    <xf numFmtId="183" fontId="17" fillId="0" borderId="9" xfId="12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20" fontId="17" fillId="0" borderId="9" xfId="12" applyNumberFormat="1" applyFont="1" applyBorder="1" applyAlignment="1">
      <alignment horizontal="center" vertical="center"/>
    </xf>
    <xf numFmtId="0" fontId="17" fillId="0" borderId="55" xfId="11" applyFont="1" applyBorder="1" applyAlignment="1"/>
    <xf numFmtId="0" fontId="17" fillId="0" borderId="22" xfId="11" applyFont="1" applyBorder="1" applyAlignment="1"/>
    <xf numFmtId="184" fontId="6" fillId="0" borderId="17" xfId="2" applyNumberFormat="1" applyFont="1" applyBorder="1" applyAlignment="1">
      <alignment horizontal="center" vertical="center"/>
    </xf>
    <xf numFmtId="1" fontId="17" fillId="3" borderId="64" xfId="12" applyNumberFormat="1" applyFont="1" applyFill="1" applyBorder="1" applyAlignment="1">
      <alignment horizontal="center" vertical="center"/>
    </xf>
    <xf numFmtId="1" fontId="17" fillId="0" borderId="54" xfId="12" applyNumberFormat="1" applyFont="1" applyBorder="1" applyAlignment="1">
      <alignment horizontal="center" vertical="center"/>
    </xf>
    <xf numFmtId="179" fontId="17" fillId="0" borderId="65" xfId="12" applyNumberFormat="1" applyFont="1" applyBorder="1" applyAlignment="1">
      <alignment horizontal="center" vertical="center"/>
    </xf>
    <xf numFmtId="0" fontId="17" fillId="3" borderId="66" xfId="12" applyFont="1" applyFill="1" applyBorder="1" applyAlignment="1">
      <alignment horizontal="center" vertical="center"/>
    </xf>
    <xf numFmtId="20" fontId="6" fillId="0" borderId="17" xfId="8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0" fontId="6" fillId="0" borderId="17" xfId="12" applyFont="1" applyBorder="1" applyAlignment="1">
      <alignment horizontal="center" vertical="center" wrapText="1"/>
    </xf>
    <xf numFmtId="179" fontId="6" fillId="0" borderId="17" xfId="8" applyNumberFormat="1" applyFont="1" applyBorder="1" applyAlignment="1">
      <alignment horizontal="center" vertical="center"/>
    </xf>
    <xf numFmtId="180" fontId="6" fillId="0" borderId="17" xfId="19" applyNumberFormat="1" applyFont="1" applyBorder="1" applyAlignment="1">
      <alignment horizontal="center" vertical="center"/>
    </xf>
    <xf numFmtId="0" fontId="6" fillId="0" borderId="0" xfId="8" applyFont="1">
      <alignment vertical="center"/>
    </xf>
    <xf numFmtId="0" fontId="17" fillId="0" borderId="2" xfId="12" applyFont="1" applyBorder="1" applyAlignment="1">
      <alignment horizontal="center"/>
    </xf>
    <xf numFmtId="0" fontId="17" fillId="0" borderId="2" xfId="11" applyFont="1" applyBorder="1" applyAlignment="1"/>
    <xf numFmtId="184" fontId="6" fillId="0" borderId="1" xfId="2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1" fontId="6" fillId="3" borderId="1" xfId="8" applyNumberFormat="1" applyFont="1" applyFill="1" applyBorder="1" applyAlignment="1">
      <alignment horizontal="center" vertical="center"/>
    </xf>
    <xf numFmtId="1" fontId="6" fillId="0" borderId="1" xfId="8" applyNumberFormat="1" applyFont="1" applyBorder="1" applyAlignment="1">
      <alignment horizontal="center" vertical="center"/>
    </xf>
    <xf numFmtId="179" fontId="6" fillId="0" borderId="1" xfId="8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" xfId="12" applyFont="1" applyBorder="1" applyAlignment="1">
      <alignment horizontal="center" vertical="center" wrapText="1"/>
    </xf>
    <xf numFmtId="180" fontId="6" fillId="0" borderId="1" xfId="19" applyNumberFormat="1" applyFont="1" applyBorder="1" applyAlignment="1">
      <alignment horizontal="center" vertical="center"/>
    </xf>
    <xf numFmtId="0" fontId="17" fillId="0" borderId="72" xfId="11" applyFont="1" applyBorder="1" applyAlignment="1">
      <alignment horizontal="center"/>
    </xf>
    <xf numFmtId="20" fontId="6" fillId="0" borderId="1" xfId="4" applyNumberFormat="1" applyFont="1" applyBorder="1" applyAlignment="1">
      <alignment horizontal="center" vertical="center"/>
    </xf>
    <xf numFmtId="20" fontId="6" fillId="0" borderId="2" xfId="4" applyNumberFormat="1" applyFont="1" applyBorder="1" applyAlignment="1">
      <alignment horizontal="center" vertical="center"/>
    </xf>
    <xf numFmtId="20" fontId="6" fillId="0" borderId="1" xfId="8" applyNumberFormat="1" applyFont="1" applyBorder="1" applyAlignment="1">
      <alignment horizontal="center" vertical="center"/>
    </xf>
    <xf numFmtId="179" fontId="6" fillId="0" borderId="7" xfId="8" applyNumberFormat="1" applyFont="1" applyBorder="1" applyAlignment="1">
      <alignment horizontal="center" vertical="center"/>
    </xf>
    <xf numFmtId="179" fontId="6" fillId="0" borderId="2" xfId="8" applyNumberFormat="1" applyFont="1" applyBorder="1" applyAlignment="1">
      <alignment horizontal="center" vertical="center"/>
    </xf>
    <xf numFmtId="182" fontId="6" fillId="0" borderId="4" xfId="8" applyNumberFormat="1" applyFont="1" applyBorder="1" applyAlignment="1">
      <alignment horizontal="center" vertical="center"/>
    </xf>
    <xf numFmtId="0" fontId="17" fillId="0" borderId="74" xfId="12" applyFont="1" applyBorder="1" applyAlignment="1">
      <alignment horizontal="center" vertical="center"/>
    </xf>
    <xf numFmtId="43" fontId="6" fillId="0" borderId="1" xfId="14" applyFont="1" applyBorder="1" applyAlignment="1">
      <alignment horizontal="center" vertical="center"/>
    </xf>
    <xf numFmtId="181" fontId="6" fillId="0" borderId="11" xfId="8" applyNumberFormat="1" applyFont="1" applyBorder="1" applyAlignment="1">
      <alignment horizontal="center" vertical="center"/>
    </xf>
    <xf numFmtId="0" fontId="17" fillId="0" borderId="62" xfId="12" applyFont="1" applyBorder="1" applyAlignment="1">
      <alignment horizontal="center" vertical="center"/>
    </xf>
    <xf numFmtId="181" fontId="6" fillId="0" borderId="1" xfId="8" applyNumberFormat="1" applyFont="1" applyBorder="1" applyAlignment="1">
      <alignment horizontal="center" vertical="center"/>
    </xf>
    <xf numFmtId="0" fontId="17" fillId="0" borderId="76" xfId="12" applyFont="1" applyBorder="1" applyAlignment="1">
      <alignment horizontal="center"/>
    </xf>
    <xf numFmtId="184" fontId="17" fillId="11" borderId="50" xfId="12" applyNumberFormat="1" applyFont="1" applyFill="1" applyBorder="1" applyAlignment="1">
      <alignment horizontal="center" vertical="center"/>
    </xf>
    <xf numFmtId="182" fontId="17" fillId="0" borderId="77" xfId="12" applyNumberFormat="1" applyFont="1" applyBorder="1" applyAlignment="1">
      <alignment horizontal="center" vertical="center"/>
    </xf>
    <xf numFmtId="183" fontId="17" fillId="0" borderId="78" xfId="12" applyNumberFormat="1" applyFont="1" applyBorder="1" applyAlignment="1">
      <alignment horizontal="center" vertical="center"/>
    </xf>
    <xf numFmtId="180" fontId="17" fillId="0" borderId="78" xfId="20" applyNumberFormat="1" applyFont="1" applyFill="1" applyBorder="1" applyAlignment="1">
      <alignment horizontal="center" vertical="center"/>
    </xf>
    <xf numFmtId="181" fontId="17" fillId="0" borderId="78" xfId="12" applyNumberFormat="1" applyFont="1" applyBorder="1" applyAlignment="1">
      <alignment horizontal="center" vertical="center"/>
    </xf>
    <xf numFmtId="0" fontId="17" fillId="0" borderId="78" xfId="12" applyFont="1" applyBorder="1" applyAlignment="1">
      <alignment horizontal="center" vertical="center"/>
    </xf>
    <xf numFmtId="0" fontId="6" fillId="0" borderId="50" xfId="12" applyFont="1" applyBorder="1" applyAlignment="1">
      <alignment horizontal="center" vertical="center" wrapText="1"/>
    </xf>
    <xf numFmtId="20" fontId="17" fillId="0" borderId="78" xfId="12" applyNumberFormat="1" applyFont="1" applyBorder="1" applyAlignment="1">
      <alignment horizontal="center" vertical="center"/>
    </xf>
    <xf numFmtId="1" fontId="6" fillId="0" borderId="17" xfId="8" applyNumberFormat="1" applyFont="1" applyBorder="1" applyAlignment="1">
      <alignment horizontal="center" vertical="center"/>
    </xf>
    <xf numFmtId="182" fontId="17" fillId="0" borderId="49" xfId="12" applyNumberFormat="1" applyFont="1" applyBorder="1" applyAlignment="1">
      <alignment horizontal="center" vertical="center"/>
    </xf>
    <xf numFmtId="183" fontId="17" fillId="0" borderId="21" xfId="12" applyNumberFormat="1" applyFont="1" applyBorder="1" applyAlignment="1">
      <alignment horizontal="center" vertical="center"/>
    </xf>
    <xf numFmtId="43" fontId="17" fillId="0" borderId="34" xfId="14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/>
    </xf>
    <xf numFmtId="0" fontId="17" fillId="3" borderId="60" xfId="12" applyFont="1" applyFill="1" applyBorder="1" applyAlignment="1">
      <alignment horizontal="center" vertical="center"/>
    </xf>
    <xf numFmtId="1" fontId="17" fillId="0" borderId="34" xfId="12" applyNumberFormat="1" applyFont="1" applyBorder="1" applyAlignment="1">
      <alignment horizontal="center" vertical="center"/>
    </xf>
    <xf numFmtId="179" fontId="17" fillId="0" borderId="34" xfId="12" applyNumberFormat="1" applyFont="1" applyBorder="1" applyAlignment="1">
      <alignment horizontal="center" vertical="center"/>
    </xf>
    <xf numFmtId="0" fontId="17" fillId="6" borderId="13" xfId="12" applyFont="1" applyFill="1" applyBorder="1" applyAlignment="1">
      <alignment horizontal="center" vertical="center" wrapText="1"/>
    </xf>
    <xf numFmtId="0" fontId="17" fillId="6" borderId="13" xfId="12" applyFont="1" applyFill="1" applyBorder="1" applyAlignment="1">
      <alignment horizontal="center" vertical="center"/>
    </xf>
    <xf numFmtId="179" fontId="17" fillId="0" borderId="1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/>
    </xf>
    <xf numFmtId="1" fontId="17" fillId="11" borderId="78" xfId="12" applyNumberFormat="1" applyFont="1" applyFill="1" applyBorder="1" applyAlignment="1">
      <alignment horizontal="center" vertical="center"/>
    </xf>
    <xf numFmtId="181" fontId="6" fillId="0" borderId="83" xfId="8" applyNumberFormat="1" applyFont="1" applyBorder="1" applyAlignment="1">
      <alignment horizontal="center" vertical="center"/>
    </xf>
    <xf numFmtId="1" fontId="17" fillId="0" borderId="44" xfId="12" applyNumberFormat="1" applyFont="1" applyBorder="1" applyAlignment="1">
      <alignment horizontal="center" vertical="center"/>
    </xf>
    <xf numFmtId="43" fontId="17" fillId="0" borderId="21" xfId="14" applyFont="1" applyBorder="1" applyAlignment="1">
      <alignment horizontal="center" vertical="center"/>
    </xf>
    <xf numFmtId="0" fontId="17" fillId="3" borderId="21" xfId="12" applyFont="1" applyFill="1" applyBorder="1" applyAlignment="1">
      <alignment horizontal="center" vertical="center"/>
    </xf>
    <xf numFmtId="20" fontId="17" fillId="0" borderId="21" xfId="12" applyNumberFormat="1" applyFont="1" applyBorder="1" applyAlignment="1">
      <alignment horizontal="center" vertical="center"/>
    </xf>
    <xf numFmtId="180" fontId="17" fillId="0" borderId="54" xfId="20" applyNumberFormat="1" applyFont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 wrapText="1"/>
    </xf>
    <xf numFmtId="180" fontId="17" fillId="0" borderId="12" xfId="20" applyNumberFormat="1" applyFont="1" applyBorder="1" applyAlignment="1">
      <alignment horizontal="center" vertical="center"/>
    </xf>
    <xf numFmtId="0" fontId="17" fillId="0" borderId="9" xfId="11" applyFont="1" applyBorder="1" applyAlignment="1">
      <alignment horizontal="center"/>
    </xf>
    <xf numFmtId="0" fontId="17" fillId="0" borderId="40" xfId="12" applyFont="1" applyBorder="1" applyAlignment="1">
      <alignment horizontal="center"/>
    </xf>
    <xf numFmtId="0" fontId="17" fillId="0" borderId="37" xfId="11" applyFont="1" applyBorder="1" applyAlignment="1"/>
    <xf numFmtId="0" fontId="17" fillId="0" borderId="40" xfId="11" applyFont="1" applyBorder="1" applyAlignment="1"/>
    <xf numFmtId="43" fontId="17" fillId="0" borderId="14" xfId="14" applyFont="1" applyBorder="1" applyAlignment="1">
      <alignment horizontal="center" vertical="center"/>
    </xf>
    <xf numFmtId="183" fontId="17" fillId="0" borderId="14" xfId="12" applyNumberFormat="1" applyFont="1" applyBorder="1" applyAlignment="1">
      <alignment horizontal="center" vertical="center"/>
    </xf>
    <xf numFmtId="0" fontId="17" fillId="0" borderId="87" xfId="12" applyFont="1" applyBorder="1" applyAlignment="1">
      <alignment horizontal="center" vertical="center" wrapText="1"/>
    </xf>
    <xf numFmtId="0" fontId="17" fillId="0" borderId="88" xfId="11" applyFont="1" applyBorder="1" applyAlignment="1"/>
    <xf numFmtId="0" fontId="17" fillId="0" borderId="89" xfId="11" applyFont="1" applyBorder="1" applyAlignment="1">
      <alignment horizontal="center"/>
    </xf>
    <xf numFmtId="0" fontId="17" fillId="0" borderId="73" xfId="11" applyFont="1" applyBorder="1" applyAlignment="1"/>
    <xf numFmtId="0" fontId="17" fillId="0" borderId="31" xfId="12" applyFont="1" applyBorder="1" applyAlignment="1">
      <alignment horizontal="center" vertical="center"/>
    </xf>
    <xf numFmtId="20" fontId="17" fillId="0" borderId="13" xfId="11" applyNumberFormat="1" applyFont="1" applyBorder="1" applyAlignment="1">
      <alignment horizontal="center" vertical="center"/>
    </xf>
    <xf numFmtId="180" fontId="17" fillId="0" borderId="27" xfId="20" applyNumberFormat="1" applyFont="1" applyBorder="1" applyAlignment="1">
      <alignment horizontal="center" vertical="center"/>
    </xf>
    <xf numFmtId="181" fontId="17" fillId="0" borderId="13" xfId="12" applyNumberFormat="1" applyFont="1" applyBorder="1" applyAlignment="1">
      <alignment horizontal="center" vertical="center"/>
    </xf>
    <xf numFmtId="0" fontId="17" fillId="0" borderId="3" xfId="12" applyFont="1" applyBorder="1" applyAlignment="1">
      <alignment horizontal="center" vertical="center"/>
    </xf>
    <xf numFmtId="1" fontId="17" fillId="0" borderId="90" xfId="12" applyNumberFormat="1" applyFont="1" applyBorder="1" applyAlignment="1">
      <alignment horizontal="center" vertical="center"/>
    </xf>
    <xf numFmtId="179" fontId="17" fillId="0" borderId="91" xfId="12" applyNumberFormat="1" applyFont="1" applyBorder="1" applyAlignment="1">
      <alignment horizontal="center" vertical="center"/>
    </xf>
    <xf numFmtId="0" fontId="17" fillId="11" borderId="78" xfId="12" applyFont="1" applyFill="1" applyBorder="1" applyAlignment="1">
      <alignment horizontal="center" vertical="center"/>
    </xf>
    <xf numFmtId="179" fontId="17" fillId="11" borderId="78" xfId="12" applyNumberFormat="1" applyFont="1" applyFill="1" applyBorder="1" applyAlignment="1">
      <alignment horizontal="center" vertical="center"/>
    </xf>
    <xf numFmtId="182" fontId="17" fillId="0" borderId="78" xfId="12" applyNumberFormat="1" applyFont="1" applyBorder="1" applyAlignment="1">
      <alignment horizontal="center" vertical="center"/>
    </xf>
    <xf numFmtId="20" fontId="17" fillId="0" borderId="54" xfId="12" applyNumberFormat="1" applyFont="1" applyBorder="1" applyAlignment="1">
      <alignment horizontal="center" vertical="center"/>
    </xf>
    <xf numFmtId="20" fontId="17" fillId="0" borderId="85" xfId="12" applyNumberFormat="1" applyFont="1" applyBorder="1" applyAlignment="1">
      <alignment horizontal="center" vertical="center"/>
    </xf>
    <xf numFmtId="20" fontId="17" fillId="0" borderId="34" xfId="12" applyNumberFormat="1" applyFont="1" applyBorder="1" applyAlignment="1">
      <alignment horizontal="center" vertical="center"/>
    </xf>
    <xf numFmtId="184" fontId="17" fillId="0" borderId="9" xfId="12" applyNumberFormat="1" applyFont="1" applyBorder="1" applyAlignment="1">
      <alignment horizontal="center" vertical="center"/>
    </xf>
    <xf numFmtId="1" fontId="17" fillId="3" borderId="27" xfId="12" applyNumberFormat="1" applyFont="1" applyFill="1" applyBorder="1" applyAlignment="1">
      <alignment horizontal="center" vertical="center"/>
    </xf>
    <xf numFmtId="1" fontId="17" fillId="3" borderId="9" xfId="12" applyNumberFormat="1" applyFont="1" applyFill="1" applyBorder="1" applyAlignment="1">
      <alignment horizontal="center" vertical="center"/>
    </xf>
    <xf numFmtId="1" fontId="17" fillId="0" borderId="9" xfId="12" applyNumberFormat="1" applyFont="1" applyBorder="1" applyAlignment="1">
      <alignment horizontal="center" vertical="center"/>
    </xf>
    <xf numFmtId="179" fontId="17" fillId="0" borderId="9" xfId="12" applyNumberFormat="1" applyFont="1" applyBorder="1" applyAlignment="1">
      <alignment horizontal="center" vertical="center"/>
    </xf>
    <xf numFmtId="180" fontId="17" fillId="0" borderId="39" xfId="20" applyNumberFormat="1" applyFont="1" applyBorder="1" applyAlignment="1">
      <alignment horizontal="center" vertical="center"/>
    </xf>
    <xf numFmtId="20" fontId="17" fillId="0" borderId="87" xfId="12" applyNumberFormat="1" applyFont="1" applyBorder="1" applyAlignment="1">
      <alignment horizontal="center" vertical="center"/>
    </xf>
    <xf numFmtId="180" fontId="17" fillId="0" borderId="94" xfId="20" applyNumberFormat="1" applyFont="1" applyBorder="1" applyAlignment="1">
      <alignment horizontal="center" vertical="center"/>
    </xf>
    <xf numFmtId="20" fontId="17" fillId="0" borderId="14" xfId="11" applyNumberFormat="1" applyFont="1" applyBorder="1" applyAlignment="1">
      <alignment horizontal="center" vertical="center"/>
    </xf>
    <xf numFmtId="43" fontId="17" fillId="11" borderId="78" xfId="14" applyFont="1" applyFill="1" applyBorder="1" applyAlignment="1">
      <alignment horizontal="center" vertical="center"/>
    </xf>
    <xf numFmtId="0" fontId="17" fillId="0" borderId="0" xfId="12" applyFont="1" applyAlignment="1">
      <alignment vertical="center" wrapText="1"/>
    </xf>
    <xf numFmtId="0" fontId="17" fillId="0" borderId="1" xfId="12" applyFont="1" applyBorder="1">
      <alignment vertical="center"/>
    </xf>
    <xf numFmtId="0" fontId="17" fillId="0" borderId="0" xfId="11" applyFont="1" applyAlignment="1">
      <alignment horizontal="center"/>
    </xf>
    <xf numFmtId="0" fontId="17" fillId="0" borderId="0" xfId="2" applyFont="1" applyAlignment="1">
      <alignment horizontal="center" vertical="center"/>
    </xf>
    <xf numFmtId="0" fontId="6" fillId="0" borderId="0" xfId="8" applyFont="1" applyAlignment="1">
      <alignment horizontal="center"/>
    </xf>
    <xf numFmtId="20" fontId="17" fillId="0" borderId="58" xfId="12" applyNumberFormat="1" applyFont="1" applyBorder="1" applyAlignment="1">
      <alignment horizontal="center" vertical="center"/>
    </xf>
    <xf numFmtId="20" fontId="17" fillId="0" borderId="41" xfId="12" applyNumberFormat="1" applyFont="1" applyBorder="1" applyAlignment="1">
      <alignment horizontal="center" vertical="center"/>
    </xf>
    <xf numFmtId="0" fontId="17" fillId="0" borderId="48" xfId="12" applyFont="1" applyBorder="1" applyAlignment="1">
      <alignment horizontal="center" vertical="center"/>
    </xf>
    <xf numFmtId="20" fontId="17" fillId="0" borderId="27" xfId="11" applyNumberFormat="1" applyFont="1" applyBorder="1" applyAlignment="1">
      <alignment horizontal="center" vertical="center"/>
    </xf>
    <xf numFmtId="20" fontId="17" fillId="0" borderId="55" xfId="12" applyNumberFormat="1" applyFont="1" applyBorder="1" applyAlignment="1">
      <alignment horizontal="center" vertical="center"/>
    </xf>
    <xf numFmtId="20" fontId="17" fillId="0" borderId="70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 wrapText="1"/>
    </xf>
    <xf numFmtId="179" fontId="17" fillId="0" borderId="76" xfId="12" applyNumberFormat="1" applyFont="1" applyBorder="1" applyAlignment="1">
      <alignment horizontal="center" vertical="center"/>
    </xf>
    <xf numFmtId="179" fontId="17" fillId="0" borderId="67" xfId="12" applyNumberFormat="1" applyFont="1" applyBorder="1" applyAlignment="1">
      <alignment horizontal="center" vertical="center"/>
    </xf>
    <xf numFmtId="20" fontId="17" fillId="0" borderId="2" xfId="12" applyNumberFormat="1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/>
    </xf>
    <xf numFmtId="179" fontId="17" fillId="0" borderId="99" xfId="12" applyNumberFormat="1" applyFont="1" applyBorder="1" applyAlignment="1">
      <alignment horizontal="center" vertical="center"/>
    </xf>
    <xf numFmtId="0" fontId="17" fillId="0" borderId="67" xfId="12" applyFont="1" applyBorder="1" applyAlignment="1">
      <alignment horizontal="center" vertical="center"/>
    </xf>
    <xf numFmtId="20" fontId="17" fillId="0" borderId="2" xfId="11" applyNumberFormat="1" applyFont="1" applyBorder="1" applyAlignment="1">
      <alignment horizontal="center" vertical="center"/>
    </xf>
    <xf numFmtId="179" fontId="6" fillId="0" borderId="100" xfId="8" applyNumberFormat="1" applyFont="1" applyBorder="1" applyAlignment="1">
      <alignment horizontal="center" vertical="center"/>
    </xf>
    <xf numFmtId="20" fontId="17" fillId="0" borderId="101" xfId="12" applyNumberFormat="1" applyFont="1" applyBorder="1" applyAlignment="1">
      <alignment horizontal="center" vertical="center"/>
    </xf>
    <xf numFmtId="20" fontId="17" fillId="0" borderId="37" xfId="12" applyNumberFormat="1" applyFont="1" applyBorder="1" applyAlignment="1">
      <alignment horizontal="center" vertical="center"/>
    </xf>
    <xf numFmtId="179" fontId="17" fillId="0" borderId="58" xfId="12" applyNumberFormat="1" applyFont="1" applyBorder="1" applyAlignment="1">
      <alignment horizontal="center" vertical="center"/>
    </xf>
    <xf numFmtId="20" fontId="17" fillId="0" borderId="41" xfId="11" applyNumberFormat="1" applyFont="1" applyBorder="1" applyAlignment="1">
      <alignment horizontal="center" vertical="center"/>
    </xf>
    <xf numFmtId="182" fontId="17" fillId="0" borderId="30" xfId="12" applyNumberFormat="1" applyFont="1" applyBorder="1" applyAlignment="1">
      <alignment horizontal="center" vertical="center"/>
    </xf>
    <xf numFmtId="182" fontId="17" fillId="0" borderId="39" xfId="12" applyNumberFormat="1" applyFont="1" applyBorder="1" applyAlignment="1">
      <alignment horizontal="center" vertical="center"/>
    </xf>
    <xf numFmtId="182" fontId="17" fillId="0" borderId="43" xfId="12" applyNumberFormat="1" applyFont="1" applyBorder="1" applyAlignment="1">
      <alignment horizontal="center" vertical="center"/>
    </xf>
    <xf numFmtId="182" fontId="17" fillId="0" borderId="46" xfId="12" applyNumberFormat="1" applyFont="1" applyBorder="1" applyAlignment="1">
      <alignment horizontal="center" vertical="center"/>
    </xf>
    <xf numFmtId="182" fontId="17" fillId="0" borderId="3" xfId="12" applyNumberFormat="1" applyFont="1" applyBorder="1" applyAlignment="1">
      <alignment horizontal="center" vertical="center"/>
    </xf>
    <xf numFmtId="182" fontId="17" fillId="0" borderId="96" xfId="12" applyNumberFormat="1" applyFont="1" applyBorder="1" applyAlignment="1">
      <alignment horizontal="center" vertical="center"/>
    </xf>
    <xf numFmtId="182" fontId="6" fillId="0" borderId="102" xfId="8" applyNumberFormat="1" applyFont="1" applyBorder="1" applyAlignment="1">
      <alignment horizontal="center" vertical="center"/>
    </xf>
    <xf numFmtId="182" fontId="6" fillId="0" borderId="3" xfId="8" applyNumberFormat="1" applyFont="1" applyBorder="1" applyAlignment="1">
      <alignment horizontal="center" vertical="center"/>
    </xf>
    <xf numFmtId="182" fontId="17" fillId="0" borderId="103" xfId="12" applyNumberFormat="1" applyFont="1" applyBorder="1" applyAlignment="1">
      <alignment horizontal="center" vertical="center"/>
    </xf>
    <xf numFmtId="182" fontId="17" fillId="0" borderId="97" xfId="12" applyNumberFormat="1" applyFont="1" applyBorder="1" applyAlignment="1">
      <alignment horizontal="center" vertical="center"/>
    </xf>
    <xf numFmtId="182" fontId="17" fillId="0" borderId="60" xfId="12" applyNumberFormat="1" applyFont="1" applyBorder="1" applyAlignment="1">
      <alignment horizontal="center" vertical="center"/>
    </xf>
    <xf numFmtId="182" fontId="17" fillId="0" borderId="104" xfId="12" applyNumberFormat="1" applyFont="1" applyBorder="1" applyAlignment="1">
      <alignment horizontal="center" vertical="center"/>
    </xf>
    <xf numFmtId="20" fontId="6" fillId="6" borderId="105" xfId="8" applyNumberFormat="1" applyFont="1" applyFill="1" applyBorder="1" applyAlignment="1">
      <alignment horizontal="center" vertical="center"/>
    </xf>
    <xf numFmtId="20" fontId="6" fillId="6" borderId="98" xfId="8" applyNumberFormat="1" applyFont="1" applyFill="1" applyBorder="1" applyAlignment="1">
      <alignment horizontal="center" vertical="center"/>
    </xf>
    <xf numFmtId="20" fontId="17" fillId="0" borderId="50" xfId="12" applyNumberFormat="1" applyFont="1" applyBorder="1" applyAlignment="1">
      <alignment horizontal="center" vertical="center"/>
    </xf>
    <xf numFmtId="20" fontId="17" fillId="0" borderId="99" xfId="12" applyNumberFormat="1" applyFont="1" applyBorder="1" applyAlignment="1">
      <alignment horizontal="center" vertical="center"/>
    </xf>
    <xf numFmtId="0" fontId="17" fillId="8" borderId="50" xfId="12" applyFont="1" applyFill="1" applyBorder="1" applyAlignment="1">
      <alignment horizontal="center" vertical="center"/>
    </xf>
    <xf numFmtId="9" fontId="17" fillId="8" borderId="50" xfId="17" applyFont="1" applyFill="1" applyBorder="1" applyAlignment="1">
      <alignment horizontal="center" vertical="center"/>
    </xf>
    <xf numFmtId="0" fontId="20" fillId="0" borderId="72" xfId="12" applyFont="1" applyBorder="1" applyAlignment="1">
      <alignment horizontal="center" vertical="center" wrapText="1"/>
    </xf>
    <xf numFmtId="0" fontId="20" fillId="0" borderId="15" xfId="12" applyFont="1" applyBorder="1" applyAlignment="1">
      <alignment horizontal="center" vertical="center"/>
    </xf>
    <xf numFmtId="20" fontId="17" fillId="0" borderId="10" xfId="2" applyNumberFormat="1" applyFont="1" applyBorder="1" applyAlignment="1">
      <alignment horizontal="center" vertical="center"/>
    </xf>
    <xf numFmtId="20" fontId="6" fillId="0" borderId="10" xfId="8" applyNumberFormat="1" applyFont="1" applyBorder="1" applyAlignment="1">
      <alignment horizontal="center" vertical="center"/>
    </xf>
    <xf numFmtId="20" fontId="6" fillId="6" borderId="10" xfId="8" applyNumberFormat="1" applyFont="1" applyFill="1" applyBorder="1" applyAlignment="1">
      <alignment horizontal="center" vertical="center"/>
    </xf>
    <xf numFmtId="0" fontId="15" fillId="14" borderId="1" xfId="6" applyFont="1" applyFill="1" applyBorder="1" applyAlignment="1">
      <alignment horizontal="center" vertical="center"/>
    </xf>
    <xf numFmtId="20" fontId="17" fillId="14" borderId="1" xfId="2" applyNumberFormat="1" applyFont="1" applyFill="1" applyBorder="1" applyAlignment="1">
      <alignment horizontal="center" vertical="center"/>
    </xf>
    <xf numFmtId="20" fontId="17" fillId="14" borderId="1" xfId="12" applyNumberFormat="1" applyFont="1" applyFill="1" applyBorder="1" applyAlignment="1">
      <alignment horizontal="center" vertical="center"/>
    </xf>
    <xf numFmtId="20" fontId="6" fillId="14" borderId="1" xfId="8" applyNumberFormat="1" applyFont="1" applyFill="1" applyBorder="1" applyAlignment="1">
      <alignment horizontal="center" vertical="center"/>
    </xf>
    <xf numFmtId="184" fontId="17" fillId="8" borderId="50" xfId="12" applyNumberFormat="1" applyFont="1" applyFill="1" applyBorder="1" applyAlignment="1">
      <alignment horizontal="center" vertical="center"/>
    </xf>
    <xf numFmtId="184" fontId="17" fillId="0" borderId="1" xfId="11" applyNumberFormat="1" applyFont="1" applyBorder="1" applyAlignment="1">
      <alignment horizontal="center" vertical="center"/>
    </xf>
    <xf numFmtId="184" fontId="6" fillId="0" borderId="17" xfId="8" applyNumberFormat="1" applyFont="1" applyBorder="1" applyAlignment="1">
      <alignment horizontal="center" vertical="center"/>
    </xf>
    <xf numFmtId="184" fontId="6" fillId="0" borderId="1" xfId="4" applyNumberFormat="1" applyFont="1" applyBorder="1" applyAlignment="1">
      <alignment horizontal="center" vertical="center"/>
    </xf>
    <xf numFmtId="184" fontId="6" fillId="0" borderId="1" xfId="8" applyNumberFormat="1" applyFont="1" applyBorder="1" applyAlignment="1">
      <alignment horizontal="center" vertical="center"/>
    </xf>
    <xf numFmtId="184" fontId="21" fillId="0" borderId="14" xfId="12" applyNumberFormat="1" applyFont="1" applyBorder="1" applyAlignment="1">
      <alignment horizontal="center" vertical="center"/>
    </xf>
    <xf numFmtId="182" fontId="21" fillId="0" borderId="14" xfId="12" applyNumberFormat="1" applyFont="1" applyBorder="1" applyAlignment="1">
      <alignment horizontal="center" vertical="center"/>
    </xf>
    <xf numFmtId="0" fontId="6" fillId="0" borderId="14" xfId="12" applyFont="1" applyBorder="1" applyAlignment="1">
      <alignment horizontal="center" vertical="center"/>
    </xf>
    <xf numFmtId="0" fontId="6" fillId="8" borderId="14" xfId="12" applyFont="1" applyFill="1" applyBorder="1" applyAlignment="1">
      <alignment horizontal="center" vertical="center"/>
    </xf>
    <xf numFmtId="0" fontId="6" fillId="0" borderId="41" xfId="12" applyFont="1" applyBorder="1" applyAlignment="1">
      <alignment horizontal="center" vertical="center"/>
    </xf>
    <xf numFmtId="0" fontId="28" fillId="8" borderId="9" xfId="6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29" fillId="0" borderId="0" xfId="1" applyFont="1" applyAlignment="1">
      <alignment horizontal="center" vertical="center"/>
    </xf>
    <xf numFmtId="0" fontId="30" fillId="0" borderId="0" xfId="1" applyFont="1">
      <alignment vertical="center"/>
    </xf>
    <xf numFmtId="0" fontId="6" fillId="0" borderId="1" xfId="9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84" fontId="17" fillId="14" borderId="1" xfId="2" applyNumberFormat="1" applyFont="1" applyFill="1" applyBorder="1" applyAlignment="1">
      <alignment horizontal="center" vertical="center"/>
    </xf>
    <xf numFmtId="184" fontId="17" fillId="14" borderId="1" xfId="12" applyNumberFormat="1" applyFont="1" applyFill="1" applyBorder="1" applyAlignment="1">
      <alignment horizontal="center" vertical="center"/>
    </xf>
    <xf numFmtId="184" fontId="6" fillId="14" borderId="1" xfId="8" applyNumberFormat="1" applyFont="1" applyFill="1" applyBorder="1" applyAlignment="1">
      <alignment horizontal="center" vertical="center"/>
    </xf>
    <xf numFmtId="185" fontId="6" fillId="0" borderId="0" xfId="1" applyNumberFormat="1" applyFont="1">
      <alignment vertical="center"/>
    </xf>
    <xf numFmtId="0" fontId="6" fillId="0" borderId="0" xfId="1" quotePrefix="1" applyFont="1">
      <alignment vertical="center"/>
    </xf>
    <xf numFmtId="0" fontId="17" fillId="0" borderId="70" xfId="11" applyFont="1" applyBorder="1" applyAlignment="1"/>
    <xf numFmtId="0" fontId="17" fillId="0" borderId="102" xfId="11" applyFont="1" applyBorder="1" applyAlignment="1"/>
    <xf numFmtId="1" fontId="17" fillId="3" borderId="30" xfId="12" applyNumberFormat="1" applyFont="1" applyFill="1" applyBorder="1" applyAlignment="1">
      <alignment horizontal="center" vertical="center"/>
    </xf>
    <xf numFmtId="1" fontId="17" fillId="3" borderId="54" xfId="12" applyNumberFormat="1" applyFont="1" applyFill="1" applyBorder="1" applyAlignment="1">
      <alignment horizontal="center" vertical="center"/>
    </xf>
    <xf numFmtId="1" fontId="17" fillId="3" borderId="34" xfId="12" applyNumberFormat="1" applyFont="1" applyFill="1" applyBorder="1" applyAlignment="1">
      <alignment horizontal="center" vertical="center"/>
    </xf>
    <xf numFmtId="1" fontId="17" fillId="0" borderId="49" xfId="12" applyNumberFormat="1" applyFont="1" applyBorder="1" applyAlignment="1">
      <alignment horizontal="center" vertical="center"/>
    </xf>
    <xf numFmtId="1" fontId="17" fillId="11" borderId="9" xfId="12" applyNumberFormat="1" applyFont="1" applyFill="1" applyBorder="1" applyAlignment="1">
      <alignment horizontal="center" vertical="center"/>
    </xf>
    <xf numFmtId="182" fontId="17" fillId="0" borderId="72" xfId="12" applyNumberFormat="1" applyFont="1" applyBorder="1" applyAlignment="1">
      <alignment horizontal="center" vertical="center"/>
    </xf>
    <xf numFmtId="180" fontId="17" fillId="0" borderId="15" xfId="20" applyNumberFormat="1" applyFont="1" applyBorder="1" applyAlignment="1">
      <alignment horizontal="center" vertical="center"/>
    </xf>
    <xf numFmtId="20" fontId="17" fillId="0" borderId="44" xfId="12" applyNumberFormat="1" applyFont="1" applyBorder="1" applyAlignment="1">
      <alignment horizontal="center" vertical="center"/>
    </xf>
    <xf numFmtId="0" fontId="17" fillId="0" borderId="22" xfId="11" applyFont="1" applyBorder="1" applyAlignment="1">
      <alignment horizontal="center"/>
    </xf>
    <xf numFmtId="0" fontId="17" fillId="0" borderId="4" xfId="11" applyFont="1" applyBorder="1" applyAlignment="1"/>
    <xf numFmtId="1" fontId="17" fillId="3" borderId="48" xfId="12" applyNumberFormat="1" applyFont="1" applyFill="1" applyBorder="1" applyAlignment="1">
      <alignment horizontal="center" vertical="center"/>
    </xf>
    <xf numFmtId="179" fontId="17" fillId="0" borderId="49" xfId="12" applyNumberFormat="1" applyFont="1" applyBorder="1" applyAlignment="1">
      <alignment horizontal="center" vertical="center"/>
    </xf>
    <xf numFmtId="1" fontId="17" fillId="0" borderId="11" xfId="12" applyNumberFormat="1" applyFont="1" applyBorder="1" applyAlignment="1">
      <alignment horizontal="center" vertical="center"/>
    </xf>
    <xf numFmtId="182" fontId="6" fillId="0" borderId="8" xfId="8" applyNumberFormat="1" applyFont="1" applyBorder="1" applyAlignment="1">
      <alignment horizontal="center" vertical="center"/>
    </xf>
    <xf numFmtId="180" fontId="6" fillId="0" borderId="11" xfId="19" applyNumberFormat="1" applyFont="1" applyBorder="1" applyAlignment="1">
      <alignment horizontal="center" vertical="center"/>
    </xf>
    <xf numFmtId="182" fontId="6" fillId="0" borderId="1" xfId="8" applyNumberFormat="1" applyFont="1" applyBorder="1" applyAlignment="1">
      <alignment horizontal="center" vertical="center"/>
    </xf>
    <xf numFmtId="14" fontId="19" fillId="0" borderId="13" xfId="12" applyNumberFormat="1" applyFont="1" applyBorder="1" applyAlignment="1">
      <alignment horizontal="left" vertical="center"/>
    </xf>
    <xf numFmtId="0" fontId="17" fillId="0" borderId="13" xfId="12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6" fillId="0" borderId="14" xfId="12" applyFont="1" applyBorder="1" applyAlignment="1">
      <alignment horizontal="center" vertical="center"/>
    </xf>
    <xf numFmtId="0" fontId="6" fillId="0" borderId="15" xfId="12" applyFont="1" applyBorder="1" applyAlignment="1">
      <alignment horizontal="center" vertical="center"/>
    </xf>
    <xf numFmtId="0" fontId="21" fillId="0" borderId="13" xfId="12" applyFont="1" applyBorder="1" applyAlignment="1">
      <alignment horizontal="center" vertical="center"/>
    </xf>
    <xf numFmtId="0" fontId="21" fillId="0" borderId="14" xfId="12" applyFont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0" fontId="6" fillId="3" borderId="13" xfId="12" applyFont="1" applyFill="1" applyBorder="1" applyAlignment="1">
      <alignment horizontal="center" vertical="center"/>
    </xf>
    <xf numFmtId="0" fontId="6" fillId="3" borderId="14" xfId="12" applyFont="1" applyFill="1" applyBorder="1" applyAlignment="1">
      <alignment horizontal="center" vertical="center"/>
    </xf>
    <xf numFmtId="0" fontId="6" fillId="9" borderId="13" xfId="12" applyFont="1" applyFill="1" applyBorder="1" applyAlignment="1">
      <alignment horizontal="center" vertical="center"/>
    </xf>
    <xf numFmtId="0" fontId="6" fillId="9" borderId="14" xfId="12" applyFont="1" applyFill="1" applyBorder="1" applyAlignment="1">
      <alignment horizontal="center" vertical="center"/>
    </xf>
    <xf numFmtId="0" fontId="6" fillId="4" borderId="13" xfId="12" applyFont="1" applyFill="1" applyBorder="1" applyAlignment="1">
      <alignment horizontal="center" vertical="center"/>
    </xf>
    <xf numFmtId="0" fontId="6" fillId="4" borderId="14" xfId="12" applyFont="1" applyFill="1" applyBorder="1" applyAlignment="1">
      <alignment horizontal="center" vertical="center"/>
    </xf>
    <xf numFmtId="0" fontId="6" fillId="8" borderId="13" xfId="12" applyFont="1" applyFill="1" applyBorder="1" applyAlignment="1">
      <alignment horizontal="center" vertical="center"/>
    </xf>
    <xf numFmtId="0" fontId="6" fillId="8" borderId="14" xfId="12" applyFont="1" applyFill="1" applyBorder="1" applyAlignment="1">
      <alignment horizontal="center" vertical="center"/>
    </xf>
    <xf numFmtId="0" fontId="17" fillId="5" borderId="13" xfId="12" applyFont="1" applyFill="1" applyBorder="1" applyAlignment="1">
      <alignment horizontal="center" vertical="center"/>
    </xf>
    <xf numFmtId="0" fontId="17" fillId="5" borderId="14" xfId="12" applyFont="1" applyFill="1" applyBorder="1" applyAlignment="1">
      <alignment horizontal="center" vertical="center"/>
    </xf>
    <xf numFmtId="0" fontId="17" fillId="10" borderId="13" xfId="12" applyFont="1" applyFill="1" applyBorder="1" applyAlignment="1">
      <alignment horizontal="center" vertical="center" wrapText="1"/>
    </xf>
    <xf numFmtId="0" fontId="17" fillId="10" borderId="14" xfId="12" applyFont="1" applyFill="1" applyBorder="1" applyAlignment="1">
      <alignment horizontal="center" vertical="center" wrapText="1"/>
    </xf>
    <xf numFmtId="0" fontId="6" fillId="10" borderId="13" xfId="12" applyFont="1" applyFill="1" applyBorder="1" applyAlignment="1">
      <alignment horizontal="center" vertical="center" wrapText="1"/>
    </xf>
    <xf numFmtId="0" fontId="6" fillId="10" borderId="14" xfId="12" applyFont="1" applyFill="1" applyBorder="1" applyAlignment="1">
      <alignment horizontal="center" vertical="center" wrapText="1"/>
    </xf>
    <xf numFmtId="180" fontId="17" fillId="0" borderId="23" xfId="20" applyNumberFormat="1" applyFont="1" applyBorder="1" applyAlignment="1">
      <alignment horizontal="center" vertical="center"/>
    </xf>
    <xf numFmtId="180" fontId="17" fillId="0" borderId="32" xfId="20" applyNumberFormat="1" applyFont="1" applyBorder="1" applyAlignment="1">
      <alignment horizontal="center" vertical="center"/>
    </xf>
    <xf numFmtId="180" fontId="17" fillId="0" borderId="36" xfId="20" applyNumberFormat="1" applyFont="1" applyBorder="1" applyAlignment="1">
      <alignment horizontal="center" vertical="center"/>
    </xf>
    <xf numFmtId="180" fontId="17" fillId="0" borderId="45" xfId="20" applyNumberFormat="1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/>
    </xf>
    <xf numFmtId="0" fontId="28" fillId="8" borderId="1" xfId="6" applyFont="1" applyFill="1" applyBorder="1" applyAlignment="1">
      <alignment horizontal="center" vertical="center" wrapText="1"/>
    </xf>
    <xf numFmtId="0" fontId="23" fillId="8" borderId="1" xfId="6" applyFont="1" applyFill="1" applyBorder="1" applyAlignment="1">
      <alignment horizontal="center" vertical="center"/>
    </xf>
    <xf numFmtId="0" fontId="17" fillId="9" borderId="30" xfId="12" applyFont="1" applyFill="1" applyBorder="1" applyAlignment="1">
      <alignment horizontal="center" vertical="center"/>
    </xf>
    <xf numFmtId="0" fontId="17" fillId="9" borderId="39" xfId="12" applyFont="1" applyFill="1" applyBorder="1" applyAlignment="1">
      <alignment horizontal="center" vertical="center"/>
    </xf>
    <xf numFmtId="0" fontId="6" fillId="8" borderId="13" xfId="12" applyFont="1" applyFill="1" applyBorder="1" applyAlignment="1">
      <alignment horizontal="center" vertical="center" wrapText="1"/>
    </xf>
    <xf numFmtId="0" fontId="6" fillId="0" borderId="13" xfId="12" applyFont="1" applyBorder="1" applyAlignment="1">
      <alignment horizontal="center" vertical="center" wrapText="1"/>
    </xf>
    <xf numFmtId="0" fontId="6" fillId="0" borderId="14" xfId="12" applyFont="1" applyBorder="1" applyAlignment="1">
      <alignment horizontal="center" vertical="center" wrapText="1"/>
    </xf>
    <xf numFmtId="0" fontId="6" fillId="8" borderId="27" xfId="12" applyFont="1" applyFill="1" applyBorder="1" applyAlignment="1">
      <alignment horizontal="center" vertical="center"/>
    </xf>
    <xf numFmtId="0" fontId="20" fillId="0" borderId="1" xfId="12" applyFont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/>
    </xf>
    <xf numFmtId="0" fontId="20" fillId="0" borderId="9" xfId="12" applyFont="1" applyBorder="1" applyAlignment="1">
      <alignment horizontal="center" vertical="center"/>
    </xf>
    <xf numFmtId="0" fontId="6" fillId="5" borderId="13" xfId="12" applyFont="1" applyFill="1" applyBorder="1" applyAlignment="1">
      <alignment horizontal="center" vertical="center"/>
    </xf>
    <xf numFmtId="0" fontId="6" fillId="5" borderId="14" xfId="12" applyFont="1" applyFill="1" applyBorder="1" applyAlignment="1">
      <alignment horizontal="center" vertical="center"/>
    </xf>
    <xf numFmtId="0" fontId="17" fillId="10" borderId="16" xfId="12" applyFont="1" applyFill="1" applyBorder="1" applyAlignment="1">
      <alignment horizontal="center" vertical="center" wrapText="1"/>
    </xf>
    <xf numFmtId="0" fontId="17" fillId="10" borderId="24" xfId="12" applyFont="1" applyFill="1" applyBorder="1" applyAlignment="1">
      <alignment horizontal="center" vertical="center"/>
    </xf>
    <xf numFmtId="0" fontId="17" fillId="10" borderId="35" xfId="12" applyFont="1" applyFill="1" applyBorder="1" applyAlignment="1">
      <alignment horizontal="center" vertical="center"/>
    </xf>
    <xf numFmtId="0" fontId="17" fillId="10" borderId="42" xfId="12" applyFont="1" applyFill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20" fontId="17" fillId="0" borderId="17" xfId="12" applyNumberFormat="1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0" fontId="17" fillId="11" borderId="44" xfId="12" applyFont="1" applyFill="1" applyBorder="1" applyAlignment="1"/>
    <xf numFmtId="0" fontId="17" fillId="0" borderId="50" xfId="12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/>
    </xf>
    <xf numFmtId="0" fontId="17" fillId="0" borderId="3" xfId="12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0" fontId="17" fillId="3" borderId="16" xfId="12" applyFont="1" applyFill="1" applyBorder="1" applyAlignment="1">
      <alignment horizontal="center" vertical="center" wrapText="1"/>
    </xf>
    <xf numFmtId="0" fontId="17" fillId="3" borderId="24" xfId="12" applyFont="1" applyFill="1" applyBorder="1" applyAlignment="1">
      <alignment horizontal="center" vertical="center"/>
    </xf>
    <xf numFmtId="0" fontId="17" fillId="3" borderId="35" xfId="12" applyFont="1" applyFill="1" applyBorder="1" applyAlignment="1">
      <alignment horizontal="center" vertical="center"/>
    </xf>
    <xf numFmtId="0" fontId="17" fillId="3" borderId="42" xfId="12" applyFont="1" applyFill="1" applyBorder="1" applyAlignment="1">
      <alignment horizontal="center" vertical="center"/>
    </xf>
    <xf numFmtId="180" fontId="17" fillId="0" borderId="2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0" fontId="17" fillId="0" borderId="66" xfId="12" applyFont="1" applyBorder="1" applyAlignment="1">
      <alignment horizontal="center" vertical="center"/>
    </xf>
    <xf numFmtId="180" fontId="17" fillId="0" borderId="57" xfId="20" applyNumberFormat="1" applyFont="1" applyBorder="1" applyAlignment="1">
      <alignment horizontal="center" vertical="center"/>
    </xf>
    <xf numFmtId="180" fontId="17" fillId="0" borderId="59" xfId="20" applyNumberFormat="1" applyFont="1" applyBorder="1" applyAlignment="1">
      <alignment horizontal="center" vertical="center"/>
    </xf>
    <xf numFmtId="0" fontId="17" fillId="11" borderId="25" xfId="12" applyFont="1" applyFill="1" applyBorder="1" applyAlignment="1"/>
    <xf numFmtId="0" fontId="17" fillId="11" borderId="110" xfId="12" applyFont="1" applyFill="1" applyBorder="1" applyAlignment="1"/>
    <xf numFmtId="9" fontId="17" fillId="0" borderId="50" xfId="17" applyFont="1" applyBorder="1" applyAlignment="1">
      <alignment horizontal="center" vertical="center"/>
    </xf>
    <xf numFmtId="0" fontId="25" fillId="12" borderId="63" xfId="8" applyFont="1" applyFill="1" applyBorder="1" applyAlignment="1">
      <alignment horizontal="center" vertical="center" wrapText="1"/>
    </xf>
    <xf numFmtId="0" fontId="25" fillId="12" borderId="69" xfId="8" applyFont="1" applyFill="1" applyBorder="1" applyAlignment="1">
      <alignment horizontal="center" vertical="center" wrapText="1"/>
    </xf>
    <xf numFmtId="0" fontId="25" fillId="12" borderId="75" xfId="8" applyFont="1" applyFill="1" applyBorder="1" applyAlignment="1">
      <alignment horizontal="center" vertical="center" wrapText="1"/>
    </xf>
    <xf numFmtId="180" fontId="17" fillId="0" borderId="49" xfId="20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0" fontId="17" fillId="4" borderId="51" xfId="12" applyFont="1" applyFill="1" applyBorder="1" applyAlignment="1">
      <alignment horizontal="center" vertical="center" wrapText="1"/>
    </xf>
    <xf numFmtId="0" fontId="17" fillId="4" borderId="56" xfId="12" applyFont="1" applyFill="1" applyBorder="1" applyAlignment="1">
      <alignment horizontal="center" vertical="center"/>
    </xf>
    <xf numFmtId="0" fontId="17" fillId="4" borderId="106" xfId="12" applyFont="1" applyFill="1" applyBorder="1" applyAlignment="1">
      <alignment horizontal="center" vertical="center"/>
    </xf>
    <xf numFmtId="180" fontId="6" fillId="0" borderId="68" xfId="19" applyNumberFormat="1" applyFont="1" applyBorder="1" applyAlignment="1">
      <alignment horizontal="center" vertical="center"/>
    </xf>
    <xf numFmtId="180" fontId="6" fillId="0" borderId="71" xfId="19" applyNumberFormat="1" applyFont="1" applyBorder="1" applyAlignment="1">
      <alignment horizontal="center" vertical="center"/>
    </xf>
    <xf numFmtId="180" fontId="6" fillId="0" borderId="79" xfId="19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17" fillId="10" borderId="80" xfId="12" applyFont="1" applyFill="1" applyBorder="1" applyAlignment="1">
      <alignment horizontal="center" vertical="center" wrapText="1"/>
    </xf>
    <xf numFmtId="0" fontId="17" fillId="10" borderId="84" xfId="12" applyFont="1" applyFill="1" applyBorder="1" applyAlignment="1">
      <alignment horizontal="center" vertical="center" wrapText="1"/>
    </xf>
    <xf numFmtId="0" fontId="17" fillId="10" borderId="81" xfId="12" applyFont="1" applyFill="1" applyBorder="1" applyAlignment="1">
      <alignment horizontal="center" vertical="center" wrapText="1"/>
    </xf>
    <xf numFmtId="0" fontId="17" fillId="10" borderId="82" xfId="12" applyFont="1" applyFill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0" fontId="17" fillId="4" borderId="80" xfId="12" applyFont="1" applyFill="1" applyBorder="1" applyAlignment="1">
      <alignment horizontal="center" vertical="center" wrapText="1"/>
    </xf>
    <xf numFmtId="0" fontId="17" fillId="4" borderId="81" xfId="12" applyFont="1" applyFill="1" applyBorder="1" applyAlignment="1">
      <alignment horizontal="center" vertical="center"/>
    </xf>
    <xf numFmtId="0" fontId="17" fillId="4" borderId="82" xfId="12" applyFont="1" applyFill="1" applyBorder="1" applyAlignment="1">
      <alignment horizontal="center" vertical="center"/>
    </xf>
    <xf numFmtId="0" fontId="17" fillId="13" borderId="92" xfId="12" applyFont="1" applyFill="1" applyBorder="1" applyAlignment="1">
      <alignment horizontal="center" vertical="center" wrapText="1"/>
    </xf>
    <xf numFmtId="0" fontId="17" fillId="13" borderId="93" xfId="12" applyFont="1" applyFill="1" applyBorder="1" applyAlignment="1">
      <alignment horizontal="center" vertical="center" wrapText="1"/>
    </xf>
    <xf numFmtId="0" fontId="17" fillId="13" borderId="95" xfId="12" applyFont="1" applyFill="1" applyBorder="1" applyAlignment="1">
      <alignment horizontal="center" vertical="center" wrapText="1"/>
    </xf>
    <xf numFmtId="180" fontId="17" fillId="0" borderId="39" xfId="20" applyNumberFormat="1" applyFont="1" applyBorder="1" applyAlignment="1">
      <alignment horizontal="center" vertical="center"/>
    </xf>
    <xf numFmtId="180" fontId="17" fillId="0" borderId="86" xfId="20" applyNumberFormat="1" applyFont="1" applyBorder="1" applyAlignment="1">
      <alignment horizontal="center" vertical="center"/>
    </xf>
    <xf numFmtId="180" fontId="17" fillId="0" borderId="109" xfId="20" applyNumberFormat="1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26" fillId="8" borderId="3" xfId="12" applyFont="1" applyFill="1" applyBorder="1" applyAlignment="1">
      <alignment horizontal="center" vertical="center"/>
    </xf>
    <xf numFmtId="0" fontId="26" fillId="8" borderId="1" xfId="1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 textRotation="255"/>
    </xf>
    <xf numFmtId="0" fontId="6" fillId="0" borderId="10" xfId="2" applyFont="1" applyBorder="1" applyAlignment="1">
      <alignment horizontal="center" vertical="center" textRotation="255"/>
    </xf>
    <xf numFmtId="0" fontId="6" fillId="0" borderId="11" xfId="2" applyFont="1" applyBorder="1" applyAlignment="1">
      <alignment horizontal="center" vertical="center" textRotation="255"/>
    </xf>
    <xf numFmtId="0" fontId="6" fillId="0" borderId="9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15" fillId="14" borderId="1" xfId="6" applyFont="1" applyFill="1" applyBorder="1" applyAlignment="1">
      <alignment horizontal="center" vertical="center" wrapText="1"/>
    </xf>
    <xf numFmtId="0" fontId="6" fillId="14" borderId="1" xfId="6" applyFont="1" applyFill="1" applyBorder="1" applyAlignment="1">
      <alignment horizontal="center" vertical="center"/>
    </xf>
    <xf numFmtId="179" fontId="10" fillId="5" borderId="1" xfId="2" applyNumberFormat="1" applyFont="1" applyFill="1" applyBorder="1" applyAlignment="1">
      <alignment horizontal="center" vertical="center"/>
    </xf>
    <xf numFmtId="179" fontId="10" fillId="5" borderId="1" xfId="16" applyNumberFormat="1" applyFont="1" applyFill="1" applyBorder="1" applyAlignment="1">
      <alignment horizontal="center" vertical="center"/>
    </xf>
    <xf numFmtId="0" fontId="27" fillId="0" borderId="3" xfId="2" applyFont="1" applyBorder="1" applyAlignment="1">
      <alignment horizontal="center" vertical="center"/>
    </xf>
    <xf numFmtId="1" fontId="27" fillId="0" borderId="1" xfId="2" applyNumberFormat="1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80" fontId="10" fillId="0" borderId="1" xfId="19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178" fontId="7" fillId="3" borderId="1" xfId="16" applyNumberFormat="1" applyFont="1" applyFill="1" applyBorder="1" applyAlignment="1">
      <alignment horizontal="center" vertical="center"/>
    </xf>
    <xf numFmtId="178" fontId="7" fillId="4" borderId="1" xfId="16" applyNumberFormat="1" applyFont="1" applyFill="1" applyBorder="1" applyAlignment="1">
      <alignment horizontal="center" vertical="center"/>
    </xf>
    <xf numFmtId="179" fontId="7" fillId="0" borderId="1" xfId="2" applyNumberFormat="1" applyFont="1" applyBorder="1" applyAlignment="1">
      <alignment horizontal="center" vertical="center"/>
    </xf>
    <xf numFmtId="179" fontId="7" fillId="0" borderId="1" xfId="16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8" fillId="2" borderId="1" xfId="6" applyNumberFormat="1" applyFont="1" applyFill="1" applyBorder="1" applyAlignment="1">
      <alignment horizontal="center" vertical="center"/>
    </xf>
    <xf numFmtId="177" fontId="7" fillId="0" borderId="1" xfId="16" applyNumberFormat="1" applyFont="1" applyBorder="1" applyAlignment="1">
      <alignment horizontal="center" vertical="center"/>
    </xf>
    <xf numFmtId="177" fontId="7" fillId="0" borderId="1" xfId="2" applyNumberFormat="1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17" fillId="11" borderId="107" xfId="12" applyFont="1" applyFill="1" applyBorder="1" applyAlignment="1"/>
    <xf numFmtId="0" fontId="17" fillId="11" borderId="108" xfId="12" applyFont="1" applyFill="1" applyBorder="1" applyAlignment="1"/>
    <xf numFmtId="184" fontId="27" fillId="0" borderId="3" xfId="2" applyNumberFormat="1" applyFont="1" applyBorder="1" applyAlignment="1">
      <alignment horizontal="center" vertical="center"/>
    </xf>
    <xf numFmtId="184" fontId="27" fillId="0" borderId="1" xfId="2" applyNumberFormat="1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 wrapText="1"/>
    </xf>
    <xf numFmtId="20" fontId="6" fillId="0" borderId="1" xfId="8" applyNumberFormat="1" applyFont="1" applyBorder="1" applyAlignment="1">
      <alignment horizontal="center" vertical="center"/>
    </xf>
    <xf numFmtId="0" fontId="17" fillId="0" borderId="11" xfId="12" applyFont="1" applyBorder="1" applyAlignment="1">
      <alignment horizontal="center" vertical="center"/>
    </xf>
  </cellXfs>
  <cellStyles count="21">
    <cellStyle name="一般" xfId="0" builtinId="0"/>
    <cellStyle name="一般 2" xfId="1" xr:uid="{F94DDA6A-D542-493C-90FE-7FA14B40041B}"/>
    <cellStyle name="一般 2 17 2" xfId="2" xr:uid="{00000000-0005-0000-0000-000001000000}"/>
    <cellStyle name="一般 2 17 2 2" xfId="3" xr:uid="{E01C5B43-548A-48D1-B333-4387A262A509}"/>
    <cellStyle name="一般 2 18" xfId="4" xr:uid="{00000000-0005-0000-0000-000002000000}"/>
    <cellStyle name="一般 2 18 2" xfId="5" xr:uid="{03161FD6-4425-4262-BB2E-6D1063ACF793}"/>
    <cellStyle name="一般 2 2 2 2" xfId="6" xr:uid="{00000000-0005-0000-0000-000003000000}"/>
    <cellStyle name="一般 2 2 2 2 2" xfId="7" xr:uid="{DA50E455-3E19-4382-87FF-86AEE4927DF6}"/>
    <cellStyle name="一般 2 2 4" xfId="8" xr:uid="{00000000-0005-0000-0000-000004000000}"/>
    <cellStyle name="一般 2 2 4 2" xfId="9" xr:uid="{01302544-1802-4AFB-AC12-3C2E43DC83D6}"/>
    <cellStyle name="一般 2 2 4 3" xfId="10" xr:uid="{5CF42824-9C19-40E7-B382-3C290E62F3B6}"/>
    <cellStyle name="一般 2 4 2" xfId="11" xr:uid="{00000000-0005-0000-0000-000005000000}"/>
    <cellStyle name="一般 2 8" xfId="12" xr:uid="{00000000-0005-0000-0000-000006000000}"/>
    <cellStyle name="一般 2 8 2" xfId="13" xr:uid="{334CB01B-E727-4275-8081-33B90D63854F}"/>
    <cellStyle name="千分位 2 8" xfId="14" xr:uid="{00000000-0005-0000-0000-000007000000}"/>
    <cellStyle name="千分位 2 8 2" xfId="15" xr:uid="{BB0D4EC8-904D-4466-883D-5E832DE73CA2}"/>
    <cellStyle name="千分位 9 5" xfId="16" xr:uid="{00000000-0005-0000-0000-000008000000}"/>
    <cellStyle name="百分比 2 2 2 2" xfId="17" xr:uid="{00000000-0005-0000-0000-000009000000}"/>
    <cellStyle name="百分比 2 2 2 2 2" xfId="18" xr:uid="{5BC30C65-EF5D-4641-9B4F-74412295E429}"/>
    <cellStyle name="百分比 2 5" xfId="19" xr:uid="{00000000-0005-0000-0000-00000A000000}"/>
    <cellStyle name="百分比 7" xfId="20" xr:uid="{00000000-0005-0000-0000-00000B000000}"/>
  </cellStyles>
  <dxfs count="31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Desktop\&#29983;&#29986;&#26085;&#22577;(&#24037;&#24288;&#23492;)\&#38263;&#23478;\114.12\&#20154;&#26178;&#24615;\&#38263;&#23478;&#29983;&#29986;&#26085;&#22577;1201-1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廠價表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F599-2E13-43BF-8E2B-E361608A8619}" name="表格1" displayName="表格1" ref="A1:E55" totalsRowShown="0">
  <autoFilter ref="A1:E55" xr:uid="{A3D7F599-2E13-43BF-8E2B-E361608A8619}"/>
  <tableColumns count="5">
    <tableColumn id="1" xr3:uid="{26251F6B-0C35-451C-8612-21B2F3237164}" name="check" dataDxfId="310"/>
    <tableColumn id="2" xr3:uid="{0EF7F6B4-9C0C-43CE-A51A-B1FB93D7A59A}" name="溫層"/>
    <tableColumn id="4" xr3:uid="{DA95F27F-5DFE-4BF9-8388-9DBA4A1DA9CF}" name="品名"/>
    <tableColumn id="3" xr3:uid="{ACECD0F5-20A8-4FF2-BD6D-4A5318DD557B}" name="類別"/>
    <tableColumn id="5" xr3:uid="{4B389BDA-C253-4F22-9D33-981427ED4D0C}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99-46E2-4819-9E19-4AC10DA14623}">
  <sheetPr codeName="工作表1"/>
  <dimension ref="A1:G55"/>
  <sheetViews>
    <sheetView workbookViewId="0">
      <selection activeCell="E23" sqref="E23"/>
    </sheetView>
  </sheetViews>
  <sheetFormatPr defaultColWidth="10.28515625" defaultRowHeight="15.75"/>
  <cols>
    <col min="1" max="1" width="7.5703125" style="347" customWidth="1"/>
    <col min="2" max="2" width="10.28515625" style="347" customWidth="1"/>
    <col min="3" max="3" width="37.140625" style="347" customWidth="1"/>
    <col min="4" max="6" width="10.28515625" style="347" customWidth="1"/>
    <col min="7" max="7" width="26" style="347" bestFit="1" customWidth="1"/>
    <col min="8" max="124" width="10.28515625" style="347" customWidth="1"/>
    <col min="125" max="16384" width="10.28515625" style="347"/>
  </cols>
  <sheetData>
    <row r="1" spans="1:7">
      <c r="A1" s="351" t="s">
        <v>224</v>
      </c>
      <c r="B1" s="352" t="s">
        <v>89</v>
      </c>
      <c r="C1" s="352" t="s">
        <v>19</v>
      </c>
      <c r="D1" s="352" t="s">
        <v>225</v>
      </c>
      <c r="E1" s="352" t="s">
        <v>20</v>
      </c>
    </row>
    <row r="2" spans="1:7">
      <c r="A2" s="353"/>
      <c r="B2" s="354" t="s">
        <v>226</v>
      </c>
      <c r="C2" s="75" t="s">
        <v>124</v>
      </c>
      <c r="D2" s="354" t="s">
        <v>81</v>
      </c>
      <c r="E2" s="75">
        <v>57.21</v>
      </c>
    </row>
    <row r="3" spans="1:7">
      <c r="A3" s="353"/>
      <c r="B3" s="354" t="s">
        <v>226</v>
      </c>
      <c r="C3" s="75" t="s">
        <v>113</v>
      </c>
      <c r="D3" s="354" t="s">
        <v>81</v>
      </c>
      <c r="E3" s="75">
        <v>56.87</v>
      </c>
    </row>
    <row r="4" spans="1:7">
      <c r="A4" s="353"/>
      <c r="B4" s="354" t="s">
        <v>226</v>
      </c>
      <c r="C4" s="75" t="s">
        <v>120</v>
      </c>
      <c r="D4" s="354" t="s">
        <v>81</v>
      </c>
      <c r="E4" s="75">
        <v>50.39</v>
      </c>
    </row>
    <row r="5" spans="1:7">
      <c r="A5" s="353"/>
      <c r="B5" s="354" t="s">
        <v>226</v>
      </c>
      <c r="C5" s="75" t="s">
        <v>132</v>
      </c>
      <c r="D5" s="354" t="s">
        <v>81</v>
      </c>
      <c r="E5" s="75">
        <v>49.97</v>
      </c>
    </row>
    <row r="6" spans="1:7">
      <c r="A6" s="353"/>
      <c r="B6" s="354" t="s">
        <v>226</v>
      </c>
      <c r="C6" s="75" t="s">
        <v>115</v>
      </c>
      <c r="D6" s="354" t="s">
        <v>81</v>
      </c>
      <c r="E6" s="75">
        <v>49.14</v>
      </c>
    </row>
    <row r="7" spans="1:7">
      <c r="A7" s="353"/>
      <c r="B7" s="354" t="s">
        <v>226</v>
      </c>
      <c r="C7" s="354" t="s">
        <v>168</v>
      </c>
      <c r="D7" s="354" t="s">
        <v>81</v>
      </c>
      <c r="E7" s="75">
        <v>57.21</v>
      </c>
    </row>
    <row r="8" spans="1:7">
      <c r="A8" s="353"/>
      <c r="B8" s="354" t="s">
        <v>226</v>
      </c>
      <c r="C8" s="355"/>
      <c r="D8" s="354" t="s">
        <v>81</v>
      </c>
      <c r="E8" s="75">
        <v>56.61</v>
      </c>
    </row>
    <row r="9" spans="1:7">
      <c r="A9" s="353"/>
      <c r="B9" s="354" t="s">
        <v>226</v>
      </c>
      <c r="C9" s="350" t="s">
        <v>123</v>
      </c>
      <c r="D9" s="354" t="s">
        <v>81</v>
      </c>
      <c r="E9" s="75">
        <v>50.67</v>
      </c>
    </row>
    <row r="10" spans="1:7">
      <c r="A10" s="353"/>
      <c r="B10" s="354" t="s">
        <v>226</v>
      </c>
      <c r="C10" s="350"/>
      <c r="D10" s="354" t="s">
        <v>81</v>
      </c>
      <c r="E10" s="75"/>
    </row>
    <row r="11" spans="1:7">
      <c r="A11" s="353"/>
      <c r="B11" s="354" t="s">
        <v>226</v>
      </c>
      <c r="C11" s="75" t="s">
        <v>118</v>
      </c>
      <c r="D11" s="354" t="s">
        <v>81</v>
      </c>
      <c r="E11" s="75">
        <v>57.21</v>
      </c>
    </row>
    <row r="12" spans="1:7">
      <c r="A12" s="353"/>
      <c r="B12" s="354" t="s">
        <v>226</v>
      </c>
      <c r="C12" s="350" t="s">
        <v>119</v>
      </c>
      <c r="D12" s="354" t="s">
        <v>81</v>
      </c>
      <c r="E12" s="75">
        <v>56.61</v>
      </c>
    </row>
    <row r="13" spans="1:7">
      <c r="A13" s="353"/>
      <c r="B13" s="354" t="s">
        <v>226</v>
      </c>
      <c r="C13" s="345" t="s">
        <v>114</v>
      </c>
      <c r="D13" s="354" t="s">
        <v>81</v>
      </c>
      <c r="E13" s="75">
        <v>58.17</v>
      </c>
      <c r="G13" s="349"/>
    </row>
    <row r="14" spans="1:7">
      <c r="A14" s="353"/>
      <c r="B14" s="354" t="s">
        <v>226</v>
      </c>
      <c r="C14" s="75" t="s">
        <v>116</v>
      </c>
      <c r="D14" s="354" t="s">
        <v>81</v>
      </c>
      <c r="E14" s="75">
        <v>50.67</v>
      </c>
    </row>
    <row r="15" spans="1:7">
      <c r="A15" s="353"/>
      <c r="B15" s="354" t="s">
        <v>226</v>
      </c>
      <c r="C15" s="75" t="s">
        <v>227</v>
      </c>
      <c r="D15" s="354" t="s">
        <v>81</v>
      </c>
      <c r="E15" s="75">
        <v>57.3</v>
      </c>
    </row>
    <row r="16" spans="1:7">
      <c r="A16" s="353"/>
      <c r="B16" s="354" t="s">
        <v>226</v>
      </c>
      <c r="C16" s="75" t="s">
        <v>122</v>
      </c>
      <c r="D16" s="354" t="s">
        <v>81</v>
      </c>
      <c r="E16" s="75">
        <v>57.21</v>
      </c>
    </row>
    <row r="17" spans="1:5">
      <c r="A17" s="353"/>
      <c r="B17" s="354" t="s">
        <v>226</v>
      </c>
      <c r="C17" s="75" t="s">
        <v>206</v>
      </c>
      <c r="D17" s="354" t="s">
        <v>81</v>
      </c>
      <c r="E17" s="75">
        <v>45.66</v>
      </c>
    </row>
    <row r="18" spans="1:5">
      <c r="A18" s="353"/>
      <c r="B18" s="354" t="s">
        <v>226</v>
      </c>
      <c r="C18" s="75" t="s">
        <v>133</v>
      </c>
      <c r="D18" s="354" t="s">
        <v>81</v>
      </c>
      <c r="E18" s="75">
        <v>50.289000000000001</v>
      </c>
    </row>
    <row r="19" spans="1:5">
      <c r="A19" s="353"/>
      <c r="B19" s="354" t="s">
        <v>226</v>
      </c>
      <c r="C19" s="75" t="s">
        <v>129</v>
      </c>
      <c r="D19" s="354" t="s">
        <v>128</v>
      </c>
      <c r="E19" s="75">
        <v>49.91</v>
      </c>
    </row>
    <row r="20" spans="1:5">
      <c r="A20" s="353"/>
      <c r="B20" s="354" t="s">
        <v>226</v>
      </c>
      <c r="C20" s="75" t="s">
        <v>130</v>
      </c>
      <c r="D20" s="354" t="s">
        <v>128</v>
      </c>
      <c r="E20" s="75">
        <v>44.3</v>
      </c>
    </row>
    <row r="21" spans="1:5">
      <c r="A21" s="353"/>
      <c r="B21" s="354" t="s">
        <v>226</v>
      </c>
      <c r="C21" s="75" t="s">
        <v>131</v>
      </c>
      <c r="D21" s="354" t="s">
        <v>128</v>
      </c>
      <c r="E21" s="75">
        <v>49.52</v>
      </c>
    </row>
    <row r="22" spans="1:5">
      <c r="A22" s="353"/>
      <c r="B22" s="354" t="s">
        <v>226</v>
      </c>
      <c r="C22" s="75" t="s">
        <v>228</v>
      </c>
      <c r="D22" s="354" t="s">
        <v>81</v>
      </c>
      <c r="E22" s="75">
        <v>46.34</v>
      </c>
    </row>
    <row r="23" spans="1:5">
      <c r="A23" s="353"/>
      <c r="B23" s="354" t="s">
        <v>226</v>
      </c>
      <c r="C23" s="75" t="s">
        <v>126</v>
      </c>
      <c r="D23" s="354" t="s">
        <v>125</v>
      </c>
      <c r="E23" s="75">
        <v>28.26</v>
      </c>
    </row>
    <row r="24" spans="1:5">
      <c r="A24" s="353"/>
      <c r="B24" s="354" t="s">
        <v>226</v>
      </c>
      <c r="C24" s="75" t="s">
        <v>134</v>
      </c>
      <c r="D24" s="354" t="s">
        <v>125</v>
      </c>
      <c r="E24" s="75">
        <v>26.99</v>
      </c>
    </row>
    <row r="25" spans="1:5">
      <c r="A25" s="353"/>
      <c r="B25" s="354" t="s">
        <v>226</v>
      </c>
      <c r="C25" s="75" t="s">
        <v>135</v>
      </c>
      <c r="D25" s="354" t="s">
        <v>125</v>
      </c>
      <c r="E25" s="75">
        <v>28.26</v>
      </c>
    </row>
    <row r="26" spans="1:5">
      <c r="A26" s="353"/>
      <c r="B26" s="354" t="s">
        <v>226</v>
      </c>
      <c r="C26" s="75" t="s">
        <v>192</v>
      </c>
      <c r="D26" s="354" t="s">
        <v>125</v>
      </c>
      <c r="E26" s="75">
        <v>28.26</v>
      </c>
    </row>
    <row r="27" spans="1:5">
      <c r="A27" s="353"/>
      <c r="B27" s="354"/>
      <c r="C27" s="75"/>
      <c r="D27" s="354"/>
      <c r="E27" s="75"/>
    </row>
    <row r="28" spans="1:5">
      <c r="A28" s="353"/>
      <c r="B28" s="354" t="s">
        <v>226</v>
      </c>
      <c r="C28" s="75" t="s">
        <v>229</v>
      </c>
      <c r="D28" s="354" t="s">
        <v>230</v>
      </c>
      <c r="E28" s="75"/>
    </row>
    <row r="29" spans="1:5">
      <c r="A29" s="353"/>
      <c r="B29" s="354"/>
      <c r="C29" s="75"/>
      <c r="D29" s="354"/>
      <c r="E29" s="75"/>
    </row>
    <row r="30" spans="1:5">
      <c r="A30" s="353"/>
      <c r="B30" s="354"/>
      <c r="C30" s="75"/>
      <c r="D30" s="354"/>
      <c r="E30" s="75"/>
    </row>
    <row r="31" spans="1:5">
      <c r="A31" s="353"/>
      <c r="B31" s="354"/>
      <c r="C31" s="75"/>
      <c r="D31" s="354"/>
      <c r="E31" s="75"/>
    </row>
    <row r="32" spans="1:5">
      <c r="A32" s="353"/>
      <c r="B32" s="354"/>
      <c r="C32" s="75"/>
      <c r="D32" s="354"/>
      <c r="E32" s="75"/>
    </row>
    <row r="33" spans="1:5">
      <c r="A33" s="351"/>
      <c r="B33" s="354"/>
      <c r="C33" s="75"/>
      <c r="D33" s="354"/>
      <c r="E33" s="75"/>
    </row>
    <row r="34" spans="1:5">
      <c r="A34" s="351"/>
      <c r="B34" s="354"/>
      <c r="C34" s="354"/>
      <c r="D34" s="354"/>
      <c r="E34" s="75"/>
    </row>
    <row r="35" spans="1:5">
      <c r="A35" s="351"/>
      <c r="B35" s="354"/>
      <c r="C35" s="354"/>
      <c r="D35" s="354"/>
      <c r="E35" s="354"/>
    </row>
    <row r="36" spans="1:5">
      <c r="A36" s="351"/>
      <c r="B36" s="354"/>
      <c r="C36" s="354"/>
      <c r="D36" s="354"/>
      <c r="E36" s="354"/>
    </row>
    <row r="37" spans="1:5">
      <c r="A37" s="351"/>
      <c r="B37" s="356"/>
      <c r="C37" s="354"/>
      <c r="D37" s="356"/>
      <c r="E37" s="354"/>
    </row>
    <row r="38" spans="1:5">
      <c r="A38" s="351"/>
      <c r="B38" s="356"/>
      <c r="C38" s="354"/>
      <c r="D38" s="356"/>
      <c r="E38" s="354"/>
    </row>
    <row r="39" spans="1:5">
      <c r="A39" s="351"/>
      <c r="B39" s="356"/>
      <c r="C39" s="75"/>
      <c r="D39" s="356"/>
      <c r="E39" s="75"/>
    </row>
    <row r="40" spans="1:5">
      <c r="A40" s="351"/>
      <c r="B40" s="356"/>
      <c r="C40" s="350"/>
      <c r="D40" s="356"/>
      <c r="E40" s="75"/>
    </row>
    <row r="41" spans="1:5">
      <c r="A41" s="351"/>
      <c r="B41" s="356"/>
      <c r="C41" s="354"/>
      <c r="D41" s="356"/>
      <c r="E41" s="354"/>
    </row>
    <row r="42" spans="1:5">
      <c r="A42" s="351"/>
      <c r="B42" s="357"/>
      <c r="C42" s="357"/>
      <c r="D42" s="357"/>
      <c r="E42" s="357"/>
    </row>
    <row r="43" spans="1:5">
      <c r="A43" s="351"/>
      <c r="B43" s="357"/>
      <c r="C43" s="357"/>
      <c r="D43" s="357"/>
      <c r="E43" s="357"/>
    </row>
    <row r="44" spans="1:5">
      <c r="A44" s="351"/>
      <c r="B44" s="357"/>
      <c r="C44" s="357"/>
      <c r="D44" s="357"/>
      <c r="E44" s="357"/>
    </row>
    <row r="45" spans="1:5">
      <c r="A45" s="351"/>
      <c r="B45" s="357"/>
      <c r="C45" s="357"/>
      <c r="D45" s="357"/>
      <c r="E45" s="357"/>
    </row>
    <row r="46" spans="1:5">
      <c r="A46" s="351"/>
      <c r="B46" s="354" t="s">
        <v>231</v>
      </c>
      <c r="C46" s="75" t="s">
        <v>116</v>
      </c>
      <c r="D46" s="354" t="s">
        <v>232</v>
      </c>
      <c r="E46" s="75">
        <v>29.38</v>
      </c>
    </row>
    <row r="47" spans="1:5">
      <c r="A47" s="351"/>
      <c r="B47" s="354" t="s">
        <v>231</v>
      </c>
      <c r="C47" s="75" t="s">
        <v>233</v>
      </c>
      <c r="D47" s="354" t="s">
        <v>232</v>
      </c>
      <c r="E47" s="75">
        <v>29.38</v>
      </c>
    </row>
    <row r="48" spans="1:5">
      <c r="A48" s="351"/>
      <c r="B48" s="354" t="s">
        <v>231</v>
      </c>
      <c r="C48" s="75" t="s">
        <v>234</v>
      </c>
      <c r="D48" s="354" t="s">
        <v>232</v>
      </c>
      <c r="E48" s="75">
        <v>29.38</v>
      </c>
    </row>
    <row r="49" spans="1:5">
      <c r="A49" s="351"/>
      <c r="B49" s="354" t="s">
        <v>231</v>
      </c>
      <c r="C49" s="75" t="s">
        <v>235</v>
      </c>
      <c r="D49" s="354" t="s">
        <v>232</v>
      </c>
      <c r="E49" s="75">
        <v>29.38</v>
      </c>
    </row>
    <row r="50" spans="1:5">
      <c r="A50" s="351"/>
      <c r="B50" s="354" t="s">
        <v>231</v>
      </c>
      <c r="C50" s="75" t="s">
        <v>236</v>
      </c>
      <c r="D50" s="354" t="s">
        <v>232</v>
      </c>
      <c r="E50" s="75">
        <v>29.38</v>
      </c>
    </row>
    <row r="51" spans="1:5">
      <c r="A51" s="351"/>
      <c r="B51" s="354" t="s">
        <v>231</v>
      </c>
      <c r="C51" s="75" t="s">
        <v>237</v>
      </c>
      <c r="D51" s="354" t="s">
        <v>232</v>
      </c>
      <c r="E51" s="75">
        <v>29.38</v>
      </c>
    </row>
    <row r="52" spans="1:5">
      <c r="A52" s="351"/>
      <c r="B52" s="354" t="s">
        <v>231</v>
      </c>
      <c r="C52" s="75"/>
      <c r="D52" s="354" t="s">
        <v>232</v>
      </c>
      <c r="E52" s="75"/>
    </row>
    <row r="53" spans="1:5">
      <c r="A53" s="351"/>
      <c r="B53" s="354" t="s">
        <v>231</v>
      </c>
      <c r="C53" s="354" t="s">
        <v>238</v>
      </c>
      <c r="D53" s="354" t="s">
        <v>232</v>
      </c>
      <c r="E53" s="75">
        <v>29.38</v>
      </c>
    </row>
    <row r="54" spans="1:5">
      <c r="A54" s="351"/>
      <c r="B54" s="354" t="s">
        <v>231</v>
      </c>
      <c r="C54" s="354"/>
      <c r="D54" s="354" t="s">
        <v>232</v>
      </c>
      <c r="E54" s="354"/>
    </row>
    <row r="55" spans="1:5">
      <c r="A55" s="351"/>
      <c r="B55" s="354" t="s">
        <v>231</v>
      </c>
      <c r="C55" s="354" t="s">
        <v>239</v>
      </c>
      <c r="D55" s="354" t="s">
        <v>232</v>
      </c>
      <c r="E55" s="354">
        <v>29.38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6A3F-805F-4122-980C-9A7A13A335F6}">
  <sheetPr codeName="工作表2"/>
  <dimension ref="A1:N34"/>
  <sheetViews>
    <sheetView zoomScale="115" zoomScaleNormal="115" workbookViewId="0">
      <selection activeCell="C26" sqref="C26"/>
    </sheetView>
  </sheetViews>
  <sheetFormatPr defaultColWidth="10.28515625" defaultRowHeight="15.75"/>
  <cols>
    <col min="1" max="1" width="40.5703125" style="347" customWidth="1"/>
    <col min="2" max="6" width="10.28515625" style="347" customWidth="1"/>
    <col min="7" max="7" width="26" style="347" bestFit="1" customWidth="1"/>
    <col min="8" max="124" width="10.28515625" style="347" customWidth="1"/>
    <col min="125" max="16384" width="10.28515625" style="347"/>
  </cols>
  <sheetData>
    <row r="1" spans="1:14">
      <c r="A1" s="345" t="s">
        <v>249</v>
      </c>
      <c r="B1" s="345" t="s">
        <v>24</v>
      </c>
      <c r="C1" s="345" t="s">
        <v>250</v>
      </c>
      <c r="D1" s="346"/>
      <c r="E1" s="347" t="s">
        <v>251</v>
      </c>
      <c r="F1" s="361"/>
      <c r="G1" s="347" t="s">
        <v>111</v>
      </c>
    </row>
    <row r="2" spans="1:14">
      <c r="A2" s="345" t="s">
        <v>81</v>
      </c>
      <c r="B2" s="345"/>
      <c r="C2" s="345"/>
      <c r="D2" s="346"/>
    </row>
    <row r="3" spans="1:14">
      <c r="A3" s="345" t="s">
        <v>113</v>
      </c>
      <c r="B3" s="345">
        <v>15</v>
      </c>
      <c r="C3" s="345">
        <v>2250</v>
      </c>
      <c r="D3" s="348" t="s">
        <v>106</v>
      </c>
      <c r="E3" s="347">
        <f>C3/B3</f>
        <v>150</v>
      </c>
      <c r="F3" s="362"/>
    </row>
    <row r="4" spans="1:14">
      <c r="A4" s="345" t="s">
        <v>252</v>
      </c>
      <c r="B4" s="345">
        <v>17</v>
      </c>
      <c r="C4" s="345">
        <v>1716</v>
      </c>
      <c r="D4" s="348" t="s">
        <v>107</v>
      </c>
      <c r="E4" s="347">
        <f t="shared" ref="E4:E25" si="0">C4/B4</f>
        <v>100.94117647058823</v>
      </c>
    </row>
    <row r="5" spans="1:14">
      <c r="A5" s="345" t="s">
        <v>116</v>
      </c>
      <c r="B5" s="345">
        <v>14</v>
      </c>
      <c r="C5" s="345">
        <v>2250</v>
      </c>
      <c r="D5" s="346"/>
      <c r="E5" s="347">
        <f t="shared" si="0"/>
        <v>160.71428571428572</v>
      </c>
      <c r="F5" s="362"/>
    </row>
    <row r="6" spans="1:14">
      <c r="A6" s="345" t="s">
        <v>253</v>
      </c>
      <c r="B6" s="345">
        <v>16</v>
      </c>
      <c r="C6" s="345">
        <v>1714</v>
      </c>
      <c r="D6" s="346"/>
      <c r="E6" s="347">
        <f t="shared" si="0"/>
        <v>107.125</v>
      </c>
      <c r="F6" s="362"/>
    </row>
    <row r="7" spans="1:14">
      <c r="A7" s="345" t="s">
        <v>120</v>
      </c>
      <c r="B7" s="345">
        <v>13</v>
      </c>
      <c r="C7" s="345">
        <v>2250</v>
      </c>
      <c r="D7" s="346"/>
      <c r="E7" s="347">
        <f t="shared" si="0"/>
        <v>173.07692307692307</v>
      </c>
      <c r="F7" s="362"/>
    </row>
    <row r="8" spans="1:14">
      <c r="A8" s="345" t="s">
        <v>115</v>
      </c>
      <c r="B8" s="345">
        <v>15</v>
      </c>
      <c r="C8" s="345">
        <v>2250</v>
      </c>
      <c r="D8" s="346"/>
      <c r="E8" s="347">
        <f t="shared" si="0"/>
        <v>150</v>
      </c>
    </row>
    <row r="9" spans="1:14">
      <c r="A9" s="345" t="s">
        <v>118</v>
      </c>
      <c r="B9" s="345">
        <v>17</v>
      </c>
      <c r="C9" s="345">
        <v>2250</v>
      </c>
      <c r="D9" s="346"/>
      <c r="E9" s="347">
        <f t="shared" si="0"/>
        <v>132.35294117647058</v>
      </c>
      <c r="F9" s="362"/>
    </row>
    <row r="10" spans="1:14">
      <c r="A10" s="345" t="s">
        <v>254</v>
      </c>
      <c r="B10" s="345">
        <v>17</v>
      </c>
      <c r="C10" s="345">
        <v>1716</v>
      </c>
      <c r="D10" s="346"/>
      <c r="E10" s="347">
        <f t="shared" si="0"/>
        <v>100.94117647058823</v>
      </c>
    </row>
    <row r="11" spans="1:14">
      <c r="A11" s="350" t="s">
        <v>119</v>
      </c>
      <c r="B11" s="345">
        <v>15</v>
      </c>
      <c r="C11" s="345">
        <v>2250</v>
      </c>
      <c r="D11" s="346"/>
      <c r="E11" s="347">
        <f t="shared" si="0"/>
        <v>150</v>
      </c>
    </row>
    <row r="12" spans="1:14">
      <c r="A12" s="345" t="s">
        <v>114</v>
      </c>
      <c r="B12" s="345">
        <v>15</v>
      </c>
      <c r="C12" s="345">
        <v>2250</v>
      </c>
      <c r="D12" s="346"/>
      <c r="E12" s="347">
        <f t="shared" si="0"/>
        <v>150</v>
      </c>
    </row>
    <row r="13" spans="1:14">
      <c r="A13" s="345" t="s">
        <v>133</v>
      </c>
      <c r="B13" s="345">
        <v>18</v>
      </c>
      <c r="C13" s="345">
        <v>1565</v>
      </c>
      <c r="D13" s="346"/>
      <c r="E13" s="347">
        <f t="shared" si="0"/>
        <v>86.944444444444443</v>
      </c>
      <c r="G13" s="349"/>
      <c r="J13" s="345" t="s">
        <v>133</v>
      </c>
      <c r="K13" s="345">
        <v>17</v>
      </c>
      <c r="L13" s="345">
        <v>1565</v>
      </c>
      <c r="M13" s="346"/>
      <c r="N13" s="347">
        <f t="shared" ref="N13:N19" si="1">L13/K13</f>
        <v>92.058823529411768</v>
      </c>
    </row>
    <row r="14" spans="1:14">
      <c r="A14" s="345" t="s">
        <v>129</v>
      </c>
      <c r="B14" s="345">
        <v>15</v>
      </c>
      <c r="C14" s="345">
        <v>1714</v>
      </c>
      <c r="D14" s="346"/>
      <c r="E14" s="347">
        <f t="shared" si="0"/>
        <v>114.26666666666667</v>
      </c>
      <c r="F14" s="362"/>
      <c r="J14" s="345" t="s">
        <v>129</v>
      </c>
      <c r="K14" s="345">
        <v>14</v>
      </c>
      <c r="L14" s="345">
        <v>1714</v>
      </c>
      <c r="M14" s="346"/>
      <c r="N14" s="347">
        <f t="shared" si="1"/>
        <v>122.42857142857143</v>
      </c>
    </row>
    <row r="15" spans="1:14">
      <c r="A15" s="345" t="s">
        <v>132</v>
      </c>
      <c r="B15" s="345">
        <v>16</v>
      </c>
      <c r="C15" s="345">
        <v>1800</v>
      </c>
      <c r="D15" s="346"/>
      <c r="E15" s="347">
        <f t="shared" si="0"/>
        <v>112.5</v>
      </c>
      <c r="F15" s="362"/>
      <c r="G15" s="347" t="s">
        <v>255</v>
      </c>
      <c r="J15" s="345" t="s">
        <v>132</v>
      </c>
      <c r="K15" s="345">
        <v>15</v>
      </c>
      <c r="L15" s="345">
        <v>1800</v>
      </c>
      <c r="M15" s="346"/>
      <c r="N15" s="347">
        <f t="shared" si="1"/>
        <v>120</v>
      </c>
    </row>
    <row r="16" spans="1:14">
      <c r="A16" s="345" t="s">
        <v>131</v>
      </c>
      <c r="B16" s="345">
        <v>17</v>
      </c>
      <c r="C16" s="345">
        <v>1800</v>
      </c>
      <c r="D16" s="346"/>
      <c r="E16" s="347">
        <f t="shared" si="0"/>
        <v>105.88235294117646</v>
      </c>
      <c r="J16" s="345" t="s">
        <v>131</v>
      </c>
      <c r="K16" s="345">
        <v>16</v>
      </c>
      <c r="L16" s="345">
        <v>1500</v>
      </c>
      <c r="M16" s="346"/>
      <c r="N16" s="347">
        <f t="shared" si="1"/>
        <v>93.75</v>
      </c>
    </row>
    <row r="17" spans="1:14">
      <c r="A17" s="345" t="s">
        <v>130</v>
      </c>
      <c r="B17" s="345">
        <v>17</v>
      </c>
      <c r="C17" s="345">
        <v>1636</v>
      </c>
      <c r="D17" s="346"/>
      <c r="E17" s="347">
        <f t="shared" si="0"/>
        <v>96.235294117647058</v>
      </c>
      <c r="J17" s="345" t="s">
        <v>130</v>
      </c>
      <c r="K17" s="345">
        <v>16</v>
      </c>
      <c r="L17" s="345">
        <v>1636</v>
      </c>
      <c r="M17" s="346"/>
      <c r="N17" s="347">
        <f t="shared" si="1"/>
        <v>102.25</v>
      </c>
    </row>
    <row r="18" spans="1:14">
      <c r="A18" s="350" t="s">
        <v>256</v>
      </c>
      <c r="B18" s="345">
        <v>10</v>
      </c>
      <c r="C18" s="345">
        <v>1125</v>
      </c>
      <c r="D18" s="346"/>
      <c r="E18" s="347">
        <f t="shared" si="0"/>
        <v>112.5</v>
      </c>
      <c r="J18" s="350" t="s">
        <v>123</v>
      </c>
      <c r="K18" s="345">
        <v>12</v>
      </c>
      <c r="L18" s="345">
        <v>1440</v>
      </c>
      <c r="M18" s="346"/>
      <c r="N18" s="347">
        <f t="shared" si="1"/>
        <v>120</v>
      </c>
    </row>
    <row r="19" spans="1:14">
      <c r="A19" s="350" t="s">
        <v>123</v>
      </c>
      <c r="B19" s="345">
        <v>13</v>
      </c>
      <c r="C19" s="345">
        <v>1440</v>
      </c>
      <c r="D19" s="346"/>
      <c r="E19" s="347">
        <f t="shared" si="0"/>
        <v>110.76923076923077</v>
      </c>
      <c r="G19" s="347" t="s">
        <v>257</v>
      </c>
      <c r="J19" s="350" t="s">
        <v>122</v>
      </c>
      <c r="K19" s="345">
        <v>16</v>
      </c>
      <c r="L19" s="345">
        <v>1565</v>
      </c>
      <c r="M19" s="346"/>
      <c r="N19" s="347">
        <f t="shared" si="1"/>
        <v>97.8125</v>
      </c>
    </row>
    <row r="20" spans="1:14">
      <c r="A20" s="350" t="s">
        <v>122</v>
      </c>
      <c r="B20" s="345">
        <v>18</v>
      </c>
      <c r="C20" s="345">
        <v>1565</v>
      </c>
      <c r="D20" s="346"/>
      <c r="E20" s="347">
        <f t="shared" si="0"/>
        <v>86.944444444444443</v>
      </c>
    </row>
    <row r="21" spans="1:14">
      <c r="A21" s="345" t="s">
        <v>124</v>
      </c>
      <c r="B21" s="345">
        <v>18</v>
      </c>
      <c r="C21" s="345">
        <v>1636</v>
      </c>
      <c r="D21" s="346"/>
      <c r="E21" s="347">
        <f t="shared" si="0"/>
        <v>90.888888888888886</v>
      </c>
    </row>
    <row r="22" spans="1:14">
      <c r="A22" s="345" t="s">
        <v>168</v>
      </c>
      <c r="B22" s="345">
        <v>18</v>
      </c>
      <c r="C22" s="345">
        <v>1565</v>
      </c>
      <c r="D22" s="346"/>
      <c r="E22" s="347">
        <f t="shared" si="0"/>
        <v>86.944444444444443</v>
      </c>
    </row>
    <row r="23" spans="1:14">
      <c r="A23" s="350" t="s">
        <v>206</v>
      </c>
      <c r="B23" s="345">
        <v>17</v>
      </c>
      <c r="C23" s="345">
        <v>1500</v>
      </c>
      <c r="D23" s="346"/>
      <c r="E23" s="347">
        <f t="shared" si="0"/>
        <v>88.235294117647058</v>
      </c>
    </row>
    <row r="24" spans="1:14">
      <c r="A24" s="345" t="s">
        <v>229</v>
      </c>
      <c r="B24" s="345">
        <v>4</v>
      </c>
      <c r="C24" s="345">
        <v>1500</v>
      </c>
      <c r="D24" s="346"/>
      <c r="E24" s="347">
        <f t="shared" si="0"/>
        <v>375</v>
      </c>
    </row>
    <row r="25" spans="1:14">
      <c r="A25" s="350" t="s">
        <v>228</v>
      </c>
      <c r="B25" s="345">
        <v>16</v>
      </c>
      <c r="C25" s="345">
        <v>1800</v>
      </c>
      <c r="D25" s="346"/>
      <c r="E25" s="347">
        <f t="shared" si="0"/>
        <v>112.5</v>
      </c>
    </row>
    <row r="26" spans="1:14">
      <c r="A26" s="345" t="s">
        <v>258</v>
      </c>
      <c r="B26" s="345"/>
      <c r="C26" s="345"/>
      <c r="D26" s="346"/>
    </row>
    <row r="27" spans="1:14">
      <c r="A27" s="345" t="s">
        <v>134</v>
      </c>
      <c r="B27" s="345">
        <v>15</v>
      </c>
      <c r="C27" s="345">
        <v>1565</v>
      </c>
      <c r="D27" s="346"/>
      <c r="E27" s="347">
        <f>C27/B27</f>
        <v>104.33333333333333</v>
      </c>
      <c r="G27" s="347" t="s">
        <v>259</v>
      </c>
    </row>
    <row r="28" spans="1:14">
      <c r="A28" s="345" t="s">
        <v>135</v>
      </c>
      <c r="B28" s="345">
        <v>12</v>
      </c>
      <c r="C28" s="345">
        <v>1565</v>
      </c>
      <c r="D28" s="346"/>
      <c r="E28" s="347">
        <f>C28/B28</f>
        <v>130.41666666666666</v>
      </c>
    </row>
    <row r="29" spans="1:14">
      <c r="A29" s="345" t="s">
        <v>192</v>
      </c>
      <c r="B29" s="345">
        <v>11</v>
      </c>
      <c r="C29" s="345">
        <v>1636</v>
      </c>
      <c r="E29" s="347">
        <f>C29/B29</f>
        <v>148.72727272727272</v>
      </c>
    </row>
    <row r="30" spans="1:14">
      <c r="A30" s="345" t="s">
        <v>126</v>
      </c>
      <c r="B30" s="345">
        <v>11</v>
      </c>
      <c r="C30" s="345">
        <v>1565</v>
      </c>
      <c r="E30" s="347">
        <f>C30/B30</f>
        <v>142.27272727272728</v>
      </c>
    </row>
    <row r="31" spans="1:14">
      <c r="A31" s="345"/>
      <c r="B31" s="345"/>
      <c r="C31" s="345"/>
    </row>
    <row r="32" spans="1:14">
      <c r="A32" s="345"/>
      <c r="B32" s="345"/>
      <c r="C32" s="345"/>
    </row>
    <row r="33" spans="1:5">
      <c r="A33" s="345"/>
      <c r="B33" s="345"/>
      <c r="C33" s="345"/>
    </row>
    <row r="34" spans="1:5">
      <c r="E34" s="347" t="s">
        <v>260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3">
    <pageSetUpPr fitToPage="1"/>
  </sheetPr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46015</v>
      </c>
      <c r="E3" s="510"/>
      <c r="F3" s="3" t="s">
        <v>72</v>
      </c>
      <c r="G3" s="511">
        <f>範本!E1</f>
        <v>43309</v>
      </c>
      <c r="H3" s="511"/>
      <c r="I3" s="3" t="s">
        <v>2</v>
      </c>
      <c r="J3" s="512" t="e">
        <f>範本!G1</f>
        <v>#N/A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 t="e">
        <f>AVERAGE(D13:J13)</f>
        <v>#N/A</v>
      </c>
      <c r="G6" s="507"/>
      <c r="H6" s="508" t="e">
        <f>AVERAGE(D13:H13)</f>
        <v>#N/A</v>
      </c>
      <c r="I6" s="508"/>
      <c r="J6" s="508" t="e">
        <f>AVERAGE(I13:J13)</f>
        <v>#N/A</v>
      </c>
      <c r="K6" s="508"/>
      <c r="L6" s="498">
        <f>範本!Z2</f>
        <v>0</v>
      </c>
      <c r="M6" s="499">
        <f>範本!AA2</f>
        <v>0</v>
      </c>
      <c r="N6" s="500">
        <f>範本!AD2</f>
        <v>0</v>
      </c>
      <c r="O6" s="499">
        <f>範本!AE2</f>
        <v>0</v>
      </c>
    </row>
    <row r="7" spans="2:15" s="6" customFormat="1" ht="39.6" customHeight="1">
      <c r="B7" s="503"/>
      <c r="C7" s="503"/>
      <c r="D7" s="501" t="s">
        <v>87</v>
      </c>
      <c r="E7" s="501"/>
      <c r="F7" s="496">
        <f>AVERAGE(D14:J14)</f>
        <v>116.11474837607263</v>
      </c>
      <c r="G7" s="496"/>
      <c r="H7" s="497">
        <f>AVERAGE(D14:H14)</f>
        <v>117.36074805627914</v>
      </c>
      <c r="I7" s="497"/>
      <c r="J7" s="497">
        <f>AVERAGE(I14:J14)</f>
        <v>112.99974917555633</v>
      </c>
      <c r="K7" s="497"/>
      <c r="L7" s="498"/>
      <c r="M7" s="499"/>
      <c r="N7" s="500"/>
      <c r="O7" s="499"/>
    </row>
    <row r="8" spans="2:15" s="6" customFormat="1" ht="39.6" customHeight="1">
      <c r="B8" s="503"/>
      <c r="C8" s="503"/>
      <c r="D8" s="501" t="s">
        <v>27</v>
      </c>
      <c r="E8" s="501"/>
      <c r="F8" s="502" t="e">
        <f>AVERAGE(D15:J15)</f>
        <v>#N/A</v>
      </c>
      <c r="G8" s="502"/>
      <c r="H8" s="502" t="e">
        <f>AVERAGE(D15:H15)</f>
        <v>#N/A</v>
      </c>
      <c r="I8" s="502"/>
      <c r="J8" s="502" t="e">
        <f>AVERAGE(I15:J15)</f>
        <v>#N/A</v>
      </c>
      <c r="K8" s="502"/>
      <c r="L8" s="498"/>
      <c r="M8" s="499"/>
      <c r="N8" s="500"/>
      <c r="O8" s="499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90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91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492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49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94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495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494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495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77" t="s">
        <v>104</v>
      </c>
      <c r="C22" s="478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6" type="noConversion"/>
  <conditionalFormatting sqref="D15:J15">
    <cfRule type="cellIs" dxfId="3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>
    <tabColor theme="9" tint="0.79998168889431442"/>
    <pageSetUpPr fitToPage="1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48" width="8.7109375" style="34" customWidth="1"/>
    <col min="149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13</v>
      </c>
      <c r="B2" s="381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39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29"/>
      <c r="AC5" s="429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03" t="e">
        <f>AG15</f>
        <v>#N/A</v>
      </c>
    </row>
    <row r="6" spans="1:34" ht="15" customHeight="1">
      <c r="A6" s="436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40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34"/>
      <c r="AC6" s="434"/>
      <c r="AD6" s="149"/>
      <c r="AE6" s="149"/>
      <c r="AF6" s="307" t="e">
        <f t="shared" si="1"/>
        <v>#N/A</v>
      </c>
      <c r="AG6" s="72" t="e">
        <f t="shared" si="2"/>
        <v>#N/A</v>
      </c>
      <c r="AH6" s="404"/>
    </row>
    <row r="7" spans="1:34" ht="15" customHeight="1">
      <c r="A7" s="436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40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07"/>
      <c r="AC7" s="407"/>
      <c r="AD7" s="92"/>
      <c r="AE7" s="92"/>
      <c r="AF7" s="307" t="e">
        <f t="shared" si="1"/>
        <v>#N/A</v>
      </c>
      <c r="AG7" s="72" t="e">
        <f t="shared" si="2"/>
        <v>#N/A</v>
      </c>
      <c r="AH7" s="404"/>
    </row>
    <row r="8" spans="1:34" ht="15" customHeight="1">
      <c r="A8" s="43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40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4"/>
      <c r="AC8" s="434"/>
      <c r="AD8" s="149"/>
      <c r="AE8" s="149"/>
      <c r="AF8" s="307">
        <f t="shared" si="1"/>
        <v>0</v>
      </c>
      <c r="AG8" s="72" t="e">
        <f t="shared" si="2"/>
        <v>#DIV/0!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0</v>
      </c>
      <c r="AG9" s="72" t="e">
        <f t="shared" si="2"/>
        <v>#DIV/0!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06"/>
    </row>
    <row r="16" spans="1:34" ht="15" customHeight="1">
      <c r="A16" s="421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5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29"/>
      <c r="AC16" s="429"/>
      <c r="AD16" s="135"/>
      <c r="AE16" s="135"/>
      <c r="AF16" s="229" t="e">
        <f>N16-K16</f>
        <v>#N/A</v>
      </c>
      <c r="AG16" s="52" t="e">
        <f>N16/K16</f>
        <v>#N/A</v>
      </c>
      <c r="AH16" s="403" t="e">
        <f>AG26</f>
        <v>#N/A</v>
      </c>
    </row>
    <row r="17" spans="1:34" ht="15" customHeight="1">
      <c r="A17" s="422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6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07"/>
      <c r="AC17" s="407"/>
      <c r="AD17" s="92"/>
      <c r="AE17" s="92"/>
      <c r="AF17" s="307" t="e">
        <f>N17-K17</f>
        <v>#N/A</v>
      </c>
      <c r="AG17" s="72" t="e">
        <f>N17/K17</f>
        <v>#N/A</v>
      </c>
      <c r="AH17" s="404"/>
    </row>
    <row r="18" spans="1:34" ht="15" customHeight="1">
      <c r="A18" s="422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6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07"/>
      <c r="AC18" s="407"/>
      <c r="AD18" s="92"/>
      <c r="AE18" s="92"/>
      <c r="AF18" s="307" t="e">
        <f>N18-K18</f>
        <v>#N/A</v>
      </c>
      <c r="AG18" s="72" t="e">
        <f>N18/K18</f>
        <v>#N/A</v>
      </c>
      <c r="AH18" s="404"/>
    </row>
    <row r="19" spans="1:34" ht="15" customHeight="1">
      <c r="A19" s="422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6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0</v>
      </c>
      <c r="AG19" s="72" t="e">
        <f>N19/K19</f>
        <v>#DIV/0!</v>
      </c>
      <c r="AH19" s="405"/>
    </row>
    <row r="20" spans="1:34" ht="15" customHeight="1">
      <c r="A20" s="42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6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6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50"/>
      <c r="U22" s="150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4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06"/>
    </row>
    <row r="27" spans="1:34" ht="15" customHeight="1">
      <c r="A27" s="456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5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 t="e">
        <f t="shared" si="6"/>
        <v>#N/A</v>
      </c>
      <c r="AG27" s="172" t="e">
        <f t="shared" si="7"/>
        <v>#N/A</v>
      </c>
      <c r="AH27" s="403" t="e">
        <f>AG37</f>
        <v>#N/A</v>
      </c>
    </row>
    <row r="28" spans="1:34" ht="15" customHeight="1">
      <c r="A28" s="457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6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07"/>
      <c r="AC28" s="407"/>
      <c r="AD28" s="92"/>
      <c r="AE28" s="92"/>
      <c r="AF28" s="311" t="e">
        <f t="shared" si="6"/>
        <v>#N/A</v>
      </c>
      <c r="AG28" s="99" t="e">
        <f t="shared" si="7"/>
        <v>#N/A</v>
      </c>
      <c r="AH28" s="445"/>
    </row>
    <row r="29" spans="1:34" ht="15" customHeight="1">
      <c r="A29" s="457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6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07"/>
      <c r="AC29" s="407"/>
      <c r="AD29" s="92"/>
      <c r="AE29" s="92"/>
      <c r="AF29" s="312" t="e">
        <f t="shared" si="6"/>
        <v>#N/A</v>
      </c>
      <c r="AG29" s="99" t="e">
        <f t="shared" si="7"/>
        <v>#N/A</v>
      </c>
      <c r="AH29" s="445"/>
    </row>
    <row r="30" spans="1:34" ht="15" customHeight="1">
      <c r="A30" s="457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6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07"/>
      <c r="AC30" s="407"/>
      <c r="AD30" s="92"/>
      <c r="AE30" s="92"/>
      <c r="AF30" s="312">
        <f t="shared" si="6"/>
        <v>0</v>
      </c>
      <c r="AG30" s="99" t="e">
        <f t="shared" si="7"/>
        <v>#DIV/0!</v>
      </c>
      <c r="AH30" s="446"/>
    </row>
    <row r="31" spans="1:34" ht="15" customHeight="1">
      <c r="A31" s="457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6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6"/>
        <v>0</v>
      </c>
      <c r="AG31" s="99" t="e">
        <f t="shared" si="7"/>
        <v>#DIV/0!</v>
      </c>
      <c r="AH31" s="405"/>
    </row>
    <row r="32" spans="1:34" ht="15" customHeight="1">
      <c r="A32" s="457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06"/>
    </row>
    <row r="38" spans="1:34" s="196" customFormat="1" ht="15" customHeight="1">
      <c r="A38" s="450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53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55"/>
      <c r="AC38" s="455"/>
      <c r="AD38" s="192"/>
      <c r="AE38" s="192"/>
      <c r="AF38" s="313" t="e">
        <f>N38-K38</f>
        <v>#N/A</v>
      </c>
      <c r="AG38" s="195" t="e">
        <f>N38/K38</f>
        <v>#N/A</v>
      </c>
      <c r="AH38" s="459" t="e">
        <f>AG48</f>
        <v>#N/A</v>
      </c>
    </row>
    <row r="39" spans="1:34" s="196" customFormat="1" ht="15" customHeight="1">
      <c r="A39" s="451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54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62"/>
      <c r="AC39" s="462"/>
      <c r="AD39" s="200"/>
      <c r="AE39" s="200"/>
      <c r="AF39" s="314" t="e">
        <f>N39-K39</f>
        <v>#N/A</v>
      </c>
      <c r="AG39" s="206" t="e">
        <f>N39/K39</f>
        <v>#N/A</v>
      </c>
      <c r="AH39" s="460"/>
    </row>
    <row r="40" spans="1:34" s="196" customFormat="1" ht="15" customHeight="1">
      <c r="A40" s="451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40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07"/>
      <c r="AC40" s="407"/>
      <c r="AD40" s="92"/>
      <c r="AE40" s="92"/>
      <c r="AF40" s="314" t="e">
        <f>N40-K40</f>
        <v>#N/A</v>
      </c>
      <c r="AG40" s="206" t="e">
        <f>N40/K40</f>
        <v>#N/A</v>
      </c>
      <c r="AH40" s="460"/>
    </row>
    <row r="41" spans="1:34" s="196" customFormat="1" ht="15" customHeight="1">
      <c r="A41" s="45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40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0</v>
      </c>
      <c r="AG41" s="206" t="e">
        <f>N41/K41</f>
        <v>#DIV/0!</v>
      </c>
      <c r="AH41" s="460"/>
    </row>
    <row r="42" spans="1:34" s="196" customFormat="1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s="196" customFormat="1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s="196" customFormat="1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s="196" customFormat="1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s="196" customFormat="1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s="196" customFormat="1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43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61"/>
    </row>
    <row r="49" spans="1:34" ht="15" customHeight="1">
      <c r="A49" s="468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39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29"/>
      <c r="AC49" s="429"/>
      <c r="AD49" s="135"/>
      <c r="AE49" s="135"/>
      <c r="AF49" s="229" t="e">
        <f t="shared" si="11"/>
        <v>#N/A</v>
      </c>
      <c r="AG49" s="52" t="e">
        <f t="shared" si="12"/>
        <v>#N/A</v>
      </c>
      <c r="AH49" s="403" t="e">
        <f>AG58</f>
        <v>#N/A</v>
      </c>
    </row>
    <row r="50" spans="1:34" ht="15" customHeight="1">
      <c r="A50" s="469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40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07"/>
      <c r="AC50" s="407"/>
      <c r="AD50" s="92"/>
      <c r="AE50" s="92"/>
      <c r="AF50" s="307" t="e">
        <f t="shared" si="11"/>
        <v>#N/A</v>
      </c>
      <c r="AG50" s="72" t="e">
        <f t="shared" si="12"/>
        <v>#N/A</v>
      </c>
      <c r="AH50" s="404"/>
    </row>
    <row r="51" spans="1:34" ht="15" customHeight="1">
      <c r="A51" s="469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40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07"/>
      <c r="AC51" s="407"/>
      <c r="AD51" s="92"/>
      <c r="AE51" s="92"/>
      <c r="AF51" s="307" t="e">
        <f t="shared" si="11"/>
        <v>#N/A</v>
      </c>
      <c r="AG51" s="72" t="e">
        <f t="shared" si="12"/>
        <v>#N/A</v>
      </c>
      <c r="AH51" s="404"/>
    </row>
    <row r="52" spans="1:34" ht="15" customHeight="1">
      <c r="A52" s="469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40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07"/>
      <c r="AC52" s="407"/>
      <c r="AD52" s="92"/>
      <c r="AE52" s="92"/>
      <c r="AF52" s="307">
        <f t="shared" si="11"/>
        <v>0</v>
      </c>
      <c r="AG52" s="72" t="e">
        <f t="shared" si="12"/>
        <v>#DIV/0!</v>
      </c>
      <c r="AH52" s="404"/>
    </row>
    <row r="53" spans="1:34" ht="15" customHeight="1">
      <c r="A53" s="46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40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11"/>
        <v>0</v>
      </c>
      <c r="AG53" s="72" t="e">
        <f t="shared" si="12"/>
        <v>#DIV/0!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06"/>
    </row>
    <row r="59" spans="1:34" ht="15" customHeight="1">
      <c r="A59" s="463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39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29"/>
      <c r="AC59" s="429"/>
      <c r="AD59" s="135"/>
      <c r="AE59" s="135"/>
      <c r="AF59" s="310" t="e">
        <f>N59-K59</f>
        <v>#N/A</v>
      </c>
      <c r="AG59" s="246" t="e">
        <f>N59/K59</f>
        <v>#N/A</v>
      </c>
      <c r="AH59" s="403" t="e">
        <f>AG69</f>
        <v>#N/A</v>
      </c>
    </row>
    <row r="60" spans="1:34" ht="15" customHeight="1">
      <c r="A60" s="464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67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07"/>
      <c r="AC60" s="407"/>
      <c r="AD60" s="92"/>
      <c r="AE60" s="92"/>
      <c r="AF60" s="316" t="e">
        <f>N60-K60</f>
        <v>#N/A</v>
      </c>
      <c r="AG60" s="249" t="e">
        <f>N60/K60</f>
        <v>#N/A</v>
      </c>
      <c r="AH60" s="475"/>
    </row>
    <row r="61" spans="1:34" ht="15" customHeight="1">
      <c r="A61" s="465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40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07"/>
      <c r="AC61" s="407"/>
      <c r="AD61" s="92"/>
      <c r="AE61" s="92"/>
      <c r="AF61" s="317" t="e">
        <f>N61-K61</f>
        <v>#N/A</v>
      </c>
      <c r="AG61" s="247" t="e">
        <f>N61/K61</f>
        <v>#N/A</v>
      </c>
      <c r="AH61" s="404"/>
    </row>
    <row r="62" spans="1:34" ht="15" customHeight="1">
      <c r="A62" s="465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40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07"/>
      <c r="AC62" s="407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6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40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06"/>
    </row>
    <row r="70" spans="1:36" ht="15" customHeight="1">
      <c r="A70" s="471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39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29"/>
      <c r="AC70" s="429"/>
      <c r="AD70" s="135"/>
      <c r="AE70" s="135"/>
      <c r="AF70" s="310" t="e">
        <f>N70-K70</f>
        <v>#N/A</v>
      </c>
      <c r="AG70" s="246" t="e">
        <f>N70/K70</f>
        <v>#N/A</v>
      </c>
      <c r="AH70" s="403" t="e">
        <f>AG79</f>
        <v>#N/A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 t="s">
        <v>56</v>
      </c>
      <c r="D79" s="430" t="s">
        <v>42</v>
      </c>
      <c r="E79" s="43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6" type="noConversion"/>
  <conditionalFormatting sqref="P5:P79">
    <cfRule type="cellIs" dxfId="308" priority="1" operator="greaterThan">
      <formula>0</formula>
    </cfRule>
  </conditionalFormatting>
  <conditionalFormatting sqref="Q5:Q79 AF5:AF79">
    <cfRule type="cellIs" dxfId="307" priority="4" operator="lessThan">
      <formula>0</formula>
    </cfRule>
  </conditionalFormatting>
  <conditionalFormatting sqref="R5:R79 AG5:AG79">
    <cfRule type="cellIs" dxfId="306" priority="2" operator="greaterThan">
      <formula>1</formula>
    </cfRule>
    <cfRule type="cellIs" dxfId="305" priority="3" operator="lessThan">
      <formula>0.8</formula>
    </cfRule>
  </conditionalFormatting>
  <conditionalFormatting sqref="S5:S10 S37:S62 AH59:AH62 S69:S76 AH69:AH76">
    <cfRule type="cellIs" dxfId="304" priority="7" operator="lessThan">
      <formula>0.8</formula>
    </cfRule>
  </conditionalFormatting>
  <conditionalFormatting sqref="S19:S25 AH19:AH25">
    <cfRule type="cellIs" dxfId="303" priority="6" operator="lessThan">
      <formula>0.8</formula>
    </cfRule>
  </conditionalFormatting>
  <conditionalFormatting sqref="S79">
    <cfRule type="cellIs" dxfId="302" priority="5" operator="lessThan">
      <formula>0.8</formula>
    </cfRule>
  </conditionalFormatting>
  <conditionalFormatting sqref="AH5:AH8 S15:S16 AH15:AH16 AH49 AH79">
    <cfRule type="cellIs" dxfId="301" priority="9" operator="lessThan">
      <formula>0.8</formula>
    </cfRule>
  </conditionalFormatting>
  <conditionalFormatting sqref="AH27 S27:S28">
    <cfRule type="cellIs" dxfId="3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4D05-A5D3-4B12-9B20-7F1470134DDF}">
  <dimension ref="B1:O26"/>
  <sheetViews>
    <sheetView zoomScale="70" zoomScaleNormal="70" workbookViewId="0">
      <selection activeCell="U63" sqref="U6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46174</v>
      </c>
      <c r="E3" s="510"/>
      <c r="F3" s="3" t="s">
        <v>72</v>
      </c>
      <c r="G3" s="511">
        <f>'0601'!E1</f>
        <v>64603</v>
      </c>
      <c r="H3" s="511"/>
      <c r="I3" s="3" t="s">
        <v>2</v>
      </c>
      <c r="J3" s="512">
        <f>'0601'!G1</f>
        <v>3077065.9670000002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123.93439702998525</v>
      </c>
      <c r="G6" s="507"/>
      <c r="H6" s="508">
        <f>AVERAGE(D13:H13)</f>
        <v>123.77612492083078</v>
      </c>
      <c r="I6" s="508"/>
      <c r="J6" s="508">
        <f>AVERAGE(I13)</f>
        <v>124.72575757575757</v>
      </c>
      <c r="K6" s="508"/>
      <c r="L6" s="516">
        <f>SUM(D18:J18)</f>
        <v>1</v>
      </c>
      <c r="M6" s="499">
        <f>SUM(D19:J19)</f>
        <v>42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113.07645019770094</v>
      </c>
      <c r="G7" s="496"/>
      <c r="H7" s="497">
        <f>AVERAGE(D14:H14)</f>
        <v>112.20490813443703</v>
      </c>
      <c r="I7" s="497"/>
      <c r="J7" s="497">
        <f>AVERAGE(I14)</f>
        <v>117.43416051402048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0.91238956179649389</v>
      </c>
      <c r="G8" s="502"/>
      <c r="H8" s="502">
        <f>H7/H6</f>
        <v>0.90651495355994638</v>
      </c>
      <c r="I8" s="502"/>
      <c r="J8" s="502">
        <f>J7/J6</f>
        <v>0.94153896353519262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VALUE('0601'!L15)</f>
        <v>150</v>
      </c>
      <c r="E13" s="13">
        <f>VALUE('0601'!L26)</f>
        <v>158.32255979314803</v>
      </c>
      <c r="F13" s="13">
        <f>VALUE('0601'!L37)</f>
        <v>104.35283605283605</v>
      </c>
      <c r="G13" s="13">
        <f>VALUE('0601'!L48)</f>
        <v>105.25098039215686</v>
      </c>
      <c r="H13" s="13">
        <f>VALUE('0601'!L58)</f>
        <v>100.95424836601308</v>
      </c>
      <c r="I13" s="13">
        <f>VALUE('0601'!L69)</f>
        <v>124.72575757575757</v>
      </c>
      <c r="J13" s="13">
        <f>'0601'!L79</f>
        <v>0</v>
      </c>
    </row>
    <row r="14" spans="2:15" ht="39.950000000000003" customHeight="1">
      <c r="B14" s="490"/>
      <c r="C14" s="12" t="s">
        <v>100</v>
      </c>
      <c r="D14" s="13">
        <f>VALUE('0601'!O15)</f>
        <v>141.12398720641605</v>
      </c>
      <c r="E14" s="13">
        <f>VALUE('0601'!O26)</f>
        <v>137.68360808412334</v>
      </c>
      <c r="F14" s="13">
        <f>VALUE('0601'!O37)</f>
        <v>94.477409838082821</v>
      </c>
      <c r="G14" s="13">
        <f>VALUE('0601'!O48)</f>
        <v>96.809990662931384</v>
      </c>
      <c r="H14" s="13">
        <f>VALUE('0601'!O58)</f>
        <v>90.929544880631539</v>
      </c>
      <c r="I14" s="13">
        <f>VALUE('0601'!O69)</f>
        <v>117.43416051402048</v>
      </c>
      <c r="J14" s="13">
        <f>'0601'!O79</f>
        <v>0</v>
      </c>
    </row>
    <row r="15" spans="2:15" ht="39.950000000000003" customHeight="1">
      <c r="B15" s="491"/>
      <c r="C15" s="10" t="s">
        <v>26</v>
      </c>
      <c r="D15" s="14">
        <f t="shared" ref="D15:I15" si="1">D14/D13</f>
        <v>0.94082658137610697</v>
      </c>
      <c r="E15" s="14">
        <f t="shared" si="1"/>
        <v>0.86963985589931125</v>
      </c>
      <c r="F15" s="14">
        <f t="shared" si="1"/>
        <v>0.90536504240523852</v>
      </c>
      <c r="G15" s="14">
        <f t="shared" si="1"/>
        <v>0.9198013196858118</v>
      </c>
      <c r="H15" s="14">
        <f t="shared" si="1"/>
        <v>0.9007005287282549</v>
      </c>
      <c r="I15" s="14">
        <f t="shared" si="1"/>
        <v>0.94153896353519262</v>
      </c>
      <c r="J15" s="15">
        <f>'0601'!S70</f>
        <v>0</v>
      </c>
    </row>
    <row r="16" spans="2:15" ht="17.25" customHeight="1">
      <c r="B16" s="492" t="s">
        <v>101</v>
      </c>
      <c r="C16" s="10" t="s">
        <v>34</v>
      </c>
      <c r="D16" s="16">
        <f>'0601'!T5</f>
        <v>0.30208333333333298</v>
      </c>
      <c r="E16" s="16">
        <f>'0601'!T16</f>
        <v>0.30138888888888898</v>
      </c>
      <c r="F16" s="16">
        <f>'0601'!T27</f>
        <v>0.29166666666666702</v>
      </c>
      <c r="G16" s="16">
        <f>'0601'!T38</f>
        <v>0.33333333333333298</v>
      </c>
      <c r="H16" s="16">
        <f>'0601'!T49</f>
        <v>0.29166666666666702</v>
      </c>
      <c r="I16" s="16">
        <f>'0601'!T59</f>
        <v>0.30555555555555602</v>
      </c>
      <c r="J16" s="16">
        <f>'0601'!T70</f>
        <v>0</v>
      </c>
    </row>
    <row r="17" spans="2:10" ht="17.25" customHeight="1">
      <c r="B17" s="493"/>
      <c r="C17" s="10" t="s">
        <v>35</v>
      </c>
      <c r="D17" s="22">
        <v>0.65416666666666701</v>
      </c>
      <c r="E17" s="19">
        <v>0.67222222222222205</v>
      </c>
      <c r="F17" s="19">
        <v>0.66527777777777797</v>
      </c>
      <c r="G17" s="210">
        <v>0.65972222222222199</v>
      </c>
      <c r="H17" s="21">
        <v>0.69097222222222199</v>
      </c>
      <c r="I17" s="22">
        <v>0.66319444444444398</v>
      </c>
      <c r="J17" s="22">
        <v>0</v>
      </c>
    </row>
    <row r="18" spans="2:10" ht="17.25" customHeight="1">
      <c r="B18" s="494" t="s">
        <v>102</v>
      </c>
      <c r="C18" s="330" t="s">
        <v>36</v>
      </c>
      <c r="D18" s="358">
        <f>'0601'!Z15</f>
        <v>0</v>
      </c>
      <c r="E18" s="359">
        <f>'0601'!Z26</f>
        <v>1</v>
      </c>
      <c r="F18" s="359">
        <f>'0601'!Z37</f>
        <v>0</v>
      </c>
      <c r="G18" s="360">
        <f>'0601'!Z48</f>
        <v>0</v>
      </c>
      <c r="H18" s="360">
        <f>'0601'!Z58</f>
        <v>0</v>
      </c>
      <c r="I18" s="359">
        <f>'0601'!Z69</f>
        <v>0</v>
      </c>
      <c r="J18" s="359">
        <f>'0601'!AA79</f>
        <v>0</v>
      </c>
    </row>
    <row r="19" spans="2:10" ht="17.25" customHeight="1">
      <c r="B19" s="495"/>
      <c r="C19" s="330" t="s">
        <v>37</v>
      </c>
      <c r="D19" s="358">
        <f>'0601'!AA15</f>
        <v>0</v>
      </c>
      <c r="E19" s="359">
        <f>'0601'!AA26</f>
        <v>42</v>
      </c>
      <c r="F19" s="359">
        <f>'0601'!AA37</f>
        <v>0</v>
      </c>
      <c r="G19" s="360">
        <f>'0601'!AA48</f>
        <v>0</v>
      </c>
      <c r="H19" s="360">
        <f>'0601'!AA58</f>
        <v>0</v>
      </c>
      <c r="I19" s="359">
        <f>'0601'!AA69</f>
        <v>0</v>
      </c>
      <c r="J19" s="359">
        <f>'0601'!AB79</f>
        <v>0</v>
      </c>
    </row>
    <row r="20" spans="2:10" ht="17.25" customHeight="1">
      <c r="B20" s="494" t="s">
        <v>103</v>
      </c>
      <c r="C20" s="330" t="s">
        <v>36</v>
      </c>
      <c r="D20" s="358">
        <f>'0601'!AD15</f>
        <v>0</v>
      </c>
      <c r="E20" s="359">
        <f>'0601'!AD26</f>
        <v>0</v>
      </c>
      <c r="F20" s="359">
        <f>'0601'!AD37</f>
        <v>0</v>
      </c>
      <c r="G20" s="360">
        <f>'0601'!AD48</f>
        <v>0</v>
      </c>
      <c r="H20" s="360">
        <f>'0601'!AD58</f>
        <v>0</v>
      </c>
      <c r="I20" s="359">
        <f>'0601'!AD69</f>
        <v>0</v>
      </c>
      <c r="J20" s="359">
        <f>'0601'!AD79</f>
        <v>0</v>
      </c>
    </row>
    <row r="21" spans="2:10" ht="17.25" customHeight="1">
      <c r="B21" s="495"/>
      <c r="C21" s="330" t="s">
        <v>85</v>
      </c>
      <c r="D21" s="358">
        <f>'0601'!AE15</f>
        <v>0</v>
      </c>
      <c r="E21" s="359">
        <f>'0601'!AE26</f>
        <v>0</v>
      </c>
      <c r="F21" s="359">
        <f>'0601'!AE37</f>
        <v>0</v>
      </c>
      <c r="G21" s="360">
        <f>'0601'!AE48</f>
        <v>0</v>
      </c>
      <c r="H21" s="360">
        <f>'0601'!AE58</f>
        <v>0</v>
      </c>
      <c r="I21" s="359">
        <f>'0601'!AE69</f>
        <v>0</v>
      </c>
      <c r="J21" s="359">
        <f>'0601'!AE79</f>
        <v>0</v>
      </c>
    </row>
    <row r="22" spans="2:10" ht="17.25" customHeight="1">
      <c r="B22" s="477" t="s">
        <v>104</v>
      </c>
      <c r="C22" s="478"/>
      <c r="D22" s="23">
        <f>VALUE('0601'!M15)</f>
        <v>15</v>
      </c>
      <c r="E22" s="23">
        <f>VALUE('0601'!M26)</f>
        <v>14.333333333333334</v>
      </c>
      <c r="F22" s="23">
        <f>VALUE('0601'!M37)</f>
        <v>13.6</v>
      </c>
      <c r="G22" s="23">
        <f>VALUE('0601'!M48)</f>
        <v>16</v>
      </c>
      <c r="H22" s="23">
        <f>VALUE('0601'!M58)</f>
        <v>15.8</v>
      </c>
      <c r="I22" s="23">
        <f>VALUE('0601'!M69)</f>
        <v>12.6</v>
      </c>
      <c r="J22" s="23">
        <f>'0601'!M79</f>
        <v>0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EB39-83F1-40D0-95C4-6C43AE7813FA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U63" sqref="U63"/>
      <selection pane="topRight" activeCell="U63" sqref="U63"/>
      <selection pane="bottomLeft" activeCell="U63" sqref="U63"/>
      <selection pane="bottomRight" activeCell="U63" sqref="U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64603</v>
      </c>
      <c r="F1" s="30" t="s">
        <v>2</v>
      </c>
      <c r="G1" s="31">
        <f>SUM(H5:H79)</f>
        <v>3077065.9670000002</v>
      </c>
      <c r="H1" s="32" t="s">
        <v>3</v>
      </c>
      <c r="I1" s="33">
        <f>M15+M26+M48+M58+M69+M79+M37</f>
        <v>87.333333333333329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112</v>
      </c>
      <c r="B2" s="381"/>
      <c r="C2" s="28"/>
      <c r="D2" s="28" t="s">
        <v>14</v>
      </c>
      <c r="E2" s="35">
        <f>AVERAGE(O15,O26,O37,O48,O58,O69,O79)</f>
        <v>113.07645019770094</v>
      </c>
      <c r="F2" s="36" t="s">
        <v>15</v>
      </c>
      <c r="G2" s="37">
        <f>G1/E1</f>
        <v>47.630388170827985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1</v>
      </c>
      <c r="AA2" s="339">
        <f>AA15+AA26+AA37+AA48+AA58+AA69+AA79</f>
        <v>42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2238</v>
      </c>
      <c r="H5" s="43">
        <f>F5*G5</f>
        <v>127275.06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2131.4285714285711</v>
      </c>
      <c r="O5" s="47">
        <f>N5/M5</f>
        <v>142.09523809523807</v>
      </c>
      <c r="P5" s="49">
        <f>M5-J5</f>
        <v>0</v>
      </c>
      <c r="Q5" s="50">
        <f>O5-L5</f>
        <v>-7.9047619047619264</v>
      </c>
      <c r="R5" s="51">
        <f>O5/L5</f>
        <v>0.9473015873015872</v>
      </c>
      <c r="S5" s="439">
        <f>R15</f>
        <v>0.94082658137610697</v>
      </c>
      <c r="T5" s="319">
        <v>0.30208333333333298</v>
      </c>
      <c r="U5" s="320">
        <v>0.34583333333333299</v>
      </c>
      <c r="V5" s="53"/>
      <c r="W5" s="54">
        <f t="shared" ref="W5:W14" si="0">(U5-T5)*24*60</f>
        <v>63.000000000000014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-118.5714285714289</v>
      </c>
      <c r="AG5" s="52">
        <f t="shared" ref="AG5:AG11" si="2">N5/K5</f>
        <v>0.9473015873015872</v>
      </c>
      <c r="AH5" s="403">
        <f>AG15</f>
        <v>0.9408265813761072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3648</v>
      </c>
      <c r="H6" s="63">
        <f>F6*G6</f>
        <v>212204.16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2145.8823529411557</v>
      </c>
      <c r="O6" s="67">
        <f>N6/M6</f>
        <v>143.05882352941038</v>
      </c>
      <c r="P6" s="69">
        <f>M6-J6</f>
        <v>0</v>
      </c>
      <c r="Q6" s="70">
        <f>O6-L6</f>
        <v>-6.9411764705896246</v>
      </c>
      <c r="R6" s="71">
        <f>O6/L6</f>
        <v>0.95372549019606911</v>
      </c>
      <c r="S6" s="440"/>
      <c r="T6" s="16">
        <v>0.359722222222222</v>
      </c>
      <c r="U6" s="16">
        <v>0.43055555555555602</v>
      </c>
      <c r="V6" s="30">
        <f>(T6-U5)*24*60</f>
        <v>20.000000000000171</v>
      </c>
      <c r="W6" s="73">
        <f t="shared" si="0"/>
        <v>102.00000000000099</v>
      </c>
      <c r="X6" s="22"/>
      <c r="Y6" s="84"/>
      <c r="Z6" s="90"/>
      <c r="AA6" s="90"/>
      <c r="AB6" s="434"/>
      <c r="AC6" s="434"/>
      <c r="AD6" s="149"/>
      <c r="AE6" s="149"/>
      <c r="AF6" s="307">
        <f t="shared" si="1"/>
        <v>-104.11764705884434</v>
      </c>
      <c r="AG6" s="72">
        <f t="shared" si="2"/>
        <v>0.95372549019606923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4231</v>
      </c>
      <c r="H7" s="78">
        <f>F7*G7</f>
        <v>207911.34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2151.3559322034002</v>
      </c>
      <c r="O7" s="81">
        <f>N7/M7</f>
        <v>143.42372881356002</v>
      </c>
      <c r="P7" s="74">
        <f>M7-J7</f>
        <v>0</v>
      </c>
      <c r="Q7" s="83">
        <f>O7-L7</f>
        <v>-6.5762711864399819</v>
      </c>
      <c r="R7" s="72">
        <f>O7/L7</f>
        <v>0.95615819209040009</v>
      </c>
      <c r="S7" s="440"/>
      <c r="T7" s="18">
        <v>0.43888888888888899</v>
      </c>
      <c r="U7" s="18">
        <v>0.52083333333333304</v>
      </c>
      <c r="V7" s="30">
        <f>(T7-U6)*24*60</f>
        <v>11.999999999999478</v>
      </c>
      <c r="W7" s="73">
        <f t="shared" si="0"/>
        <v>117.99999999999942</v>
      </c>
      <c r="X7" s="22"/>
      <c r="Y7" s="84"/>
      <c r="Z7" s="90"/>
      <c r="AA7" s="90"/>
      <c r="AB7" s="407"/>
      <c r="AC7" s="407"/>
      <c r="AD7" s="92"/>
      <c r="AE7" s="92"/>
      <c r="AF7" s="307">
        <f t="shared" si="1"/>
        <v>-98.644067796599757</v>
      </c>
      <c r="AG7" s="72">
        <f t="shared" si="2"/>
        <v>0.95615819209040009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2000</v>
      </c>
      <c r="H8" s="78">
        <f t="shared" ref="H8:H9" si="3">F8*G8</f>
        <v>98280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2068.9655172414155</v>
      </c>
      <c r="O8" s="81">
        <f t="shared" ref="O8:O9" si="6">N8/M8</f>
        <v>137.93103448276102</v>
      </c>
      <c r="P8" s="74">
        <f t="shared" ref="P8:P9" si="7">M8-J8</f>
        <v>0</v>
      </c>
      <c r="Q8" s="83">
        <f t="shared" ref="Q8:Q9" si="8">O8-L8</f>
        <v>-12.068965517238979</v>
      </c>
      <c r="R8" s="72">
        <f t="shared" ref="R8:R9" si="9">O8/L8</f>
        <v>0.91954022988507345</v>
      </c>
      <c r="S8" s="440"/>
      <c r="T8" s="16">
        <v>0.57291666666666696</v>
      </c>
      <c r="U8" s="16">
        <v>0.61319444444444404</v>
      </c>
      <c r="V8" s="30">
        <f t="shared" ref="V8:V9" si="10">(T8-U7)*24*60</f>
        <v>75.000000000000853</v>
      </c>
      <c r="W8" s="73">
        <f t="shared" si="0"/>
        <v>57.999999999998991</v>
      </c>
      <c r="X8" s="22">
        <v>0.52777777777777801</v>
      </c>
      <c r="Y8" s="84">
        <v>0.56944444444444398</v>
      </c>
      <c r="Z8" s="90"/>
      <c r="AA8" s="90"/>
      <c r="AB8" s="434"/>
      <c r="AC8" s="434"/>
      <c r="AD8" s="149"/>
      <c r="AE8" s="149"/>
      <c r="AF8" s="307">
        <f t="shared" si="1"/>
        <v>-181.03448275858455</v>
      </c>
      <c r="AG8" s="72">
        <f t="shared" si="2"/>
        <v>0.91954022988507356</v>
      </c>
      <c r="AH8" s="404"/>
    </row>
    <row r="9" spans="1:34" ht="15" customHeight="1">
      <c r="A9" s="437"/>
      <c r="B9" s="75" t="s">
        <v>81</v>
      </c>
      <c r="C9" s="86"/>
      <c r="D9" s="59" t="s">
        <v>113</v>
      </c>
      <c r="E9" s="87"/>
      <c r="F9" s="75">
        <f>VLOOKUP(D9,廠價表!$C$1:$E$43,3,0)</f>
        <v>56.87</v>
      </c>
      <c r="G9" s="62">
        <v>939</v>
      </c>
      <c r="H9" s="78">
        <f t="shared" si="3"/>
        <v>53400.93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2086.6666666666615</v>
      </c>
      <c r="O9" s="81">
        <f t="shared" si="6"/>
        <v>139.11111111111077</v>
      </c>
      <c r="P9" s="74">
        <f t="shared" si="7"/>
        <v>0</v>
      </c>
      <c r="Q9" s="83">
        <f t="shared" si="8"/>
        <v>-10.888888888889227</v>
      </c>
      <c r="R9" s="72">
        <f t="shared" si="9"/>
        <v>0.92740740740740513</v>
      </c>
      <c r="S9" s="441"/>
      <c r="T9" s="22">
        <v>0.63541666666666696</v>
      </c>
      <c r="U9" s="22">
        <v>0.65416666666666701</v>
      </c>
      <c r="V9" s="30">
        <f t="shared" si="10"/>
        <v>32.000000000001009</v>
      </c>
      <c r="W9" s="73">
        <f t="shared" si="0"/>
        <v>27.000000000000064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-163.33333333333849</v>
      </c>
      <c r="AG9" s="72">
        <f t="shared" si="2"/>
        <v>0.92740740740740513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15</v>
      </c>
      <c r="N15" s="120">
        <f t="shared" si="11"/>
        <v>2116.8598080962411</v>
      </c>
      <c r="O15" s="117">
        <f t="shared" si="11"/>
        <v>141.12398720641605</v>
      </c>
      <c r="P15" s="121">
        <f>M15-J15</f>
        <v>0</v>
      </c>
      <c r="Q15" s="122">
        <f>O15-L15</f>
        <v>-8.8760127935839535</v>
      </c>
      <c r="R15" s="123">
        <f>O15/L15</f>
        <v>0.94082658137610697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-133.14019190375893</v>
      </c>
      <c r="AG15" s="124">
        <f>N15/K15</f>
        <v>0.9408265813761072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2265</v>
      </c>
      <c r="H16" s="134">
        <f>F16*G16</f>
        <v>114767.55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1213.3928571428537</v>
      </c>
      <c r="O16" s="141">
        <f>N16/M16</f>
        <v>86.670918367346687</v>
      </c>
      <c r="P16" s="142">
        <f>M16-J16</f>
        <v>0</v>
      </c>
      <c r="Q16" s="143">
        <f>O16-L16</f>
        <v>-74.043367346939036</v>
      </c>
      <c r="R16" s="144">
        <f>O16/L16</f>
        <v>0.5392857142857127</v>
      </c>
      <c r="S16" s="425">
        <f>R26</f>
        <v>0.86963985589931125</v>
      </c>
      <c r="T16" s="145">
        <v>0.30138888888888898</v>
      </c>
      <c r="U16" s="145">
        <v>0.37916666666666698</v>
      </c>
      <c r="V16" s="135"/>
      <c r="W16" s="146">
        <f t="shared" ref="W16:W78" si="12">(U16-T16)*24*60</f>
        <v>112.00000000000033</v>
      </c>
      <c r="X16" s="141"/>
      <c r="Y16" s="296"/>
      <c r="Z16" s="169">
        <v>1</v>
      </c>
      <c r="AA16" s="169">
        <v>42</v>
      </c>
      <c r="AB16" s="429" t="s">
        <v>117</v>
      </c>
      <c r="AC16" s="429"/>
      <c r="AD16" s="135"/>
      <c r="AE16" s="135"/>
      <c r="AF16" s="229">
        <f>N16-K16</f>
        <v>-1036.6071428571463</v>
      </c>
      <c r="AG16" s="52">
        <f>N16/K16</f>
        <v>0.5392857142857127</v>
      </c>
      <c r="AH16" s="403">
        <f>AG26</f>
        <v>0.86565397246431763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2217</v>
      </c>
      <c r="H17" s="78">
        <f>F17*G17</f>
        <v>126834.57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1662.7499999999875</v>
      </c>
      <c r="O17" s="96">
        <f>N17/M17</f>
        <v>97.808823529411029</v>
      </c>
      <c r="P17" s="97">
        <f>M17-J17</f>
        <v>0</v>
      </c>
      <c r="Q17" s="98">
        <f>O17-L17</f>
        <v>-34.544117647059551</v>
      </c>
      <c r="R17" s="99">
        <f>O17/L17</f>
        <v>0.73899999999999444</v>
      </c>
      <c r="S17" s="426"/>
      <c r="T17" s="19">
        <v>0.38611111111111102</v>
      </c>
      <c r="U17" s="19">
        <v>0.44166666666666698</v>
      </c>
      <c r="V17" s="30">
        <f>(T17-U16)*24*60</f>
        <v>9.9999999999994049</v>
      </c>
      <c r="W17" s="149">
        <f t="shared" si="12"/>
        <v>80.000000000000597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-587.25000000001251</v>
      </c>
      <c r="AG17" s="72">
        <f>N17/K17</f>
        <v>0.73899999999999444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1575</v>
      </c>
      <c r="H18" s="78">
        <f>F18*G18</f>
        <v>89160.75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1968.75000000002</v>
      </c>
      <c r="O18" s="96">
        <f>N18/M18</f>
        <v>131.25000000000134</v>
      </c>
      <c r="P18" s="97">
        <f>M18-J18</f>
        <v>0</v>
      </c>
      <c r="Q18" s="98">
        <f>O18-L18</f>
        <v>-18.749999999998664</v>
      </c>
      <c r="R18" s="99">
        <f>O18/L18</f>
        <v>0.87500000000000888</v>
      </c>
      <c r="S18" s="426"/>
      <c r="T18" s="19">
        <v>0.44930555555555601</v>
      </c>
      <c r="U18" s="19">
        <v>0.48263888888888901</v>
      </c>
      <c r="V18" s="30">
        <f>(T18-U17)*24*60</f>
        <v>11.000000000000201</v>
      </c>
      <c r="W18" s="149">
        <f t="shared" si="12"/>
        <v>47.99999999999951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-281.24999999997999</v>
      </c>
      <c r="AG18" s="72">
        <f>N18/K18</f>
        <v>0.87500000000000888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1653</v>
      </c>
      <c r="H19" s="78">
        <f t="shared" ref="H19:H21" si="13">F19*G19</f>
        <v>83294.67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14">K19/J19</f>
        <v>173.07692307692307</v>
      </c>
      <c r="M19" s="148">
        <v>13</v>
      </c>
      <c r="N19" s="95">
        <f t="shared" ref="N19:N21" si="15">G19/W19*60</f>
        <v>1907.3076923076962</v>
      </c>
      <c r="O19" s="96">
        <f t="shared" ref="O19:O21" si="16">N19/M19</f>
        <v>146.71597633136125</v>
      </c>
      <c r="P19" s="97">
        <f t="shared" ref="P19:P21" si="17">M19-J19</f>
        <v>0</v>
      </c>
      <c r="Q19" s="98">
        <f t="shared" ref="Q19:Q21" si="18">O19-L19</f>
        <v>-26.360946745561819</v>
      </c>
      <c r="R19" s="99">
        <f t="shared" ref="R19:R21" si="19">O19/L19</f>
        <v>0.84769230769230952</v>
      </c>
      <c r="S19" s="426"/>
      <c r="T19" s="19">
        <v>0.48680555555555599</v>
      </c>
      <c r="U19" s="19">
        <v>0.52291666666666703</v>
      </c>
      <c r="V19" s="30">
        <f>(T19-U18)*24*60</f>
        <v>6.0000000000004583</v>
      </c>
      <c r="W19" s="149">
        <f t="shared" si="12"/>
        <v>51.999999999999893</v>
      </c>
      <c r="X19" s="22">
        <v>0.52638888888888902</v>
      </c>
      <c r="Y19" s="84">
        <v>0.56805555555555598</v>
      </c>
      <c r="Z19" s="90"/>
      <c r="AA19" s="90"/>
      <c r="AB19" s="434"/>
      <c r="AC19" s="434"/>
      <c r="AD19" s="149"/>
      <c r="AE19" s="149"/>
      <c r="AF19" s="307">
        <f>N19-K19</f>
        <v>-342.69230769230376</v>
      </c>
      <c r="AG19" s="72">
        <f>N19/K19</f>
        <v>0.84769230769230941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3573</v>
      </c>
      <c r="H20" s="78">
        <f t="shared" si="13"/>
        <v>180043.47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4"/>
        <v>173.07692307692307</v>
      </c>
      <c r="M20" s="148">
        <v>13</v>
      </c>
      <c r="N20" s="95">
        <f t="shared" si="15"/>
        <v>2041.7142857143022</v>
      </c>
      <c r="O20" s="96">
        <f t="shared" si="16"/>
        <v>157.05494505494633</v>
      </c>
      <c r="P20" s="97">
        <f t="shared" si="17"/>
        <v>0</v>
      </c>
      <c r="Q20" s="98">
        <f t="shared" si="18"/>
        <v>-16.021978021976736</v>
      </c>
      <c r="R20" s="99">
        <f t="shared" si="19"/>
        <v>0.9074285714285788</v>
      </c>
      <c r="S20" s="426"/>
      <c r="T20" s="19">
        <v>0.57152777777777797</v>
      </c>
      <c r="U20" s="19">
        <v>0.64444444444444404</v>
      </c>
      <c r="V20" s="30">
        <f>(T20-U19)*24*60</f>
        <v>69.999999999999744</v>
      </c>
      <c r="W20" s="149">
        <f t="shared" si="12"/>
        <v>104.99999999999915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v>1398</v>
      </c>
      <c r="H21" s="78">
        <f t="shared" si="13"/>
        <v>70836.66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14"/>
        <v>160.71428571428572</v>
      </c>
      <c r="M21" s="148">
        <v>14</v>
      </c>
      <c r="N21" s="95">
        <f t="shared" si="15"/>
        <v>2892.413793103427</v>
      </c>
      <c r="O21" s="96">
        <f t="shared" si="16"/>
        <v>206.60098522167337</v>
      </c>
      <c r="P21" s="97">
        <f t="shared" si="17"/>
        <v>0</v>
      </c>
      <c r="Q21" s="98">
        <f t="shared" si="18"/>
        <v>45.886699507387647</v>
      </c>
      <c r="R21" s="99">
        <f t="shared" si="19"/>
        <v>1.2855172413793008</v>
      </c>
      <c r="S21" s="426"/>
      <c r="T21" s="19">
        <v>0.65208333333333302</v>
      </c>
      <c r="U21" s="19">
        <v>0.67222222222222205</v>
      </c>
      <c r="V21" s="30">
        <f>(T21-U20)*24*60</f>
        <v>11.000000000000121</v>
      </c>
      <c r="W21" s="149">
        <f t="shared" si="12"/>
        <v>29.000000000000217</v>
      </c>
      <c r="X21" s="92"/>
      <c r="Y21" s="298"/>
      <c r="Z21" s="90"/>
      <c r="AA21" s="90"/>
      <c r="AB21" s="407" t="s">
        <v>121</v>
      </c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50"/>
      <c r="U22" s="150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12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20">AVERAGE(J16:J25)</f>
        <v>14.333333333333334</v>
      </c>
      <c r="K26" s="155">
        <f t="shared" si="20"/>
        <v>2250</v>
      </c>
      <c r="L26" s="158">
        <f t="shared" si="20"/>
        <v>158.32255979314803</v>
      </c>
      <c r="M26" s="155">
        <f t="shared" si="20"/>
        <v>14.333333333333334</v>
      </c>
      <c r="N26" s="155">
        <f t="shared" si="20"/>
        <v>1947.7214380447147</v>
      </c>
      <c r="O26" s="158">
        <f t="shared" si="20"/>
        <v>137.68360808412334</v>
      </c>
      <c r="P26" s="159">
        <f>M26-J26</f>
        <v>0</v>
      </c>
      <c r="Q26" s="160">
        <f>O26-L26</f>
        <v>-20.638951709024695</v>
      </c>
      <c r="R26" s="161">
        <f>O26/L26</f>
        <v>0.86963985589931125</v>
      </c>
      <c r="S26" s="427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42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21">N26-K26</f>
        <v>-302.27856195528534</v>
      </c>
      <c r="AG26" s="124">
        <f t="shared" ref="AG26:AG31" si="22">N26/K26</f>
        <v>0.86565397246431763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57.21</v>
      </c>
      <c r="G27" s="169">
        <v>1429</v>
      </c>
      <c r="H27" s="134">
        <f>F27*G27</f>
        <v>81753.09</v>
      </c>
      <c r="I27" s="135"/>
      <c r="J27" s="136">
        <f>VLOOKUP(D27,產線配置圖!$A$3:$C$40,2,0)</f>
        <v>18</v>
      </c>
      <c r="K27" s="137">
        <f>VLOOKUP(D27,產線配置圖!$A$3:$C$40,3,0)</f>
        <v>1565</v>
      </c>
      <c r="L27" s="138">
        <f>K27/J27</f>
        <v>86.944444444444443</v>
      </c>
      <c r="M27" s="170">
        <v>14</v>
      </c>
      <c r="N27" s="140">
        <f>G27/W27*60</f>
        <v>1143.2000000000078</v>
      </c>
      <c r="O27" s="141">
        <f>N27/M27</f>
        <v>81.657142857143413</v>
      </c>
      <c r="P27" s="142">
        <f>M27-J27</f>
        <v>-4</v>
      </c>
      <c r="Q27" s="143">
        <f>O27-L27</f>
        <v>-5.2873015873010303</v>
      </c>
      <c r="R27" s="144">
        <f>O27/L27</f>
        <v>0.93918758557736837</v>
      </c>
      <c r="S27" s="425">
        <f>R37</f>
        <v>0.90536504240523852</v>
      </c>
      <c r="T27" s="171">
        <v>0.29166666666666702</v>
      </c>
      <c r="U27" s="171">
        <v>0.34375</v>
      </c>
      <c r="V27" s="135"/>
      <c r="W27" s="146">
        <f t="shared" si="12"/>
        <v>74.999999999999488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21"/>
        <v>-421.79999999999222</v>
      </c>
      <c r="AG27" s="172">
        <f t="shared" si="22"/>
        <v>0.73047923322684205</v>
      </c>
      <c r="AH27" s="403">
        <f>AG37</f>
        <v>0.80453468483307822</v>
      </c>
    </row>
    <row r="28" spans="1:34" ht="15" customHeight="1">
      <c r="A28" s="457"/>
      <c r="B28" s="75" t="s">
        <v>81</v>
      </c>
      <c r="C28" s="173"/>
      <c r="D28" s="59" t="s">
        <v>123</v>
      </c>
      <c r="E28" s="104"/>
      <c r="F28" s="75">
        <f>VLOOKUP(D28,廠價表!$C$1:$E$43,3,0)</f>
        <v>50.67</v>
      </c>
      <c r="G28" s="90">
        <v>1674</v>
      </c>
      <c r="H28" s="91">
        <f>F28*G28</f>
        <v>84821.58</v>
      </c>
      <c r="I28" s="92"/>
      <c r="J28" s="79">
        <f>VLOOKUP(D28,產線配置圖!$A$3:$C$40,2,0)</f>
        <v>13</v>
      </c>
      <c r="K28" s="80">
        <f>VLOOKUP(D28,產線配置圖!$A$3:$C$40,3,0)</f>
        <v>1440</v>
      </c>
      <c r="L28" s="93">
        <f>K28/J28</f>
        <v>110.76923076923077</v>
      </c>
      <c r="M28" s="94">
        <v>13</v>
      </c>
      <c r="N28" s="95">
        <f>G28/W28*60</f>
        <v>1287.692307692299</v>
      </c>
      <c r="O28" s="96">
        <f>N28/M28</f>
        <v>99.053254437869157</v>
      </c>
      <c r="P28" s="97">
        <f>M28-J28</f>
        <v>0</v>
      </c>
      <c r="Q28" s="98">
        <f>O28-L28</f>
        <v>-11.715976331361617</v>
      </c>
      <c r="R28" s="99">
        <f>O28/L28</f>
        <v>0.89423076923076317</v>
      </c>
      <c r="S28" s="426"/>
      <c r="T28" s="19">
        <v>0.35069444444444398</v>
      </c>
      <c r="U28" s="19">
        <v>0.40486111111111101</v>
      </c>
      <c r="V28" s="92">
        <f>(T28-U27)*24*60</f>
        <v>9.999999999999325</v>
      </c>
      <c r="W28" s="149">
        <f t="shared" si="12"/>
        <v>78.000000000000526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21"/>
        <v>-152.30769230770102</v>
      </c>
      <c r="AG28" s="99">
        <f t="shared" si="22"/>
        <v>0.89423076923076317</v>
      </c>
      <c r="AH28" s="445"/>
    </row>
    <row r="29" spans="1:34" ht="15" customHeight="1">
      <c r="A29" s="457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1677</v>
      </c>
      <c r="H29" s="91">
        <f>F29*G29</f>
        <v>95941.17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15</v>
      </c>
      <c r="N29" s="95">
        <f>G29/W29*60</f>
        <v>1359.7297297297523</v>
      </c>
      <c r="O29" s="96">
        <f>N29/M29</f>
        <v>90.648648648650152</v>
      </c>
      <c r="P29" s="97">
        <f>M29-J29</f>
        <v>-3</v>
      </c>
      <c r="Q29" s="98">
        <f>O29-L29</f>
        <v>-0.2402402402387338</v>
      </c>
      <c r="R29" s="99">
        <f>O29/L29</f>
        <v>0.99735676997292344</v>
      </c>
      <c r="S29" s="426"/>
      <c r="T29" s="19">
        <v>0.41180555555555598</v>
      </c>
      <c r="U29" s="19">
        <v>0.46319444444444402</v>
      </c>
      <c r="V29" s="92">
        <f>(T29-U28)*24*60</f>
        <v>10.000000000000764</v>
      </c>
      <c r="W29" s="149">
        <f t="shared" si="12"/>
        <v>73.999999999998778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21"/>
        <v>-276.27027027024769</v>
      </c>
      <c r="AG29" s="99">
        <f t="shared" si="22"/>
        <v>0.83113064164410289</v>
      </c>
      <c r="AH29" s="445"/>
    </row>
    <row r="30" spans="1:34" ht="15" customHeight="1">
      <c r="A30" s="457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2530</v>
      </c>
      <c r="H30" s="91">
        <f t="shared" ref="H30:H31" si="23">F30*G30</f>
        <v>144741.29999999999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1" si="24">K30/J30</f>
        <v>90.888888888888886</v>
      </c>
      <c r="M30" s="94">
        <v>16</v>
      </c>
      <c r="N30" s="95">
        <f t="shared" ref="N30:N31" si="25">G30/W30*60</f>
        <v>1355.3571428571399</v>
      </c>
      <c r="O30" s="96">
        <f t="shared" ref="O30:O31" si="26">N30/M30</f>
        <v>84.709821428571246</v>
      </c>
      <c r="P30" s="97">
        <f t="shared" ref="P30:P31" si="27">M30-J30</f>
        <v>-2</v>
      </c>
      <c r="Q30" s="98">
        <f t="shared" ref="Q30:Q31" si="28">O30-L30</f>
        <v>-6.1790674603176399</v>
      </c>
      <c r="R30" s="99">
        <f t="shared" ref="R30:R31" si="29">O30/L30</f>
        <v>0.93201515019210424</v>
      </c>
      <c r="S30" s="426"/>
      <c r="T30" s="19">
        <v>0.52638888888888902</v>
      </c>
      <c r="U30" s="19">
        <v>0.60416666666666696</v>
      </c>
      <c r="V30" s="92">
        <f>(T30-U29)*24*60</f>
        <v>91.000000000000796</v>
      </c>
      <c r="W30" s="149">
        <f t="shared" si="12"/>
        <v>112.00000000000024</v>
      </c>
      <c r="X30" s="174">
        <v>0.52083333333333304</v>
      </c>
      <c r="Y30" s="301">
        <v>0.52083333333333304</v>
      </c>
      <c r="Z30" s="335"/>
      <c r="AA30" s="335"/>
      <c r="AB30" s="407"/>
      <c r="AC30" s="407"/>
      <c r="AD30" s="92"/>
      <c r="AE30" s="92"/>
      <c r="AF30" s="312">
        <f t="shared" si="21"/>
        <v>-280.64285714286007</v>
      </c>
      <c r="AG30" s="99">
        <f t="shared" si="22"/>
        <v>0.82845791128187041</v>
      </c>
      <c r="AH30" s="446"/>
    </row>
    <row r="31" spans="1:34" ht="15" customHeight="1">
      <c r="A31" s="457"/>
      <c r="B31" s="75" t="s">
        <v>125</v>
      </c>
      <c r="C31" s="177"/>
      <c r="D31" s="59" t="s">
        <v>126</v>
      </c>
      <c r="E31" s="178"/>
      <c r="F31" s="75">
        <f>VLOOKUP(D31,廠價表!$C$1:$E$43,3,0)</f>
        <v>28.26</v>
      </c>
      <c r="G31" s="90">
        <v>853</v>
      </c>
      <c r="H31" s="91">
        <f t="shared" si="23"/>
        <v>24105.780000000002</v>
      </c>
      <c r="I31" s="92"/>
      <c r="J31" s="79">
        <f>VLOOKUP(D31,產線配置圖!$A$3:$C$40,2,0)</f>
        <v>11</v>
      </c>
      <c r="K31" s="80">
        <f>VLOOKUP(D31,產線配置圖!$A$3:$C$40,3,0)</f>
        <v>1565</v>
      </c>
      <c r="L31" s="93">
        <f t="shared" si="24"/>
        <v>142.27272727272728</v>
      </c>
      <c r="M31" s="94">
        <v>10</v>
      </c>
      <c r="N31" s="95">
        <f t="shared" si="25"/>
        <v>1163.1818181818014</v>
      </c>
      <c r="O31" s="96">
        <f t="shared" si="26"/>
        <v>116.31818181818014</v>
      </c>
      <c r="P31" s="97">
        <f t="shared" si="27"/>
        <v>-1</v>
      </c>
      <c r="Q31" s="98">
        <f t="shared" si="28"/>
        <v>-25.954545454547144</v>
      </c>
      <c r="R31" s="99">
        <f t="shared" si="29"/>
        <v>0.81757188498401367</v>
      </c>
      <c r="S31" s="426"/>
      <c r="T31" s="19">
        <v>0.63472222222222197</v>
      </c>
      <c r="U31" s="19">
        <v>0.66527777777777797</v>
      </c>
      <c r="V31" s="92">
        <f>(T31-U30)*24*60</f>
        <v>43.999999999999204</v>
      </c>
      <c r="W31" s="149">
        <f t="shared" si="12"/>
        <v>44.000000000000639</v>
      </c>
      <c r="X31" s="174"/>
      <c r="Y31" s="301"/>
      <c r="Z31" s="335"/>
      <c r="AA31" s="335"/>
      <c r="AB31" s="407" t="s">
        <v>127</v>
      </c>
      <c r="AC31" s="407"/>
      <c r="AD31" s="92"/>
      <c r="AE31" s="92"/>
      <c r="AF31" s="312">
        <f t="shared" si="21"/>
        <v>-401.81818181819858</v>
      </c>
      <c r="AG31" s="99">
        <f t="shared" si="22"/>
        <v>0.7432471681672852</v>
      </c>
      <c r="AH31" s="405"/>
    </row>
    <row r="32" spans="1:34" ht="15" customHeight="1">
      <c r="A32" s="457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30">AVERAGE(J27:J36)</f>
        <v>15.6</v>
      </c>
      <c r="K37" s="155">
        <f t="shared" si="30"/>
        <v>1568.4</v>
      </c>
      <c r="L37" s="158">
        <f t="shared" si="30"/>
        <v>104.35283605283605</v>
      </c>
      <c r="M37" s="155">
        <f t="shared" si="30"/>
        <v>13.6</v>
      </c>
      <c r="N37" s="155">
        <f t="shared" si="30"/>
        <v>1261.8321996922</v>
      </c>
      <c r="O37" s="158">
        <f t="shared" si="30"/>
        <v>94.477409838082821</v>
      </c>
      <c r="P37" s="159">
        <f>M37-J37</f>
        <v>-2</v>
      </c>
      <c r="Q37" s="160">
        <f>N37-K37</f>
        <v>-306.5678003078001</v>
      </c>
      <c r="R37" s="161">
        <f>O37/L37</f>
        <v>0.90536504240523852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-306.5678003078001</v>
      </c>
      <c r="AG37" s="124">
        <f>N37/K37</f>
        <v>0.80453468483307822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2751</v>
      </c>
      <c r="H38" s="134">
        <f>F38*G38</f>
        <v>137302.41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1618.2352941176312</v>
      </c>
      <c r="O38" s="141">
        <f>N38/M38</f>
        <v>107.88235294117541</v>
      </c>
      <c r="P38" s="142">
        <f>M38-J38</f>
        <v>0</v>
      </c>
      <c r="Q38" s="143">
        <f>O38-L38</f>
        <v>-6.3843137254912534</v>
      </c>
      <c r="R38" s="144">
        <f>O38/L38</f>
        <v>0.94412794289243362</v>
      </c>
      <c r="S38" s="453">
        <f>R48</f>
        <v>0.9198013196858118</v>
      </c>
      <c r="T38" s="191">
        <v>0.33333333333333298</v>
      </c>
      <c r="U38" s="191">
        <v>0.40416666666666701</v>
      </c>
      <c r="V38" s="192"/>
      <c r="W38" s="193">
        <f t="shared" si="12"/>
        <v>102.00000000000099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-95.764705882368844</v>
      </c>
      <c r="AG38" s="195">
        <f>N38/K38</f>
        <v>0.94412794289243362</v>
      </c>
      <c r="AH38" s="459">
        <f>AG48</f>
        <v>0.92168875510402715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1814</v>
      </c>
      <c r="H39" s="91">
        <f>F39*G39</f>
        <v>80360.2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1554.8571428571129</v>
      </c>
      <c r="O39" s="203">
        <f>N39/M39</f>
        <v>91.46218487394782</v>
      </c>
      <c r="P39" s="97">
        <f>M39-J39</f>
        <v>0</v>
      </c>
      <c r="Q39" s="98">
        <f>O39-L39</f>
        <v>-4.7731092436992384</v>
      </c>
      <c r="R39" s="99">
        <f>O39/L39</f>
        <v>0.95040167656302743</v>
      </c>
      <c r="S39" s="454"/>
      <c r="T39" s="20">
        <v>0.41319444444444398</v>
      </c>
      <c r="U39" s="20">
        <v>0.46180555555555602</v>
      </c>
      <c r="V39" s="92">
        <f>(T39-U38)*24*60</f>
        <v>12.999999999998835</v>
      </c>
      <c r="W39" s="205">
        <f t="shared" si="12"/>
        <v>70.00000000000135</v>
      </c>
      <c r="X39" s="22">
        <v>0.46875</v>
      </c>
      <c r="Y39" s="84">
        <v>0.52083333333333304</v>
      </c>
      <c r="Z39" s="90"/>
      <c r="AA39" s="90"/>
      <c r="AB39" s="462"/>
      <c r="AC39" s="462"/>
      <c r="AD39" s="200"/>
      <c r="AE39" s="200"/>
      <c r="AF39" s="314">
        <f>N39-K39</f>
        <v>-81.142857142887124</v>
      </c>
      <c r="AG39" s="206">
        <f>N39/K39</f>
        <v>0.95040167656302743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4218</v>
      </c>
      <c r="H40" s="91">
        <f>F40*G40</f>
        <v>186857.4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1562.2222222222231</v>
      </c>
      <c r="O40" s="203">
        <f>N40/M40</f>
        <v>91.895424836601364</v>
      </c>
      <c r="P40" s="97">
        <f>M40-J40</f>
        <v>0</v>
      </c>
      <c r="Q40" s="98">
        <f>O40-L40</f>
        <v>-4.3398692810456936</v>
      </c>
      <c r="R40" s="99">
        <f>O40/L40</f>
        <v>0.9549035588155399</v>
      </c>
      <c r="S40" s="440"/>
      <c r="T40" s="20">
        <v>0.52291666666666703</v>
      </c>
      <c r="U40" s="20">
        <v>0.63541666666666696</v>
      </c>
      <c r="V40" s="92">
        <f>(T40-U39)*24*60</f>
        <v>87.999999999999844</v>
      </c>
      <c r="W40" s="205">
        <f t="shared" si="12"/>
        <v>161.99999999999991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-73.777777777776919</v>
      </c>
      <c r="AG40" s="206">
        <f>N40/K40</f>
        <v>0.95490355881553979</v>
      </c>
      <c r="AH40" s="460"/>
    </row>
    <row r="41" spans="1:34" ht="15" customHeight="1">
      <c r="A41" s="451"/>
      <c r="B41" s="75" t="s">
        <v>128</v>
      </c>
      <c r="C41" s="207"/>
      <c r="D41" s="198" t="s">
        <v>129</v>
      </c>
      <c r="E41" s="178"/>
      <c r="F41" s="75">
        <f>VLOOKUP(D41,廠價表!$C$1:$E$43,3,0)</f>
        <v>49.91</v>
      </c>
      <c r="G41" s="199">
        <v>600</v>
      </c>
      <c r="H41" s="91">
        <f>F41*G41</f>
        <v>29945.999999999996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15</v>
      </c>
      <c r="N41" s="202">
        <f>G41/W41*60</f>
        <v>1440.0000000000143</v>
      </c>
      <c r="O41" s="203">
        <f>N41/M41</f>
        <v>96.000000000000952</v>
      </c>
      <c r="P41" s="97">
        <f>M41-J41</f>
        <v>0</v>
      </c>
      <c r="Q41" s="98">
        <f>O41-L41</f>
        <v>-18.266666666665714</v>
      </c>
      <c r="R41" s="99">
        <f>O41/L41</f>
        <v>0.84014002333723126</v>
      </c>
      <c r="S41" s="440"/>
      <c r="T41" s="20">
        <v>0.64236111111111105</v>
      </c>
      <c r="U41" s="210">
        <v>0.65972222222222199</v>
      </c>
      <c r="V41" s="92">
        <f>(T41-U40)*24*60</f>
        <v>9.9999999999994849</v>
      </c>
      <c r="W41" s="205">
        <f t="shared" si="12"/>
        <v>24.999999999999751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-273.99999999998568</v>
      </c>
      <c r="AG41" s="206">
        <f>N41/K41</f>
        <v>0.84014002333723126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31">AVERAGE(J38:J47)</f>
        <v>16</v>
      </c>
      <c r="K48" s="155">
        <f t="shared" si="31"/>
        <v>1675</v>
      </c>
      <c r="L48" s="158">
        <f t="shared" si="31"/>
        <v>105.25098039215686</v>
      </c>
      <c r="M48" s="155">
        <f t="shared" si="31"/>
        <v>16</v>
      </c>
      <c r="N48" s="155">
        <f t="shared" si="31"/>
        <v>1543.8286647992454</v>
      </c>
      <c r="O48" s="158">
        <f t="shared" si="31"/>
        <v>96.809990662931384</v>
      </c>
      <c r="P48" s="221">
        <f>M48-J48</f>
        <v>0</v>
      </c>
      <c r="Q48" s="222">
        <f>N48-K48</f>
        <v>-131.17133520075458</v>
      </c>
      <c r="R48" s="223">
        <f>O48/L48</f>
        <v>0.9198013196858118</v>
      </c>
      <c r="S48" s="443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32">N48-K48</f>
        <v>-131.17133520075458</v>
      </c>
      <c r="AG48" s="162">
        <f t="shared" ref="AG48:AG53" si="33">N48/K48</f>
        <v>0.92168875510402715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2336</v>
      </c>
      <c r="H49" s="134">
        <f>F49*G49</f>
        <v>115678.72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16</v>
      </c>
      <c r="N49" s="140">
        <f>G49/W49*60</f>
        <v>1475.3684210526369</v>
      </c>
      <c r="O49" s="141">
        <f>N49/M49</f>
        <v>92.210526315789807</v>
      </c>
      <c r="P49" s="229">
        <f>M49-J49</f>
        <v>-1</v>
      </c>
      <c r="Q49" s="230">
        <f>O49-L49</f>
        <v>-13.671826625386657</v>
      </c>
      <c r="R49" s="52">
        <f>O49/L49</f>
        <v>0.87087719298245936</v>
      </c>
      <c r="S49" s="439">
        <f>R58</f>
        <v>0.9007005287282549</v>
      </c>
      <c r="T49" s="191">
        <v>0.29166666666666702</v>
      </c>
      <c r="U49" s="191">
        <v>0.35763888888888901</v>
      </c>
      <c r="V49" s="55"/>
      <c r="W49" s="193">
        <f t="shared" si="12"/>
        <v>94.999999999999659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32"/>
        <v>-324.6315789473631</v>
      </c>
      <c r="AG49" s="52">
        <f t="shared" si="33"/>
        <v>0.81964912280702051</v>
      </c>
      <c r="AH49" s="403">
        <f>AG58</f>
        <v>0.84104240865068336</v>
      </c>
    </row>
    <row r="50" spans="1:34" ht="15" customHeight="1">
      <c r="A50" s="469"/>
      <c r="B50" s="75" t="s">
        <v>81</v>
      </c>
      <c r="C50" s="76"/>
      <c r="D50" s="59" t="s">
        <v>132</v>
      </c>
      <c r="E50" s="77"/>
      <c r="F50" s="75">
        <f>VLOOKUP(D50,廠價表!$C$1:$E$43,3,0)</f>
        <v>49.97</v>
      </c>
      <c r="G50" s="202">
        <v>2582</v>
      </c>
      <c r="H50" s="231">
        <f>F50*G50</f>
        <v>129022.54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15</v>
      </c>
      <c r="N50" s="234">
        <f>G50/W50*60</f>
        <v>1504.0776699029075</v>
      </c>
      <c r="O50" s="235">
        <f>N50/M50</f>
        <v>100.27184466019384</v>
      </c>
      <c r="P50" s="74">
        <f>M50-J50</f>
        <v>-1</v>
      </c>
      <c r="Q50" s="83">
        <f>O50-L50</f>
        <v>-12.228155339806165</v>
      </c>
      <c r="R50" s="72">
        <f>O50/L50</f>
        <v>0.89130528586838964</v>
      </c>
      <c r="S50" s="440"/>
      <c r="T50" s="21">
        <v>0.36458333333333298</v>
      </c>
      <c r="U50" s="21">
        <v>0.43611111111111101</v>
      </c>
      <c r="V50" s="30">
        <f>(T50-U49)*24*60</f>
        <v>9.999999999999325</v>
      </c>
      <c r="W50" s="236">
        <f t="shared" si="12"/>
        <v>103.00000000000036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32"/>
        <v>-295.92233009709253</v>
      </c>
      <c r="AG50" s="72">
        <f t="shared" si="33"/>
        <v>0.8355987055016153</v>
      </c>
      <c r="AH50" s="404"/>
    </row>
    <row r="51" spans="1:34" ht="15" customHeight="1">
      <c r="A51" s="469"/>
      <c r="B51" s="75" t="s">
        <v>81</v>
      </c>
      <c r="C51" s="76"/>
      <c r="D51" s="59" t="s">
        <v>133</v>
      </c>
      <c r="E51" s="77"/>
      <c r="F51" s="75">
        <f>VLOOKUP(D51,廠價表!$C$1:$E$43,3,0)</f>
        <v>50.289000000000001</v>
      </c>
      <c r="G51" s="202">
        <v>926</v>
      </c>
      <c r="H51" s="231">
        <f>F51*G51</f>
        <v>46567.614000000001</v>
      </c>
      <c r="I51" s="232"/>
      <c r="J51" s="79">
        <f>VLOOKUP(D51,產線配置圖!$A$3:$C$40,2,0)</f>
        <v>18</v>
      </c>
      <c r="K51" s="80">
        <f>VLOOKUP(D51,產線配置圖!$A$3:$C$40,3,0)</f>
        <v>1565</v>
      </c>
      <c r="L51" s="81">
        <f>K51/J51</f>
        <v>86.944444444444443</v>
      </c>
      <c r="M51" s="233">
        <v>16</v>
      </c>
      <c r="N51" s="234">
        <f>G51/W51*60</f>
        <v>1292.0930232558185</v>
      </c>
      <c r="O51" s="235">
        <f>N51/M51</f>
        <v>80.755813953488655</v>
      </c>
      <c r="P51" s="74">
        <f>M51-J51</f>
        <v>-2</v>
      </c>
      <c r="Q51" s="83">
        <f>O51-L51</f>
        <v>-6.1886304909557879</v>
      </c>
      <c r="R51" s="72">
        <f>O51/L51</f>
        <v>0.92882086336280878</v>
      </c>
      <c r="S51" s="440"/>
      <c r="T51" s="21">
        <v>0.44097222222222199</v>
      </c>
      <c r="U51" s="19">
        <v>0.47083333333333299</v>
      </c>
      <c r="V51" s="30">
        <f>(T51-U50)*24*60</f>
        <v>6.9999999999998153</v>
      </c>
      <c r="W51" s="236">
        <f t="shared" si="12"/>
        <v>42.999999999999844</v>
      </c>
      <c r="X51" s="22">
        <v>0.46875</v>
      </c>
      <c r="Y51" s="84">
        <v>0.52083333333333304</v>
      </c>
      <c r="Z51" s="90"/>
      <c r="AA51" s="90"/>
      <c r="AB51" s="407"/>
      <c r="AC51" s="407"/>
      <c r="AD51" s="92"/>
      <c r="AE51" s="92"/>
      <c r="AF51" s="307">
        <f t="shared" si="32"/>
        <v>-272.90697674418152</v>
      </c>
      <c r="AG51" s="72">
        <f t="shared" si="33"/>
        <v>0.82561854521138556</v>
      </c>
      <c r="AH51" s="404"/>
    </row>
    <row r="52" spans="1:34" ht="15" customHeight="1">
      <c r="A52" s="469"/>
      <c r="B52" s="75" t="s">
        <v>81</v>
      </c>
      <c r="C52" s="86"/>
      <c r="D52" s="59" t="s">
        <v>133</v>
      </c>
      <c r="E52" s="87"/>
      <c r="F52" s="75">
        <f>VLOOKUP(D52,廠價表!$C$1:$E$43,3,0)</f>
        <v>50.289000000000001</v>
      </c>
      <c r="G52" s="202">
        <v>2567</v>
      </c>
      <c r="H52" s="231">
        <f t="shared" ref="H52:H53" si="34">F52*G52</f>
        <v>129091.863</v>
      </c>
      <c r="I52" s="232"/>
      <c r="J52" s="79">
        <f>VLOOKUP(D52,產線配置圖!$A$3:$C$40,2,0)</f>
        <v>18</v>
      </c>
      <c r="K52" s="80">
        <f>VLOOKUP(D52,產線配置圖!$A$3:$C$40,3,0)</f>
        <v>1565</v>
      </c>
      <c r="L52" s="81">
        <f t="shared" ref="L52:L53" si="35">K52/J52</f>
        <v>86.944444444444443</v>
      </c>
      <c r="M52" s="233">
        <v>16</v>
      </c>
      <c r="N52" s="234">
        <f t="shared" ref="N52:N53" si="36">G52/W52*60</f>
        <v>1351.0526315789598</v>
      </c>
      <c r="O52" s="235">
        <f t="shared" ref="O52:O53" si="37">N52/M52</f>
        <v>84.440789473684987</v>
      </c>
      <c r="P52" s="74">
        <f t="shared" ref="P52:P53" si="38">M52-J52</f>
        <v>-2</v>
      </c>
      <c r="Q52" s="83">
        <f t="shared" ref="Q52:Q53" si="39">O52-L52</f>
        <v>-2.503654970759456</v>
      </c>
      <c r="R52" s="72">
        <f t="shared" ref="R52:R53" si="40">O52/L52</f>
        <v>0.97120396838743117</v>
      </c>
      <c r="S52" s="440"/>
      <c r="T52" s="21">
        <v>0.52152777777777803</v>
      </c>
      <c r="U52" s="21">
        <v>0.60069444444444398</v>
      </c>
      <c r="V52" s="30">
        <f>(T52-U51)*24*60</f>
        <v>73.000000000000853</v>
      </c>
      <c r="W52" s="236">
        <f t="shared" si="12"/>
        <v>113.99999999999895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32"/>
        <v>-213.94736842104021</v>
      </c>
      <c r="AG52" s="72">
        <f t="shared" si="33"/>
        <v>0.86329241634438325</v>
      </c>
      <c r="AH52" s="404"/>
    </row>
    <row r="53" spans="1:34" ht="15" customHeight="1">
      <c r="A53" s="469"/>
      <c r="B53" s="101" t="s">
        <v>81</v>
      </c>
      <c r="C53" s="102"/>
      <c r="D53" s="103" t="s">
        <v>132</v>
      </c>
      <c r="E53" s="104"/>
      <c r="F53" s="75">
        <f>VLOOKUP(D53,廠價表!$C$1:$E$43,3,0)</f>
        <v>49.97</v>
      </c>
      <c r="G53" s="202">
        <v>3103</v>
      </c>
      <c r="H53" s="231">
        <f t="shared" si="34"/>
        <v>155056.91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35"/>
        <v>112.5</v>
      </c>
      <c r="M53" s="108">
        <v>16</v>
      </c>
      <c r="N53" s="234">
        <f t="shared" si="36"/>
        <v>1551.5000000000057</v>
      </c>
      <c r="O53" s="235">
        <f t="shared" si="37"/>
        <v>96.968750000000355</v>
      </c>
      <c r="P53" s="74">
        <f t="shared" si="38"/>
        <v>0</v>
      </c>
      <c r="Q53" s="83">
        <f t="shared" si="39"/>
        <v>-15.531249999999645</v>
      </c>
      <c r="R53" s="72">
        <f t="shared" si="40"/>
        <v>0.86194444444444762</v>
      </c>
      <c r="S53" s="440"/>
      <c r="T53" s="21">
        <v>0.60763888888888895</v>
      </c>
      <c r="U53" s="21">
        <v>0.69097222222222199</v>
      </c>
      <c r="V53" s="30">
        <f>(T53-U52)*24*60</f>
        <v>10.000000000000764</v>
      </c>
      <c r="W53" s="236">
        <f t="shared" si="12"/>
        <v>119.99999999999957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32"/>
        <v>-248.49999999999432</v>
      </c>
      <c r="AG53" s="72">
        <f t="shared" si="33"/>
        <v>0.86194444444444762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41">AVERAGE(J49:J57)</f>
        <v>17</v>
      </c>
      <c r="K58" s="120">
        <f t="shared" si="41"/>
        <v>1706</v>
      </c>
      <c r="L58" s="117">
        <f t="shared" si="41"/>
        <v>100.95424836601308</v>
      </c>
      <c r="M58" s="120">
        <f t="shared" si="41"/>
        <v>15.8</v>
      </c>
      <c r="N58" s="120">
        <f t="shared" si="41"/>
        <v>1434.8183491580658</v>
      </c>
      <c r="O58" s="117">
        <f t="shared" si="41"/>
        <v>90.929544880631539</v>
      </c>
      <c r="P58" s="121">
        <f>M58-J58</f>
        <v>-1.1999999999999993</v>
      </c>
      <c r="Q58" s="122">
        <f>N58-K58</f>
        <v>-271.18165084193424</v>
      </c>
      <c r="R58" s="123">
        <f>O58/L58</f>
        <v>0.9007005287282549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-271.18165084193424</v>
      </c>
      <c r="AG58" s="124">
        <f>N58/K58</f>
        <v>0.84104240865068336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2394</v>
      </c>
      <c r="H59" s="243">
        <f>F59*G59</f>
        <v>64614.06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14</v>
      </c>
      <c r="N59" s="137">
        <f>G59/W59*60</f>
        <v>1368.000000000013</v>
      </c>
      <c r="O59" s="138">
        <f>N59/M59</f>
        <v>97.714285714286646</v>
      </c>
      <c r="P59" s="56">
        <f>M59-J59</f>
        <v>-1</v>
      </c>
      <c r="Q59" s="230">
        <f>O59-L59</f>
        <v>-6.6190476190466825</v>
      </c>
      <c r="R59" s="52">
        <f>O59/L59</f>
        <v>0.93655864901872188</v>
      </c>
      <c r="S59" s="439">
        <f>R69</f>
        <v>0.94153896353519262</v>
      </c>
      <c r="T59" s="245">
        <v>0.30555555555555602</v>
      </c>
      <c r="U59" s="245">
        <v>0.37847222222222199</v>
      </c>
      <c r="V59" s="55"/>
      <c r="W59" s="54">
        <f t="shared" si="12"/>
        <v>104.99999999999899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-196.99999999998704</v>
      </c>
      <c r="AG59" s="246">
        <f>N59/K59</f>
        <v>0.87412140575080699</v>
      </c>
      <c r="AH59" s="403">
        <f>AG69</f>
        <v>0.92720893555375183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2084</v>
      </c>
      <c r="H60" s="78">
        <f>F60*G60</f>
        <v>58893.840000000004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1471.0588235294322</v>
      </c>
      <c r="O60" s="81">
        <f>N60/M60</f>
        <v>122.58823529411934</v>
      </c>
      <c r="P60" s="74">
        <f>M60-J60</f>
        <v>0</v>
      </c>
      <c r="Q60" s="83">
        <f>O60-L60</f>
        <v>-7.828431372547314</v>
      </c>
      <c r="R60" s="72">
        <f>O60/L60</f>
        <v>0.93997368915618673</v>
      </c>
      <c r="S60" s="467"/>
      <c r="T60" s="22">
        <v>0.38541666666666702</v>
      </c>
      <c r="U60" s="22">
        <v>0.44444444444444398</v>
      </c>
      <c r="V60" s="30">
        <f>(T60-U59)*24*60</f>
        <v>10.000000000000844</v>
      </c>
      <c r="W60" s="248">
        <f t="shared" si="12"/>
        <v>84.99999999999882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-93.941176470567825</v>
      </c>
      <c r="AG60" s="249">
        <f>N60/K60</f>
        <v>0.93997368915618673</v>
      </c>
      <c r="AH60" s="475"/>
    </row>
    <row r="61" spans="1:34" ht="15" customHeight="1">
      <c r="A61" s="465"/>
      <c r="B61" s="250" t="s">
        <v>125</v>
      </c>
      <c r="C61" s="251"/>
      <c r="D61" s="257" t="s">
        <v>126</v>
      </c>
      <c r="E61" s="253"/>
      <c r="F61" s="250">
        <f>VLOOKUP(D61,廠價表!$C$1:$E$43,3,0)</f>
        <v>28.26</v>
      </c>
      <c r="G61" s="38">
        <v>1358</v>
      </c>
      <c r="H61" s="254">
        <f t="shared" ref="H61:H62" si="42">F61*G61</f>
        <v>38377.08</v>
      </c>
      <c r="I61" s="182"/>
      <c r="J61" s="106">
        <f>VLOOKUP(D61,產線配置圖!$A$3:$C$40,2,0)</f>
        <v>11</v>
      </c>
      <c r="K61" s="107">
        <f>VLOOKUP(D61,產線配置圖!$A$3:$C$40,3,0)</f>
        <v>1565</v>
      </c>
      <c r="L61" s="238">
        <f t="shared" ref="L61:L62" si="43">K61/J61</f>
        <v>142.27272727272728</v>
      </c>
      <c r="M61" s="108">
        <v>11</v>
      </c>
      <c r="N61" s="107">
        <f t="shared" ref="N61:N62" si="44">G61/W61*60</f>
        <v>1481.4545454545228</v>
      </c>
      <c r="O61" s="238">
        <f t="shared" ref="O61:O62" si="45">N61/M61</f>
        <v>134.67768595041116</v>
      </c>
      <c r="P61" s="111">
        <f t="shared" ref="P61:P62" si="46">M61-J61</f>
        <v>0</v>
      </c>
      <c r="Q61" s="255">
        <f t="shared" ref="Q61:Q62" si="47">O61-L61</f>
        <v>-7.5950413223161206</v>
      </c>
      <c r="R61" s="85">
        <f t="shared" ref="R61:R62" si="48">O61/L61</f>
        <v>0.94661632297413589</v>
      </c>
      <c r="S61" s="440"/>
      <c r="T61" s="22">
        <v>0.45486111111111099</v>
      </c>
      <c r="U61" s="22">
        <v>0.49305555555555602</v>
      </c>
      <c r="V61" s="30">
        <f>(T61-U60)*24*60</f>
        <v>15.000000000000506</v>
      </c>
      <c r="W61" s="256">
        <f t="shared" si="12"/>
        <v>55.000000000000846</v>
      </c>
      <c r="X61" s="22">
        <v>0.50347222222222199</v>
      </c>
      <c r="Y61" s="84">
        <v>0.54513888888888895</v>
      </c>
      <c r="Z61" s="90"/>
      <c r="AA61" s="90"/>
      <c r="AB61" s="407"/>
      <c r="AC61" s="407"/>
      <c r="AD61" s="92"/>
      <c r="AE61" s="92"/>
      <c r="AF61" s="317">
        <f>N61-K61</f>
        <v>-83.545454545477241</v>
      </c>
      <c r="AG61" s="247">
        <f>N61/K61</f>
        <v>0.94661632297413589</v>
      </c>
      <c r="AH61" s="404"/>
    </row>
    <row r="62" spans="1:34" ht="15" customHeight="1">
      <c r="A62" s="465"/>
      <c r="B62" s="258" t="s">
        <v>125</v>
      </c>
      <c r="C62" s="58"/>
      <c r="D62" s="259" t="s">
        <v>126</v>
      </c>
      <c r="E62" s="60"/>
      <c r="F62" s="250">
        <f>VLOOKUP(D62,廠價表!$C$1:$E$43,3,0)</f>
        <v>28.26</v>
      </c>
      <c r="G62" s="260">
        <v>2185</v>
      </c>
      <c r="H62" s="254">
        <f t="shared" si="42"/>
        <v>61748.100000000006</v>
      </c>
      <c r="I62" s="182"/>
      <c r="J62" s="106">
        <f>VLOOKUP(D62,產線配置圖!$A$3:$C$40,2,0)</f>
        <v>11</v>
      </c>
      <c r="K62" s="107">
        <f>VLOOKUP(D62,產線配置圖!$A$3:$C$40,3,0)</f>
        <v>1565</v>
      </c>
      <c r="L62" s="238">
        <f t="shared" si="43"/>
        <v>142.27272727272728</v>
      </c>
      <c r="M62" s="68">
        <v>11</v>
      </c>
      <c r="N62" s="107">
        <f t="shared" si="44"/>
        <v>1506.8965517241297</v>
      </c>
      <c r="O62" s="238">
        <f t="shared" si="45"/>
        <v>136.99059561128453</v>
      </c>
      <c r="P62" s="111">
        <f t="shared" si="46"/>
        <v>0</v>
      </c>
      <c r="Q62" s="255">
        <f t="shared" si="47"/>
        <v>-5.2821316614427474</v>
      </c>
      <c r="R62" s="85">
        <f t="shared" si="48"/>
        <v>0.96287319598985932</v>
      </c>
      <c r="S62" s="440"/>
      <c r="T62" s="22">
        <v>0.54513888888888895</v>
      </c>
      <c r="U62" s="22">
        <v>0.60555555555555596</v>
      </c>
      <c r="V62" s="30">
        <f t="shared" ref="V62:V63" si="49">(T62-U61)*24*60</f>
        <v>74.999999999999417</v>
      </c>
      <c r="W62" s="248">
        <f t="shared" si="12"/>
        <v>87.000000000000483</v>
      </c>
      <c r="X62" s="22"/>
      <c r="Y62" s="84"/>
      <c r="Z62" s="90"/>
      <c r="AA62" s="90"/>
      <c r="AB62" s="407"/>
      <c r="AC62" s="407"/>
      <c r="AD62" s="92"/>
      <c r="AE62" s="92"/>
      <c r="AF62" s="317">
        <f>N62-K62</f>
        <v>-58.103448275870278</v>
      </c>
      <c r="AG62" s="247">
        <f>N62/K62</f>
        <v>0.96287319598985921</v>
      </c>
      <c r="AH62" s="404"/>
    </row>
    <row r="63" spans="1:34" ht="15" customHeight="1">
      <c r="A63" s="465"/>
      <c r="B63" s="250" t="s">
        <v>125</v>
      </c>
      <c r="C63" s="251"/>
      <c r="D63" s="252" t="s">
        <v>134</v>
      </c>
      <c r="E63" s="253"/>
      <c r="F63" s="250">
        <f>VLOOKUP(D63,廠價表!$C$1:$E$43,3,0)</f>
        <v>26.99</v>
      </c>
      <c r="G63" s="38">
        <v>1785</v>
      </c>
      <c r="H63" s="254">
        <f>F63*G63</f>
        <v>48177.149999999994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>K63/J63</f>
        <v>104.33333333333333</v>
      </c>
      <c r="M63" s="108">
        <v>15</v>
      </c>
      <c r="N63" s="107">
        <f>G63/W63*60</f>
        <v>1428.0000000000111</v>
      </c>
      <c r="O63" s="238">
        <f>N63/M63</f>
        <v>95.200000000000742</v>
      </c>
      <c r="P63" s="111">
        <f>M63-J63</f>
        <v>0</v>
      </c>
      <c r="Q63" s="255">
        <f>O63-L63</f>
        <v>-9.1333333333325868</v>
      </c>
      <c r="R63" s="85">
        <f>O63/L63</f>
        <v>0.91246006389777068</v>
      </c>
      <c r="S63" s="440"/>
      <c r="T63" s="22">
        <v>0.61111111111111105</v>
      </c>
      <c r="U63" s="22">
        <v>0.66319444444444398</v>
      </c>
      <c r="V63" s="30">
        <f t="shared" si="49"/>
        <v>7.9999999999993321</v>
      </c>
      <c r="W63" s="248">
        <f t="shared" si="12"/>
        <v>74.999999999999417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250"/>
      <c r="C64" s="251"/>
      <c r="D64" s="252"/>
      <c r="E64" s="253"/>
      <c r="F64" s="250"/>
      <c r="G64" s="38"/>
      <c r="H64" s="254"/>
      <c r="I64" s="182"/>
      <c r="J64" s="106"/>
      <c r="K64" s="107"/>
      <c r="L64" s="238"/>
      <c r="M64" s="108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50">AVERAGE(J59:J68)</f>
        <v>12.8</v>
      </c>
      <c r="K69" s="240">
        <f t="shared" si="50"/>
        <v>1565</v>
      </c>
      <c r="L69" s="268">
        <f t="shared" si="50"/>
        <v>124.72575757575757</v>
      </c>
      <c r="M69" s="240">
        <f t="shared" si="50"/>
        <v>12.6</v>
      </c>
      <c r="N69" s="240">
        <f t="shared" si="50"/>
        <v>1451.0819841416217</v>
      </c>
      <c r="O69" s="268">
        <f t="shared" si="50"/>
        <v>117.43416051402048</v>
      </c>
      <c r="P69" s="269">
        <f>M69-J69</f>
        <v>-0.20000000000000107</v>
      </c>
      <c r="Q69" s="222">
        <f>N69-K69</f>
        <v>-113.91801585837834</v>
      </c>
      <c r="R69" s="123">
        <f>O69/L69</f>
        <v>0.94153896353519262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-113.91801585837834</v>
      </c>
      <c r="AG69" s="124">
        <f>N69/K69</f>
        <v>0.92720893555375183</v>
      </c>
      <c r="AH69" s="406"/>
    </row>
    <row r="70" spans="1:36" ht="15" customHeight="1">
      <c r="A70" s="471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39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/>
      <c r="D79" s="430"/>
      <c r="E79" s="430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J1:L2"/>
    <mergeCell ref="A2:B2"/>
    <mergeCell ref="A3:A4"/>
    <mergeCell ref="B3:B4"/>
    <mergeCell ref="D3:E4"/>
    <mergeCell ref="F3:F4"/>
    <mergeCell ref="H3:H4"/>
    <mergeCell ref="I3:I4"/>
    <mergeCell ref="J3:J4"/>
    <mergeCell ref="K3:K4"/>
    <mergeCell ref="L3:L4"/>
    <mergeCell ref="G3:G4"/>
    <mergeCell ref="M3:M4"/>
    <mergeCell ref="AH3:AH4"/>
    <mergeCell ref="S3:S4"/>
    <mergeCell ref="P3:P4"/>
    <mergeCell ref="Q3:Q4"/>
    <mergeCell ref="R3:R4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1:S2"/>
    <mergeCell ref="T1:Y2"/>
    <mergeCell ref="AB1:AC2"/>
    <mergeCell ref="AF1:AH2"/>
    <mergeCell ref="AG3:AG4"/>
    <mergeCell ref="A5:A15"/>
    <mergeCell ref="S5:S15"/>
    <mergeCell ref="AB5:AC5"/>
    <mergeCell ref="AH5:AH15"/>
    <mergeCell ref="AB6:AC6"/>
    <mergeCell ref="AB7:AC7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H16:AH26"/>
    <mergeCell ref="AB17:AC17"/>
    <mergeCell ref="AB18:AC18"/>
    <mergeCell ref="D37:E37"/>
    <mergeCell ref="AB37:AC37"/>
    <mergeCell ref="AB30:AC30"/>
    <mergeCell ref="AB31:AC31"/>
    <mergeCell ref="AB32:AC32"/>
    <mergeCell ref="AB33:AC33"/>
    <mergeCell ref="AB34:AC34"/>
    <mergeCell ref="AB35:AC35"/>
    <mergeCell ref="AB36:AC36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98" priority="1" operator="greaterThan">
      <formula>0</formula>
    </cfRule>
  </conditionalFormatting>
  <conditionalFormatting sqref="Q5:Q79 AF5:AF79">
    <cfRule type="cellIs" dxfId="297" priority="4" operator="lessThan">
      <formula>0</formula>
    </cfRule>
  </conditionalFormatting>
  <conditionalFormatting sqref="R5:R79 AG5:AG79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S5:S10 S37:S62 AH59:AH62 S69:S76 AH69:AH76">
    <cfRule type="cellIs" dxfId="294" priority="7" operator="lessThan">
      <formula>0.8</formula>
    </cfRule>
  </conditionalFormatting>
  <conditionalFormatting sqref="S19:S25 AH19:AH25">
    <cfRule type="cellIs" dxfId="293" priority="6" operator="lessThan">
      <formula>0.8</formula>
    </cfRule>
  </conditionalFormatting>
  <conditionalFormatting sqref="S79">
    <cfRule type="cellIs" dxfId="292" priority="5" operator="lessThan">
      <formula>0.8</formula>
    </cfRule>
  </conditionalFormatting>
  <conditionalFormatting sqref="AH5:AH8 S15:S16 AH15:AH16 AH49 AH79">
    <cfRule type="cellIs" dxfId="291" priority="9" operator="lessThan">
      <formula>0.8</formula>
    </cfRule>
  </conditionalFormatting>
  <conditionalFormatting sqref="AH27 S27:S28">
    <cfRule type="cellIs" dxfId="2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BCAE53-3CDC-4EC0-95FF-BD9EAC64D5C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10F8-2BDF-48CF-A628-492C5ECB2048}">
  <dimension ref="B1:O26"/>
  <sheetViews>
    <sheetView zoomScale="70" zoomScaleNormal="70" workbookViewId="0">
      <selection activeCell="U63" sqref="U6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46175</v>
      </c>
      <c r="E3" s="510"/>
      <c r="F3" s="3" t="s">
        <v>72</v>
      </c>
      <c r="G3" s="511">
        <f>'0602'!E1</f>
        <v>62091</v>
      </c>
      <c r="H3" s="511"/>
      <c r="I3" s="3" t="s">
        <v>2</v>
      </c>
      <c r="J3" s="512">
        <f>'0602'!G1</f>
        <v>2949744.5840000003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122.64385201218533</v>
      </c>
      <c r="G6" s="507"/>
      <c r="H6" s="508">
        <f>AVERAGE(D13:H13)</f>
        <v>122.22747089947089</v>
      </c>
      <c r="I6" s="508"/>
      <c r="J6" s="508">
        <f>AVERAGE(I13)</f>
        <v>124.72575757575757</v>
      </c>
      <c r="K6" s="508"/>
      <c r="L6" s="516">
        <f>SUM(D18:J18)</f>
        <v>2</v>
      </c>
      <c r="M6" s="499">
        <f>SUM(D19:J19)</f>
        <v>23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104.08943694292054</v>
      </c>
      <c r="G7" s="496"/>
      <c r="H7" s="497">
        <f>AVERAGE(D14:H14)</f>
        <v>102.77120541823396</v>
      </c>
      <c r="I7" s="497"/>
      <c r="J7" s="497">
        <f>AVERAGE(I14)</f>
        <v>110.68059456635346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0.84871304378615486</v>
      </c>
      <c r="G8" s="502"/>
      <c r="H8" s="502">
        <f>H7/H6</f>
        <v>0.84081920915111441</v>
      </c>
      <c r="I8" s="502"/>
      <c r="J8" s="502">
        <f>J7/J6</f>
        <v>0.88739164000769311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VALUE('0602'!L15)</f>
        <v>150</v>
      </c>
      <c r="E13" s="13">
        <f>VALUE('0602'!L26)</f>
        <v>158.32255979314803</v>
      </c>
      <c r="F13" s="13">
        <f>VALUE('0602'!L37)</f>
        <v>93.287179487179486</v>
      </c>
      <c r="G13" s="13">
        <f>VALUE('0602'!L48)</f>
        <v>106.35463046757164</v>
      </c>
      <c r="H13" s="13">
        <f>VALUE('0602'!L58)</f>
        <v>103.17298474945534</v>
      </c>
      <c r="I13" s="13">
        <f>VALUE('0602'!L69)</f>
        <v>124.72575757575757</v>
      </c>
      <c r="J13" s="13">
        <f>'0602'!L79</f>
        <v>0</v>
      </c>
    </row>
    <row r="14" spans="2:15" ht="39.950000000000003" customHeight="1">
      <c r="B14" s="490"/>
      <c r="C14" s="12" t="s">
        <v>100</v>
      </c>
      <c r="D14" s="13">
        <f>VALUE('0602'!O15)</f>
        <v>122.60896971793893</v>
      </c>
      <c r="E14" s="13">
        <f>VALUE('0602'!O26)</f>
        <v>131.88797844568253</v>
      </c>
      <c r="F14" s="13">
        <f>VALUE('0602'!O37)</f>
        <v>84.923110378572758</v>
      </c>
      <c r="G14" s="13">
        <f>VALUE('0602'!O48)</f>
        <v>86.435845922628133</v>
      </c>
      <c r="H14" s="13">
        <f>VALUE('0602'!O58)</f>
        <v>88.00012262634749</v>
      </c>
      <c r="I14" s="13">
        <f>VALUE('0602'!O69)</f>
        <v>110.68059456635346</v>
      </c>
      <c r="J14" s="13">
        <f>'0602'!O79</f>
        <v>0</v>
      </c>
    </row>
    <row r="15" spans="2:15" ht="39.950000000000003" customHeight="1">
      <c r="B15" s="491"/>
      <c r="C15" s="10" t="s">
        <v>26</v>
      </c>
      <c r="D15" s="14">
        <f t="shared" ref="D15:I15" si="1">D14/D13</f>
        <v>0.81739313145292625</v>
      </c>
      <c r="E15" s="14">
        <f t="shared" si="1"/>
        <v>0.83303338840653618</v>
      </c>
      <c r="F15" s="14">
        <f t="shared" si="1"/>
        <v>0.91034063678861454</v>
      </c>
      <c r="G15" s="14">
        <f t="shared" si="1"/>
        <v>0.81271351837363681</v>
      </c>
      <c r="H15" s="14">
        <f t="shared" si="1"/>
        <v>0.85293764486940515</v>
      </c>
      <c r="I15" s="14">
        <f t="shared" si="1"/>
        <v>0.88739164000769311</v>
      </c>
      <c r="J15" s="15">
        <f>'0602'!S70</f>
        <v>0</v>
      </c>
    </row>
    <row r="16" spans="2:15" ht="17.25" customHeight="1">
      <c r="B16" s="492" t="s">
        <v>101</v>
      </c>
      <c r="C16" s="10" t="s">
        <v>34</v>
      </c>
      <c r="D16" s="16">
        <f>'0602'!T5</f>
        <v>0.29166666666666702</v>
      </c>
      <c r="E16" s="16">
        <f>'0602'!T16</f>
        <v>0.29236111111111102</v>
      </c>
      <c r="F16" s="16">
        <f>'0602'!T27</f>
        <v>0.29166666666666702</v>
      </c>
      <c r="G16" s="16">
        <f>'0602'!T38</f>
        <v>0.33333333333333298</v>
      </c>
      <c r="H16" s="16">
        <f>'0602'!T49</f>
        <v>0.29166666666666702</v>
      </c>
      <c r="I16" s="16">
        <f>'0602'!T59</f>
        <v>0.29166666666666702</v>
      </c>
      <c r="J16" s="16">
        <f>'0602'!T70</f>
        <v>0</v>
      </c>
    </row>
    <row r="17" spans="2:10" ht="17.25" customHeight="1">
      <c r="B17" s="493"/>
      <c r="C17" s="10" t="s">
        <v>35</v>
      </c>
      <c r="D17" s="16">
        <v>0.66666666666666696</v>
      </c>
      <c r="E17" s="16">
        <v>0.66666666666666696</v>
      </c>
      <c r="F17" s="19">
        <v>0.63402777777777797</v>
      </c>
      <c r="G17" s="210">
        <v>0.70486111111111105</v>
      </c>
      <c r="H17" s="21">
        <v>0.67500000000000004</v>
      </c>
      <c r="I17" s="22">
        <v>0.68055555555555602</v>
      </c>
      <c r="J17" s="22">
        <v>0</v>
      </c>
    </row>
    <row r="18" spans="2:10" ht="17.25" customHeight="1">
      <c r="B18" s="494" t="s">
        <v>102</v>
      </c>
      <c r="C18" s="330" t="s">
        <v>36</v>
      </c>
      <c r="D18" s="358">
        <f>'0602'!Z15</f>
        <v>2</v>
      </c>
      <c r="E18" s="359">
        <f>'0602'!Z26</f>
        <v>0</v>
      </c>
      <c r="F18" s="359">
        <f>'0602'!Z37</f>
        <v>0</v>
      </c>
      <c r="G18" s="360">
        <f>'0602'!Z48</f>
        <v>0</v>
      </c>
      <c r="H18" s="360">
        <f>'0602'!Z58</f>
        <v>0</v>
      </c>
      <c r="I18" s="359">
        <f>'0602'!Z69</f>
        <v>0</v>
      </c>
      <c r="J18" s="359">
        <f>'0602'!AA79</f>
        <v>0</v>
      </c>
    </row>
    <row r="19" spans="2:10" ht="17.25" customHeight="1">
      <c r="B19" s="495"/>
      <c r="C19" s="330" t="s">
        <v>37</v>
      </c>
      <c r="D19" s="358">
        <f>'0602'!AA15</f>
        <v>23</v>
      </c>
      <c r="E19" s="359">
        <f>'0602'!AA26</f>
        <v>0</v>
      </c>
      <c r="F19" s="359">
        <f>'0602'!AA37</f>
        <v>0</v>
      </c>
      <c r="G19" s="360">
        <f>'0602'!AA48</f>
        <v>0</v>
      </c>
      <c r="H19" s="360">
        <f>'0602'!AA58</f>
        <v>0</v>
      </c>
      <c r="I19" s="359">
        <f>'0602'!AA69</f>
        <v>0</v>
      </c>
      <c r="J19" s="359">
        <f>'0602'!AB79</f>
        <v>0</v>
      </c>
    </row>
    <row r="20" spans="2:10" ht="17.25" customHeight="1">
      <c r="B20" s="494" t="s">
        <v>103</v>
      </c>
      <c r="C20" s="330" t="s">
        <v>36</v>
      </c>
      <c r="D20" s="358">
        <f>'0602'!AD15</f>
        <v>0</v>
      </c>
      <c r="E20" s="359">
        <f>'0602'!AD26</f>
        <v>0</v>
      </c>
      <c r="F20" s="359">
        <f>'0602'!AD37</f>
        <v>0</v>
      </c>
      <c r="G20" s="360">
        <f>'0602'!AD48</f>
        <v>0</v>
      </c>
      <c r="H20" s="360">
        <f>'0602'!AD58</f>
        <v>0</v>
      </c>
      <c r="I20" s="359">
        <f>'0602'!AD69</f>
        <v>0</v>
      </c>
      <c r="J20" s="359">
        <f>'0602'!AD79</f>
        <v>0</v>
      </c>
    </row>
    <row r="21" spans="2:10" ht="17.25" customHeight="1">
      <c r="B21" s="495"/>
      <c r="C21" s="330" t="s">
        <v>85</v>
      </c>
      <c r="D21" s="358">
        <f>'0602'!AE15</f>
        <v>0</v>
      </c>
      <c r="E21" s="359">
        <f>'0602'!AE26</f>
        <v>0</v>
      </c>
      <c r="F21" s="359">
        <f>'0602'!AE37</f>
        <v>0</v>
      </c>
      <c r="G21" s="360">
        <f>'0602'!AE48</f>
        <v>0</v>
      </c>
      <c r="H21" s="360">
        <f>'0602'!AE58</f>
        <v>0</v>
      </c>
      <c r="I21" s="359">
        <f>'0602'!AE69</f>
        <v>0</v>
      </c>
      <c r="J21" s="359">
        <f>'0602'!AE79</f>
        <v>0</v>
      </c>
    </row>
    <row r="22" spans="2:10" ht="17.25" customHeight="1">
      <c r="B22" s="477" t="s">
        <v>104</v>
      </c>
      <c r="C22" s="478"/>
      <c r="D22" s="23">
        <f>VALUE('0602'!M15)</f>
        <v>15</v>
      </c>
      <c r="E22" s="23">
        <f>VALUE('0602'!M26)</f>
        <v>14.333333333333334</v>
      </c>
      <c r="F22" s="23">
        <f>VALUE('0602'!M37)</f>
        <v>16.2</v>
      </c>
      <c r="G22" s="23">
        <f>VALUE('0602'!M48)</f>
        <v>15.4</v>
      </c>
      <c r="H22" s="23">
        <f>VALUE('0602'!M58)</f>
        <v>16.333333333333332</v>
      </c>
      <c r="I22" s="23">
        <f>VALUE('0602'!M69)</f>
        <v>12.6</v>
      </c>
      <c r="J22" s="23">
        <f>'0602'!M79</f>
        <v>0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97FC5-9474-481C-929A-827B58E9E10A}">
  <sheetPr>
    <tabColor theme="9" tint="0.79998168889431442"/>
  </sheetPr>
  <dimension ref="A1:AJ92"/>
  <sheetViews>
    <sheetView zoomScale="69" zoomScaleNormal="69" workbookViewId="0">
      <pane xSplit="5" ySplit="4" topLeftCell="L5" activePane="bottomRight" state="frozen"/>
      <selection activeCell="U63" sqref="U63"/>
      <selection pane="topRight" activeCell="U63" sqref="U63"/>
      <selection pane="bottomLeft" activeCell="U63" sqref="U63"/>
      <selection pane="bottomRight" activeCell="P77" sqref="P7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62091</v>
      </c>
      <c r="F1" s="30" t="s">
        <v>2</v>
      </c>
      <c r="G1" s="31">
        <f>SUM(H5:H79)</f>
        <v>2949744.5840000003</v>
      </c>
      <c r="H1" s="32" t="s">
        <v>3</v>
      </c>
      <c r="I1" s="33">
        <f>M15+M26+M48+M58+M69+M79+M37</f>
        <v>89.86666666666666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136</v>
      </c>
      <c r="B2" s="381"/>
      <c r="C2" s="28"/>
      <c r="D2" s="28" t="s">
        <v>14</v>
      </c>
      <c r="E2" s="35">
        <f>AVERAGE(O15,O26,O37,O48,O58,O69,O79)</f>
        <v>104.08943694292054</v>
      </c>
      <c r="F2" s="36" t="s">
        <v>15</v>
      </c>
      <c r="G2" s="37">
        <f>G1/E1</f>
        <v>47.506797828992937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2</v>
      </c>
      <c r="AA2" s="339">
        <f>AA15+AA26+AA37+AA48+AA58+AA69+AA79</f>
        <v>23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 t="s">
        <v>137</v>
      </c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2287</v>
      </c>
      <c r="H5" s="43">
        <f>F5*G5</f>
        <v>130061.68999999999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1879.7260273972772</v>
      </c>
      <c r="O5" s="47">
        <f>N5/M5</f>
        <v>125.31506849315181</v>
      </c>
      <c r="P5" s="49">
        <f>M5-J5</f>
        <v>0</v>
      </c>
      <c r="Q5" s="50">
        <f>O5-L5</f>
        <v>-24.684931506848187</v>
      </c>
      <c r="R5" s="51">
        <f>O5/L5</f>
        <v>0.83543378995434547</v>
      </c>
      <c r="S5" s="439">
        <f>R15</f>
        <v>0.81739313145292625</v>
      </c>
      <c r="T5" s="319">
        <v>0.29166666666666702</v>
      </c>
      <c r="U5" s="320">
        <v>0.34236111111111101</v>
      </c>
      <c r="V5" s="53"/>
      <c r="W5" s="54">
        <f t="shared" ref="W5:W14" si="0">(U5-T5)*24*60</f>
        <v>72.999999999999346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9" si="1">N5-K5</f>
        <v>-370.27397260272278</v>
      </c>
      <c r="AG5" s="52">
        <f t="shared" ref="AG5:AG9" si="2">N5/K5</f>
        <v>0.83543378995434547</v>
      </c>
      <c r="AH5" s="403">
        <f>AG15</f>
        <v>0.81739313145292625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3425</v>
      </c>
      <c r="H6" s="63">
        <f>F6*G6</f>
        <v>199232.25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1726.8907563025386</v>
      </c>
      <c r="O6" s="67">
        <f>N6/M6</f>
        <v>115.12605042016925</v>
      </c>
      <c r="P6" s="69">
        <f>M6-J6</f>
        <v>0</v>
      </c>
      <c r="Q6" s="70">
        <f>O6-L6</f>
        <v>-34.87394957983075</v>
      </c>
      <c r="R6" s="71">
        <f>O6/L6</f>
        <v>0.76750700280112838</v>
      </c>
      <c r="S6" s="440"/>
      <c r="T6" s="16">
        <v>0.34930555555555598</v>
      </c>
      <c r="U6" s="16">
        <v>0.43194444444444402</v>
      </c>
      <c r="V6" s="30">
        <f>(T6-U5)*24*60</f>
        <v>10.000000000000764</v>
      </c>
      <c r="W6" s="73">
        <f t="shared" si="0"/>
        <v>118.99999999999878</v>
      </c>
      <c r="X6" s="22"/>
      <c r="Y6" s="84"/>
      <c r="Z6" s="90">
        <v>1</v>
      </c>
      <c r="AA6" s="90">
        <v>17</v>
      </c>
      <c r="AB6" s="434" t="s">
        <v>138</v>
      </c>
      <c r="AC6" s="434"/>
      <c r="AD6" s="149"/>
      <c r="AE6" s="149"/>
      <c r="AF6" s="307">
        <f t="shared" si="1"/>
        <v>-523.10924369746135</v>
      </c>
      <c r="AG6" s="72">
        <f t="shared" si="2"/>
        <v>0.76750700280112827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1992</v>
      </c>
      <c r="H7" s="78">
        <f>F7*G7</f>
        <v>97886.88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1927.7419354838503</v>
      </c>
      <c r="O7" s="81">
        <f>N7/M7</f>
        <v>128.51612903225669</v>
      </c>
      <c r="P7" s="74">
        <f>M7-J7</f>
        <v>0</v>
      </c>
      <c r="Q7" s="83">
        <f>O7-L7</f>
        <v>-21.483870967743314</v>
      </c>
      <c r="R7" s="72">
        <f>O7/L7</f>
        <v>0.85677419354837792</v>
      </c>
      <c r="S7" s="440"/>
      <c r="T7" s="18">
        <v>0.43958333333333299</v>
      </c>
      <c r="U7" s="18">
        <v>0.48263888888888901</v>
      </c>
      <c r="V7" s="30">
        <f>(T7-U6)*24*60</f>
        <v>11.000000000000121</v>
      </c>
      <c r="W7" s="73">
        <f t="shared" si="0"/>
        <v>62.000000000000661</v>
      </c>
      <c r="X7" s="22"/>
      <c r="Y7" s="84"/>
      <c r="Z7" s="90"/>
      <c r="AA7" s="90"/>
      <c r="AB7" s="434"/>
      <c r="AC7" s="407"/>
      <c r="AD7" s="92"/>
      <c r="AE7" s="92"/>
      <c r="AF7" s="307">
        <f t="shared" si="1"/>
        <v>-322.25806451614972</v>
      </c>
      <c r="AG7" s="72">
        <f t="shared" si="2"/>
        <v>0.85677419354837792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4141</v>
      </c>
      <c r="H8" s="78">
        <f t="shared" ref="H8:H9" si="3">F8*G8</f>
        <v>203488.74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1840.4444444444443</v>
      </c>
      <c r="O8" s="81">
        <f t="shared" ref="O8:O9" si="6">N8/M8</f>
        <v>122.6962962962963</v>
      </c>
      <c r="P8" s="74">
        <f t="shared" ref="P8:P9" si="7">M8-J8</f>
        <v>0</v>
      </c>
      <c r="Q8" s="83">
        <f t="shared" ref="Q8:Q9" si="8">O8-L8</f>
        <v>-27.303703703703704</v>
      </c>
      <c r="R8" s="72">
        <f t="shared" ref="R8:R9" si="9">O8/L8</f>
        <v>0.81797530864197532</v>
      </c>
      <c r="S8" s="440"/>
      <c r="T8" s="16">
        <v>0.54861111111111105</v>
      </c>
      <c r="U8" s="16">
        <v>0.64236111111111105</v>
      </c>
      <c r="V8" s="30">
        <f t="shared" ref="V8:V9" si="10">(T8-U7)*24*60</f>
        <v>94.999999999999744</v>
      </c>
      <c r="W8" s="73">
        <f t="shared" si="0"/>
        <v>135</v>
      </c>
      <c r="X8" s="22"/>
      <c r="Y8" s="84"/>
      <c r="Z8" s="90">
        <v>1</v>
      </c>
      <c r="AA8" s="90">
        <v>6</v>
      </c>
      <c r="AB8" s="434" t="s">
        <v>139</v>
      </c>
      <c r="AC8" s="407"/>
      <c r="AD8" s="149"/>
      <c r="AE8" s="149"/>
      <c r="AF8" s="307">
        <f t="shared" si="1"/>
        <v>-409.55555555555566</v>
      </c>
      <c r="AG8" s="72">
        <f t="shared" si="2"/>
        <v>0.81797530864197532</v>
      </c>
      <c r="AH8" s="404"/>
    </row>
    <row r="9" spans="1:34" ht="15" customHeight="1">
      <c r="A9" s="437"/>
      <c r="B9" s="75" t="s">
        <v>81</v>
      </c>
      <c r="C9" s="76"/>
      <c r="D9" s="59" t="s">
        <v>113</v>
      </c>
      <c r="E9" s="77"/>
      <c r="F9" s="75">
        <f>VLOOKUP(D9,廠價表!$C$1:$E$43,3,0)</f>
        <v>56.87</v>
      </c>
      <c r="G9" s="66">
        <v>698</v>
      </c>
      <c r="H9" s="78">
        <f t="shared" si="3"/>
        <v>39695.259999999995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1820.8695652173092</v>
      </c>
      <c r="O9" s="81">
        <f t="shared" si="6"/>
        <v>121.39130434782061</v>
      </c>
      <c r="P9" s="74">
        <f t="shared" si="7"/>
        <v>0</v>
      </c>
      <c r="Q9" s="83">
        <f t="shared" si="8"/>
        <v>-28.608695652179392</v>
      </c>
      <c r="R9" s="72">
        <f t="shared" si="9"/>
        <v>0.80927536231880404</v>
      </c>
      <c r="S9" s="441"/>
      <c r="T9" s="16">
        <v>0.65069444444444402</v>
      </c>
      <c r="U9" s="16">
        <v>0.66666666666666696</v>
      </c>
      <c r="V9" s="30">
        <f t="shared" si="10"/>
        <v>11.999999999999478</v>
      </c>
      <c r="W9" s="73">
        <f t="shared" si="0"/>
        <v>23.000000000001037</v>
      </c>
      <c r="X9" s="22"/>
      <c r="Y9" s="84"/>
      <c r="Z9" s="90"/>
      <c r="AA9" s="90"/>
      <c r="AB9" s="434" t="s">
        <v>140</v>
      </c>
      <c r="AC9" s="434"/>
      <c r="AD9" s="149"/>
      <c r="AE9" s="149"/>
      <c r="AF9" s="307">
        <f t="shared" si="1"/>
        <v>-429.13043478269083</v>
      </c>
      <c r="AG9" s="72">
        <f t="shared" si="2"/>
        <v>0.80927536231880404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/>
      <c r="AG10" s="72"/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/>
      <c r="AG11" s="72"/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15</v>
      </c>
      <c r="N15" s="120">
        <f t="shared" si="11"/>
        <v>1839.1345457690841</v>
      </c>
      <c r="O15" s="117">
        <f t="shared" si="11"/>
        <v>122.60896971793893</v>
      </c>
      <c r="P15" s="121">
        <f>M15-J15</f>
        <v>0</v>
      </c>
      <c r="Q15" s="122">
        <f>O15-L15</f>
        <v>-27.391030282061067</v>
      </c>
      <c r="R15" s="123">
        <f>O15/L15</f>
        <v>0.81739313145292625</v>
      </c>
      <c r="S15" s="443"/>
      <c r="T15" s="125"/>
      <c r="U15" s="125"/>
      <c r="V15" s="126"/>
      <c r="W15" s="127"/>
      <c r="X15" s="128"/>
      <c r="Y15" s="295"/>
      <c r="Z15" s="334">
        <f>SUM(Z5:Z14)</f>
        <v>2</v>
      </c>
      <c r="AA15" s="334">
        <f>SUM(AA5:AA14)</f>
        <v>23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-410.86545423091593</v>
      </c>
      <c r="AG15" s="124">
        <f>N15/K15</f>
        <v>0.81739313145292625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2136</v>
      </c>
      <c r="H16" s="134">
        <f>F16*G16</f>
        <v>108231.12000000001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2100.9836065573841</v>
      </c>
      <c r="O16" s="141">
        <f>N16/M16</f>
        <v>150.07025761124171</v>
      </c>
      <c r="P16" s="142">
        <f>M16-J16</f>
        <v>0</v>
      </c>
      <c r="Q16" s="143">
        <f>O16-L16</f>
        <v>-10.644028103044008</v>
      </c>
      <c r="R16" s="144">
        <f>O16/L16</f>
        <v>0.93377049180328175</v>
      </c>
      <c r="S16" s="425">
        <f>R26</f>
        <v>0.83303338840653618</v>
      </c>
      <c r="T16" s="145">
        <v>0.29236111111111102</v>
      </c>
      <c r="U16" s="145">
        <v>0.33472222222222198</v>
      </c>
      <c r="V16" s="135"/>
      <c r="W16" s="146">
        <f t="shared" ref="W16:W78" si="12">(U16-T16)*24*60</f>
        <v>60.999999999999787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-149.01639344261594</v>
      </c>
      <c r="AG16" s="52">
        <f>N16/K16</f>
        <v>0.93377049180328175</v>
      </c>
      <c r="AH16" s="403">
        <f>AG26</f>
        <v>0.83266423601525363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2021</v>
      </c>
      <c r="H17" s="78">
        <f>F17*G17</f>
        <v>115621.41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1809.8507462686869</v>
      </c>
      <c r="O17" s="96">
        <f>N17/M17</f>
        <v>106.4618086040404</v>
      </c>
      <c r="P17" s="97">
        <f>M17-J17</f>
        <v>0</v>
      </c>
      <c r="Q17" s="98">
        <f>O17-L17</f>
        <v>-25.89113257243018</v>
      </c>
      <c r="R17" s="99">
        <f>O17/L17</f>
        <v>0.80437810945274979</v>
      </c>
      <c r="S17" s="426"/>
      <c r="T17" s="19">
        <v>0.343055555555556</v>
      </c>
      <c r="U17" s="19">
        <v>0.389583333333333</v>
      </c>
      <c r="V17" s="30">
        <f>(T17-U16)*24*60</f>
        <v>12.000000000000997</v>
      </c>
      <c r="W17" s="149">
        <f t="shared" si="12"/>
        <v>66.999999999998877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-440.14925373131314</v>
      </c>
      <c r="AG17" s="72">
        <f>N17/K17</f>
        <v>0.80437810945274968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1338</v>
      </c>
      <c r="H18" s="78">
        <f>F18*G18</f>
        <v>75744.179999999993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1866.9767441860533</v>
      </c>
      <c r="O18" s="96">
        <f>N18/M18</f>
        <v>124.46511627907022</v>
      </c>
      <c r="P18" s="97">
        <f>M18-J18</f>
        <v>0</v>
      </c>
      <c r="Q18" s="98">
        <f>O18-L18</f>
        <v>-25.534883720929784</v>
      </c>
      <c r="R18" s="99">
        <f>O18/L18</f>
        <v>0.82976744186046814</v>
      </c>
      <c r="S18" s="426"/>
      <c r="T18" s="19">
        <v>0.40277777777777801</v>
      </c>
      <c r="U18" s="19">
        <v>0.43263888888888902</v>
      </c>
      <c r="V18" s="30">
        <f>(T18-U17)*24*60</f>
        <v>19.00000000000081</v>
      </c>
      <c r="W18" s="149">
        <f t="shared" si="12"/>
        <v>42.999999999999844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-383.02325581394666</v>
      </c>
      <c r="AG18" s="72">
        <f>N18/K18</f>
        <v>0.82976744186046814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1698</v>
      </c>
      <c r="H19" s="78">
        <f t="shared" ref="H19:H21" si="13">F19*G19</f>
        <v>85562.22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14">K19/J19</f>
        <v>173.07692307692307</v>
      </c>
      <c r="M19" s="148">
        <v>13</v>
      </c>
      <c r="N19" s="95">
        <f t="shared" ref="N19:N21" si="15">G19/W19*60</f>
        <v>1852.3636363636078</v>
      </c>
      <c r="O19" s="96">
        <f t="shared" ref="O19:O21" si="16">N19/M19</f>
        <v>142.48951048950829</v>
      </c>
      <c r="P19" s="97">
        <f t="shared" ref="P19:P21" si="17">M19-J19</f>
        <v>0</v>
      </c>
      <c r="Q19" s="98">
        <f t="shared" ref="Q19:Q21" si="18">O19-L19</f>
        <v>-30.587412587414775</v>
      </c>
      <c r="R19" s="99">
        <f t="shared" ref="R19:R21" si="19">O19/L19</f>
        <v>0.82327272727271461</v>
      </c>
      <c r="S19" s="426"/>
      <c r="T19" s="19">
        <v>0.44097222222222199</v>
      </c>
      <c r="U19" s="19">
        <v>0.47916666666666702</v>
      </c>
      <c r="V19" s="30">
        <f>(T19-U18)*24*60</f>
        <v>11.999999999999478</v>
      </c>
      <c r="W19" s="149">
        <f t="shared" si="12"/>
        <v>55.000000000000846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-397.63636363639216</v>
      </c>
      <c r="AG19" s="72">
        <f>N19/K19</f>
        <v>0.82327272727271461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3192</v>
      </c>
      <c r="H20" s="78">
        <f t="shared" si="13"/>
        <v>160844.88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4"/>
        <v>173.07692307692307</v>
      </c>
      <c r="M20" s="148">
        <v>13</v>
      </c>
      <c r="N20" s="95">
        <f t="shared" si="15"/>
        <v>1806.7924528301924</v>
      </c>
      <c r="O20" s="96">
        <f t="shared" si="16"/>
        <v>138.98403483309173</v>
      </c>
      <c r="P20" s="97">
        <f t="shared" si="17"/>
        <v>0</v>
      </c>
      <c r="Q20" s="98">
        <f t="shared" si="18"/>
        <v>-34.092888243831339</v>
      </c>
      <c r="R20" s="99">
        <f t="shared" si="19"/>
        <v>0.80301886792453003</v>
      </c>
      <c r="S20" s="426"/>
      <c r="T20" s="19">
        <v>0.55625000000000002</v>
      </c>
      <c r="U20" s="19">
        <v>0.62986111111111098</v>
      </c>
      <c r="V20" s="30">
        <f>(T20-U19)*24*60</f>
        <v>110.99999999999953</v>
      </c>
      <c r="W20" s="149">
        <f t="shared" si="12"/>
        <v>105.99999999999979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v>1353</v>
      </c>
      <c r="H21" s="78">
        <f t="shared" si="13"/>
        <v>68556.510000000009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14"/>
        <v>160.71428571428572</v>
      </c>
      <c r="M21" s="148">
        <v>14</v>
      </c>
      <c r="N21" s="95">
        <f t="shared" si="15"/>
        <v>1804</v>
      </c>
      <c r="O21" s="96">
        <f t="shared" si="16"/>
        <v>128.85714285714286</v>
      </c>
      <c r="P21" s="97">
        <f t="shared" si="17"/>
        <v>0</v>
      </c>
      <c r="Q21" s="98">
        <f t="shared" si="18"/>
        <v>-31.857142857142861</v>
      </c>
      <c r="R21" s="99">
        <f t="shared" si="19"/>
        <v>0.80177777777777781</v>
      </c>
      <c r="S21" s="426"/>
      <c r="T21" s="19">
        <v>0.63541666666666696</v>
      </c>
      <c r="U21" s="16">
        <v>0.66666666666666696</v>
      </c>
      <c r="V21" s="30">
        <f>(T21-U20)*24*60</f>
        <v>8.0000000000006111</v>
      </c>
      <c r="W21" s="149">
        <f t="shared" si="12"/>
        <v>45</v>
      </c>
      <c r="X21" s="92"/>
      <c r="Y21" s="298"/>
      <c r="Z21" s="90"/>
      <c r="AA21" s="90"/>
      <c r="AB21" s="434" t="s">
        <v>140</v>
      </c>
      <c r="AC21" s="434"/>
      <c r="AD21" s="92"/>
      <c r="AE21" s="92"/>
      <c r="AF21" s="308"/>
      <c r="AG21" s="85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50"/>
      <c r="U22" s="150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12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20">AVERAGE(J16:J25)</f>
        <v>14.333333333333334</v>
      </c>
      <c r="K26" s="155">
        <f t="shared" si="20"/>
        <v>2250</v>
      </c>
      <c r="L26" s="158">
        <f t="shared" si="20"/>
        <v>158.32255979314803</v>
      </c>
      <c r="M26" s="155">
        <f t="shared" si="20"/>
        <v>14.333333333333334</v>
      </c>
      <c r="N26" s="155">
        <f t="shared" si="20"/>
        <v>1873.4945310343207</v>
      </c>
      <c r="O26" s="158">
        <f t="shared" si="20"/>
        <v>131.88797844568253</v>
      </c>
      <c r="P26" s="159">
        <f t="shared" ref="P26:P31" si="21">M26-J26</f>
        <v>0</v>
      </c>
      <c r="Q26" s="160">
        <f t="shared" ref="Q26:Q31" si="22">O26-L26</f>
        <v>-26.434581347465496</v>
      </c>
      <c r="R26" s="161">
        <f t="shared" ref="R26:R31" si="23">O26/L26</f>
        <v>0.83303338840653618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24">N26-K26</f>
        <v>-376.50546896567926</v>
      </c>
      <c r="AG26" s="124">
        <f t="shared" ref="AG26:AG31" si="25">N26/K26</f>
        <v>0.83266423601525363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50.67</v>
      </c>
      <c r="G27" s="169">
        <v>1169</v>
      </c>
      <c r="H27" s="134">
        <f>F27*G27</f>
        <v>59233.23</v>
      </c>
      <c r="I27" s="135"/>
      <c r="J27" s="136">
        <f>VLOOKUP(D27,產線配置圖!$A$3:$C$40,2,0)</f>
        <v>13</v>
      </c>
      <c r="K27" s="137">
        <f>VLOOKUP(D27,產線配置圖!$A$3:$C$40,3,0)</f>
        <v>1440</v>
      </c>
      <c r="L27" s="138">
        <f>K27/J27</f>
        <v>110.76923076923077</v>
      </c>
      <c r="M27" s="170">
        <v>13</v>
      </c>
      <c r="N27" s="140">
        <f>G27/W27*60</f>
        <v>1275.2727272727429</v>
      </c>
      <c r="O27" s="141">
        <f>N27/M27</f>
        <v>98.097902097903301</v>
      </c>
      <c r="P27" s="142">
        <f t="shared" si="21"/>
        <v>0</v>
      </c>
      <c r="Q27" s="143">
        <f t="shared" si="22"/>
        <v>-12.671328671327473</v>
      </c>
      <c r="R27" s="144">
        <f t="shared" si="23"/>
        <v>0.88560606060607139</v>
      </c>
      <c r="S27" s="425">
        <f>R37</f>
        <v>0.91034063678861454</v>
      </c>
      <c r="T27" s="171">
        <v>0.29166666666666702</v>
      </c>
      <c r="U27" s="171">
        <v>0.32986111111111099</v>
      </c>
      <c r="V27" s="135"/>
      <c r="W27" s="146">
        <f t="shared" si="12"/>
        <v>54.999999999999325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24"/>
        <v>-164.72727272725706</v>
      </c>
      <c r="AG27" s="172">
        <f t="shared" si="25"/>
        <v>0.8856060606060715</v>
      </c>
      <c r="AH27" s="403">
        <f>AG37</f>
        <v>0.87045049397947849</v>
      </c>
    </row>
    <row r="28" spans="1:34" ht="15" customHeight="1">
      <c r="A28" s="457"/>
      <c r="B28" s="75" t="s">
        <v>81</v>
      </c>
      <c r="C28" s="173"/>
      <c r="D28" s="59" t="s">
        <v>122</v>
      </c>
      <c r="E28" s="104"/>
      <c r="F28" s="75">
        <f>VLOOKUP(D28,廠價表!$C$1:$E$43,3,0)</f>
        <v>57.21</v>
      </c>
      <c r="G28" s="90">
        <v>1123</v>
      </c>
      <c r="H28" s="91">
        <f>F28*G28</f>
        <v>64246.83</v>
      </c>
      <c r="I28" s="92"/>
      <c r="J28" s="79">
        <f>VLOOKUP(D28,產線配置圖!$A$3:$C$40,2,0)</f>
        <v>18</v>
      </c>
      <c r="K28" s="80">
        <f>VLOOKUP(D28,產線配置圖!$A$3:$C$40,3,0)</f>
        <v>1565</v>
      </c>
      <c r="L28" s="93">
        <f>K28/J28</f>
        <v>86.944444444444443</v>
      </c>
      <c r="M28" s="94">
        <v>17</v>
      </c>
      <c r="N28" s="95">
        <f>G28/W28*60</f>
        <v>1375.1020408163561</v>
      </c>
      <c r="O28" s="96">
        <f>N28/M28</f>
        <v>80.888355342138595</v>
      </c>
      <c r="P28" s="97">
        <f t="shared" si="21"/>
        <v>-1</v>
      </c>
      <c r="Q28" s="98">
        <f t="shared" si="22"/>
        <v>-6.0560891023058474</v>
      </c>
      <c r="R28" s="99">
        <f t="shared" si="23"/>
        <v>0.930345301059741</v>
      </c>
      <c r="S28" s="426"/>
      <c r="T28" s="19">
        <v>0.33541666666666697</v>
      </c>
      <c r="U28" s="19">
        <v>0.36944444444444402</v>
      </c>
      <c r="V28" s="92">
        <f>(T28-U27)*24*60</f>
        <v>8.0000000000006111</v>
      </c>
      <c r="W28" s="149">
        <f t="shared" si="12"/>
        <v>48.999999999998948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24"/>
        <v>-189.89795918364393</v>
      </c>
      <c r="AG28" s="99">
        <f t="shared" si="25"/>
        <v>0.87865945100086651</v>
      </c>
      <c r="AH28" s="445"/>
    </row>
    <row r="29" spans="1:34" ht="15" customHeight="1">
      <c r="A29" s="457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2745</v>
      </c>
      <c r="H29" s="91">
        <f>F29*G29</f>
        <v>157041.45000000001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17</v>
      </c>
      <c r="N29" s="95">
        <f>G29/W29*60</f>
        <v>1407.6923076923078</v>
      </c>
      <c r="O29" s="96">
        <f>N29/M29</f>
        <v>82.805429864253398</v>
      </c>
      <c r="P29" s="97">
        <f t="shared" si="21"/>
        <v>-1</v>
      </c>
      <c r="Q29" s="98">
        <f t="shared" si="22"/>
        <v>-8.0834590246354878</v>
      </c>
      <c r="R29" s="99">
        <f t="shared" si="23"/>
        <v>0.9110621867705142</v>
      </c>
      <c r="S29" s="426"/>
      <c r="T29" s="19">
        <v>0.375</v>
      </c>
      <c r="U29" s="19">
        <v>0.45624999999999999</v>
      </c>
      <c r="V29" s="92">
        <f>(T29-U28)*24*60</f>
        <v>8.0000000000006111</v>
      </c>
      <c r="W29" s="149">
        <f t="shared" si="12"/>
        <v>116.99999999999999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24"/>
        <v>-228.30769230769215</v>
      </c>
      <c r="AG29" s="99">
        <f t="shared" si="25"/>
        <v>0.86044762083881898</v>
      </c>
      <c r="AH29" s="445"/>
    </row>
    <row r="30" spans="1:34" ht="15" customHeight="1">
      <c r="A30" s="457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1210</v>
      </c>
      <c r="H30" s="91">
        <f>F30*G30</f>
        <v>69224.100000000006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17</v>
      </c>
      <c r="N30" s="95">
        <f>G30/W30*60</f>
        <v>1396.1538461538125</v>
      </c>
      <c r="O30" s="96">
        <f>N30/M30</f>
        <v>82.12669683257721</v>
      </c>
      <c r="P30" s="97">
        <f t="shared" si="21"/>
        <v>-1</v>
      </c>
      <c r="Q30" s="98">
        <f t="shared" si="22"/>
        <v>-8.762192056311676</v>
      </c>
      <c r="R30" s="99">
        <f t="shared" si="23"/>
        <v>0.90359446392811116</v>
      </c>
      <c r="S30" s="426"/>
      <c r="T30" s="19">
        <v>0.51944444444444404</v>
      </c>
      <c r="U30" s="19">
        <v>0.55555555555555602</v>
      </c>
      <c r="V30" s="92">
        <f>(T30-U29)*24*60</f>
        <v>90.999999999999432</v>
      </c>
      <c r="W30" s="149">
        <f t="shared" si="12"/>
        <v>52.000000000001251</v>
      </c>
      <c r="X30" s="174"/>
      <c r="Y30" s="301"/>
      <c r="Z30" s="335"/>
      <c r="AA30" s="335"/>
      <c r="AB30" s="407"/>
      <c r="AC30" s="407"/>
      <c r="AD30" s="92"/>
      <c r="AE30" s="92"/>
      <c r="AF30" s="312">
        <f t="shared" si="24"/>
        <v>-239.84615384618746</v>
      </c>
      <c r="AG30" s="99">
        <f t="shared" si="25"/>
        <v>0.85339477148766052</v>
      </c>
      <c r="AH30" s="446"/>
    </row>
    <row r="31" spans="1:34" ht="15" customHeight="1">
      <c r="A31" s="457"/>
      <c r="B31" s="75" t="s">
        <v>81</v>
      </c>
      <c r="C31" s="88"/>
      <c r="D31" s="59" t="s">
        <v>133</v>
      </c>
      <c r="E31" s="89"/>
      <c r="F31" s="75">
        <f>VLOOKUP(D31,廠價表!$C$1:$E$43,3,0)</f>
        <v>50.289000000000001</v>
      </c>
      <c r="G31" s="90">
        <v>1852</v>
      </c>
      <c r="H31" s="91">
        <f>F31*G31</f>
        <v>93135.228000000003</v>
      </c>
      <c r="I31" s="92"/>
      <c r="J31" s="79">
        <f>VLOOKUP(D31,產線配置圖!$A$3:$C$40,2,0)</f>
        <v>18</v>
      </c>
      <c r="K31" s="80">
        <f>VLOOKUP(D31,產線配置圖!$A$3:$C$40,3,0)</f>
        <v>1565</v>
      </c>
      <c r="L31" s="93">
        <f>K31/J31</f>
        <v>86.944444444444443</v>
      </c>
      <c r="M31" s="94">
        <v>17</v>
      </c>
      <c r="N31" s="95">
        <f>G31/W31*60</f>
        <v>1371.8518518518513</v>
      </c>
      <c r="O31" s="96">
        <f>N31/M31</f>
        <v>80.697167755991245</v>
      </c>
      <c r="P31" s="97">
        <f t="shared" si="21"/>
        <v>-1</v>
      </c>
      <c r="Q31" s="98">
        <f t="shared" si="22"/>
        <v>-6.2472766884531978</v>
      </c>
      <c r="R31" s="99">
        <f t="shared" si="23"/>
        <v>0.92814633840756711</v>
      </c>
      <c r="S31" s="426"/>
      <c r="T31" s="19">
        <v>0.57777777777777795</v>
      </c>
      <c r="U31" s="19">
        <v>0.63402777777777797</v>
      </c>
      <c r="V31" s="92">
        <f>(T31-U30)*24*60</f>
        <v>31.999999999999567</v>
      </c>
      <c r="W31" s="149">
        <f t="shared" si="12"/>
        <v>81.000000000000028</v>
      </c>
      <c r="X31" s="174"/>
      <c r="Y31" s="301"/>
      <c r="Z31" s="335"/>
      <c r="AA31" s="335"/>
      <c r="AB31" s="407" t="s">
        <v>141</v>
      </c>
      <c r="AC31" s="407"/>
      <c r="AD31" s="92"/>
      <c r="AE31" s="92"/>
      <c r="AF31" s="312">
        <f t="shared" si="24"/>
        <v>-193.14814814814872</v>
      </c>
      <c r="AG31" s="99">
        <f t="shared" si="25"/>
        <v>0.8765826529404801</v>
      </c>
      <c r="AH31" s="405"/>
    </row>
    <row r="32" spans="1:34" ht="15" customHeight="1">
      <c r="A32" s="457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9"/>
      <c r="U34" s="19"/>
      <c r="V34" s="92"/>
      <c r="W34" s="149">
        <f t="shared" si="12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6">AVERAGE(J27:J36)</f>
        <v>17</v>
      </c>
      <c r="K37" s="155">
        <f t="shared" si="26"/>
        <v>1568.4</v>
      </c>
      <c r="L37" s="158">
        <f t="shared" si="26"/>
        <v>93.287179487179486</v>
      </c>
      <c r="M37" s="155">
        <f t="shared" si="26"/>
        <v>16.2</v>
      </c>
      <c r="N37" s="155">
        <f t="shared" si="26"/>
        <v>1365.2145547574141</v>
      </c>
      <c r="O37" s="158">
        <f t="shared" si="26"/>
        <v>84.923110378572758</v>
      </c>
      <c r="P37" s="159">
        <f>M37-J37</f>
        <v>-0.80000000000000071</v>
      </c>
      <c r="Q37" s="160">
        <f>N37-K37</f>
        <v>-203.18544524258596</v>
      </c>
      <c r="R37" s="161">
        <f t="shared" ref="R37:R42" si="27">O37/L37</f>
        <v>0.91034063678861454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-203.18544524258596</v>
      </c>
      <c r="AG37" s="124">
        <f>N37/K37</f>
        <v>0.87045049397947849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947</v>
      </c>
      <c r="H38" s="134">
        <f>F38*G38</f>
        <v>47264.77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1262.6666666666667</v>
      </c>
      <c r="O38" s="141">
        <f>N38/M38</f>
        <v>84.177777777777777</v>
      </c>
      <c r="P38" s="142">
        <f>M38-J38</f>
        <v>0</v>
      </c>
      <c r="Q38" s="143">
        <f>O38-L38</f>
        <v>-30.088888888888889</v>
      </c>
      <c r="R38" s="144">
        <f t="shared" si="27"/>
        <v>0.73667833527810189</v>
      </c>
      <c r="S38" s="453">
        <f>R48</f>
        <v>0.81271351837363681</v>
      </c>
      <c r="T38" s="191">
        <v>0.33333333333333298</v>
      </c>
      <c r="U38" s="191">
        <v>0.36458333333333298</v>
      </c>
      <c r="V38" s="192"/>
      <c r="W38" s="193">
        <f t="shared" si="12"/>
        <v>45</v>
      </c>
      <c r="X38" s="194"/>
      <c r="Y38" s="302"/>
      <c r="Z38" s="336"/>
      <c r="AA38" s="336"/>
      <c r="AB38" s="455" t="s">
        <v>142</v>
      </c>
      <c r="AC38" s="455"/>
      <c r="AD38" s="192"/>
      <c r="AE38" s="192"/>
      <c r="AF38" s="313">
        <f>N38-K38</f>
        <v>-451.33333333333326</v>
      </c>
      <c r="AG38" s="195">
        <f>N38/K38</f>
        <v>0.736678335278102</v>
      </c>
      <c r="AH38" s="459">
        <f>AG48</f>
        <v>0.81498158343078342</v>
      </c>
    </row>
    <row r="39" spans="1:34" ht="15" customHeight="1">
      <c r="A39" s="451"/>
      <c r="B39" s="75" t="s">
        <v>81</v>
      </c>
      <c r="C39" s="197"/>
      <c r="D39" s="198" t="s">
        <v>123</v>
      </c>
      <c r="E39" s="176"/>
      <c r="F39" s="75">
        <f>VLOOKUP(D39,廠價表!$C$1:$E$43,3,0)</f>
        <v>50.67</v>
      </c>
      <c r="G39" s="199">
        <v>395</v>
      </c>
      <c r="H39" s="91">
        <f>F39*G39</f>
        <v>20014.650000000001</v>
      </c>
      <c r="I39" s="200"/>
      <c r="J39" s="148">
        <f>VLOOKUP(D39,產線配置圖!$A$3:$C$40,2,0)</f>
        <v>13</v>
      </c>
      <c r="K39" s="95">
        <f>VLOOKUP(D39,產線配置圖!$A$3:$C$40,3,0)</f>
        <v>1440</v>
      </c>
      <c r="L39" s="96">
        <f>K39/J39</f>
        <v>110.76923076923077</v>
      </c>
      <c r="M39" s="201">
        <v>13</v>
      </c>
      <c r="N39" s="202">
        <f>G39/W39*60</f>
        <v>1077.2727272727116</v>
      </c>
      <c r="O39" s="203">
        <f>N39/M39</f>
        <v>82.867132867131659</v>
      </c>
      <c r="P39" s="97">
        <f>M39-J39</f>
        <v>0</v>
      </c>
      <c r="Q39" s="98">
        <f>O39-L39</f>
        <v>-27.902097902099115</v>
      </c>
      <c r="R39" s="99">
        <f t="shared" si="27"/>
        <v>0.74810606060604967</v>
      </c>
      <c r="S39" s="454"/>
      <c r="T39" s="20">
        <v>0.39236111111111099</v>
      </c>
      <c r="U39" s="20">
        <v>0.40763888888888899</v>
      </c>
      <c r="V39" s="92">
        <f>(T39-U38)*24*60</f>
        <v>40.000000000000341</v>
      </c>
      <c r="W39" s="205">
        <f t="shared" si="12"/>
        <v>22.00000000000032</v>
      </c>
      <c r="X39" s="22"/>
      <c r="Y39" s="84"/>
      <c r="Z39" s="90"/>
      <c r="AA39" s="90"/>
      <c r="AB39" s="462" t="s">
        <v>140</v>
      </c>
      <c r="AC39" s="462"/>
      <c r="AD39" s="200"/>
      <c r="AE39" s="200"/>
      <c r="AF39" s="314">
        <f>N39-K39</f>
        <v>-362.72727272728844</v>
      </c>
      <c r="AG39" s="206">
        <f>N39/K39</f>
        <v>0.74810606060604967</v>
      </c>
      <c r="AH39" s="460"/>
    </row>
    <row r="40" spans="1:34" ht="15" customHeight="1">
      <c r="A40" s="451"/>
      <c r="B40" s="75" t="s">
        <v>128</v>
      </c>
      <c r="C40" s="207"/>
      <c r="D40" s="198" t="s">
        <v>129</v>
      </c>
      <c r="E40" s="178"/>
      <c r="F40" s="75">
        <f>VLOOKUP(D40,廠價表!$C$1:$E$43,3,0)</f>
        <v>49.91</v>
      </c>
      <c r="G40" s="199">
        <v>1173</v>
      </c>
      <c r="H40" s="91">
        <f>F40*G40</f>
        <v>58544.429999999993</v>
      </c>
      <c r="I40" s="200"/>
      <c r="J40" s="148">
        <f>VLOOKUP(D40,產線配置圖!$A$3:$C$40,2,0)</f>
        <v>15</v>
      </c>
      <c r="K40" s="95">
        <f>VLOOKUP(D40,產線配置圖!$A$3:$C$40,3,0)</f>
        <v>1714</v>
      </c>
      <c r="L40" s="96">
        <f>K40/J40</f>
        <v>114.26666666666667</v>
      </c>
      <c r="M40" s="201">
        <v>15</v>
      </c>
      <c r="N40" s="202">
        <f>G40/W40*60</f>
        <v>1599.5454545454834</v>
      </c>
      <c r="O40" s="203">
        <f>N40/M40</f>
        <v>106.63636363636556</v>
      </c>
      <c r="P40" s="97">
        <f>M40-J40</f>
        <v>0</v>
      </c>
      <c r="Q40" s="98">
        <f>O40-L40</f>
        <v>-7.630303030301107</v>
      </c>
      <c r="R40" s="99">
        <f t="shared" si="27"/>
        <v>0.93322371910471613</v>
      </c>
      <c r="S40" s="440"/>
      <c r="T40" s="20">
        <v>0.41388888888888897</v>
      </c>
      <c r="U40" s="20">
        <v>0.44444444444444398</v>
      </c>
      <c r="V40" s="92">
        <f>(T40-U39)*24*60</f>
        <v>8.999999999999968</v>
      </c>
      <c r="W40" s="205">
        <f t="shared" si="12"/>
        <v>43.999999999999204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-114.45454545451662</v>
      </c>
      <c r="AG40" s="206">
        <f>N40/K40</f>
        <v>0.93322371910471613</v>
      </c>
      <c r="AH40" s="460"/>
    </row>
    <row r="41" spans="1:34" ht="15" customHeight="1">
      <c r="A41" s="451"/>
      <c r="B41" s="75" t="s">
        <v>128</v>
      </c>
      <c r="C41" s="207"/>
      <c r="D41" s="198" t="s">
        <v>130</v>
      </c>
      <c r="E41" s="178"/>
      <c r="F41" s="75">
        <f>VLOOKUP(D41,廠價表!$C$1:$E$43,3,0)</f>
        <v>44.3</v>
      </c>
      <c r="G41" s="199">
        <v>1966</v>
      </c>
      <c r="H41" s="91">
        <f>F41*G41</f>
        <v>87093.799999999988</v>
      </c>
      <c r="I41" s="200"/>
      <c r="J41" s="148">
        <f>VLOOKUP(D41,產線配置圖!$A$3:$C$40,2,0)</f>
        <v>17</v>
      </c>
      <c r="K41" s="95">
        <f>VLOOKUP(D41,產線配置圖!$A$3:$C$40,3,0)</f>
        <v>1636</v>
      </c>
      <c r="L41" s="96">
        <f>K41/J41</f>
        <v>96.235294117647058</v>
      </c>
      <c r="M41" s="201">
        <v>17</v>
      </c>
      <c r="N41" s="202">
        <f>G41/W41*60</f>
        <v>1340.4545454545491</v>
      </c>
      <c r="O41" s="203">
        <f>N41/M41</f>
        <v>78.850267379679366</v>
      </c>
      <c r="P41" s="97">
        <f>M41-J41</f>
        <v>0</v>
      </c>
      <c r="Q41" s="98">
        <f>O41-L41</f>
        <v>-17.385026737967692</v>
      </c>
      <c r="R41" s="99">
        <f t="shared" si="27"/>
        <v>0.8193487441653724</v>
      </c>
      <c r="S41" s="440"/>
      <c r="T41" s="20">
        <v>0.45138888888888901</v>
      </c>
      <c r="U41" s="210">
        <v>0.51249999999999996</v>
      </c>
      <c r="V41" s="92">
        <f t="shared" ref="V41:V42" si="28">(T41-U40)*24*60</f>
        <v>10.000000000000844</v>
      </c>
      <c r="W41" s="205">
        <f t="shared" si="12"/>
        <v>87.999999999999773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-295.54545454545087</v>
      </c>
      <c r="AG41" s="206">
        <f>N41/K41</f>
        <v>0.81934874416537229</v>
      </c>
      <c r="AH41" s="460"/>
    </row>
    <row r="42" spans="1:34" ht="15" customHeight="1">
      <c r="A42" s="451"/>
      <c r="B42" s="75" t="s">
        <v>128</v>
      </c>
      <c r="C42" s="102"/>
      <c r="D42" s="198" t="s">
        <v>130</v>
      </c>
      <c r="E42" s="104"/>
      <c r="F42" s="75">
        <f>VLOOKUP(D42,廠價表!$C$1:$E$43,3,0)</f>
        <v>44.3</v>
      </c>
      <c r="G42" s="202">
        <v>4220</v>
      </c>
      <c r="H42" s="91">
        <f>F42*G42</f>
        <v>186946</v>
      </c>
      <c r="I42" s="200"/>
      <c r="J42" s="148">
        <f>VLOOKUP(D42,產線配置圖!$A$3:$C$40,2,0)</f>
        <v>17</v>
      </c>
      <c r="K42" s="95">
        <f>VLOOKUP(D42,產線配置圖!$A$3:$C$40,3,0)</f>
        <v>1636</v>
      </c>
      <c r="L42" s="96">
        <f>K42/J42</f>
        <v>96.235294117647058</v>
      </c>
      <c r="M42" s="201">
        <v>17</v>
      </c>
      <c r="N42" s="202">
        <f>G42/W42*60</f>
        <v>1354.010695187166</v>
      </c>
      <c r="O42" s="203">
        <f>N42/M42</f>
        <v>79.647687952186232</v>
      </c>
      <c r="P42" s="97">
        <f>M42-J42</f>
        <v>0</v>
      </c>
      <c r="Q42" s="98">
        <f>O42-L42</f>
        <v>-16.587606165460826</v>
      </c>
      <c r="R42" s="99">
        <f t="shared" si="27"/>
        <v>0.82763489925865885</v>
      </c>
      <c r="S42" s="440"/>
      <c r="T42" s="210">
        <v>0.57499999999999996</v>
      </c>
      <c r="U42" s="210">
        <v>0.70486111111111105</v>
      </c>
      <c r="V42" s="92">
        <f t="shared" si="28"/>
        <v>90</v>
      </c>
      <c r="W42" s="205">
        <f t="shared" si="12"/>
        <v>186.99999999999997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9">AVERAGE(J38:J47)</f>
        <v>15.4</v>
      </c>
      <c r="K48" s="155">
        <f t="shared" si="29"/>
        <v>1628</v>
      </c>
      <c r="L48" s="158">
        <f t="shared" si="29"/>
        <v>106.35463046757164</v>
      </c>
      <c r="M48" s="155">
        <f t="shared" si="29"/>
        <v>15.4</v>
      </c>
      <c r="N48" s="155">
        <f t="shared" si="29"/>
        <v>1326.7900178253153</v>
      </c>
      <c r="O48" s="158">
        <f t="shared" si="29"/>
        <v>86.435845922628133</v>
      </c>
      <c r="P48" s="221">
        <f>M48-J48</f>
        <v>0</v>
      </c>
      <c r="Q48" s="222">
        <f>N48-K48</f>
        <v>-301.20998217468468</v>
      </c>
      <c r="R48" s="223">
        <f>O48/L48</f>
        <v>0.81271351837363681</v>
      </c>
      <c r="S48" s="443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30">N48-K48</f>
        <v>-301.20998217468468</v>
      </c>
      <c r="AG48" s="162">
        <f t="shared" ref="AG48:AG53" si="31">N48/K48</f>
        <v>0.81498158343078342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2297</v>
      </c>
      <c r="H49" s="134">
        <f>F49*G49</f>
        <v>113747.44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1548.5393258427105</v>
      </c>
      <c r="O49" s="141">
        <f>N49/M49</f>
        <v>91.090548578982975</v>
      </c>
      <c r="P49" s="229">
        <f>M49-J49</f>
        <v>0</v>
      </c>
      <c r="Q49" s="230">
        <f>O49-L49</f>
        <v>-14.791804362193488</v>
      </c>
      <c r="R49" s="52">
        <f>O49/L49</f>
        <v>0.86029962546817262</v>
      </c>
      <c r="S49" s="439">
        <f>R58</f>
        <v>0.85293764486940515</v>
      </c>
      <c r="T49" s="191">
        <v>0.29166666666666702</v>
      </c>
      <c r="U49" s="191">
        <v>0.35347222222222202</v>
      </c>
      <c r="V49" s="55"/>
      <c r="W49" s="193">
        <f t="shared" si="12"/>
        <v>88.999999999999204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30"/>
        <v>-251.46067415728953</v>
      </c>
      <c r="AG49" s="52">
        <f t="shared" si="31"/>
        <v>0.86029962546817251</v>
      </c>
      <c r="AH49" s="403">
        <f>AG58</f>
        <v>0.831620501036483</v>
      </c>
    </row>
    <row r="50" spans="1:34" ht="15" customHeight="1">
      <c r="A50" s="469"/>
      <c r="B50" s="75" t="s">
        <v>81</v>
      </c>
      <c r="C50" s="76"/>
      <c r="D50" s="59" t="s">
        <v>132</v>
      </c>
      <c r="E50" s="77"/>
      <c r="F50" s="75">
        <f>VLOOKUP(D50,廠價表!$C$1:$E$43,3,0)</f>
        <v>49.97</v>
      </c>
      <c r="G50" s="202">
        <v>2627</v>
      </c>
      <c r="H50" s="231">
        <f>F50*G50</f>
        <v>131271.19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15</v>
      </c>
      <c r="N50" s="234">
        <f>G50/W50*60</f>
        <v>1515.5769230769272</v>
      </c>
      <c r="O50" s="235">
        <f>N50/M50</f>
        <v>101.03846153846182</v>
      </c>
      <c r="P50" s="74">
        <f>M50-J50</f>
        <v>-1</v>
      </c>
      <c r="Q50" s="83">
        <f>O50-L50</f>
        <v>-11.461538461538183</v>
      </c>
      <c r="R50" s="72">
        <f>O50/L50</f>
        <v>0.89811965811966055</v>
      </c>
      <c r="S50" s="440"/>
      <c r="T50" s="21">
        <v>0.359722222222222</v>
      </c>
      <c r="U50" s="21">
        <v>0.43194444444444402</v>
      </c>
      <c r="V50" s="30">
        <f>(T50-U49)*24*60</f>
        <v>8.999999999999968</v>
      </c>
      <c r="W50" s="236">
        <f t="shared" si="12"/>
        <v>103.99999999999972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30"/>
        <v>-284.42307692307281</v>
      </c>
      <c r="AG50" s="72">
        <f t="shared" si="31"/>
        <v>0.84198717948718182</v>
      </c>
      <c r="AH50" s="404"/>
    </row>
    <row r="51" spans="1:34" ht="15" customHeight="1">
      <c r="A51" s="469"/>
      <c r="B51" s="75" t="s">
        <v>81</v>
      </c>
      <c r="C51" s="76"/>
      <c r="D51" s="59" t="s">
        <v>133</v>
      </c>
      <c r="E51" s="77"/>
      <c r="F51" s="75">
        <f>VLOOKUP(D51,廠價表!$C$1:$E$43,3,0)</f>
        <v>50.289000000000001</v>
      </c>
      <c r="G51" s="202">
        <v>727</v>
      </c>
      <c r="H51" s="231">
        <f>F51*G51</f>
        <v>36560.103000000003</v>
      </c>
      <c r="I51" s="232"/>
      <c r="J51" s="79">
        <f>VLOOKUP(D51,產線配置圖!$A$3:$C$40,2,0)</f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1178.9189189188928</v>
      </c>
      <c r="O51" s="235">
        <f>N51/M51</f>
        <v>65.49549549549404</v>
      </c>
      <c r="P51" s="74">
        <f>M51-J51</f>
        <v>0</v>
      </c>
      <c r="Q51" s="83">
        <f>O51-L51</f>
        <v>-21.448948948950402</v>
      </c>
      <c r="R51" s="72">
        <f>O51/L51</f>
        <v>0.75330282359034684</v>
      </c>
      <c r="S51" s="440"/>
      <c r="T51" s="21">
        <v>0.43958333333333299</v>
      </c>
      <c r="U51" s="19">
        <v>0.46527777777777801</v>
      </c>
      <c r="V51" s="30">
        <f>(T51-U50)*24*60</f>
        <v>11.000000000000121</v>
      </c>
      <c r="W51" s="236">
        <f t="shared" si="12"/>
        <v>37.000000000000824</v>
      </c>
      <c r="X51" s="22"/>
      <c r="Y51" s="84"/>
      <c r="Z51" s="90"/>
      <c r="AA51" s="90"/>
      <c r="AB51" s="407" t="s">
        <v>140</v>
      </c>
      <c r="AC51" s="407"/>
      <c r="AD51" s="92"/>
      <c r="AE51" s="92"/>
      <c r="AF51" s="307">
        <f t="shared" si="30"/>
        <v>-386.08108108110719</v>
      </c>
      <c r="AG51" s="72">
        <f t="shared" si="31"/>
        <v>0.75330282359034684</v>
      </c>
      <c r="AH51" s="404"/>
    </row>
    <row r="52" spans="1:34" ht="15" customHeight="1">
      <c r="A52" s="469"/>
      <c r="B52" s="75" t="s">
        <v>81</v>
      </c>
      <c r="C52" s="86"/>
      <c r="D52" s="59" t="s">
        <v>133</v>
      </c>
      <c r="E52" s="87"/>
      <c r="F52" s="75">
        <f>VLOOKUP(D52,廠價表!$C$1:$E$43,3,0)</f>
        <v>50.289000000000001</v>
      </c>
      <c r="G52" s="202">
        <v>807</v>
      </c>
      <c r="H52" s="231">
        <f t="shared" ref="H52:H54" si="32">F52*G52</f>
        <v>40583.222999999998</v>
      </c>
      <c r="I52" s="232"/>
      <c r="J52" s="79">
        <f>VLOOKUP(D52,產線配置圖!$A$3:$C$40,2,0)</f>
        <v>18</v>
      </c>
      <c r="K52" s="80">
        <f>VLOOKUP(D52,產線配置圖!$A$3:$C$40,3,0)</f>
        <v>1565</v>
      </c>
      <c r="L52" s="81">
        <f t="shared" ref="L52:L54" si="33">K52/J52</f>
        <v>86.944444444444443</v>
      </c>
      <c r="M52" s="233">
        <v>18</v>
      </c>
      <c r="N52" s="234">
        <f t="shared" ref="N52:N54" si="34">G52/W52*60</f>
        <v>1345.0000000000048</v>
      </c>
      <c r="O52" s="235">
        <f t="shared" ref="O52:O54" si="35">N52/M52</f>
        <v>74.722222222222484</v>
      </c>
      <c r="P52" s="74">
        <f t="shared" ref="P52:P54" si="36">M52-J52</f>
        <v>0</v>
      </c>
      <c r="Q52" s="83">
        <f t="shared" ref="Q52:Q54" si="37">O52-L52</f>
        <v>-12.222222222221959</v>
      </c>
      <c r="R52" s="72">
        <f t="shared" ref="R52:R54" si="38">O52/L52</f>
        <v>0.85942492012779859</v>
      </c>
      <c r="S52" s="440"/>
      <c r="T52" s="21">
        <v>0.51736111111111105</v>
      </c>
      <c r="U52" s="21">
        <v>0.54236111111111096</v>
      </c>
      <c r="V52" s="30">
        <f>(T52-U51)*24*60</f>
        <v>74.999999999999574</v>
      </c>
      <c r="W52" s="236">
        <f t="shared" si="12"/>
        <v>35.999999999999872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30"/>
        <v>-219.99999999999523</v>
      </c>
      <c r="AG52" s="72">
        <f t="shared" si="31"/>
        <v>0.85942492012779859</v>
      </c>
      <c r="AH52" s="404"/>
    </row>
    <row r="53" spans="1:34" ht="15" customHeight="1">
      <c r="A53" s="469"/>
      <c r="B53" s="101" t="s">
        <v>81</v>
      </c>
      <c r="C53" s="102"/>
      <c r="D53" s="103" t="s">
        <v>132</v>
      </c>
      <c r="E53" s="104"/>
      <c r="F53" s="75">
        <f>VLOOKUP(D53,廠價表!$C$1:$E$43,3,0)</f>
        <v>49.97</v>
      </c>
      <c r="G53" s="202">
        <v>3250</v>
      </c>
      <c r="H53" s="231">
        <f t="shared" si="32"/>
        <v>162402.5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33"/>
        <v>112.5</v>
      </c>
      <c r="M53" s="108">
        <v>16</v>
      </c>
      <c r="N53" s="234">
        <f t="shared" si="34"/>
        <v>1535.4330708661337</v>
      </c>
      <c r="O53" s="235">
        <f t="shared" si="35"/>
        <v>95.964566929133355</v>
      </c>
      <c r="P53" s="74">
        <f t="shared" si="36"/>
        <v>0</v>
      </c>
      <c r="Q53" s="83">
        <f t="shared" si="37"/>
        <v>-16.535433070866645</v>
      </c>
      <c r="R53" s="72">
        <f t="shared" si="38"/>
        <v>0.85301837270340763</v>
      </c>
      <c r="S53" s="440"/>
      <c r="T53" s="21">
        <v>0.54722222222222205</v>
      </c>
      <c r="U53" s="21">
        <v>0.63541666666666696</v>
      </c>
      <c r="V53" s="30">
        <f t="shared" ref="V53:V54" si="39">(T53-U52)*24*60</f>
        <v>6.9999999999999751</v>
      </c>
      <c r="W53" s="236">
        <f t="shared" si="12"/>
        <v>127.00000000000067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30"/>
        <v>-264.56692913386632</v>
      </c>
      <c r="AG53" s="72">
        <f t="shared" si="31"/>
        <v>0.85301837270340763</v>
      </c>
      <c r="AH53" s="404"/>
    </row>
    <row r="54" spans="1:34" ht="15" customHeight="1">
      <c r="A54" s="469"/>
      <c r="B54" s="101" t="s">
        <v>128</v>
      </c>
      <c r="C54" s="102"/>
      <c r="D54" s="103" t="s">
        <v>129</v>
      </c>
      <c r="E54" s="104"/>
      <c r="F54" s="75">
        <f>VLOOKUP(D54,廠價表!$C$1:$E$43,3,0)</f>
        <v>49.91</v>
      </c>
      <c r="G54" s="202">
        <v>1070</v>
      </c>
      <c r="H54" s="231">
        <f t="shared" si="32"/>
        <v>53403.7</v>
      </c>
      <c r="I54" s="232"/>
      <c r="J54" s="79">
        <f>VLOOKUP(D54,產線配置圖!$A$3:$C$40,2,0)</f>
        <v>15</v>
      </c>
      <c r="K54" s="80">
        <f>VLOOKUP(D54,產線配置圖!$A$3:$C$40,3,0)</f>
        <v>1714</v>
      </c>
      <c r="L54" s="81">
        <f t="shared" si="33"/>
        <v>114.26666666666667</v>
      </c>
      <c r="M54" s="108">
        <v>14</v>
      </c>
      <c r="N54" s="234">
        <f t="shared" si="34"/>
        <v>1395.6521739130628</v>
      </c>
      <c r="O54" s="235">
        <f t="shared" si="35"/>
        <v>99.6894409937902</v>
      </c>
      <c r="P54" s="74">
        <f t="shared" si="36"/>
        <v>-1</v>
      </c>
      <c r="Q54" s="83">
        <f t="shared" si="37"/>
        <v>-14.577225672876466</v>
      </c>
      <c r="R54" s="72">
        <f t="shared" si="38"/>
        <v>0.87242801336455833</v>
      </c>
      <c r="S54" s="440"/>
      <c r="T54" s="21">
        <v>0.64305555555555605</v>
      </c>
      <c r="U54" s="21">
        <v>0.67500000000000004</v>
      </c>
      <c r="V54" s="30">
        <f t="shared" si="39"/>
        <v>11.000000000000281</v>
      </c>
      <c r="W54" s="236">
        <f t="shared" si="12"/>
        <v>45.999999999999361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40">AVERAGE(J49:J57)</f>
        <v>16.666666666666668</v>
      </c>
      <c r="K58" s="120">
        <f t="shared" si="40"/>
        <v>1707.3333333333333</v>
      </c>
      <c r="L58" s="117">
        <f t="shared" si="40"/>
        <v>103.17298474945534</v>
      </c>
      <c r="M58" s="120">
        <f t="shared" si="40"/>
        <v>16.333333333333332</v>
      </c>
      <c r="N58" s="120">
        <f t="shared" si="40"/>
        <v>1419.8534021029552</v>
      </c>
      <c r="O58" s="117">
        <f t="shared" si="40"/>
        <v>88.00012262634749</v>
      </c>
      <c r="P58" s="121">
        <f>M58-J58</f>
        <v>-0.3333333333333357</v>
      </c>
      <c r="Q58" s="122">
        <f>N58-K58</f>
        <v>-287.47993123037804</v>
      </c>
      <c r="R58" s="123">
        <f>O58/L58</f>
        <v>0.85293764486940515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-287.47993123037804</v>
      </c>
      <c r="AG58" s="124">
        <f>N58/K58</f>
        <v>0.831620501036483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2359</v>
      </c>
      <c r="H59" s="243">
        <f>F59*G59</f>
        <v>63669.409999999996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1415.4000000000096</v>
      </c>
      <c r="O59" s="138">
        <f>N59/M59</f>
        <v>94.360000000000639</v>
      </c>
      <c r="P59" s="56">
        <f>M59-J59</f>
        <v>0</v>
      </c>
      <c r="Q59" s="230">
        <f>O59-L59</f>
        <v>-9.9733333333326897</v>
      </c>
      <c r="R59" s="52">
        <f>O59/L59</f>
        <v>0.90440894568690711</v>
      </c>
      <c r="S59" s="439">
        <f>R69</f>
        <v>0.88739164000769311</v>
      </c>
      <c r="T59" s="245">
        <v>0.29166666666666702</v>
      </c>
      <c r="U59" s="245">
        <v>0.36111111111111099</v>
      </c>
      <c r="V59" s="55"/>
      <c r="W59" s="54">
        <f t="shared" si="12"/>
        <v>99.999999999999318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-149.59999999999036</v>
      </c>
      <c r="AG59" s="246">
        <f>N59/K59</f>
        <v>0.90440894568690711</v>
      </c>
      <c r="AH59" s="403">
        <f>AG69</f>
        <v>0.8751688149535477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2148</v>
      </c>
      <c r="H60" s="78">
        <f>F60*G60</f>
        <v>60702.48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1481.3793103448452</v>
      </c>
      <c r="O60" s="81">
        <f>N60/M60</f>
        <v>123.44827586207043</v>
      </c>
      <c r="P60" s="74">
        <f>M60-J60</f>
        <v>0</v>
      </c>
      <c r="Q60" s="83">
        <f>O60-L60</f>
        <v>-6.9683908045962255</v>
      </c>
      <c r="R60" s="72">
        <f>O60/L60</f>
        <v>0.94656824942162643</v>
      </c>
      <c r="S60" s="467"/>
      <c r="T60" s="22">
        <v>0.36805555555555602</v>
      </c>
      <c r="U60" s="22">
        <v>0.42847222222222198</v>
      </c>
      <c r="V60" s="30">
        <f>(T60-U59)*24*60</f>
        <v>10.000000000000844</v>
      </c>
      <c r="W60" s="248">
        <f t="shared" si="12"/>
        <v>86.999999999998977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-83.62068965515482</v>
      </c>
      <c r="AG60" s="249">
        <f>N60/K60</f>
        <v>0.94656824942162632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1998</v>
      </c>
      <c r="H61" s="254">
        <f>F61*G61</f>
        <v>56463.48</v>
      </c>
      <c r="I61" s="182"/>
      <c r="J61" s="106">
        <f>VLOOKUP(D61,產線配置圖!$A$3:$C$40,2,0)</f>
        <v>11</v>
      </c>
      <c r="K61" s="107">
        <f>VLOOKUP(D61,產線配置圖!$A$3:$C$40,3,0)</f>
        <v>1565</v>
      </c>
      <c r="L61" s="238">
        <f>K61/J61</f>
        <v>142.27272727272728</v>
      </c>
      <c r="M61" s="108">
        <v>11</v>
      </c>
      <c r="N61" s="107">
        <f>G61/W61*60</f>
        <v>1332</v>
      </c>
      <c r="O61" s="238">
        <f>N61/M61</f>
        <v>121.09090909090909</v>
      </c>
      <c r="P61" s="111">
        <f>M61-J61</f>
        <v>0</v>
      </c>
      <c r="Q61" s="255">
        <f>O61-L61</f>
        <v>-21.181818181818187</v>
      </c>
      <c r="R61" s="85">
        <f>O61/L61</f>
        <v>0.85111821086261974</v>
      </c>
      <c r="S61" s="440"/>
      <c r="T61" s="22">
        <v>0.43541666666666701</v>
      </c>
      <c r="U61" s="22">
        <v>0.49791666666666701</v>
      </c>
      <c r="V61" s="30">
        <f>(T61-U60)*24*60</f>
        <v>10.000000000000844</v>
      </c>
      <c r="W61" s="256">
        <f t="shared" si="12"/>
        <v>90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-233</v>
      </c>
      <c r="AG61" s="247">
        <f>N61/K61</f>
        <v>0.85111821086261985</v>
      </c>
      <c r="AH61" s="404"/>
    </row>
    <row r="62" spans="1:34" ht="15" customHeight="1">
      <c r="A62" s="465"/>
      <c r="B62" s="250" t="s">
        <v>125</v>
      </c>
      <c r="C62" s="251"/>
      <c r="D62" s="257" t="s">
        <v>126</v>
      </c>
      <c r="E62" s="253"/>
      <c r="F62" s="250">
        <f>VLOOKUP(D62,廠價表!$C$1:$E$43,3,0)</f>
        <v>28.26</v>
      </c>
      <c r="G62" s="38">
        <v>2110</v>
      </c>
      <c r="H62" s="254">
        <f t="shared" ref="H62:H63" si="41">F62*G62</f>
        <v>59628.600000000006</v>
      </c>
      <c r="I62" s="182"/>
      <c r="J62" s="106">
        <f>VLOOKUP(D62,產線配置圖!$A$3:$C$40,2,0)</f>
        <v>11</v>
      </c>
      <c r="K62" s="107">
        <f>VLOOKUP(D62,產線配置圖!$A$3:$C$40,3,0)</f>
        <v>1565</v>
      </c>
      <c r="L62" s="238">
        <f t="shared" ref="L62:L63" si="42">K62/J62</f>
        <v>142.27272727272728</v>
      </c>
      <c r="M62" s="108">
        <v>11</v>
      </c>
      <c r="N62" s="107">
        <f t="shared" ref="N62:N63" si="43">G62/W62*60</f>
        <v>1406.6666666666665</v>
      </c>
      <c r="O62" s="238">
        <f t="shared" ref="O62:O63" si="44">N62/M62</f>
        <v>127.87878787878786</v>
      </c>
      <c r="P62" s="111">
        <f t="shared" ref="P62:P63" si="45">M62-J62</f>
        <v>0</v>
      </c>
      <c r="Q62" s="255">
        <f t="shared" ref="Q62:Q63" si="46">O62-L62</f>
        <v>-14.393939393939419</v>
      </c>
      <c r="R62" s="85">
        <f t="shared" ref="R62:R63" si="47">O62/L62</f>
        <v>0.8988285410010648</v>
      </c>
      <c r="S62" s="440"/>
      <c r="T62" s="22">
        <v>0.55555555555555602</v>
      </c>
      <c r="U62" s="22">
        <v>0.61805555555555602</v>
      </c>
      <c r="V62" s="30">
        <f>(T62-U61)*24*60</f>
        <v>83.000000000000185</v>
      </c>
      <c r="W62" s="248">
        <f t="shared" si="12"/>
        <v>90</v>
      </c>
      <c r="X62" s="22"/>
      <c r="Y62" s="84"/>
      <c r="Z62" s="90"/>
      <c r="AA62" s="90"/>
      <c r="AB62" s="407"/>
      <c r="AC62" s="407"/>
      <c r="AD62" s="92"/>
      <c r="AE62" s="92"/>
      <c r="AF62" s="317">
        <f>N62-K62</f>
        <v>-158.33333333333348</v>
      </c>
      <c r="AG62" s="247">
        <f>N62/K62</f>
        <v>0.89882854100106491</v>
      </c>
      <c r="AH62" s="404"/>
    </row>
    <row r="63" spans="1:34" ht="15" customHeight="1">
      <c r="A63" s="465"/>
      <c r="B63" s="258" t="s">
        <v>125</v>
      </c>
      <c r="C63" s="58"/>
      <c r="D63" s="259" t="s">
        <v>134</v>
      </c>
      <c r="E63" s="60"/>
      <c r="F63" s="250">
        <f>VLOOKUP(D63,廠價表!$C$1:$E$43,3,0)</f>
        <v>26.99</v>
      </c>
      <c r="G63" s="260">
        <v>1617</v>
      </c>
      <c r="H63" s="254">
        <f t="shared" si="41"/>
        <v>43642.829999999994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42"/>
        <v>104.33333333333333</v>
      </c>
      <c r="M63" s="68">
        <v>14</v>
      </c>
      <c r="N63" s="107">
        <f t="shared" si="43"/>
        <v>1212.7499999999898</v>
      </c>
      <c r="O63" s="238">
        <f t="shared" si="44"/>
        <v>86.624999999999275</v>
      </c>
      <c r="P63" s="111">
        <f t="shared" si="45"/>
        <v>-1</v>
      </c>
      <c r="Q63" s="255">
        <f t="shared" si="46"/>
        <v>-17.708333333334053</v>
      </c>
      <c r="R63" s="85">
        <f t="shared" si="47"/>
        <v>0.83027156549520076</v>
      </c>
      <c r="S63" s="440"/>
      <c r="T63" s="22">
        <v>0.625</v>
      </c>
      <c r="U63" s="22">
        <v>0.68055555555555602</v>
      </c>
      <c r="V63" s="30">
        <f>(T63-U62)*24*60</f>
        <v>9.999999999999325</v>
      </c>
      <c r="W63" s="248">
        <f t="shared" si="12"/>
        <v>80.000000000000682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48">AVERAGE(J59:J68)</f>
        <v>12.8</v>
      </c>
      <c r="K69" s="240">
        <f t="shared" si="48"/>
        <v>1565</v>
      </c>
      <c r="L69" s="268">
        <f t="shared" si="48"/>
        <v>124.72575757575757</v>
      </c>
      <c r="M69" s="240">
        <f t="shared" si="48"/>
        <v>12.6</v>
      </c>
      <c r="N69" s="240">
        <f t="shared" si="48"/>
        <v>1369.6391954023022</v>
      </c>
      <c r="O69" s="268">
        <f t="shared" si="48"/>
        <v>110.68059456635346</v>
      </c>
      <c r="P69" s="269">
        <f>M69-J69</f>
        <v>-0.20000000000000107</v>
      </c>
      <c r="Q69" s="222">
        <f>N69-K69</f>
        <v>-195.36080459769778</v>
      </c>
      <c r="R69" s="123">
        <f>O69/L69</f>
        <v>0.88739164000769311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-195.36080459769778</v>
      </c>
      <c r="AG69" s="124">
        <f>N69/K69</f>
        <v>0.8751688149535477</v>
      </c>
      <c r="AH69" s="406"/>
    </row>
    <row r="70" spans="1:36" ht="15" customHeight="1">
      <c r="A70" s="471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39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/>
      <c r="D79" s="430"/>
      <c r="E79" s="430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W3:W4"/>
    <mergeCell ref="X3:Y3"/>
    <mergeCell ref="R3:R4"/>
    <mergeCell ref="T3:U3"/>
    <mergeCell ref="V3:V4"/>
    <mergeCell ref="AB3:AC4"/>
    <mergeCell ref="AF1:AH2"/>
    <mergeCell ref="AH3:AH4"/>
    <mergeCell ref="AD3:AE3"/>
    <mergeCell ref="AF3:AF4"/>
    <mergeCell ref="AG3:AG4"/>
    <mergeCell ref="A5:A15"/>
    <mergeCell ref="S5:S15"/>
    <mergeCell ref="D15:E15"/>
    <mergeCell ref="AB5:AC5"/>
    <mergeCell ref="A2:B2"/>
    <mergeCell ref="A3:A4"/>
    <mergeCell ref="B3:B4"/>
    <mergeCell ref="D3:E4"/>
    <mergeCell ref="F3:F4"/>
    <mergeCell ref="P3:P4"/>
    <mergeCell ref="Q3:Q4"/>
    <mergeCell ref="N3:N4"/>
    <mergeCell ref="AB1:AC2"/>
    <mergeCell ref="O3:O4"/>
    <mergeCell ref="Z3:AA3"/>
    <mergeCell ref="AB15:AC15"/>
    <mergeCell ref="AH5:AH15"/>
    <mergeCell ref="G3:G4"/>
    <mergeCell ref="AB14:AC14"/>
    <mergeCell ref="AB13:AC13"/>
    <mergeCell ref="AB6:AC6"/>
    <mergeCell ref="AB7:AC7"/>
    <mergeCell ref="AB8:AC8"/>
    <mergeCell ref="AB9:AC9"/>
    <mergeCell ref="AB10:AC10"/>
    <mergeCell ref="AB11:AC11"/>
    <mergeCell ref="AB12:AC12"/>
    <mergeCell ref="AH16:AH26"/>
    <mergeCell ref="AB17:AC17"/>
    <mergeCell ref="AB18:AC18"/>
    <mergeCell ref="AB19:AC19"/>
    <mergeCell ref="AB20:AC20"/>
    <mergeCell ref="AB26:AC26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21:AC21"/>
    <mergeCell ref="AB22:AC22"/>
    <mergeCell ref="AB23:AC23"/>
    <mergeCell ref="AB24:AC24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27:A37"/>
    <mergeCell ref="S27:S37"/>
    <mergeCell ref="AB27:AC27"/>
    <mergeCell ref="D37:E37"/>
    <mergeCell ref="S16:S26"/>
    <mergeCell ref="AB16:AC16"/>
    <mergeCell ref="D26:E26"/>
    <mergeCell ref="A16:A26"/>
    <mergeCell ref="A49:A58"/>
    <mergeCell ref="S49:S58"/>
    <mergeCell ref="AB49:AC49"/>
    <mergeCell ref="A38:A48"/>
    <mergeCell ref="S38:S48"/>
    <mergeCell ref="AB38:AC38"/>
    <mergeCell ref="D48:E48"/>
    <mergeCell ref="AB48:AC48"/>
    <mergeCell ref="AB39:AC39"/>
    <mergeCell ref="AB41:AC41"/>
    <mergeCell ref="AB47:AC47"/>
    <mergeCell ref="AB40:AC40"/>
    <mergeCell ref="D58:E58"/>
    <mergeCell ref="A59:A69"/>
    <mergeCell ref="S59:S69"/>
    <mergeCell ref="AB59:AC59"/>
    <mergeCell ref="D69:E69"/>
    <mergeCell ref="AB69:AC69"/>
    <mergeCell ref="AB62:AC62"/>
    <mergeCell ref="AB63:AC63"/>
    <mergeCell ref="AB64:AC64"/>
    <mergeCell ref="AB65:AC65"/>
    <mergeCell ref="AB67:AC67"/>
    <mergeCell ref="AB68:AC68"/>
    <mergeCell ref="A70:A79"/>
    <mergeCell ref="S70:S79"/>
    <mergeCell ref="AB70:AC70"/>
    <mergeCell ref="AH59:AH69"/>
    <mergeCell ref="AB66:AC66"/>
    <mergeCell ref="AH38:AH48"/>
    <mergeCell ref="AB42:AC42"/>
    <mergeCell ref="AB43:AC43"/>
    <mergeCell ref="AB44:AC44"/>
    <mergeCell ref="AB45:AC45"/>
    <mergeCell ref="AB46:AC46"/>
    <mergeCell ref="D79:E79"/>
    <mergeCell ref="AB79:AC7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60:AC60"/>
    <mergeCell ref="AB61:AC61"/>
  </mergeCells>
  <phoneticPr fontId="0" type="noConversion"/>
  <conditionalFormatting sqref="P5:P79">
    <cfRule type="cellIs" dxfId="288" priority="1" operator="greaterThan">
      <formula>0</formula>
    </cfRule>
  </conditionalFormatting>
  <conditionalFormatting sqref="Q5:Q79 AF5:AF79">
    <cfRule type="cellIs" dxfId="287" priority="4" operator="lessThan">
      <formula>0</formula>
    </cfRule>
  </conditionalFormatting>
  <conditionalFormatting sqref="R5:R79 AG5:AG79">
    <cfRule type="cellIs" dxfId="286" priority="2" operator="greaterThan">
      <formula>1</formula>
    </cfRule>
    <cfRule type="cellIs" dxfId="285" priority="3" operator="lessThan">
      <formula>0.8</formula>
    </cfRule>
  </conditionalFormatting>
  <conditionalFormatting sqref="S5:S10 S37:S62 AH59:AH62 S69:S76 AH69:AH76">
    <cfRule type="cellIs" dxfId="284" priority="7" operator="lessThan">
      <formula>0.8</formula>
    </cfRule>
  </conditionalFormatting>
  <conditionalFormatting sqref="S19:S25 AH19:AH25">
    <cfRule type="cellIs" dxfId="283" priority="6" operator="lessThan">
      <formula>0.8</formula>
    </cfRule>
  </conditionalFormatting>
  <conditionalFormatting sqref="S79">
    <cfRule type="cellIs" dxfId="282" priority="5" operator="lessThan">
      <formula>0.8</formula>
    </cfRule>
  </conditionalFormatting>
  <conditionalFormatting sqref="AH5:AH8 S15:S16 AH15:AH16 AH49 AH79">
    <cfRule type="cellIs" dxfId="281" priority="9" operator="lessThan">
      <formula>0.8</formula>
    </cfRule>
  </conditionalFormatting>
  <conditionalFormatting sqref="AH27 S27:S28">
    <cfRule type="cellIs" dxfId="2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2B7210-359E-4FD1-8327-045EA17D881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260D-98DE-4C7C-9F8F-644B1C95031C}">
  <dimension ref="B1:O26"/>
  <sheetViews>
    <sheetView topLeftCell="A11" zoomScale="70" zoomScaleNormal="70" workbookViewId="0">
      <selection activeCell="AB59" sqref="AB59:AC5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46176</v>
      </c>
      <c r="E3" s="510"/>
      <c r="F3" s="3" t="s">
        <v>72</v>
      </c>
      <c r="G3" s="511">
        <f>'0603'!E1</f>
        <v>55658</v>
      </c>
      <c r="H3" s="511"/>
      <c r="I3" s="3" t="s">
        <v>2</v>
      </c>
      <c r="J3" s="512">
        <f>'0603'!G1</f>
        <v>2651893.69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120.02476744388508</v>
      </c>
      <c r="G6" s="507"/>
      <c r="H6" s="508">
        <f>AVERAGE(D13:H13)</f>
        <v>119.08456941751058</v>
      </c>
      <c r="I6" s="508"/>
      <c r="J6" s="508">
        <f>AVERAGE(I13)</f>
        <v>124.72575757575757</v>
      </c>
      <c r="K6" s="508"/>
      <c r="L6" s="516">
        <f>SUM(D18:J18)</f>
        <v>0</v>
      </c>
      <c r="M6" s="499">
        <f>SUM(D19:J19)</f>
        <v>0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104.5571126433734</v>
      </c>
      <c r="G7" s="496"/>
      <c r="H7" s="497">
        <f>AVERAGE(D14:H14)</f>
        <v>105.73304583785284</v>
      </c>
      <c r="I7" s="497"/>
      <c r="J7" s="497">
        <f>AVERAGE(I14)</f>
        <v>98.677446670976252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0.87112947494155124</v>
      </c>
      <c r="G8" s="502"/>
      <c r="H8" s="502">
        <f>H7/H6</f>
        <v>0.88788200146362128</v>
      </c>
      <c r="I8" s="502"/>
      <c r="J8" s="502">
        <f>J7/J6</f>
        <v>0.79115532019150292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VALUE('0603'!L15)</f>
        <v>138.17777777777778</v>
      </c>
      <c r="E13" s="13">
        <f>VALUE('0603'!L26)</f>
        <v>157.84421460892048</v>
      </c>
      <c r="F13" s="13">
        <f>VALUE('0603'!L37)</f>
        <v>96.200854700854691</v>
      </c>
      <c r="G13" s="13">
        <f>VALUE('0603'!L48)</f>
        <v>102.24575163398693</v>
      </c>
      <c r="H13" s="13">
        <f>VALUE('0603'!L58)</f>
        <v>100.95424836601308</v>
      </c>
      <c r="I13" s="13">
        <f>VALUE('0603'!L69)</f>
        <v>124.72575757575757</v>
      </c>
      <c r="J13" s="13">
        <f>'0603'!L79</f>
        <v>0</v>
      </c>
    </row>
    <row r="14" spans="2:15" ht="39.950000000000003" customHeight="1">
      <c r="B14" s="490"/>
      <c r="C14" s="12" t="s">
        <v>100</v>
      </c>
      <c r="D14" s="13">
        <f>VALUE('0603'!O15)</f>
        <v>121.74859218972422</v>
      </c>
      <c r="E14" s="13">
        <f>VALUE('0603'!O26)</f>
        <v>136.93894874475365</v>
      </c>
      <c r="F14" s="13">
        <f>VALUE('0603'!O37)</f>
        <v>86.978469322374409</v>
      </c>
      <c r="G14" s="13">
        <f>VALUE('0603'!O48)</f>
        <v>93.72822366409666</v>
      </c>
      <c r="H14" s="13">
        <f>VALUE('0603'!O58)</f>
        <v>89.270995268315232</v>
      </c>
      <c r="I14" s="13">
        <f>VALUE('0603'!O69)</f>
        <v>98.677446670976252</v>
      </c>
      <c r="J14" s="13">
        <f>'0603'!O79</f>
        <v>0</v>
      </c>
    </row>
    <row r="15" spans="2:15" ht="39.950000000000003" customHeight="1">
      <c r="B15" s="491"/>
      <c r="C15" s="10" t="s">
        <v>26</v>
      </c>
      <c r="D15" s="14">
        <f t="shared" ref="D15:I15" si="1">D14/D13</f>
        <v>0.88110110140520903</v>
      </c>
      <c r="E15" s="14">
        <f t="shared" si="1"/>
        <v>0.86755760471828292</v>
      </c>
      <c r="F15" s="14">
        <f t="shared" si="1"/>
        <v>0.90413405985676398</v>
      </c>
      <c r="G15" s="14">
        <f t="shared" si="1"/>
        <v>0.91669553175783003</v>
      </c>
      <c r="H15" s="14">
        <f t="shared" si="1"/>
        <v>0.88427180344763889</v>
      </c>
      <c r="I15" s="14">
        <f t="shared" si="1"/>
        <v>0.79115532019150292</v>
      </c>
      <c r="J15" s="15">
        <f>'0603'!S70</f>
        <v>0</v>
      </c>
    </row>
    <row r="16" spans="2:15" ht="17.25" customHeight="1">
      <c r="B16" s="492" t="s">
        <v>101</v>
      </c>
      <c r="C16" s="10" t="s">
        <v>34</v>
      </c>
      <c r="D16" s="16">
        <f>'0603'!T5</f>
        <v>0.29166666666666702</v>
      </c>
      <c r="E16" s="16">
        <f>'0603'!T16</f>
        <v>0.29166666666666702</v>
      </c>
      <c r="F16" s="16">
        <f>'0603'!T27</f>
        <v>0.29166666666666702</v>
      </c>
      <c r="G16" s="16">
        <f>'0603'!T38</f>
        <v>0.33333333333333298</v>
      </c>
      <c r="H16" s="16">
        <f>'0603'!T49</f>
        <v>0.29166666666666702</v>
      </c>
      <c r="I16" s="16">
        <f>'0603'!T59</f>
        <v>0.29166666666666702</v>
      </c>
      <c r="J16" s="16">
        <f>'0603'!T70</f>
        <v>0.34722222222222199</v>
      </c>
    </row>
    <row r="17" spans="2:10" ht="17.25" customHeight="1">
      <c r="B17" s="493"/>
      <c r="C17" s="10" t="s">
        <v>35</v>
      </c>
      <c r="D17" s="22">
        <v>0.64236111111111105</v>
      </c>
      <c r="E17" s="19">
        <v>0.60277777777777797</v>
      </c>
      <c r="F17" s="19">
        <v>0.46180555555555602</v>
      </c>
      <c r="G17" s="20">
        <v>0.62847222222222199</v>
      </c>
      <c r="H17" s="21">
        <v>0.65486111111111101</v>
      </c>
      <c r="I17" s="22">
        <v>0.64930555555555602</v>
      </c>
      <c r="J17" s="22">
        <v>0</v>
      </c>
    </row>
    <row r="18" spans="2:10" ht="17.25" customHeight="1">
      <c r="B18" s="494" t="s">
        <v>102</v>
      </c>
      <c r="C18" s="330" t="s">
        <v>36</v>
      </c>
      <c r="D18" s="358">
        <f>'0603'!Z15</f>
        <v>0</v>
      </c>
      <c r="E18" s="359">
        <f>'0603'!Z26</f>
        <v>0</v>
      </c>
      <c r="F18" s="359">
        <f>'0603'!Z37</f>
        <v>0</v>
      </c>
      <c r="G18" s="360">
        <f>'0603'!Z48</f>
        <v>0</v>
      </c>
      <c r="H18" s="360">
        <f>'0603'!Z58</f>
        <v>0</v>
      </c>
      <c r="I18" s="359">
        <f>'0603'!Z69</f>
        <v>0</v>
      </c>
      <c r="J18" s="359">
        <f>'0603'!AA79</f>
        <v>0</v>
      </c>
    </row>
    <row r="19" spans="2:10" ht="17.25" customHeight="1">
      <c r="B19" s="495"/>
      <c r="C19" s="330" t="s">
        <v>37</v>
      </c>
      <c r="D19" s="358">
        <f>'0603'!AA15</f>
        <v>0</v>
      </c>
      <c r="E19" s="359">
        <f>'0603'!AA26</f>
        <v>0</v>
      </c>
      <c r="F19" s="359">
        <f>'0603'!AA37</f>
        <v>0</v>
      </c>
      <c r="G19" s="360">
        <f>'0603'!AA48</f>
        <v>0</v>
      </c>
      <c r="H19" s="360">
        <f>'0603'!AA58</f>
        <v>0</v>
      </c>
      <c r="I19" s="359">
        <f>'0603'!AA69</f>
        <v>0</v>
      </c>
      <c r="J19" s="359">
        <f>'0603'!AB79</f>
        <v>0</v>
      </c>
    </row>
    <row r="20" spans="2:10" ht="17.25" customHeight="1">
      <c r="B20" s="494" t="s">
        <v>103</v>
      </c>
      <c r="C20" s="330" t="s">
        <v>36</v>
      </c>
      <c r="D20" s="358">
        <f>'0603'!AD15</f>
        <v>0</v>
      </c>
      <c r="E20" s="359">
        <f>'0603'!AD26</f>
        <v>0</v>
      </c>
      <c r="F20" s="359">
        <f>'0603'!AD37</f>
        <v>0</v>
      </c>
      <c r="G20" s="360">
        <f>'0603'!AD48</f>
        <v>0</v>
      </c>
      <c r="H20" s="360">
        <f>'0603'!AD58</f>
        <v>0</v>
      </c>
      <c r="I20" s="359">
        <f>'0603'!AD69</f>
        <v>0</v>
      </c>
      <c r="J20" s="359">
        <f>'0603'!AD79</f>
        <v>0</v>
      </c>
    </row>
    <row r="21" spans="2:10" ht="17.25" customHeight="1">
      <c r="B21" s="495"/>
      <c r="C21" s="330" t="s">
        <v>85</v>
      </c>
      <c r="D21" s="358">
        <f>'0603'!AE15</f>
        <v>0</v>
      </c>
      <c r="E21" s="359">
        <f>'0603'!AE26</f>
        <v>0</v>
      </c>
      <c r="F21" s="359">
        <f>'0603'!AE37</f>
        <v>0</v>
      </c>
      <c r="G21" s="360">
        <f>'0603'!AE48</f>
        <v>0</v>
      </c>
      <c r="H21" s="360">
        <f>'0603'!AE58</f>
        <v>0</v>
      </c>
      <c r="I21" s="359">
        <f>'0603'!AE69</f>
        <v>0</v>
      </c>
      <c r="J21" s="359">
        <f>'0603'!AE79</f>
        <v>0</v>
      </c>
    </row>
    <row r="22" spans="2:10" ht="17.25" customHeight="1">
      <c r="B22" s="477" t="s">
        <v>104</v>
      </c>
      <c r="C22" s="478"/>
      <c r="D22" s="23">
        <f>VALUE('0603'!M15)</f>
        <v>15.4</v>
      </c>
      <c r="E22" s="23">
        <f>VALUE('0603'!M26)</f>
        <v>14.4</v>
      </c>
      <c r="F22" s="23">
        <f>VALUE('0603'!M37)</f>
        <v>16.333333333333332</v>
      </c>
      <c r="G22" s="23">
        <f>VALUE('0603'!M48)</f>
        <v>16</v>
      </c>
      <c r="H22" s="23">
        <f>VALUE('0603'!M58)</f>
        <v>16.8</v>
      </c>
      <c r="I22" s="23">
        <f>VALUE('0603'!M69)</f>
        <v>14.8</v>
      </c>
      <c r="J22" s="23">
        <f>'0603'!M79</f>
        <v>0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D6D7-67C9-4550-921E-F8CE0BDBF69F}">
  <sheetPr>
    <tabColor theme="9" tint="0.79998168889431442"/>
  </sheetPr>
  <dimension ref="A1:AJ92"/>
  <sheetViews>
    <sheetView zoomScale="69" zoomScaleNormal="69" workbookViewId="0">
      <pane xSplit="5" ySplit="4" topLeftCell="Q53" activePane="bottomRight" state="frozen"/>
      <selection activeCell="AB59" sqref="AB59:AC59"/>
      <selection pane="topRight" activeCell="AB59" sqref="AB59:AC59"/>
      <selection pane="bottomLeft" activeCell="AB59" sqref="AB59:AC59"/>
      <selection pane="bottomRight" activeCell="AB59" sqref="AB59:AC5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55658</v>
      </c>
      <c r="F1" s="30" t="s">
        <v>2</v>
      </c>
      <c r="G1" s="31">
        <f>SUM(H5:H79)</f>
        <v>2651893.69</v>
      </c>
      <c r="H1" s="32" t="s">
        <v>3</v>
      </c>
      <c r="I1" s="33">
        <f>M15+M26+M48+M58+M69+M79+M37</f>
        <v>93.73333333333332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143</v>
      </c>
      <c r="B2" s="381"/>
      <c r="C2" s="28"/>
      <c r="D2" s="28" t="s">
        <v>14</v>
      </c>
      <c r="E2" s="35">
        <f>AVERAGE(O15,O26,O37,O48,O58,O69,O79)</f>
        <v>104.5571126433734</v>
      </c>
      <c r="F2" s="36" t="s">
        <v>15</v>
      </c>
      <c r="G2" s="37">
        <f>G1/E1</f>
        <v>47.646226777821695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2718</v>
      </c>
      <c r="H5" s="43">
        <f>F5*G5</f>
        <v>154572.66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2145.7894736842431</v>
      </c>
      <c r="O5" s="47">
        <f>N5/M5</f>
        <v>143.05263157894953</v>
      </c>
      <c r="P5" s="49">
        <f>M5-J5</f>
        <v>0</v>
      </c>
      <c r="Q5" s="50">
        <f>O5-L5</f>
        <v>-6.94736842105047</v>
      </c>
      <c r="R5" s="51">
        <f>O5/L5</f>
        <v>0.95368421052633023</v>
      </c>
      <c r="S5" s="439">
        <f>R15</f>
        <v>0.88110110140520903</v>
      </c>
      <c r="T5" s="319">
        <v>0.29166666666666702</v>
      </c>
      <c r="U5" s="320">
        <v>0.344444444444444</v>
      </c>
      <c r="V5" s="53"/>
      <c r="W5" s="54">
        <f t="shared" ref="W5:W14" si="0">(U5-T5)*24*60</f>
        <v>75.999999999998849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-104.21052631575685</v>
      </c>
      <c r="AG5" s="52">
        <f t="shared" ref="AG5:AG11" si="2">N5/K5</f>
        <v>0.95368421052633023</v>
      </c>
      <c r="AH5" s="403">
        <f>AG15</f>
        <v>0.87015281301304004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3088</v>
      </c>
      <c r="H6" s="63">
        <f>F6*G6</f>
        <v>179628.96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2154.4186046511363</v>
      </c>
      <c r="O6" s="67">
        <f>N6/M6</f>
        <v>143.62790697674242</v>
      </c>
      <c r="P6" s="69">
        <f>M6-J6</f>
        <v>0</v>
      </c>
      <c r="Q6" s="70">
        <f>O6-L6</f>
        <v>-6.3720930232575768</v>
      </c>
      <c r="R6" s="71">
        <f>O6/L6</f>
        <v>0.9575193798449495</v>
      </c>
      <c r="S6" s="440"/>
      <c r="T6" s="16">
        <v>0.35208333333333303</v>
      </c>
      <c r="U6" s="16">
        <v>0.41180555555555598</v>
      </c>
      <c r="V6" s="30">
        <f>(T6-U5)*24*60</f>
        <v>11.000000000000201</v>
      </c>
      <c r="W6" s="73">
        <f t="shared" si="0"/>
        <v>86.000000000001052</v>
      </c>
      <c r="X6" s="22"/>
      <c r="Y6" s="84"/>
      <c r="Z6" s="90"/>
      <c r="AA6" s="90"/>
      <c r="AB6" s="434"/>
      <c r="AC6" s="434"/>
      <c r="AD6" s="149"/>
      <c r="AE6" s="149"/>
      <c r="AF6" s="307">
        <f t="shared" si="1"/>
        <v>-95.58139534886368</v>
      </c>
      <c r="AG6" s="72">
        <f t="shared" si="2"/>
        <v>0.9575193798449495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2886</v>
      </c>
      <c r="H7" s="78">
        <f>F7*G7</f>
        <v>141818.04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2013.4883720929965</v>
      </c>
      <c r="O7" s="81">
        <f>N7/M7</f>
        <v>134.2325581395331</v>
      </c>
      <c r="P7" s="74">
        <f>M7-J7</f>
        <v>0</v>
      </c>
      <c r="Q7" s="83">
        <f>O7-L7</f>
        <v>-15.767441860466903</v>
      </c>
      <c r="R7" s="72">
        <f>O7/L7</f>
        <v>0.89488372093022062</v>
      </c>
      <c r="S7" s="440"/>
      <c r="T7" s="18">
        <v>0.41944444444444401</v>
      </c>
      <c r="U7" s="18">
        <v>0.47916666666666702</v>
      </c>
      <c r="V7" s="30">
        <f>(T7-U6)*24*60</f>
        <v>10.999999999998762</v>
      </c>
      <c r="W7" s="73">
        <f t="shared" si="0"/>
        <v>86.000000000001137</v>
      </c>
      <c r="X7" s="22"/>
      <c r="Y7" s="84"/>
      <c r="Z7" s="90"/>
      <c r="AA7" s="90"/>
      <c r="AB7" s="407"/>
      <c r="AC7" s="407"/>
      <c r="AD7" s="92"/>
      <c r="AE7" s="92"/>
      <c r="AF7" s="307">
        <f t="shared" si="1"/>
        <v>-236.51162790700346</v>
      </c>
      <c r="AG7" s="72">
        <f t="shared" si="2"/>
        <v>0.89488372093022073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2676</v>
      </c>
      <c r="H8" s="78">
        <f t="shared" ref="H8:H9" si="3">F8*G8</f>
        <v>131498.64000000001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1888.9411764706128</v>
      </c>
      <c r="O8" s="81">
        <f t="shared" ref="O8:O9" si="6">N8/M8</f>
        <v>125.92941176470752</v>
      </c>
      <c r="P8" s="74">
        <f t="shared" ref="P8:P9" si="7">M8-J8</f>
        <v>0</v>
      </c>
      <c r="Q8" s="83">
        <f t="shared" ref="Q8:Q9" si="8">O8-L8</f>
        <v>-24.070588235292476</v>
      </c>
      <c r="R8" s="72">
        <f t="shared" ref="R8:R9" si="9">O8/L8</f>
        <v>0.83952941176471685</v>
      </c>
      <c r="S8" s="440"/>
      <c r="T8" s="16">
        <v>0.54166666666666696</v>
      </c>
      <c r="U8" s="16">
        <v>0.60069444444444398</v>
      </c>
      <c r="V8" s="30">
        <f t="shared" ref="V8:V9" si="10">(T8-U7)*24*60</f>
        <v>89.999999999999915</v>
      </c>
      <c r="W8" s="73">
        <f t="shared" si="0"/>
        <v>84.999999999998892</v>
      </c>
      <c r="X8" s="22"/>
      <c r="Y8" s="84"/>
      <c r="Z8" s="90"/>
      <c r="AA8" s="90"/>
      <c r="AB8" s="434"/>
      <c r="AC8" s="434"/>
      <c r="AD8" s="149"/>
      <c r="AE8" s="149"/>
      <c r="AF8" s="307">
        <f t="shared" si="1"/>
        <v>-361.05882352938715</v>
      </c>
      <c r="AG8" s="72">
        <f t="shared" si="2"/>
        <v>0.83952941176471685</v>
      </c>
      <c r="AH8" s="404"/>
    </row>
    <row r="9" spans="1:34" ht="15" customHeight="1">
      <c r="A9" s="437"/>
      <c r="B9" s="75" t="s">
        <v>81</v>
      </c>
      <c r="C9" s="86"/>
      <c r="D9" s="59" t="s">
        <v>124</v>
      </c>
      <c r="E9" s="87"/>
      <c r="F9" s="75">
        <f>VLOOKUP(D9,廠價表!$C$1:$E$43,3,0)</f>
        <v>57.21</v>
      </c>
      <c r="G9" s="62">
        <v>684</v>
      </c>
      <c r="H9" s="78">
        <f t="shared" si="3"/>
        <v>39131.64</v>
      </c>
      <c r="I9" s="73"/>
      <c r="J9" s="79">
        <f>VLOOKUP(D9,產線配置圖!$A$3:$C$40,2,0)</f>
        <v>18</v>
      </c>
      <c r="K9" s="80">
        <f>VLOOKUP(D9,產線配置圖!$A$3:$C$40,3,0)</f>
        <v>1636</v>
      </c>
      <c r="L9" s="81">
        <f t="shared" si="4"/>
        <v>90.888888888888886</v>
      </c>
      <c r="M9" s="82">
        <v>17</v>
      </c>
      <c r="N9" s="80">
        <f t="shared" si="5"/>
        <v>1052.3076923077047</v>
      </c>
      <c r="O9" s="81">
        <f t="shared" si="6"/>
        <v>61.900452488688508</v>
      </c>
      <c r="P9" s="74">
        <f t="shared" si="7"/>
        <v>-1</v>
      </c>
      <c r="Q9" s="83">
        <f t="shared" si="8"/>
        <v>-28.988436400200378</v>
      </c>
      <c r="R9" s="72">
        <f t="shared" si="9"/>
        <v>0.68105632322517917</v>
      </c>
      <c r="S9" s="441"/>
      <c r="T9" s="22">
        <v>0.61527777777777803</v>
      </c>
      <c r="U9" s="22">
        <v>0.64236111111111105</v>
      </c>
      <c r="V9" s="30">
        <f t="shared" si="10"/>
        <v>21.000000000001044</v>
      </c>
      <c r="W9" s="73">
        <f t="shared" si="0"/>
        <v>38.999999999999545</v>
      </c>
      <c r="X9" s="22"/>
      <c r="Y9" s="84"/>
      <c r="Z9" s="90"/>
      <c r="AA9" s="90"/>
      <c r="AB9" s="434" t="s">
        <v>144</v>
      </c>
      <c r="AC9" s="434"/>
      <c r="AD9" s="149"/>
      <c r="AE9" s="149"/>
      <c r="AF9" s="307">
        <f t="shared" si="1"/>
        <v>-583.69230769229534</v>
      </c>
      <c r="AG9" s="72">
        <f t="shared" si="2"/>
        <v>0.64321986082378035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11">AVERAGE(J5:J14)</f>
        <v>15.6</v>
      </c>
      <c r="K15" s="120">
        <f t="shared" si="11"/>
        <v>2127.1999999999998</v>
      </c>
      <c r="L15" s="117">
        <f t="shared" si="11"/>
        <v>138.17777777777778</v>
      </c>
      <c r="M15" s="120">
        <f t="shared" si="11"/>
        <v>15.4</v>
      </c>
      <c r="N15" s="120">
        <f t="shared" si="11"/>
        <v>1850.9890638413385</v>
      </c>
      <c r="O15" s="117">
        <f t="shared" si="11"/>
        <v>121.74859218972422</v>
      </c>
      <c r="P15" s="121">
        <f>M15-J15</f>
        <v>-0.19999999999999929</v>
      </c>
      <c r="Q15" s="122">
        <f>O15-L15</f>
        <v>-16.429185588053556</v>
      </c>
      <c r="R15" s="123">
        <f>O15/L15</f>
        <v>0.88110110140520903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-276.2109361586613</v>
      </c>
      <c r="AG15" s="124">
        <f>N15/K15</f>
        <v>0.87015281301304004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3184</v>
      </c>
      <c r="H16" s="134">
        <f>F16*G16</f>
        <v>161333.28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2170.9090909090946</v>
      </c>
      <c r="O16" s="141">
        <f>N16/M16</f>
        <v>155.06493506493533</v>
      </c>
      <c r="P16" s="142">
        <f>M16-J16</f>
        <v>0</v>
      </c>
      <c r="Q16" s="143">
        <f>O16-L16</f>
        <v>-5.6493506493503958</v>
      </c>
      <c r="R16" s="144">
        <f>O16/L16</f>
        <v>0.9648484848484864</v>
      </c>
      <c r="S16" s="425">
        <f>R26</f>
        <v>0.86755760471828292</v>
      </c>
      <c r="T16" s="145">
        <v>0.29166666666666702</v>
      </c>
      <c r="U16" s="145">
        <v>0.35277777777777802</v>
      </c>
      <c r="V16" s="135"/>
      <c r="W16" s="146">
        <f t="shared" ref="W16:W78" si="12">(U16-T16)*24*60</f>
        <v>87.999999999999844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-79.09090909090537</v>
      </c>
      <c r="AG16" s="52">
        <f>N16/K16</f>
        <v>0.96484848484848651</v>
      </c>
      <c r="AH16" s="403">
        <f>AG26</f>
        <v>0.86632478924584189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1962</v>
      </c>
      <c r="H17" s="78">
        <f>F17*G17</f>
        <v>112246.02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1839.375000000018</v>
      </c>
      <c r="O17" s="96">
        <f>N17/M17</f>
        <v>108.19852941176576</v>
      </c>
      <c r="P17" s="97">
        <f>M17-J17</f>
        <v>0</v>
      </c>
      <c r="Q17" s="98">
        <f>O17-L17</f>
        <v>-24.154411764704818</v>
      </c>
      <c r="R17" s="99">
        <f>O17/L17</f>
        <v>0.817500000000008</v>
      </c>
      <c r="S17" s="426"/>
      <c r="T17" s="19">
        <v>0.360416666666667</v>
      </c>
      <c r="U17" s="19">
        <v>0.40486111111111101</v>
      </c>
      <c r="V17" s="30">
        <f>(T17-U16)*24*60</f>
        <v>11.000000000000121</v>
      </c>
      <c r="W17" s="149">
        <f t="shared" si="12"/>
        <v>63.999999999999375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-410.62499999998204</v>
      </c>
      <c r="AG17" s="72">
        <f>N17/K17</f>
        <v>0.817500000000008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1222</v>
      </c>
      <c r="H18" s="78">
        <f>F18*G18</f>
        <v>69177.42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1929.4736842105167</v>
      </c>
      <c r="O18" s="96">
        <f>N18/M18</f>
        <v>128.63157894736779</v>
      </c>
      <c r="P18" s="97">
        <f>M18-J18</f>
        <v>0</v>
      </c>
      <c r="Q18" s="98">
        <f>O18-L18</f>
        <v>-21.368421052632215</v>
      </c>
      <c r="R18" s="99">
        <f>O18/L18</f>
        <v>0.85754385964911861</v>
      </c>
      <c r="S18" s="426"/>
      <c r="T18" s="19">
        <v>0.41111111111111098</v>
      </c>
      <c r="U18" s="19">
        <v>0.4375</v>
      </c>
      <c r="V18" s="30">
        <f>(T18-U17)*24*60</f>
        <v>8.999999999999968</v>
      </c>
      <c r="W18" s="149">
        <f t="shared" si="12"/>
        <v>38.000000000000185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-320.52631578948331</v>
      </c>
      <c r="AG18" s="72">
        <f>N18/K18</f>
        <v>0.8575438596491185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1589</v>
      </c>
      <c r="H19" s="78">
        <f t="shared" ref="H19:H20" si="13">F19*G19</f>
        <v>80069.710000000006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0" si="14">K19/J19</f>
        <v>173.07692307692307</v>
      </c>
      <c r="M19" s="148">
        <v>13</v>
      </c>
      <c r="N19" s="95">
        <f t="shared" ref="N19:N20" si="15">G19/W19*60</f>
        <v>1945.7142857142705</v>
      </c>
      <c r="O19" s="96">
        <f t="shared" ref="O19:O20" si="16">N19/M19</f>
        <v>149.6703296703285</v>
      </c>
      <c r="P19" s="97">
        <f t="shared" ref="P19:P20" si="17">M19-J19</f>
        <v>0</v>
      </c>
      <c r="Q19" s="98">
        <f t="shared" ref="Q19:Q20" si="18">O19-L19</f>
        <v>-23.406593406594567</v>
      </c>
      <c r="R19" s="99">
        <f t="shared" ref="R19:R20" si="19">O19/L19</f>
        <v>0.86476190476189807</v>
      </c>
      <c r="S19" s="426"/>
      <c r="T19" s="19">
        <v>0.44444444444444398</v>
      </c>
      <c r="U19" s="19">
        <v>0.47847222222222202</v>
      </c>
      <c r="V19" s="30">
        <f>(T19-U18)*24*60</f>
        <v>9.999999999999325</v>
      </c>
      <c r="W19" s="149">
        <f t="shared" si="12"/>
        <v>49.000000000000384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-304.28571428572945</v>
      </c>
      <c r="AG19" s="72">
        <f>N19/K19</f>
        <v>0.86476190476189807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2729</v>
      </c>
      <c r="H20" s="78">
        <f t="shared" si="13"/>
        <v>137514.31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4"/>
        <v>173.07692307692307</v>
      </c>
      <c r="M20" s="148">
        <v>13</v>
      </c>
      <c r="N20" s="95">
        <f t="shared" si="15"/>
        <v>1860.6818181818214</v>
      </c>
      <c r="O20" s="96">
        <f t="shared" si="16"/>
        <v>143.12937062937087</v>
      </c>
      <c r="P20" s="97">
        <f t="shared" si="17"/>
        <v>0</v>
      </c>
      <c r="Q20" s="98">
        <f t="shared" si="18"/>
        <v>-29.947552447552198</v>
      </c>
      <c r="R20" s="99">
        <f t="shared" si="19"/>
        <v>0.82696969696969835</v>
      </c>
      <c r="S20" s="426"/>
      <c r="T20" s="19">
        <v>0.54166666666666696</v>
      </c>
      <c r="U20" s="19">
        <v>0.60277777777777797</v>
      </c>
      <c r="V20" s="30">
        <f>(T20-U19)*24*60</f>
        <v>91.000000000000711</v>
      </c>
      <c r="W20" s="149">
        <f t="shared" si="12"/>
        <v>87.999999999999844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 t="s">
        <v>145</v>
      </c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6"/>
      <c r="T21" s="19"/>
      <c r="U21" s="19"/>
      <c r="V21" s="30"/>
      <c r="W21" s="149">
        <f t="shared" si="12"/>
        <v>0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50"/>
      <c r="U22" s="150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12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20">AVERAGE(J16:J25)</f>
        <v>14.4</v>
      </c>
      <c r="K26" s="155">
        <f t="shared" si="20"/>
        <v>2250</v>
      </c>
      <c r="L26" s="158">
        <f t="shared" si="20"/>
        <v>157.84421460892048</v>
      </c>
      <c r="M26" s="155">
        <f t="shared" si="20"/>
        <v>14.4</v>
      </c>
      <c r="N26" s="155">
        <f t="shared" si="20"/>
        <v>1949.2307758031443</v>
      </c>
      <c r="O26" s="158">
        <f t="shared" si="20"/>
        <v>136.93894874475365</v>
      </c>
      <c r="P26" s="159">
        <f>M26-J26</f>
        <v>0</v>
      </c>
      <c r="Q26" s="160">
        <f>O26-L26</f>
        <v>-20.905265864166836</v>
      </c>
      <c r="R26" s="161">
        <f>O26/L26</f>
        <v>0.86755760471828292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21">N26-K26</f>
        <v>-300.7692241968557</v>
      </c>
      <c r="AG26" s="124">
        <f t="shared" ref="AG26:AG31" si="22">N26/K26</f>
        <v>0.86632478924584189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50.67</v>
      </c>
      <c r="G27" s="169">
        <v>1469</v>
      </c>
      <c r="H27" s="134">
        <f>F27*G27</f>
        <v>74434.23</v>
      </c>
      <c r="I27" s="135"/>
      <c r="J27" s="136">
        <f>VLOOKUP(D27,產線配置圖!$A$3:$C$40,2,0)</f>
        <v>13</v>
      </c>
      <c r="K27" s="137">
        <f>VLOOKUP(D27,產線配置圖!$A$3:$C$40,3,0)</f>
        <v>1440</v>
      </c>
      <c r="L27" s="138">
        <f>K27/J27</f>
        <v>110.76923076923077</v>
      </c>
      <c r="M27" s="170">
        <v>13</v>
      </c>
      <c r="N27" s="140">
        <f>G27/W27*60</f>
        <v>1224.166666666667</v>
      </c>
      <c r="O27" s="141">
        <f>N27/M27</f>
        <v>94.166666666666686</v>
      </c>
      <c r="P27" s="142">
        <f>M27-J27</f>
        <v>0</v>
      </c>
      <c r="Q27" s="143">
        <f>O27-L27</f>
        <v>-16.602564102564088</v>
      </c>
      <c r="R27" s="144">
        <f>O27/L27</f>
        <v>0.85011574074074092</v>
      </c>
      <c r="S27" s="425">
        <f>R37</f>
        <v>0.90413405985676398</v>
      </c>
      <c r="T27" s="171">
        <v>0.29166666666666702</v>
      </c>
      <c r="U27" s="171">
        <v>0.34166666666666701</v>
      </c>
      <c r="V27" s="135"/>
      <c r="W27" s="146">
        <f t="shared" si="12"/>
        <v>71.999999999999986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21"/>
        <v>-215.83333333333303</v>
      </c>
      <c r="AG27" s="172">
        <f t="shared" si="22"/>
        <v>0.85011574074074092</v>
      </c>
      <c r="AH27" s="403">
        <f>AG37</f>
        <v>0.9105804805160278</v>
      </c>
    </row>
    <row r="28" spans="1:34" ht="15" customHeight="1">
      <c r="A28" s="457"/>
      <c r="B28" s="75" t="s">
        <v>81</v>
      </c>
      <c r="C28" s="173"/>
      <c r="D28" s="59" t="s">
        <v>122</v>
      </c>
      <c r="E28" s="104"/>
      <c r="F28" s="75">
        <f>VLOOKUP(D28,廠價表!$C$1:$E$43,3,0)</f>
        <v>57.21</v>
      </c>
      <c r="G28" s="90">
        <v>1129</v>
      </c>
      <c r="H28" s="91">
        <f>F28*G28</f>
        <v>64590.090000000004</v>
      </c>
      <c r="I28" s="92"/>
      <c r="J28" s="79">
        <f>VLOOKUP(D28,產線配置圖!$A$3:$C$40,2,0)</f>
        <v>18</v>
      </c>
      <c r="K28" s="80">
        <f>VLOOKUP(D28,產線配置圖!$A$3:$C$40,3,0)</f>
        <v>1565</v>
      </c>
      <c r="L28" s="93">
        <f>K28/J28</f>
        <v>86.944444444444443</v>
      </c>
      <c r="M28" s="94">
        <v>18</v>
      </c>
      <c r="N28" s="95">
        <f>G28/W28*60</f>
        <v>1441.2765957446761</v>
      </c>
      <c r="O28" s="96">
        <f>N28/M28</f>
        <v>80.070921985815346</v>
      </c>
      <c r="P28" s="97">
        <f>M28-J28</f>
        <v>0</v>
      </c>
      <c r="Q28" s="98">
        <f>O28-L28</f>
        <v>-6.8735224586290968</v>
      </c>
      <c r="R28" s="99">
        <f>O28/L28</f>
        <v>0.92094351165794008</v>
      </c>
      <c r="S28" s="426"/>
      <c r="T28" s="19">
        <v>0.34652777777777799</v>
      </c>
      <c r="U28" s="19">
        <v>0.37916666666666698</v>
      </c>
      <c r="V28" s="92">
        <f>(T28-U27)*24*60</f>
        <v>6.9999999999998153</v>
      </c>
      <c r="W28" s="149">
        <f t="shared" si="12"/>
        <v>47.000000000000156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21"/>
        <v>-123.72340425532389</v>
      </c>
      <c r="AG28" s="99">
        <f t="shared" si="22"/>
        <v>0.92094351165793997</v>
      </c>
      <c r="AH28" s="445"/>
    </row>
    <row r="29" spans="1:34" ht="15" customHeight="1">
      <c r="A29" s="457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2783</v>
      </c>
      <c r="H29" s="91">
        <f>F29*G29</f>
        <v>159215.43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18</v>
      </c>
      <c r="N29" s="95">
        <f>G29/W29*60</f>
        <v>1560.5607476635419</v>
      </c>
      <c r="O29" s="96">
        <f>N29/M29</f>
        <v>86.697819314641208</v>
      </c>
      <c r="P29" s="97">
        <f>M29-J29</f>
        <v>0</v>
      </c>
      <c r="Q29" s="98">
        <f>O29-L29</f>
        <v>-4.1910695742476776</v>
      </c>
      <c r="R29" s="99">
        <f>O29/L29</f>
        <v>0.95388798756940207</v>
      </c>
      <c r="S29" s="426"/>
      <c r="T29" s="19">
        <v>0.38750000000000001</v>
      </c>
      <c r="U29" s="19">
        <v>0.46180555555555602</v>
      </c>
      <c r="V29" s="92">
        <f>(T29-U28)*24*60</f>
        <v>11.999999999999558</v>
      </c>
      <c r="W29" s="149">
        <f t="shared" si="12"/>
        <v>107.00000000000065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21"/>
        <v>-75.439252336458139</v>
      </c>
      <c r="AG29" s="99">
        <f t="shared" si="22"/>
        <v>0.95388798756940207</v>
      </c>
      <c r="AH29" s="445"/>
    </row>
    <row r="30" spans="1:34" ht="15" customHeight="1">
      <c r="A30" s="457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6"/>
      <c r="T30" s="19"/>
      <c r="U30" s="19"/>
      <c r="V30" s="92"/>
      <c r="W30" s="149">
        <f t="shared" si="12"/>
        <v>0</v>
      </c>
      <c r="X30" s="174"/>
      <c r="Y30" s="301"/>
      <c r="Z30" s="335"/>
      <c r="AA30" s="335"/>
      <c r="AB30" s="407"/>
      <c r="AC30" s="407"/>
      <c r="AD30" s="92"/>
      <c r="AE30" s="92"/>
      <c r="AF30" s="312">
        <f t="shared" si="21"/>
        <v>0</v>
      </c>
      <c r="AG30" s="99" t="e">
        <f t="shared" si="22"/>
        <v>#DIV/0!</v>
      </c>
      <c r="AH30" s="446"/>
    </row>
    <row r="31" spans="1:34" ht="15" customHeight="1">
      <c r="A31" s="457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6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21"/>
        <v>0</v>
      </c>
      <c r="AG31" s="99" t="e">
        <f t="shared" si="22"/>
        <v>#DIV/0!</v>
      </c>
      <c r="AH31" s="405"/>
    </row>
    <row r="32" spans="1:34" ht="15" customHeight="1">
      <c r="A32" s="457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3">AVERAGE(J27:J36)</f>
        <v>16.333333333333332</v>
      </c>
      <c r="K37" s="155">
        <f t="shared" si="23"/>
        <v>1547</v>
      </c>
      <c r="L37" s="158">
        <f t="shared" si="23"/>
        <v>96.200854700854691</v>
      </c>
      <c r="M37" s="155">
        <f t="shared" si="23"/>
        <v>16.333333333333332</v>
      </c>
      <c r="N37" s="155">
        <f t="shared" si="23"/>
        <v>1408.668003358295</v>
      </c>
      <c r="O37" s="158">
        <f t="shared" si="23"/>
        <v>86.978469322374409</v>
      </c>
      <c r="P37" s="159">
        <f>M37-J37</f>
        <v>0</v>
      </c>
      <c r="Q37" s="160">
        <f>N37-K37</f>
        <v>-138.33199664170502</v>
      </c>
      <c r="R37" s="161">
        <f>O37/L37</f>
        <v>0.90413405985676398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-138.33199664170502</v>
      </c>
      <c r="AG37" s="124">
        <f>N37/K37</f>
        <v>0.9105804805160278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2855</v>
      </c>
      <c r="H38" s="134">
        <f>F38*G38</f>
        <v>142493.04999999999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1515.929203539808</v>
      </c>
      <c r="O38" s="141">
        <f>N38/M38</f>
        <v>101.06194690265387</v>
      </c>
      <c r="P38" s="142">
        <f>M38-J38</f>
        <v>0</v>
      </c>
      <c r="Q38" s="143">
        <f>O38-L38</f>
        <v>-13.204719764012793</v>
      </c>
      <c r="R38" s="144">
        <f>O38/L38</f>
        <v>0.8844394419718834</v>
      </c>
      <c r="S38" s="453">
        <f>R48</f>
        <v>0.91669553175783003</v>
      </c>
      <c r="T38" s="191">
        <v>0.33333333333333298</v>
      </c>
      <c r="U38" s="191">
        <v>0.41180555555555598</v>
      </c>
      <c r="V38" s="192"/>
      <c r="W38" s="193">
        <f t="shared" si="12"/>
        <v>113.00000000000112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-198.07079646019201</v>
      </c>
      <c r="AG38" s="195">
        <f>N38/K38</f>
        <v>0.88443944197188329</v>
      </c>
      <c r="AH38" s="459">
        <f>AG48</f>
        <v>0.90014434009833288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1726</v>
      </c>
      <c r="H39" s="91">
        <f>F39*G39</f>
        <v>76461.799999999988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16</v>
      </c>
      <c r="N39" s="202">
        <f>G39/W39*60</f>
        <v>1438.3333333333337</v>
      </c>
      <c r="O39" s="203">
        <f>N39/M39</f>
        <v>89.895833333333357</v>
      </c>
      <c r="P39" s="97">
        <f>M39-J39</f>
        <v>-1</v>
      </c>
      <c r="Q39" s="98">
        <f>O39-L39</f>
        <v>-6.339460784313701</v>
      </c>
      <c r="R39" s="99">
        <f>O39/L39</f>
        <v>0.9341254074979628</v>
      </c>
      <c r="S39" s="454"/>
      <c r="T39" s="20">
        <v>0.422222222222222</v>
      </c>
      <c r="U39" s="20">
        <v>0.47222222222222199</v>
      </c>
      <c r="V39" s="92">
        <f>(T39-U38)*24*60</f>
        <v>14.999999999999067</v>
      </c>
      <c r="W39" s="205">
        <f t="shared" si="12"/>
        <v>71.999999999999986</v>
      </c>
      <c r="X39" s="22"/>
      <c r="Y39" s="84"/>
      <c r="Z39" s="90"/>
      <c r="AA39" s="90"/>
      <c r="AB39" s="462"/>
      <c r="AC39" s="462"/>
      <c r="AD39" s="200"/>
      <c r="AE39" s="200"/>
      <c r="AF39" s="314">
        <f>N39-K39</f>
        <v>-197.66666666666629</v>
      </c>
      <c r="AG39" s="206">
        <f>N39/K39</f>
        <v>0.87917685411572966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3579</v>
      </c>
      <c r="H40" s="91">
        <f>F40*G40</f>
        <v>158549.69999999998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1533.8571428571465</v>
      </c>
      <c r="O40" s="203">
        <f>N40/M40</f>
        <v>90.226890756302737</v>
      </c>
      <c r="P40" s="97">
        <f>M40-J40</f>
        <v>0</v>
      </c>
      <c r="Q40" s="98">
        <f>O40-L40</f>
        <v>-6.0084033613443211</v>
      </c>
      <c r="R40" s="99">
        <f>O40/L40</f>
        <v>0.9375654907439771</v>
      </c>
      <c r="S40" s="440"/>
      <c r="T40" s="20">
        <v>0.53125</v>
      </c>
      <c r="U40" s="20">
        <v>0.62847222222222199</v>
      </c>
      <c r="V40" s="92">
        <f>(T40-U39)*24*60</f>
        <v>85.000000000000341</v>
      </c>
      <c r="W40" s="205">
        <f t="shared" si="12"/>
        <v>139.99999999999966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-102.14285714285347</v>
      </c>
      <c r="AG40" s="206">
        <f>N40/K40</f>
        <v>0.9375654907439771</v>
      </c>
      <c r="AH40" s="460"/>
    </row>
    <row r="41" spans="1:34" ht="15" customHeight="1">
      <c r="A41" s="45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40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0</v>
      </c>
      <c r="AG41" s="206" t="e">
        <f>N41/K41</f>
        <v>#DIV/0!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4">AVERAGE(J38:J47)</f>
        <v>16.333333333333332</v>
      </c>
      <c r="K48" s="155">
        <f t="shared" si="24"/>
        <v>1662</v>
      </c>
      <c r="L48" s="158">
        <f t="shared" si="24"/>
        <v>102.24575163398693</v>
      </c>
      <c r="M48" s="155">
        <f t="shared" si="24"/>
        <v>16</v>
      </c>
      <c r="N48" s="155">
        <f t="shared" si="24"/>
        <v>1496.0398932434293</v>
      </c>
      <c r="O48" s="158">
        <f t="shared" si="24"/>
        <v>93.72822366409666</v>
      </c>
      <c r="P48" s="221">
        <f>M48-J48</f>
        <v>-0.33333333333333215</v>
      </c>
      <c r="Q48" s="222">
        <f>N48-K48</f>
        <v>-165.96010675657067</v>
      </c>
      <c r="R48" s="223">
        <f>O48/L48</f>
        <v>0.91669553175783003</v>
      </c>
      <c r="S48" s="443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25">N48-K48</f>
        <v>-165.96010675657067</v>
      </c>
      <c r="AG48" s="162">
        <f t="shared" ref="AG48:AG53" si="26">N48/K48</f>
        <v>0.90014434009833288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2039</v>
      </c>
      <c r="H49" s="134">
        <f>F49*G49</f>
        <v>100971.28000000001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16</v>
      </c>
      <c r="N49" s="140">
        <f>G49/W49*60</f>
        <v>1473.975903614456</v>
      </c>
      <c r="O49" s="141">
        <f>N49/M49</f>
        <v>92.1234939759035</v>
      </c>
      <c r="P49" s="229">
        <f>M49-J49</f>
        <v>-1</v>
      </c>
      <c r="Q49" s="230">
        <f>O49-L49</f>
        <v>-13.758858965272964</v>
      </c>
      <c r="R49" s="52">
        <f>O49/L49</f>
        <v>0.87005522088353315</v>
      </c>
      <c r="S49" s="439">
        <f>R58</f>
        <v>0.88427180344763889</v>
      </c>
      <c r="T49" s="191">
        <v>0.29166666666666702</v>
      </c>
      <c r="U49" s="191">
        <v>0.34930555555555598</v>
      </c>
      <c r="V49" s="55"/>
      <c r="W49" s="193">
        <f t="shared" si="12"/>
        <v>83.000000000000099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25"/>
        <v>-326.024096385544</v>
      </c>
      <c r="AG49" s="52">
        <f t="shared" si="26"/>
        <v>0.81887550200803116</v>
      </c>
      <c r="AH49" s="403">
        <f>AG58</f>
        <v>0.87599857640789403</v>
      </c>
    </row>
    <row r="50" spans="1:34" ht="15" customHeight="1">
      <c r="A50" s="469"/>
      <c r="B50" s="75" t="s">
        <v>81</v>
      </c>
      <c r="C50" s="76"/>
      <c r="D50" s="59" t="s">
        <v>132</v>
      </c>
      <c r="E50" s="77"/>
      <c r="F50" s="75">
        <f>VLOOKUP(D50,廠價表!$C$1:$E$43,3,0)</f>
        <v>49.97</v>
      </c>
      <c r="G50" s="202">
        <v>2444</v>
      </c>
      <c r="H50" s="231">
        <f>F50*G50</f>
        <v>122126.68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1481.2121212121215</v>
      </c>
      <c r="O50" s="235">
        <f>N50/M50</f>
        <v>92.575757575757592</v>
      </c>
      <c r="P50" s="74">
        <f>M50-J50</f>
        <v>0</v>
      </c>
      <c r="Q50" s="83">
        <f>O50-L50</f>
        <v>-19.924242424242408</v>
      </c>
      <c r="R50" s="72">
        <f>O50/L50</f>
        <v>0.82289562289562301</v>
      </c>
      <c r="S50" s="440"/>
      <c r="T50" s="21">
        <v>0.35625000000000001</v>
      </c>
      <c r="U50" s="21">
        <v>0.42499999999999999</v>
      </c>
      <c r="V50" s="30">
        <f>(T50-U49)*24*60</f>
        <v>9.9999999999994049</v>
      </c>
      <c r="W50" s="236">
        <f t="shared" si="12"/>
        <v>98.999999999999972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25"/>
        <v>-318.78787878787853</v>
      </c>
      <c r="AG50" s="72">
        <f t="shared" si="26"/>
        <v>0.82289562289562301</v>
      </c>
      <c r="AH50" s="404"/>
    </row>
    <row r="51" spans="1:34" ht="15" customHeight="1">
      <c r="A51" s="469"/>
      <c r="B51" s="75" t="s">
        <v>81</v>
      </c>
      <c r="C51" s="76"/>
      <c r="D51" s="59" t="s">
        <v>133</v>
      </c>
      <c r="E51" s="77"/>
      <c r="F51" s="75">
        <f>VLOOKUP(D51,廠價表!$C$1:$E$43,3,0)</f>
        <v>50.289000000000001</v>
      </c>
      <c r="G51" s="202">
        <v>950</v>
      </c>
      <c r="H51" s="231">
        <f>F51*G51</f>
        <v>47774.55</v>
      </c>
      <c r="I51" s="232"/>
      <c r="J51" s="79">
        <f>VLOOKUP(D51,產線配置圖!$A$3:$C$40,2,0)</f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1499.9999999999957</v>
      </c>
      <c r="O51" s="235">
        <f>N51/M51</f>
        <v>83.333333333333087</v>
      </c>
      <c r="P51" s="74">
        <f>M51-J51</f>
        <v>0</v>
      </c>
      <c r="Q51" s="83">
        <f>O51-L51</f>
        <v>-3.6111111111113559</v>
      </c>
      <c r="R51" s="72">
        <f>O51/L51</f>
        <v>0.95846645367411853</v>
      </c>
      <c r="S51" s="440"/>
      <c r="T51" s="21">
        <v>0.43194444444444402</v>
      </c>
      <c r="U51" s="19">
        <v>0.45833333333333298</v>
      </c>
      <c r="V51" s="30">
        <f>(T51-U50)*24*60</f>
        <v>9.9999999999994049</v>
      </c>
      <c r="W51" s="236">
        <f t="shared" si="12"/>
        <v>38.000000000000107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25"/>
        <v>-65.00000000000432</v>
      </c>
      <c r="AG51" s="72">
        <f t="shared" si="26"/>
        <v>0.95846645367411865</v>
      </c>
      <c r="AH51" s="404"/>
    </row>
    <row r="52" spans="1:34" ht="15" customHeight="1">
      <c r="A52" s="469"/>
      <c r="B52" s="75" t="s">
        <v>81</v>
      </c>
      <c r="C52" s="86"/>
      <c r="D52" s="59" t="s">
        <v>133</v>
      </c>
      <c r="E52" s="87"/>
      <c r="F52" s="75">
        <f>VLOOKUP(D52,廠價表!$C$1:$E$43,3,0)</f>
        <v>50.289000000000001</v>
      </c>
      <c r="G52" s="202">
        <v>2090</v>
      </c>
      <c r="H52" s="231">
        <f t="shared" ref="H52:H53" si="27">F52*G52</f>
        <v>105104.01000000001</v>
      </c>
      <c r="I52" s="232"/>
      <c r="J52" s="79">
        <f>VLOOKUP(D52,產線配置圖!$A$3:$C$40,2,0)</f>
        <v>18</v>
      </c>
      <c r="K52" s="80">
        <f>VLOOKUP(D52,產線配置圖!$A$3:$C$40,3,0)</f>
        <v>1565</v>
      </c>
      <c r="L52" s="81">
        <f t="shared" ref="L52:L53" si="28">K52/J52</f>
        <v>86.944444444444443</v>
      </c>
      <c r="M52" s="233">
        <v>18</v>
      </c>
      <c r="N52" s="234">
        <f t="shared" ref="N52:N53" si="29">G52/W52*60</f>
        <v>1475.2941176470529</v>
      </c>
      <c r="O52" s="235">
        <f t="shared" ref="O52:O53" si="30">N52/M52</f>
        <v>81.960784313725156</v>
      </c>
      <c r="P52" s="74">
        <f t="shared" ref="P52:P53" si="31">M52-J52</f>
        <v>0</v>
      </c>
      <c r="Q52" s="83">
        <f t="shared" ref="Q52:Q53" si="32">O52-L52</f>
        <v>-4.9836601307192865</v>
      </c>
      <c r="R52" s="72">
        <f t="shared" ref="R52:R53" si="33">O52/L52</f>
        <v>0.94267994737830851</v>
      </c>
      <c r="S52" s="440"/>
      <c r="T52" s="21">
        <v>0.51249999999999996</v>
      </c>
      <c r="U52" s="21">
        <v>0.57152777777777797</v>
      </c>
      <c r="V52" s="30">
        <f>(T52-U51)*24*60</f>
        <v>78.000000000000441</v>
      </c>
      <c r="W52" s="236">
        <f t="shared" si="12"/>
        <v>85.000000000000341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25"/>
        <v>-89.705882352947128</v>
      </c>
      <c r="AG52" s="72">
        <f t="shared" si="26"/>
        <v>0.94267994737830851</v>
      </c>
      <c r="AH52" s="404"/>
    </row>
    <row r="53" spans="1:34" ht="15" customHeight="1">
      <c r="A53" s="469"/>
      <c r="B53" s="101" t="s">
        <v>81</v>
      </c>
      <c r="C53" s="102"/>
      <c r="D53" s="103" t="s">
        <v>132</v>
      </c>
      <c r="E53" s="104"/>
      <c r="F53" s="75">
        <f>VLOOKUP(D53,廠價表!$C$1:$E$43,3,0)</f>
        <v>49.97</v>
      </c>
      <c r="G53" s="202">
        <v>2878</v>
      </c>
      <c r="H53" s="231">
        <f t="shared" si="27"/>
        <v>143813.66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8"/>
        <v>112.5</v>
      </c>
      <c r="M53" s="108">
        <v>16</v>
      </c>
      <c r="N53" s="234">
        <f t="shared" si="29"/>
        <v>1541.7857142857088</v>
      </c>
      <c r="O53" s="235">
        <f t="shared" si="30"/>
        <v>96.361607142856798</v>
      </c>
      <c r="P53" s="74">
        <f t="shared" si="31"/>
        <v>0</v>
      </c>
      <c r="Q53" s="83">
        <f t="shared" si="32"/>
        <v>-16.138392857143202</v>
      </c>
      <c r="R53" s="72">
        <f t="shared" si="33"/>
        <v>0.856547619047616</v>
      </c>
      <c r="S53" s="440"/>
      <c r="T53" s="21">
        <v>0.57708333333333295</v>
      </c>
      <c r="U53" s="21">
        <v>0.65486111111111101</v>
      </c>
      <c r="V53" s="30">
        <f>(T53-U52)*24*60</f>
        <v>7.9999999999991722</v>
      </c>
      <c r="W53" s="236">
        <f t="shared" si="12"/>
        <v>112.0000000000004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25"/>
        <v>-258.21428571429124</v>
      </c>
      <c r="AG53" s="72">
        <f t="shared" si="26"/>
        <v>0.856547619047616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34">AVERAGE(J49:J57)</f>
        <v>17</v>
      </c>
      <c r="K58" s="120">
        <f t="shared" si="34"/>
        <v>1706</v>
      </c>
      <c r="L58" s="117">
        <f t="shared" si="34"/>
        <v>100.95424836601308</v>
      </c>
      <c r="M58" s="120">
        <f t="shared" si="34"/>
        <v>16.8</v>
      </c>
      <c r="N58" s="120">
        <f t="shared" si="34"/>
        <v>1494.4535713518671</v>
      </c>
      <c r="O58" s="117">
        <f t="shared" si="34"/>
        <v>89.270995268315232</v>
      </c>
      <c r="P58" s="121">
        <f>M58-J58</f>
        <v>-0.19999999999999929</v>
      </c>
      <c r="Q58" s="122">
        <f>N58-K58</f>
        <v>-211.54642864813286</v>
      </c>
      <c r="R58" s="123">
        <f>O58/L58</f>
        <v>0.88427180344763889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-211.54642864813286</v>
      </c>
      <c r="AG58" s="124">
        <f>N58/K58</f>
        <v>0.87599857640789403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2598</v>
      </c>
      <c r="H59" s="243">
        <f>F59*G59</f>
        <v>70120.01999999999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17</v>
      </c>
      <c r="N59" s="137">
        <f>G59/W59*60</f>
        <v>1199.0769230769342</v>
      </c>
      <c r="O59" s="138">
        <f>N59/M59</f>
        <v>70.533936651584369</v>
      </c>
      <c r="P59" s="56">
        <f>M59-J59</f>
        <v>2</v>
      </c>
      <c r="Q59" s="230">
        <f>O59-L59</f>
        <v>-33.799396681748959</v>
      </c>
      <c r="R59" s="52">
        <f>O59/L59</f>
        <v>0.67604412126119207</v>
      </c>
      <c r="S59" s="439">
        <f>R69</f>
        <v>0.79115532019150292</v>
      </c>
      <c r="T59" s="245">
        <v>0.29166666666666702</v>
      </c>
      <c r="U59" s="245">
        <v>0.38194444444444398</v>
      </c>
      <c r="V59" s="55"/>
      <c r="W59" s="54">
        <f t="shared" si="12"/>
        <v>129.99999999999881</v>
      </c>
      <c r="X59" s="55"/>
      <c r="Y59" s="290"/>
      <c r="Z59" s="169"/>
      <c r="AA59" s="169"/>
      <c r="AB59" s="429" t="s">
        <v>146</v>
      </c>
      <c r="AC59" s="429"/>
      <c r="AD59" s="135"/>
      <c r="AE59" s="135"/>
      <c r="AF59" s="310">
        <f>N59-K59</f>
        <v>-365.92307692306576</v>
      </c>
      <c r="AG59" s="246">
        <f>N59/K59</f>
        <v>0.76618333742935096</v>
      </c>
      <c r="AH59" s="403">
        <f>AG69</f>
        <v>0.92003721518098691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1926</v>
      </c>
      <c r="H60" s="78">
        <f>F60*G60</f>
        <v>54428.76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13</v>
      </c>
      <c r="N60" s="80">
        <f>G60/W60*60</f>
        <v>1650.8571428571468</v>
      </c>
      <c r="O60" s="81">
        <f>N60/M60</f>
        <v>126.98901098901129</v>
      </c>
      <c r="P60" s="74">
        <f>M60-J60</f>
        <v>1</v>
      </c>
      <c r="Q60" s="83">
        <f>O60-L60</f>
        <v>-3.4276556776553662</v>
      </c>
      <c r="R60" s="72">
        <f>O60/L60</f>
        <v>0.97371765614577355</v>
      </c>
      <c r="S60" s="467"/>
      <c r="T60" s="22">
        <v>0.39930555555555602</v>
      </c>
      <c r="U60" s="22">
        <v>0.44791666666666702</v>
      </c>
      <c r="V60" s="30">
        <f>(T60-U59)*24*60</f>
        <v>25.00000000000135</v>
      </c>
      <c r="W60" s="248">
        <f t="shared" si="12"/>
        <v>69.999999999999829</v>
      </c>
      <c r="X60" s="232"/>
      <c r="Y60" s="177"/>
      <c r="Z60" s="90"/>
      <c r="AA60" s="90"/>
      <c r="AB60" s="407" t="s">
        <v>147</v>
      </c>
      <c r="AC60" s="407"/>
      <c r="AD60" s="92"/>
      <c r="AE60" s="92"/>
      <c r="AF60" s="316">
        <f>N60-K60</f>
        <v>85.857142857146755</v>
      </c>
      <c r="AG60" s="249">
        <f>N60/K60</f>
        <v>1.0548607941579213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1616</v>
      </c>
      <c r="H61" s="254">
        <f>F61*G61</f>
        <v>45668.160000000003</v>
      </c>
      <c r="I61" s="182"/>
      <c r="J61" s="106">
        <f>VLOOKUP(D61,產線配置圖!$A$3:$C$40,2,0)</f>
        <v>11</v>
      </c>
      <c r="K61" s="107">
        <f>VLOOKUP(D61,產線配置圖!$A$3:$C$40,3,0)</f>
        <v>1565</v>
      </c>
      <c r="L61" s="238">
        <f>K61/J61</f>
        <v>142.27272727272728</v>
      </c>
      <c r="M61" s="108">
        <v>15</v>
      </c>
      <c r="N61" s="107">
        <f>G61/W61*60</f>
        <v>1385.1428571428605</v>
      </c>
      <c r="O61" s="238">
        <f>N61/M61</f>
        <v>92.342857142857369</v>
      </c>
      <c r="P61" s="111">
        <f>M61-J61</f>
        <v>4</v>
      </c>
      <c r="Q61" s="255">
        <f>O61-L61</f>
        <v>-49.929870129869911</v>
      </c>
      <c r="R61" s="85">
        <f>O61/L61</f>
        <v>0.64905522592423703</v>
      </c>
      <c r="S61" s="440"/>
      <c r="T61" s="22">
        <v>0.45833333333333298</v>
      </c>
      <c r="U61" s="22">
        <v>0.50694444444444398</v>
      </c>
      <c r="V61" s="30">
        <f>(T61-U60)*24*60</f>
        <v>14.999999999998987</v>
      </c>
      <c r="W61" s="256">
        <f t="shared" si="12"/>
        <v>69.999999999999829</v>
      </c>
      <c r="X61" s="22"/>
      <c r="Y61" s="84"/>
      <c r="Z61" s="90"/>
      <c r="AA61" s="90"/>
      <c r="AB61" s="407" t="s">
        <v>148</v>
      </c>
      <c r="AC61" s="407"/>
      <c r="AD61" s="92"/>
      <c r="AE61" s="92"/>
      <c r="AF61" s="317">
        <f>N61-K61</f>
        <v>-179.85714285713948</v>
      </c>
      <c r="AG61" s="247">
        <f>N61/K61</f>
        <v>0.8850753080785051</v>
      </c>
      <c r="AH61" s="404"/>
    </row>
    <row r="62" spans="1:34" ht="15" customHeight="1">
      <c r="A62" s="465"/>
      <c r="B62" s="250" t="s">
        <v>125</v>
      </c>
      <c r="C62" s="251"/>
      <c r="D62" s="257" t="s">
        <v>126</v>
      </c>
      <c r="E62" s="253"/>
      <c r="F62" s="250">
        <f>VLOOKUP(D62,廠價表!$C$1:$E$43,3,0)</f>
        <v>28.26</v>
      </c>
      <c r="G62" s="38">
        <v>2011</v>
      </c>
      <c r="H62" s="254">
        <f t="shared" ref="H62:H63" si="35">F62*G62</f>
        <v>56830.86</v>
      </c>
      <c r="I62" s="182"/>
      <c r="J62" s="106">
        <f>VLOOKUP(D62,產線配置圖!$A$3:$C$40,2,0)</f>
        <v>11</v>
      </c>
      <c r="K62" s="107">
        <f>VLOOKUP(D62,產線配置圖!$A$3:$C$40,3,0)</f>
        <v>1565</v>
      </c>
      <c r="L62" s="238">
        <f t="shared" ref="L62:L63" si="36">K62/J62</f>
        <v>142.27272727272728</v>
      </c>
      <c r="M62" s="108">
        <v>15</v>
      </c>
      <c r="N62" s="107">
        <f t="shared" ref="N62:N63" si="37">G62/W62*60</f>
        <v>1723.7142857142921</v>
      </c>
      <c r="O62" s="238">
        <f t="shared" ref="O62:O63" si="38">N62/M62</f>
        <v>114.91428571428614</v>
      </c>
      <c r="P62" s="111">
        <f t="shared" ref="P62:P63" si="39">M62-J62</f>
        <v>4</v>
      </c>
      <c r="Q62" s="255">
        <f t="shared" ref="Q62:Q63" si="40">O62-L62</f>
        <v>-27.358441558441143</v>
      </c>
      <c r="R62" s="85">
        <f t="shared" ref="R62:R63" si="41">O62/L62</f>
        <v>0.80770424463715496</v>
      </c>
      <c r="S62" s="440"/>
      <c r="T62" s="22">
        <v>0.55902777777777801</v>
      </c>
      <c r="U62" s="22">
        <v>0.60763888888888895</v>
      </c>
      <c r="V62" s="30">
        <f t="shared" ref="V62:V63" si="42">(T62-U61)*24*60</f>
        <v>75.000000000001009</v>
      </c>
      <c r="W62" s="248">
        <f t="shared" si="12"/>
        <v>69.999999999999744</v>
      </c>
      <c r="X62" s="22"/>
      <c r="Y62" s="84"/>
      <c r="Z62" s="90"/>
      <c r="AA62" s="90"/>
      <c r="AB62" s="407" t="s">
        <v>148</v>
      </c>
      <c r="AC62" s="407"/>
      <c r="AD62" s="92"/>
      <c r="AE62" s="92"/>
      <c r="AF62" s="317">
        <f>N62-K62</f>
        <v>158.71428571429215</v>
      </c>
      <c r="AG62" s="247">
        <f>N62/K62</f>
        <v>1.1014148790506659</v>
      </c>
      <c r="AH62" s="404"/>
    </row>
    <row r="63" spans="1:34" ht="15" customHeight="1">
      <c r="A63" s="465"/>
      <c r="B63" s="258" t="s">
        <v>125</v>
      </c>
      <c r="C63" s="58"/>
      <c r="D63" s="259" t="s">
        <v>134</v>
      </c>
      <c r="E63" s="60"/>
      <c r="F63" s="250">
        <f>VLOOKUP(D63,廠價表!$C$1:$E$43,3,0)</f>
        <v>26.99</v>
      </c>
      <c r="G63" s="260">
        <v>827</v>
      </c>
      <c r="H63" s="254">
        <f t="shared" si="35"/>
        <v>22320.73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36"/>
        <v>104.33333333333333</v>
      </c>
      <c r="M63" s="68">
        <v>14</v>
      </c>
      <c r="N63" s="107">
        <f t="shared" si="37"/>
        <v>1240.4999999999893</v>
      </c>
      <c r="O63" s="238">
        <f t="shared" si="38"/>
        <v>88.607142857142094</v>
      </c>
      <c r="P63" s="111">
        <f t="shared" si="39"/>
        <v>-1</v>
      </c>
      <c r="Q63" s="255">
        <f t="shared" si="40"/>
        <v>-15.726190476191235</v>
      </c>
      <c r="R63" s="85">
        <f t="shared" si="41"/>
        <v>0.84926973984481247</v>
      </c>
      <c r="S63" s="440"/>
      <c r="T63" s="22">
        <v>0.62152777777777801</v>
      </c>
      <c r="U63" s="22">
        <v>0.64930555555555602</v>
      </c>
      <c r="V63" s="30">
        <f t="shared" si="42"/>
        <v>20.000000000000249</v>
      </c>
      <c r="W63" s="248">
        <f t="shared" si="12"/>
        <v>40.000000000000341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43">AVERAGE(J59:J68)</f>
        <v>12.8</v>
      </c>
      <c r="K69" s="240">
        <f t="shared" si="43"/>
        <v>1565</v>
      </c>
      <c r="L69" s="268">
        <f t="shared" si="43"/>
        <v>124.72575757575757</v>
      </c>
      <c r="M69" s="240">
        <f t="shared" si="43"/>
        <v>14.8</v>
      </c>
      <c r="N69" s="240">
        <f t="shared" si="43"/>
        <v>1439.8582417582445</v>
      </c>
      <c r="O69" s="268">
        <f t="shared" si="43"/>
        <v>98.677446670976252</v>
      </c>
      <c r="P69" s="269">
        <f>M69-J69</f>
        <v>2</v>
      </c>
      <c r="Q69" s="222">
        <f>N69-K69</f>
        <v>-125.1417582417555</v>
      </c>
      <c r="R69" s="123">
        <f>O69/L69</f>
        <v>0.79115532019150292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-125.1417582417555</v>
      </c>
      <c r="AG69" s="124">
        <f>N69/K69</f>
        <v>0.92003721518098691</v>
      </c>
      <c r="AH69" s="406"/>
    </row>
    <row r="70" spans="1:36" ht="15" customHeight="1">
      <c r="A70" s="471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39">
        <f>R79</f>
        <v>0</v>
      </c>
      <c r="T70" s="245">
        <v>0.34722222222222199</v>
      </c>
      <c r="U70" s="245">
        <v>0.46875</v>
      </c>
      <c r="V70" s="55"/>
      <c r="W70" s="54">
        <f t="shared" si="12"/>
        <v>175.00000000000034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/>
      <c r="D79" s="430"/>
      <c r="E79" s="430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W3:W4"/>
    <mergeCell ref="X3:Y3"/>
    <mergeCell ref="R3:R4"/>
    <mergeCell ref="T3:U3"/>
    <mergeCell ref="V3:V4"/>
    <mergeCell ref="AB3:AC4"/>
    <mergeCell ref="AF1:AH2"/>
    <mergeCell ref="AH3:AH4"/>
    <mergeCell ref="AD3:AE3"/>
    <mergeCell ref="AF3:AF4"/>
    <mergeCell ref="AG3:AG4"/>
    <mergeCell ref="A5:A15"/>
    <mergeCell ref="S5:S15"/>
    <mergeCell ref="D15:E15"/>
    <mergeCell ref="AB5:AC5"/>
    <mergeCell ref="A2:B2"/>
    <mergeCell ref="A3:A4"/>
    <mergeCell ref="B3:B4"/>
    <mergeCell ref="D3:E4"/>
    <mergeCell ref="F3:F4"/>
    <mergeCell ref="P3:P4"/>
    <mergeCell ref="Q3:Q4"/>
    <mergeCell ref="N3:N4"/>
    <mergeCell ref="AB1:AC2"/>
    <mergeCell ref="O3:O4"/>
    <mergeCell ref="Z3:AA3"/>
    <mergeCell ref="AB15:AC15"/>
    <mergeCell ref="AH5:AH15"/>
    <mergeCell ref="G3:G4"/>
    <mergeCell ref="AB14:AC14"/>
    <mergeCell ref="AB13:AC13"/>
    <mergeCell ref="AB6:AC6"/>
    <mergeCell ref="AB7:AC7"/>
    <mergeCell ref="AB8:AC8"/>
    <mergeCell ref="AB9:AC9"/>
    <mergeCell ref="AB10:AC10"/>
    <mergeCell ref="AB11:AC11"/>
    <mergeCell ref="AB12:AC12"/>
    <mergeCell ref="AH16:AH26"/>
    <mergeCell ref="AB17:AC17"/>
    <mergeCell ref="AB18:AC18"/>
    <mergeCell ref="AB19:AC19"/>
    <mergeCell ref="AB20:AC20"/>
    <mergeCell ref="AB26:AC26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21:AC21"/>
    <mergeCell ref="AB22:AC22"/>
    <mergeCell ref="AB23:AC23"/>
    <mergeCell ref="AB24:AC24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27:A37"/>
    <mergeCell ref="S27:S37"/>
    <mergeCell ref="AB27:AC27"/>
    <mergeCell ref="D37:E37"/>
    <mergeCell ref="S16:S26"/>
    <mergeCell ref="AB16:AC16"/>
    <mergeCell ref="D26:E26"/>
    <mergeCell ref="A16:A26"/>
    <mergeCell ref="A49:A58"/>
    <mergeCell ref="S49:S58"/>
    <mergeCell ref="AB49:AC49"/>
    <mergeCell ref="A38:A48"/>
    <mergeCell ref="S38:S48"/>
    <mergeCell ref="AB38:AC38"/>
    <mergeCell ref="D48:E48"/>
    <mergeCell ref="AB48:AC48"/>
    <mergeCell ref="AB39:AC39"/>
    <mergeCell ref="AB41:AC41"/>
    <mergeCell ref="AB47:AC47"/>
    <mergeCell ref="AB40:AC40"/>
    <mergeCell ref="D58:E58"/>
    <mergeCell ref="A59:A69"/>
    <mergeCell ref="S59:S69"/>
    <mergeCell ref="AB59:AC59"/>
    <mergeCell ref="D69:E69"/>
    <mergeCell ref="AB69:AC69"/>
    <mergeCell ref="AB62:AC62"/>
    <mergeCell ref="AB63:AC63"/>
    <mergeCell ref="AB64:AC64"/>
    <mergeCell ref="AB65:AC65"/>
    <mergeCell ref="AB67:AC67"/>
    <mergeCell ref="AB68:AC68"/>
    <mergeCell ref="A70:A79"/>
    <mergeCell ref="S70:S79"/>
    <mergeCell ref="AB70:AC70"/>
    <mergeCell ref="AH59:AH69"/>
    <mergeCell ref="AB66:AC66"/>
    <mergeCell ref="AH38:AH48"/>
    <mergeCell ref="AB42:AC42"/>
    <mergeCell ref="AB43:AC43"/>
    <mergeCell ref="AB44:AC44"/>
    <mergeCell ref="AB45:AC45"/>
    <mergeCell ref="AB46:AC46"/>
    <mergeCell ref="D79:E79"/>
    <mergeCell ref="AB79:AC7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60:AC60"/>
    <mergeCell ref="AB61:AC61"/>
  </mergeCells>
  <phoneticPr fontId="0" type="noConversion"/>
  <conditionalFormatting sqref="P5:P79">
    <cfRule type="cellIs" dxfId="278" priority="1" operator="greaterThan">
      <formula>0</formula>
    </cfRule>
  </conditionalFormatting>
  <conditionalFormatting sqref="Q5:Q79 AF5:AF79">
    <cfRule type="cellIs" dxfId="277" priority="4" operator="lessThan">
      <formula>0</formula>
    </cfRule>
  </conditionalFormatting>
  <conditionalFormatting sqref="R5:R79 AG5:AG79">
    <cfRule type="cellIs" dxfId="276" priority="2" operator="greaterThan">
      <formula>1</formula>
    </cfRule>
    <cfRule type="cellIs" dxfId="275" priority="3" operator="lessThan">
      <formula>0.8</formula>
    </cfRule>
  </conditionalFormatting>
  <conditionalFormatting sqref="S5:S10 S37:S62 AH59:AH62 S69:S76 AH69:AH76">
    <cfRule type="cellIs" dxfId="274" priority="7" operator="lessThan">
      <formula>0.8</formula>
    </cfRule>
  </conditionalFormatting>
  <conditionalFormatting sqref="S19:S25 AH19:AH25">
    <cfRule type="cellIs" dxfId="273" priority="6" operator="lessThan">
      <formula>0.8</formula>
    </cfRule>
  </conditionalFormatting>
  <conditionalFormatting sqref="S79">
    <cfRule type="cellIs" dxfId="272" priority="5" operator="lessThan">
      <formula>0.8</formula>
    </cfRule>
  </conditionalFormatting>
  <conditionalFormatting sqref="AH5:AH8 S15:S16 AH15:AH16 AH49 AH79">
    <cfRule type="cellIs" dxfId="271" priority="9" operator="lessThan">
      <formula>0.8</formula>
    </cfRule>
  </conditionalFormatting>
  <conditionalFormatting sqref="AH27 S27:S28">
    <cfRule type="cellIs" dxfId="2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93DB2B-FEC8-49F6-9524-7EB1A140B78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F964-EF01-4DB5-A353-514376E659C1}">
  <dimension ref="B1:O26"/>
  <sheetViews>
    <sheetView topLeftCell="A5" zoomScale="70" zoomScaleNormal="70" workbookViewId="0">
      <selection activeCell="D4" sqref="D4:E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46177</v>
      </c>
      <c r="E3" s="510"/>
      <c r="F3" s="3" t="s">
        <v>72</v>
      </c>
      <c r="G3" s="511">
        <f>'0604'!E1</f>
        <v>54358</v>
      </c>
      <c r="H3" s="511"/>
      <c r="I3" s="3" t="s">
        <v>2</v>
      </c>
      <c r="J3" s="512">
        <f>'0604'!G1</f>
        <v>2590135.4810000001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122.70321444622915</v>
      </c>
      <c r="G6" s="507"/>
      <c r="H6" s="508">
        <f>AVERAGE(D13:H13)</f>
        <v>121.27908460820227</v>
      </c>
      <c r="I6" s="508"/>
      <c r="J6" s="508">
        <f>AVERAGE(I13)</f>
        <v>129.82386363636363</v>
      </c>
      <c r="K6" s="508"/>
      <c r="L6" s="516">
        <f>SUM(D18:J18)</f>
        <v>0</v>
      </c>
      <c r="M6" s="499">
        <f>SUM(D19:J19)</f>
        <v>0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111.83919833149362</v>
      </c>
      <c r="G7" s="496"/>
      <c r="H7" s="497">
        <f>AVERAGE(D14:H14)</f>
        <v>110.37441173516611</v>
      </c>
      <c r="I7" s="497"/>
      <c r="J7" s="497">
        <f>AVERAGE(I14)</f>
        <v>119.16313131313126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0.91146103088035768</v>
      </c>
      <c r="G8" s="502"/>
      <c r="H8" s="502">
        <f>H7/H6</f>
        <v>0.91008612154136703</v>
      </c>
      <c r="I8" s="502"/>
      <c r="J8" s="502">
        <f>J7/J6</f>
        <v>0.91788310696796815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VALUE('0604'!L15)</f>
        <v>150</v>
      </c>
      <c r="E13" s="13">
        <f>VALUE('0604'!L26)</f>
        <v>158.32255979314803</v>
      </c>
      <c r="F13" s="13">
        <f>VALUE('0604'!L37)</f>
        <v>94.872863247863251</v>
      </c>
      <c r="G13" s="13">
        <f>VALUE('0604'!L48)</f>
        <v>102.24575163398693</v>
      </c>
      <c r="H13" s="13">
        <f>VALUE('0604'!L58)</f>
        <v>100.95424836601308</v>
      </c>
      <c r="I13" s="13">
        <f>VALUE('0604'!L69)</f>
        <v>129.82386363636363</v>
      </c>
      <c r="J13" s="13">
        <f>'0604'!L79</f>
        <v>0</v>
      </c>
    </row>
    <row r="14" spans="2:15" ht="39.950000000000003" customHeight="1">
      <c r="B14" s="490"/>
      <c r="C14" s="12" t="s">
        <v>100</v>
      </c>
      <c r="D14" s="13">
        <f>VALUE('0604'!O15)</f>
        <v>137.55385578923773</v>
      </c>
      <c r="E14" s="13">
        <f>VALUE('0604'!O26)</f>
        <v>142.6123349488812</v>
      </c>
      <c r="F14" s="13">
        <f>VALUE('0604'!O37)</f>
        <v>89.800143097356141</v>
      </c>
      <c r="G14" s="13">
        <f>VALUE('0604'!O48)</f>
        <v>92.56932300937126</v>
      </c>
      <c r="H14" s="13">
        <f>VALUE('0604'!O58)</f>
        <v>89.336401830984144</v>
      </c>
      <c r="I14" s="13">
        <f>VALUE('0604'!O69)</f>
        <v>119.16313131313126</v>
      </c>
      <c r="J14" s="13">
        <f>'0604'!O79</f>
        <v>0</v>
      </c>
    </row>
    <row r="15" spans="2:15" ht="39.950000000000003" customHeight="1">
      <c r="B15" s="491"/>
      <c r="C15" s="10" t="s">
        <v>26</v>
      </c>
      <c r="D15" s="14">
        <f t="shared" ref="D15:I15" si="1">D14/D13</f>
        <v>0.91702570526158489</v>
      </c>
      <c r="E15" s="14">
        <f t="shared" si="1"/>
        <v>0.90077077540438588</v>
      </c>
      <c r="F15" s="14">
        <f t="shared" si="1"/>
        <v>0.94653138972675244</v>
      </c>
      <c r="G15" s="14">
        <f t="shared" si="1"/>
        <v>0.90536106909111735</v>
      </c>
      <c r="H15" s="14">
        <f t="shared" si="1"/>
        <v>0.88491968665936638</v>
      </c>
      <c r="I15" s="14">
        <f t="shared" si="1"/>
        <v>0.91788310696796815</v>
      </c>
      <c r="J15" s="15">
        <f>'0604'!S70</f>
        <v>0</v>
      </c>
    </row>
    <row r="16" spans="2:15" ht="17.25" customHeight="1">
      <c r="B16" s="492" t="s">
        <v>101</v>
      </c>
      <c r="C16" s="10" t="s">
        <v>34</v>
      </c>
      <c r="D16" s="16">
        <f>'0604'!T5</f>
        <v>0.30486111111111103</v>
      </c>
      <c r="E16" s="16">
        <f>'0604'!T16</f>
        <v>0.29861111111111099</v>
      </c>
      <c r="F16" s="16">
        <f>'0604'!T27</f>
        <v>0.29375000000000001</v>
      </c>
      <c r="G16" s="16">
        <f>'0604'!T38</f>
        <v>0.33333333333333298</v>
      </c>
      <c r="H16" s="16">
        <f>'0604'!T49</f>
        <v>0.29166666666666702</v>
      </c>
      <c r="I16" s="16">
        <f>'0604'!T59</f>
        <v>0.29166666666666702</v>
      </c>
      <c r="J16" s="16">
        <f>'0604'!T70</f>
        <v>0</v>
      </c>
    </row>
    <row r="17" spans="2:10" ht="17.25" customHeight="1">
      <c r="B17" s="493"/>
      <c r="C17" s="10" t="s">
        <v>35</v>
      </c>
      <c r="D17" s="16">
        <v>0.60624999999999996</v>
      </c>
      <c r="E17" s="19">
        <v>0.60416666666666696</v>
      </c>
      <c r="F17" s="19">
        <v>0.54166666666666696</v>
      </c>
      <c r="G17" s="20">
        <v>0.62152777777777801</v>
      </c>
      <c r="H17" s="21">
        <v>0.64583333333333304</v>
      </c>
      <c r="I17" s="22">
        <v>0.60763888888888895</v>
      </c>
      <c r="J17" s="22">
        <v>0</v>
      </c>
    </row>
    <row r="18" spans="2:10" ht="17.25" customHeight="1">
      <c r="B18" s="494" t="s">
        <v>102</v>
      </c>
      <c r="C18" s="330" t="s">
        <v>36</v>
      </c>
      <c r="D18" s="358">
        <f>'0604'!Z15</f>
        <v>0</v>
      </c>
      <c r="E18" s="359">
        <f>'0604'!Z26</f>
        <v>0</v>
      </c>
      <c r="F18" s="359">
        <f>'0604'!Z37</f>
        <v>0</v>
      </c>
      <c r="G18" s="360">
        <f>'0604'!Z48</f>
        <v>0</v>
      </c>
      <c r="H18" s="360">
        <f>'0604'!Z58</f>
        <v>0</v>
      </c>
      <c r="I18" s="359">
        <f>'0604'!Z69</f>
        <v>0</v>
      </c>
      <c r="J18" s="359">
        <f>'0604'!AA79</f>
        <v>0</v>
      </c>
    </row>
    <row r="19" spans="2:10" ht="17.25" customHeight="1">
      <c r="B19" s="495"/>
      <c r="C19" s="330" t="s">
        <v>37</v>
      </c>
      <c r="D19" s="358">
        <f>'0604'!AA15</f>
        <v>0</v>
      </c>
      <c r="E19" s="359">
        <f>'0604'!AA26</f>
        <v>0</v>
      </c>
      <c r="F19" s="359">
        <f>'0604'!AA37</f>
        <v>0</v>
      </c>
      <c r="G19" s="360">
        <f>'0604'!AA48</f>
        <v>0</v>
      </c>
      <c r="H19" s="360">
        <f>'0604'!AA58</f>
        <v>0</v>
      </c>
      <c r="I19" s="359">
        <f>'0604'!AA69</f>
        <v>0</v>
      </c>
      <c r="J19" s="359">
        <f>'0604'!AB79</f>
        <v>0</v>
      </c>
    </row>
    <row r="20" spans="2:10" ht="17.25" customHeight="1">
      <c r="B20" s="494" t="s">
        <v>103</v>
      </c>
      <c r="C20" s="330" t="s">
        <v>36</v>
      </c>
      <c r="D20" s="358">
        <f>'0604'!AD15</f>
        <v>0</v>
      </c>
      <c r="E20" s="359">
        <f>'0604'!AD26</f>
        <v>0</v>
      </c>
      <c r="F20" s="359">
        <f>'0604'!AD37</f>
        <v>0</v>
      </c>
      <c r="G20" s="360">
        <f>'0604'!AD48</f>
        <v>0</v>
      </c>
      <c r="H20" s="360">
        <f>'0604'!AD58</f>
        <v>0</v>
      </c>
      <c r="I20" s="359">
        <f>'0604'!AD69</f>
        <v>0</v>
      </c>
      <c r="J20" s="359">
        <f>'0604'!AD79</f>
        <v>0</v>
      </c>
    </row>
    <row r="21" spans="2:10" ht="17.25" customHeight="1">
      <c r="B21" s="495"/>
      <c r="C21" s="330" t="s">
        <v>85</v>
      </c>
      <c r="D21" s="358">
        <f>'0604'!AE15</f>
        <v>0</v>
      </c>
      <c r="E21" s="359">
        <f>'0604'!AE26</f>
        <v>0</v>
      </c>
      <c r="F21" s="359">
        <f>'0604'!AE37</f>
        <v>0</v>
      </c>
      <c r="G21" s="360">
        <f>'0604'!AE48</f>
        <v>0</v>
      </c>
      <c r="H21" s="360">
        <f>'0604'!AE58</f>
        <v>0</v>
      </c>
      <c r="I21" s="359">
        <f>'0604'!AE69</f>
        <v>0</v>
      </c>
      <c r="J21" s="359">
        <f>'0604'!AE79</f>
        <v>0</v>
      </c>
    </row>
    <row r="22" spans="2:10" ht="17.25" customHeight="1">
      <c r="B22" s="477" t="s">
        <v>104</v>
      </c>
      <c r="C22" s="478"/>
      <c r="D22" s="23">
        <f>VALUE('0604'!M15)</f>
        <v>15</v>
      </c>
      <c r="E22" s="23">
        <f>VALUE('0604'!M26)</f>
        <v>14.333333333333334</v>
      </c>
      <c r="F22" s="23">
        <f>VALUE('0604'!M37)</f>
        <v>16</v>
      </c>
      <c r="G22" s="23">
        <f>VALUE('0604'!M48)</f>
        <v>16</v>
      </c>
      <c r="H22" s="23">
        <f>VALUE('0604'!M58)</f>
        <v>17</v>
      </c>
      <c r="I22" s="23">
        <f>VALUE('0604'!M69)</f>
        <v>12.25</v>
      </c>
      <c r="J22" s="23">
        <f>'0604'!M79</f>
        <v>0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F695E-7C98-44CB-982C-50DDFB095ADF}">
  <sheetPr>
    <tabColor theme="9" tint="0.79998168889431442"/>
  </sheetPr>
  <dimension ref="A1:AJ92"/>
  <sheetViews>
    <sheetView zoomScale="69" zoomScaleNormal="69" workbookViewId="0">
      <pane xSplit="5" ySplit="4" topLeftCell="F35" activePane="bottomRight" state="frozen"/>
      <selection activeCell="U62" sqref="U62"/>
      <selection pane="topRight" activeCell="U62" sqref="U62"/>
      <selection pane="bottomLeft" activeCell="U62" sqref="U62"/>
      <selection pane="bottomRight" activeCell="U62" sqref="U6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54358</v>
      </c>
      <c r="F1" s="30" t="s">
        <v>2</v>
      </c>
      <c r="G1" s="31">
        <f>SUM(H5:H79)</f>
        <v>2590135.4810000001</v>
      </c>
      <c r="H1" s="32" t="s">
        <v>3</v>
      </c>
      <c r="I1" s="33">
        <f>M15+M26+M48+M58+M69+M79+M37</f>
        <v>90.583333333333343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149</v>
      </c>
      <c r="B2" s="381"/>
      <c r="C2" s="28"/>
      <c r="D2" s="28" t="s">
        <v>14</v>
      </c>
      <c r="E2" s="35">
        <f>AVERAGE(O15,O26,O37,O48,O58,O69,O79)</f>
        <v>111.83919833149362</v>
      </c>
      <c r="F2" s="36" t="s">
        <v>15</v>
      </c>
      <c r="G2" s="37">
        <f>G1/E1</f>
        <v>47.649572850362418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2603</v>
      </c>
      <c r="H5" s="43">
        <f>F5*G5</f>
        <v>148032.60999999999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2139.4520547944976</v>
      </c>
      <c r="O5" s="47">
        <f>N5/M5</f>
        <v>142.63013698629985</v>
      </c>
      <c r="P5" s="49">
        <f>M5-J5</f>
        <v>0</v>
      </c>
      <c r="Q5" s="50">
        <f>O5-L5</f>
        <v>-7.3698630137001544</v>
      </c>
      <c r="R5" s="51">
        <f>O5/L5</f>
        <v>0.95086757990866566</v>
      </c>
      <c r="S5" s="439">
        <f>R15</f>
        <v>0.91702570526158489</v>
      </c>
      <c r="T5" s="319">
        <v>0.30486111111111103</v>
      </c>
      <c r="U5" s="320">
        <v>0.35555555555555601</v>
      </c>
      <c r="V5" s="53"/>
      <c r="W5" s="54">
        <f t="shared" ref="W5:W14" si="0">(U5-T5)*24*60</f>
        <v>73.000000000000782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-110.5479452055024</v>
      </c>
      <c r="AG5" s="52">
        <f t="shared" ref="AG5:AG11" si="2">N5/K5</f>
        <v>0.95086757990866555</v>
      </c>
      <c r="AH5" s="403">
        <f>AG15</f>
        <v>0.91702570526158489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2967</v>
      </c>
      <c r="H6" s="63">
        <f>F6*G6</f>
        <v>172590.39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2170.9756097560758</v>
      </c>
      <c r="O6" s="67">
        <f>N6/M6</f>
        <v>144.73170731707171</v>
      </c>
      <c r="P6" s="69">
        <f>M6-J6</f>
        <v>0</v>
      </c>
      <c r="Q6" s="70">
        <f>O6-L6</f>
        <v>-5.2682926829282906</v>
      </c>
      <c r="R6" s="71">
        <f>O6/L6</f>
        <v>0.96487804878047811</v>
      </c>
      <c r="S6" s="440"/>
      <c r="T6" s="16">
        <v>0.36319444444444399</v>
      </c>
      <c r="U6" s="16">
        <v>0.42013888888888901</v>
      </c>
      <c r="V6" s="30">
        <f>(T6-U5)*24*60</f>
        <v>10.999999999998682</v>
      </c>
      <c r="W6" s="73">
        <f t="shared" si="0"/>
        <v>82.000000000000824</v>
      </c>
      <c r="X6" s="22"/>
      <c r="Y6" s="84"/>
      <c r="Z6" s="90"/>
      <c r="AA6" s="90"/>
      <c r="AB6" s="434"/>
      <c r="AC6" s="434"/>
      <c r="AD6" s="149"/>
      <c r="AE6" s="149"/>
      <c r="AF6" s="307">
        <f t="shared" si="1"/>
        <v>-79.024390243924245</v>
      </c>
      <c r="AG6" s="72">
        <f t="shared" si="2"/>
        <v>0.96487804878047811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2446</v>
      </c>
      <c r="H7" s="78">
        <f>F7*G7</f>
        <v>120196.44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1983.2432432432374</v>
      </c>
      <c r="O7" s="81">
        <f>N7/M7</f>
        <v>132.21621621621583</v>
      </c>
      <c r="P7" s="74">
        <f>M7-J7</f>
        <v>0</v>
      </c>
      <c r="Q7" s="83">
        <f>O7-L7</f>
        <v>-17.783783783784173</v>
      </c>
      <c r="R7" s="72">
        <f>O7/L7</f>
        <v>0.88144144144143888</v>
      </c>
      <c r="S7" s="440"/>
      <c r="T7" s="18">
        <v>0.42777777777777798</v>
      </c>
      <c r="U7" s="18">
        <v>0.47916666666666702</v>
      </c>
      <c r="V7" s="30">
        <f>(T7-U6)*24*60</f>
        <v>11.000000000000121</v>
      </c>
      <c r="W7" s="73">
        <f t="shared" si="0"/>
        <v>74.000000000000213</v>
      </c>
      <c r="X7" s="22">
        <v>0.48263888888888901</v>
      </c>
      <c r="Y7" s="84">
        <v>0.53472222222222199</v>
      </c>
      <c r="Z7" s="90"/>
      <c r="AA7" s="90"/>
      <c r="AB7" s="407"/>
      <c r="AC7" s="407"/>
      <c r="AD7" s="92"/>
      <c r="AE7" s="92"/>
      <c r="AF7" s="307">
        <f t="shared" si="1"/>
        <v>-266.75675675676257</v>
      </c>
      <c r="AG7" s="72">
        <f t="shared" si="2"/>
        <v>0.88144144144143888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2972</v>
      </c>
      <c r="H8" s="78">
        <f>F8*G8</f>
        <v>146044.07999999999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1959.5604395604535</v>
      </c>
      <c r="O8" s="81">
        <f>N8/M8</f>
        <v>130.63736263736357</v>
      </c>
      <c r="P8" s="74">
        <f>M8-J8</f>
        <v>0</v>
      </c>
      <c r="Q8" s="83">
        <f>O8-L8</f>
        <v>-19.362637362636434</v>
      </c>
      <c r="R8" s="72">
        <f>O8/L8</f>
        <v>0.87091575091575713</v>
      </c>
      <c r="S8" s="440"/>
      <c r="T8" s="16">
        <v>0.54305555555555596</v>
      </c>
      <c r="U8" s="16">
        <v>0.60624999999999996</v>
      </c>
      <c r="V8" s="30">
        <f>(T8-U7)*24*60</f>
        <v>92.000000000000071</v>
      </c>
      <c r="W8" s="73">
        <f t="shared" si="0"/>
        <v>90.999999999999361</v>
      </c>
      <c r="X8" s="22"/>
      <c r="Y8" s="84"/>
      <c r="Z8" s="90"/>
      <c r="AA8" s="90"/>
      <c r="AB8" s="434"/>
      <c r="AC8" s="434"/>
      <c r="AD8" s="149"/>
      <c r="AE8" s="149"/>
      <c r="AF8" s="307">
        <f t="shared" si="1"/>
        <v>-290.43956043954654</v>
      </c>
      <c r="AG8" s="72">
        <f t="shared" si="2"/>
        <v>0.87091575091575713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0</v>
      </c>
      <c r="AG9" s="72" t="e">
        <f t="shared" si="2"/>
        <v>#DIV/0!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2063.3078368385659</v>
      </c>
      <c r="O15" s="117">
        <f t="shared" si="3"/>
        <v>137.55385578923773</v>
      </c>
      <c r="P15" s="121">
        <f>M15-J15</f>
        <v>0</v>
      </c>
      <c r="Q15" s="122">
        <f>O15-L15</f>
        <v>-12.44614421076227</v>
      </c>
      <c r="R15" s="123">
        <f>O15/L15</f>
        <v>0.91702570526158489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-186.69216316143411</v>
      </c>
      <c r="AG15" s="124">
        <f>N15/K15</f>
        <v>0.91702570526158489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2076</v>
      </c>
      <c r="H16" s="134">
        <f>F16*G16</f>
        <v>105190.92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2075.9999999999827</v>
      </c>
      <c r="O16" s="141">
        <f>N16/M16</f>
        <v>148.28571428571306</v>
      </c>
      <c r="P16" s="142">
        <f>M16-J16</f>
        <v>0</v>
      </c>
      <c r="Q16" s="143">
        <f>O16-L16</f>
        <v>-12.428571428572667</v>
      </c>
      <c r="R16" s="144">
        <f>O16/L16</f>
        <v>0.92266666666665897</v>
      </c>
      <c r="S16" s="425">
        <f>R26</f>
        <v>0.90077077540438588</v>
      </c>
      <c r="T16" s="145">
        <v>0.29861111111111099</v>
      </c>
      <c r="U16" s="145">
        <v>0.34027777777777801</v>
      </c>
      <c r="V16" s="135"/>
      <c r="W16" s="146">
        <f t="shared" ref="W16:W78" si="4">(U16-T16)*24*60</f>
        <v>60.000000000000504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-174.00000000001728</v>
      </c>
      <c r="AG16" s="52">
        <f>N16/K16</f>
        <v>0.92266666666665897</v>
      </c>
      <c r="AH16" s="403">
        <f>AG26</f>
        <v>0.89824153793988937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1909</v>
      </c>
      <c r="H17" s="78">
        <f>F17*G17</f>
        <v>109213.89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1877.7049180327911</v>
      </c>
      <c r="O17" s="96">
        <f>N17/M17</f>
        <v>110.45323047251712</v>
      </c>
      <c r="P17" s="97">
        <f>M17-J17</f>
        <v>0</v>
      </c>
      <c r="Q17" s="98">
        <f>O17-L17</f>
        <v>-21.89971070395346</v>
      </c>
      <c r="R17" s="99">
        <f>O17/L17</f>
        <v>0.83453551912568491</v>
      </c>
      <c r="S17" s="426"/>
      <c r="T17" s="19">
        <v>0.34513888888888899</v>
      </c>
      <c r="U17" s="19">
        <v>0.38750000000000001</v>
      </c>
      <c r="V17" s="30">
        <f>(T17-U16)*24*60</f>
        <v>6.9999999999998153</v>
      </c>
      <c r="W17" s="149">
        <f t="shared" si="4"/>
        <v>60.999999999999865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-372.29508196720894</v>
      </c>
      <c r="AG17" s="72">
        <f>N17/K17</f>
        <v>0.83453551912568491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1188</v>
      </c>
      <c r="H18" s="78">
        <f>F18*G18</f>
        <v>67252.679999999993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2036.5714285713893</v>
      </c>
      <c r="O18" s="96">
        <f>N18/M18</f>
        <v>135.77142857142596</v>
      </c>
      <c r="P18" s="97">
        <f>M18-J18</f>
        <v>0</v>
      </c>
      <c r="Q18" s="98">
        <f>O18-L18</f>
        <v>-14.228571428574043</v>
      </c>
      <c r="R18" s="99">
        <f>O18/L18</f>
        <v>0.90514285714283971</v>
      </c>
      <c r="S18" s="426"/>
      <c r="T18" s="19">
        <v>0.39444444444444399</v>
      </c>
      <c r="U18" s="19">
        <v>0.41875000000000001</v>
      </c>
      <c r="V18" s="30">
        <f>(T18-U17)*24*60</f>
        <v>9.999999999999325</v>
      </c>
      <c r="W18" s="149">
        <f t="shared" si="4"/>
        <v>35.000000000000675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-213.42857142861067</v>
      </c>
      <c r="AG18" s="72">
        <f>N18/K18</f>
        <v>0.90514285714283971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2561</v>
      </c>
      <c r="H19" s="78">
        <f t="shared" ref="H19:H21" si="5">F19*G19</f>
        <v>129048.79000000001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1995.5844155843854</v>
      </c>
      <c r="O19" s="96">
        <f t="shared" ref="O19:O21" si="8">N19/M19</f>
        <v>153.50649350649118</v>
      </c>
      <c r="P19" s="97">
        <f t="shared" ref="P19:P21" si="9">M19-J19</f>
        <v>0</v>
      </c>
      <c r="Q19" s="98">
        <f t="shared" ref="Q19:Q21" si="10">O19-L19</f>
        <v>-19.570429570431884</v>
      </c>
      <c r="R19" s="99">
        <f t="shared" ref="R19:R21" si="11">O19/L19</f>
        <v>0.88692640692639357</v>
      </c>
      <c r="S19" s="426"/>
      <c r="T19" s="19">
        <v>0.42569444444444399</v>
      </c>
      <c r="U19" s="19">
        <v>0.47916666666666702</v>
      </c>
      <c r="V19" s="30">
        <f>(T19-U18)*24*60</f>
        <v>9.999999999999325</v>
      </c>
      <c r="W19" s="149">
        <f t="shared" si="4"/>
        <v>77.000000000001165</v>
      </c>
      <c r="X19" s="22">
        <v>0.48611111111111099</v>
      </c>
      <c r="Y19" s="84">
        <v>0.53472222222222199</v>
      </c>
      <c r="Z19" s="90"/>
      <c r="AA19" s="90"/>
      <c r="AB19" s="434"/>
      <c r="AC19" s="434"/>
      <c r="AD19" s="149"/>
      <c r="AE19" s="149"/>
      <c r="AF19" s="307">
        <f>N19-K19</f>
        <v>-254.4155844156146</v>
      </c>
      <c r="AG19" s="72">
        <f>N19/K19</f>
        <v>0.88692640692639346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1807</v>
      </c>
      <c r="H20" s="78">
        <f t="shared" si="5"/>
        <v>91054.73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2168.4000000000151</v>
      </c>
      <c r="O20" s="96">
        <f t="shared" si="8"/>
        <v>166.80000000000115</v>
      </c>
      <c r="P20" s="97">
        <f t="shared" si="9"/>
        <v>0</v>
      </c>
      <c r="Q20" s="98">
        <f t="shared" si="10"/>
        <v>-6.2769230769219178</v>
      </c>
      <c r="R20" s="99">
        <f t="shared" si="11"/>
        <v>0.96373333333333999</v>
      </c>
      <c r="S20" s="426"/>
      <c r="T20" s="19">
        <v>0.54166666666666696</v>
      </c>
      <c r="U20" s="19">
        <v>0.57638888888888895</v>
      </c>
      <c r="V20" s="30">
        <f>(T20-U19)*24*60</f>
        <v>89.999999999999915</v>
      </c>
      <c r="W20" s="149">
        <f t="shared" si="4"/>
        <v>49.999999999999659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v>986</v>
      </c>
      <c r="H21" s="78">
        <f t="shared" si="5"/>
        <v>49960.62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1971.9999999999438</v>
      </c>
      <c r="O21" s="96">
        <f t="shared" si="8"/>
        <v>140.85714285713885</v>
      </c>
      <c r="P21" s="97">
        <f t="shared" si="9"/>
        <v>0</v>
      </c>
      <c r="Q21" s="98">
        <f t="shared" si="10"/>
        <v>-19.857142857146869</v>
      </c>
      <c r="R21" s="99">
        <f t="shared" si="11"/>
        <v>0.87644444444441949</v>
      </c>
      <c r="S21" s="426"/>
      <c r="T21" s="19">
        <v>0.58333333333333304</v>
      </c>
      <c r="U21" s="19">
        <v>0.60416666666666696</v>
      </c>
      <c r="V21" s="30">
        <f>(T21-U20)*24*60</f>
        <v>9.9999999999994849</v>
      </c>
      <c r="W21" s="149">
        <f t="shared" si="4"/>
        <v>30.000000000000853</v>
      </c>
      <c r="X21" s="92"/>
      <c r="Y21" s="298"/>
      <c r="Z21" s="90"/>
      <c r="AA21" s="90"/>
      <c r="AB21" s="407" t="s">
        <v>140</v>
      </c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 t="s">
        <v>145</v>
      </c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9"/>
      <c r="U22" s="19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4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2">AVERAGE(J16:J25)</f>
        <v>14.333333333333334</v>
      </c>
      <c r="K26" s="155">
        <f t="shared" si="12"/>
        <v>2250</v>
      </c>
      <c r="L26" s="158">
        <f t="shared" si="12"/>
        <v>158.32255979314803</v>
      </c>
      <c r="M26" s="155">
        <f t="shared" si="12"/>
        <v>14.333333333333334</v>
      </c>
      <c r="N26" s="155">
        <f t="shared" si="12"/>
        <v>2021.0434603647511</v>
      </c>
      <c r="O26" s="158">
        <f t="shared" si="12"/>
        <v>142.6123349488812</v>
      </c>
      <c r="P26" s="159">
        <f>M26-J26</f>
        <v>0</v>
      </c>
      <c r="Q26" s="160">
        <f>O26-L26</f>
        <v>-15.710224844266833</v>
      </c>
      <c r="R26" s="161">
        <f>O26/L26</f>
        <v>0.90077077540438588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3">N26-K26</f>
        <v>-228.95653963524887</v>
      </c>
      <c r="AG26" s="124">
        <f t="shared" ref="AG26:AG31" si="14">N26/K26</f>
        <v>0.89824153793988937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50.67</v>
      </c>
      <c r="G27" s="169">
        <v>1432</v>
      </c>
      <c r="H27" s="134">
        <f>F27*G27</f>
        <v>72559.44</v>
      </c>
      <c r="I27" s="135"/>
      <c r="J27" s="136">
        <f>VLOOKUP(D27,產線配置圖!$A$3:$C$40,2,0)</f>
        <v>13</v>
      </c>
      <c r="K27" s="137">
        <f>VLOOKUP(D27,產線配置圖!$A$3:$C$40,3,0)</f>
        <v>1440</v>
      </c>
      <c r="L27" s="138">
        <f>K27/J27</f>
        <v>110.76923076923077</v>
      </c>
      <c r="M27" s="170">
        <v>13</v>
      </c>
      <c r="N27" s="140">
        <f>G27/W27*60</f>
        <v>1363.8095238095234</v>
      </c>
      <c r="O27" s="141">
        <f>N27/M27</f>
        <v>104.90842490842488</v>
      </c>
      <c r="P27" s="142">
        <f>M27-J27</f>
        <v>0</v>
      </c>
      <c r="Q27" s="143">
        <f>O27-L27</f>
        <v>-5.8608058608058968</v>
      </c>
      <c r="R27" s="144">
        <f>O27/L27</f>
        <v>0.94708994708994676</v>
      </c>
      <c r="S27" s="425">
        <f>R37</f>
        <v>0.94653138972675244</v>
      </c>
      <c r="T27" s="171">
        <v>0.29375000000000001</v>
      </c>
      <c r="U27" s="171">
        <v>0.33750000000000002</v>
      </c>
      <c r="V27" s="135"/>
      <c r="W27" s="146">
        <f t="shared" si="4"/>
        <v>63.000000000000014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13"/>
        <v>-76.190476190476602</v>
      </c>
      <c r="AG27" s="172">
        <f t="shared" si="14"/>
        <v>0.94708994708994676</v>
      </c>
      <c r="AH27" s="403">
        <f>AG37</f>
        <v>0.90597037294671323</v>
      </c>
    </row>
    <row r="28" spans="1:34" ht="15" customHeight="1">
      <c r="A28" s="457"/>
      <c r="B28" s="75" t="s">
        <v>81</v>
      </c>
      <c r="C28" s="173"/>
      <c r="D28" s="59" t="s">
        <v>122</v>
      </c>
      <c r="E28" s="104"/>
      <c r="F28" s="75">
        <f>VLOOKUP(D28,廠價表!$C$1:$E$43,3,0)</f>
        <v>57.21</v>
      </c>
      <c r="G28" s="90">
        <v>973</v>
      </c>
      <c r="H28" s="91">
        <f>F28*G28</f>
        <v>55665.33</v>
      </c>
      <c r="I28" s="92"/>
      <c r="J28" s="79">
        <f>VLOOKUP(D28,產線配置圖!$A$3:$C$40,2,0)</f>
        <v>18</v>
      </c>
      <c r="K28" s="80">
        <f>VLOOKUP(D28,產線配置圖!$A$3:$C$40,3,0)</f>
        <v>1565</v>
      </c>
      <c r="L28" s="93">
        <f>K28/J28</f>
        <v>86.944444444444443</v>
      </c>
      <c r="M28" s="94">
        <v>17</v>
      </c>
      <c r="N28" s="95">
        <f>G28/W28*60</f>
        <v>1389.9999999999839</v>
      </c>
      <c r="O28" s="96">
        <f>N28/M28</f>
        <v>81.76470588235199</v>
      </c>
      <c r="P28" s="97">
        <f>M28-J28</f>
        <v>-1</v>
      </c>
      <c r="Q28" s="98">
        <f>O28-L28</f>
        <v>-5.179738562092453</v>
      </c>
      <c r="R28" s="99">
        <f>O28/L28</f>
        <v>0.9404247321931859</v>
      </c>
      <c r="S28" s="426"/>
      <c r="T28" s="19">
        <v>0.34375</v>
      </c>
      <c r="U28" s="19">
        <v>0.37291666666666701</v>
      </c>
      <c r="V28" s="92">
        <f>(T28-U27)*24*60</f>
        <v>8.999999999999968</v>
      </c>
      <c r="W28" s="149">
        <f t="shared" si="4"/>
        <v>42.00000000000049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13"/>
        <v>-175.00000000001614</v>
      </c>
      <c r="AG28" s="99">
        <f t="shared" si="14"/>
        <v>0.88817891373800884</v>
      </c>
      <c r="AH28" s="445"/>
    </row>
    <row r="29" spans="1:34" ht="15" customHeight="1">
      <c r="A29" s="457"/>
      <c r="B29" s="75" t="s">
        <v>81</v>
      </c>
      <c r="C29" s="88"/>
      <c r="D29" s="59" t="s">
        <v>124</v>
      </c>
      <c r="E29" s="89"/>
      <c r="F29" s="75">
        <f>VLOOKUP(D29,廠價表!$C$1:$E$43,3,0)</f>
        <v>57.21</v>
      </c>
      <c r="G29" s="90">
        <v>2809</v>
      </c>
      <c r="H29" s="91">
        <f t="shared" ref="H29:H30" si="15">F29*G29</f>
        <v>160702.89000000001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 t="shared" ref="L29:L30" si="16">K29/J29</f>
        <v>90.888888888888886</v>
      </c>
      <c r="M29" s="94">
        <v>17</v>
      </c>
      <c r="N29" s="95">
        <f t="shared" ref="N29:N30" si="17">G29/W29*60</f>
        <v>1478.4210526315728</v>
      </c>
      <c r="O29" s="96">
        <f t="shared" ref="O29:O30" si="18">N29/M29</f>
        <v>86.965944272445455</v>
      </c>
      <c r="P29" s="97">
        <f t="shared" ref="P29:P30" si="19">M29-J29</f>
        <v>-1</v>
      </c>
      <c r="Q29" s="98">
        <f t="shared" ref="Q29:Q30" si="20">O29-L29</f>
        <v>-3.9229446164434307</v>
      </c>
      <c r="R29" s="99">
        <f t="shared" ref="R29:R30" si="21">O29/L29</f>
        <v>0.95683801766749277</v>
      </c>
      <c r="S29" s="426"/>
      <c r="T29" s="19">
        <v>0.37708333333333299</v>
      </c>
      <c r="U29" s="19">
        <v>0.45624999999999999</v>
      </c>
      <c r="V29" s="92">
        <f>(T29-U28)*24*60</f>
        <v>5.9999999999990195</v>
      </c>
      <c r="W29" s="149">
        <f t="shared" si="4"/>
        <v>114.00000000000047</v>
      </c>
      <c r="X29" s="22">
        <v>0.46180555555555602</v>
      </c>
      <c r="Y29" s="84">
        <v>0.51388888888888895</v>
      </c>
      <c r="Z29" s="90"/>
      <c r="AA29" s="90"/>
      <c r="AB29" s="407"/>
      <c r="AC29" s="407"/>
      <c r="AD29" s="92"/>
      <c r="AE29" s="92"/>
      <c r="AF29" s="312">
        <f t="shared" si="13"/>
        <v>-157.57894736842718</v>
      </c>
      <c r="AG29" s="99">
        <f t="shared" si="14"/>
        <v>0.90368035001929881</v>
      </c>
      <c r="AH29" s="445"/>
    </row>
    <row r="30" spans="1:34" ht="15" customHeight="1">
      <c r="A30" s="457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800</v>
      </c>
      <c r="H30" s="91">
        <f t="shared" si="15"/>
        <v>45768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si="16"/>
        <v>90.888888888888886</v>
      </c>
      <c r="M30" s="94">
        <v>17</v>
      </c>
      <c r="N30" s="95">
        <f t="shared" si="17"/>
        <v>1454.5454545454386</v>
      </c>
      <c r="O30" s="96">
        <f t="shared" si="18"/>
        <v>85.561497326202272</v>
      </c>
      <c r="P30" s="97">
        <f t="shared" si="19"/>
        <v>-1</v>
      </c>
      <c r="Q30" s="98">
        <f t="shared" si="20"/>
        <v>-5.3273915626866142</v>
      </c>
      <c r="R30" s="99">
        <f t="shared" si="21"/>
        <v>0.94138566740320351</v>
      </c>
      <c r="S30" s="426"/>
      <c r="T30" s="19">
        <v>0.51875000000000004</v>
      </c>
      <c r="U30" s="19">
        <v>0.54166666666666696</v>
      </c>
      <c r="V30" s="92">
        <f>(T30-U29)*24*60</f>
        <v>90.000000000000085</v>
      </c>
      <c r="W30" s="149">
        <f t="shared" si="4"/>
        <v>33.000000000000362</v>
      </c>
      <c r="X30" s="174"/>
      <c r="Y30" s="301"/>
      <c r="Z30" s="335"/>
      <c r="AA30" s="335"/>
      <c r="AB30" s="407"/>
      <c r="AC30" s="407"/>
      <c r="AD30" s="92"/>
      <c r="AE30" s="92"/>
      <c r="AF30" s="312">
        <f t="shared" si="13"/>
        <v>-181.45454545456141</v>
      </c>
      <c r="AG30" s="99">
        <f t="shared" si="14"/>
        <v>0.88908646365858102</v>
      </c>
      <c r="AH30" s="446"/>
    </row>
    <row r="31" spans="1:34" ht="15" customHeight="1">
      <c r="A31" s="457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6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3"/>
        <v>0</v>
      </c>
      <c r="AG31" s="99" t="e">
        <f t="shared" si="14"/>
        <v>#DIV/0!</v>
      </c>
      <c r="AH31" s="405"/>
    </row>
    <row r="32" spans="1:34" ht="15" customHeight="1">
      <c r="A32" s="457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2">AVERAGE(J27:J36)</f>
        <v>16.75</v>
      </c>
      <c r="K37" s="155">
        <f t="shared" si="22"/>
        <v>1569.25</v>
      </c>
      <c r="L37" s="158">
        <f t="shared" si="22"/>
        <v>94.872863247863251</v>
      </c>
      <c r="M37" s="155">
        <f t="shared" si="22"/>
        <v>16</v>
      </c>
      <c r="N37" s="155">
        <f t="shared" si="22"/>
        <v>1421.6940077466297</v>
      </c>
      <c r="O37" s="158">
        <f t="shared" si="22"/>
        <v>89.800143097356141</v>
      </c>
      <c r="P37" s="159">
        <f>M37-J37</f>
        <v>-0.75</v>
      </c>
      <c r="Q37" s="160">
        <f>N37-K37</f>
        <v>-147.55599225337028</v>
      </c>
      <c r="R37" s="161">
        <f>O37/L37</f>
        <v>0.94653138972675244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-147.55599225337028</v>
      </c>
      <c r="AG37" s="124">
        <f>N37/K37</f>
        <v>0.90597037294671323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2777</v>
      </c>
      <c r="H38" s="134">
        <f>F38*G38</f>
        <v>138600.06999999998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14</v>
      </c>
      <c r="N38" s="140">
        <f>G38/W38*60</f>
        <v>1514.7272727272705</v>
      </c>
      <c r="O38" s="141">
        <f>N38/M38</f>
        <v>108.19480519480503</v>
      </c>
      <c r="P38" s="142">
        <f>M38-J38</f>
        <v>-1</v>
      </c>
      <c r="Q38" s="143">
        <f>O38-L38</f>
        <v>-6.0718614718616379</v>
      </c>
      <c r="R38" s="144">
        <f>O38/L38</f>
        <v>0.94686235584718514</v>
      </c>
      <c r="S38" s="453">
        <f>R48</f>
        <v>0.90536106909111735</v>
      </c>
      <c r="T38" s="191">
        <v>0.33333333333333298</v>
      </c>
      <c r="U38" s="191">
        <v>0.40972222222222199</v>
      </c>
      <c r="V38" s="192"/>
      <c r="W38" s="193">
        <f t="shared" si="4"/>
        <v>110.00000000000017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-199.27272727272953</v>
      </c>
      <c r="AG38" s="195">
        <f>N38/K38</f>
        <v>0.88373819879070625</v>
      </c>
      <c r="AH38" s="459">
        <f>AG48</f>
        <v>0.88175913716275967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2521</v>
      </c>
      <c r="H39" s="91">
        <f>F39*G39</f>
        <v>111680.29999999999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1482.9411764705958</v>
      </c>
      <c r="O39" s="203">
        <f>N39/M39</f>
        <v>87.23183391003505</v>
      </c>
      <c r="P39" s="97">
        <f>M39-J39</f>
        <v>0</v>
      </c>
      <c r="Q39" s="98">
        <f>O39-L39</f>
        <v>-9.003460207612008</v>
      </c>
      <c r="R39" s="99">
        <f>O39/L39</f>
        <v>0.90644326190134217</v>
      </c>
      <c r="S39" s="454"/>
      <c r="T39" s="20">
        <v>0.41666666666666702</v>
      </c>
      <c r="U39" s="20">
        <v>0.48749999999999999</v>
      </c>
      <c r="V39" s="92">
        <f>(T39-U38)*24*60</f>
        <v>10.000000000000844</v>
      </c>
      <c r="W39" s="205">
        <f t="shared" si="4"/>
        <v>101.99999999999947</v>
      </c>
      <c r="X39" s="22">
        <v>0.49305555555555602</v>
      </c>
      <c r="Y39" s="84">
        <v>0.53472222222222199</v>
      </c>
      <c r="Z39" s="90"/>
      <c r="AA39" s="90"/>
      <c r="AB39" s="462"/>
      <c r="AC39" s="462"/>
      <c r="AD39" s="200"/>
      <c r="AE39" s="200"/>
      <c r="AF39" s="314">
        <f>N39-K39</f>
        <v>-153.05882352940421</v>
      </c>
      <c r="AG39" s="206">
        <f>N39/K39</f>
        <v>0.90644326190134217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2681</v>
      </c>
      <c r="H40" s="91">
        <f>F40*G40</f>
        <v>118768.29999999999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1398.7826086956532</v>
      </c>
      <c r="O40" s="203">
        <f>N40/M40</f>
        <v>82.281329923273717</v>
      </c>
      <c r="P40" s="97">
        <f>M40-J40</f>
        <v>0</v>
      </c>
      <c r="Q40" s="98">
        <f>O40-L40</f>
        <v>-13.953964194373341</v>
      </c>
      <c r="R40" s="99">
        <f>O40/L40</f>
        <v>0.85500159455724523</v>
      </c>
      <c r="S40" s="440"/>
      <c r="T40" s="20">
        <v>0.54166666666666696</v>
      </c>
      <c r="U40" s="20">
        <v>0.62152777777777801</v>
      </c>
      <c r="V40" s="92">
        <f>(T40-U39)*24*60</f>
        <v>78.000000000000441</v>
      </c>
      <c r="W40" s="205">
        <f t="shared" si="4"/>
        <v>114.99999999999991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-237.21739130434685</v>
      </c>
      <c r="AG40" s="206">
        <f>N40/K40</f>
        <v>0.85500159455724523</v>
      </c>
      <c r="AH40" s="460"/>
    </row>
    <row r="41" spans="1:34" ht="15" customHeight="1">
      <c r="A41" s="45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40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0</v>
      </c>
      <c r="AG41" s="206" t="e">
        <f>N41/K41</f>
        <v>#DIV/0!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3">AVERAGE(J38:J47)</f>
        <v>16.333333333333332</v>
      </c>
      <c r="K48" s="155">
        <f t="shared" si="23"/>
        <v>1662</v>
      </c>
      <c r="L48" s="158">
        <f t="shared" si="23"/>
        <v>102.24575163398693</v>
      </c>
      <c r="M48" s="155">
        <f t="shared" si="23"/>
        <v>16</v>
      </c>
      <c r="N48" s="155">
        <f t="shared" si="23"/>
        <v>1465.4836859645065</v>
      </c>
      <c r="O48" s="158">
        <f t="shared" si="23"/>
        <v>92.56932300937126</v>
      </c>
      <c r="P48" s="221">
        <f>M48-J48</f>
        <v>-0.33333333333333215</v>
      </c>
      <c r="Q48" s="222">
        <f>N48-K48</f>
        <v>-196.51631403549345</v>
      </c>
      <c r="R48" s="223">
        <f>O48/L48</f>
        <v>0.90536106909111735</v>
      </c>
      <c r="S48" s="443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24">N48-K48</f>
        <v>-196.51631403549345</v>
      </c>
      <c r="AG48" s="162">
        <f t="shared" ref="AG48:AG53" si="25">N48/K48</f>
        <v>0.88175913716275967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1995</v>
      </c>
      <c r="H49" s="134">
        <f>F49*G49</f>
        <v>98792.400000000009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1575.0000000000239</v>
      </c>
      <c r="O49" s="141">
        <f>N49/M49</f>
        <v>92.647058823530813</v>
      </c>
      <c r="P49" s="229">
        <f>M49-J49</f>
        <v>0</v>
      </c>
      <c r="Q49" s="230">
        <f>O49-L49</f>
        <v>-13.235294117645651</v>
      </c>
      <c r="R49" s="52">
        <f>O49/L49</f>
        <v>0.87500000000001332</v>
      </c>
      <c r="S49" s="439">
        <f>R58</f>
        <v>0.88491968665936638</v>
      </c>
      <c r="T49" s="191">
        <v>0.29166666666666702</v>
      </c>
      <c r="U49" s="191">
        <v>0.344444444444444</v>
      </c>
      <c r="V49" s="55"/>
      <c r="W49" s="193">
        <f t="shared" si="4"/>
        <v>75.999999999998849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24"/>
        <v>-224.99999999997613</v>
      </c>
      <c r="AG49" s="52">
        <f t="shared" si="25"/>
        <v>0.87500000000001321</v>
      </c>
      <c r="AH49" s="403">
        <f>AG58</f>
        <v>0.88750839990500674</v>
      </c>
    </row>
    <row r="50" spans="1:34" ht="15" customHeight="1">
      <c r="A50" s="469"/>
      <c r="B50" s="75" t="s">
        <v>81</v>
      </c>
      <c r="C50" s="76"/>
      <c r="D50" s="59" t="s">
        <v>132</v>
      </c>
      <c r="E50" s="77"/>
      <c r="F50" s="75">
        <f>VLOOKUP(D50,廠價表!$C$1:$E$43,3,0)</f>
        <v>49.97</v>
      </c>
      <c r="G50" s="202">
        <v>2391</v>
      </c>
      <c r="H50" s="231">
        <f>F50*G50</f>
        <v>119478.27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1478.9690721649499</v>
      </c>
      <c r="O50" s="235">
        <f>N50/M50</f>
        <v>92.43556701030937</v>
      </c>
      <c r="P50" s="74">
        <f>M50-J50</f>
        <v>0</v>
      </c>
      <c r="Q50" s="83">
        <f>O50-L50</f>
        <v>-20.06443298969063</v>
      </c>
      <c r="R50" s="72">
        <f>O50/L50</f>
        <v>0.82164948453608333</v>
      </c>
      <c r="S50" s="440"/>
      <c r="T50" s="21">
        <v>0.35138888888888897</v>
      </c>
      <c r="U50" s="21">
        <v>0.41875000000000001</v>
      </c>
      <c r="V50" s="30">
        <f>(T50-U49)*24*60</f>
        <v>10.000000000000764</v>
      </c>
      <c r="W50" s="236">
        <f t="shared" si="4"/>
        <v>96.999999999999901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24"/>
        <v>-321.03092783505008</v>
      </c>
      <c r="AG50" s="72">
        <f t="shared" si="25"/>
        <v>0.82164948453608333</v>
      </c>
      <c r="AH50" s="404"/>
    </row>
    <row r="51" spans="1:34" ht="15" customHeight="1">
      <c r="A51" s="469"/>
      <c r="B51" s="75" t="s">
        <v>81</v>
      </c>
      <c r="C51" s="76"/>
      <c r="D51" s="59" t="s">
        <v>133</v>
      </c>
      <c r="E51" s="77"/>
      <c r="F51" s="75">
        <f>VLOOKUP(D51,廠價表!$C$1:$E$43,3,0)</f>
        <v>50.289000000000001</v>
      </c>
      <c r="G51" s="202">
        <v>1097</v>
      </c>
      <c r="H51" s="231">
        <f>F51*G51</f>
        <v>55167.033000000003</v>
      </c>
      <c r="I51" s="232"/>
      <c r="J51" s="79">
        <f>VLOOKUP(D51,產線配置圖!$A$3:$C$40,2,0)</f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1495.9090909090692</v>
      </c>
      <c r="O51" s="235">
        <f>N51/M51</f>
        <v>83.106060606059401</v>
      </c>
      <c r="P51" s="74">
        <f>M51-J51</f>
        <v>0</v>
      </c>
      <c r="Q51" s="83">
        <f>O51-L51</f>
        <v>-3.8383838383850417</v>
      </c>
      <c r="R51" s="72">
        <f>O51/L51</f>
        <v>0.95585245425499632</v>
      </c>
      <c r="S51" s="440"/>
      <c r="T51" s="21">
        <v>0.42569444444444399</v>
      </c>
      <c r="U51" s="19">
        <v>0.45624999999999999</v>
      </c>
      <c r="V51" s="30">
        <f>(T51-U50)*24*60</f>
        <v>9.999999999999325</v>
      </c>
      <c r="W51" s="236">
        <f t="shared" si="4"/>
        <v>44.000000000000639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24"/>
        <v>-69.090909090930836</v>
      </c>
      <c r="AG51" s="72">
        <f t="shared" si="25"/>
        <v>0.95585245425499632</v>
      </c>
      <c r="AH51" s="404"/>
    </row>
    <row r="52" spans="1:34" ht="15" customHeight="1">
      <c r="A52" s="469"/>
      <c r="B52" s="75" t="s">
        <v>81</v>
      </c>
      <c r="C52" s="86"/>
      <c r="D52" s="59" t="s">
        <v>133</v>
      </c>
      <c r="E52" s="87"/>
      <c r="F52" s="75">
        <f>VLOOKUP(D52,廠價表!$C$1:$E$43,3,0)</f>
        <v>50.289000000000001</v>
      </c>
      <c r="G52" s="202">
        <v>1902</v>
      </c>
      <c r="H52" s="231">
        <f t="shared" ref="H52:H53" si="26">F52*G52</f>
        <v>95649.678</v>
      </c>
      <c r="I52" s="232"/>
      <c r="J52" s="79">
        <f>VLOOKUP(D52,產線配置圖!$A$3:$C$40,2,0)</f>
        <v>18</v>
      </c>
      <c r="K52" s="80">
        <f>VLOOKUP(D52,產線配置圖!$A$3:$C$40,3,0)</f>
        <v>1565</v>
      </c>
      <c r="L52" s="81">
        <f t="shared" ref="L52:L53" si="27">K52/J52</f>
        <v>86.944444444444443</v>
      </c>
      <c r="M52" s="233">
        <v>18</v>
      </c>
      <c r="N52" s="234">
        <f t="shared" ref="N52:N53" si="28">G52/W52*60</f>
        <v>1482.0779220779273</v>
      </c>
      <c r="O52" s="235">
        <f t="shared" ref="O52:O53" si="29">N52/M52</f>
        <v>82.337662337662621</v>
      </c>
      <c r="P52" s="74">
        <f t="shared" ref="P52:P53" si="30">M52-J52</f>
        <v>0</v>
      </c>
      <c r="Q52" s="83">
        <f t="shared" ref="Q52:Q53" si="31">O52-L52</f>
        <v>-4.6067821067818215</v>
      </c>
      <c r="R52" s="72">
        <f t="shared" ref="R52:R53" si="32">O52/L52</f>
        <v>0.94701464669516111</v>
      </c>
      <c r="S52" s="440"/>
      <c r="T52" s="21">
        <v>0.51249999999999996</v>
      </c>
      <c r="U52" s="21">
        <v>0.56597222222222199</v>
      </c>
      <c r="V52" s="30">
        <f>(T52-U51)*24*60</f>
        <v>80.999999999999957</v>
      </c>
      <c r="W52" s="236">
        <f t="shared" si="4"/>
        <v>76.99999999999973</v>
      </c>
      <c r="X52" s="22">
        <v>0.46527777777777801</v>
      </c>
      <c r="Y52" s="84">
        <v>0.50694444444444398</v>
      </c>
      <c r="Z52" s="90"/>
      <c r="AA52" s="90"/>
      <c r="AB52" s="407"/>
      <c r="AC52" s="407"/>
      <c r="AD52" s="92"/>
      <c r="AE52" s="92"/>
      <c r="AF52" s="307">
        <f t="shared" si="24"/>
        <v>-82.922077922072731</v>
      </c>
      <c r="AG52" s="72">
        <f t="shared" si="25"/>
        <v>0.94701464669516122</v>
      </c>
      <c r="AH52" s="404"/>
    </row>
    <row r="53" spans="1:34" ht="15" customHeight="1">
      <c r="A53" s="469"/>
      <c r="B53" s="101" t="s">
        <v>81</v>
      </c>
      <c r="C53" s="102"/>
      <c r="D53" s="103" t="s">
        <v>132</v>
      </c>
      <c r="E53" s="104"/>
      <c r="F53" s="75">
        <f>VLOOKUP(D53,廠價表!$C$1:$E$43,3,0)</f>
        <v>49.97</v>
      </c>
      <c r="G53" s="202">
        <v>2718</v>
      </c>
      <c r="H53" s="231">
        <f t="shared" si="26"/>
        <v>135818.46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7"/>
        <v>112.5</v>
      </c>
      <c r="M53" s="108">
        <v>16</v>
      </c>
      <c r="N53" s="234">
        <f t="shared" si="28"/>
        <v>1538.4905660377367</v>
      </c>
      <c r="O53" s="235">
        <f t="shared" si="29"/>
        <v>96.155660377358544</v>
      </c>
      <c r="P53" s="74">
        <f t="shared" si="30"/>
        <v>0</v>
      </c>
      <c r="Q53" s="83">
        <f t="shared" si="31"/>
        <v>-16.344339622641456</v>
      </c>
      <c r="R53" s="72">
        <f t="shared" si="32"/>
        <v>0.85471698113207595</v>
      </c>
      <c r="S53" s="440"/>
      <c r="T53" s="21">
        <v>0.57222222222222197</v>
      </c>
      <c r="U53" s="21">
        <v>0.64583333333333304</v>
      </c>
      <c r="V53" s="30">
        <f>(T53-U52)*24*60</f>
        <v>8.999999999999968</v>
      </c>
      <c r="W53" s="236">
        <f t="shared" si="4"/>
        <v>105.99999999999994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24"/>
        <v>-261.5094339622633</v>
      </c>
      <c r="AG53" s="72">
        <f t="shared" si="25"/>
        <v>0.85471698113207595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33">AVERAGE(J49:J57)</f>
        <v>17</v>
      </c>
      <c r="K58" s="120">
        <f t="shared" si="33"/>
        <v>1706</v>
      </c>
      <c r="L58" s="117">
        <f t="shared" si="33"/>
        <v>100.95424836601308</v>
      </c>
      <c r="M58" s="120">
        <f t="shared" si="33"/>
        <v>17</v>
      </c>
      <c r="N58" s="120">
        <f t="shared" si="33"/>
        <v>1514.0893302379416</v>
      </c>
      <c r="O58" s="117">
        <f t="shared" si="33"/>
        <v>89.336401830984144</v>
      </c>
      <c r="P58" s="121">
        <f>M58-J58</f>
        <v>0</v>
      </c>
      <c r="Q58" s="122">
        <f>N58-K58</f>
        <v>-191.91066976205843</v>
      </c>
      <c r="R58" s="123">
        <f>O58/L58</f>
        <v>0.88491968665936638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-191.91066976205843</v>
      </c>
      <c r="AG58" s="124">
        <f>N58/K58</f>
        <v>0.88750839990500674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3378</v>
      </c>
      <c r="H59" s="243">
        <f>F59*G59</f>
        <v>91172.22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1501.3333333333333</v>
      </c>
      <c r="O59" s="138">
        <f>N59/M59</f>
        <v>100.08888888888889</v>
      </c>
      <c r="P59" s="56">
        <f>M59-J59</f>
        <v>0</v>
      </c>
      <c r="Q59" s="230">
        <f>O59-L59</f>
        <v>-4.24444444444444</v>
      </c>
      <c r="R59" s="52">
        <f>O59/L59</f>
        <v>0.95931842385516508</v>
      </c>
      <c r="S59" s="439">
        <f>R69</f>
        <v>0.91788310696796815</v>
      </c>
      <c r="T59" s="245">
        <v>0.29166666666666702</v>
      </c>
      <c r="U59" s="245">
        <v>0.38541666666666702</v>
      </c>
      <c r="V59" s="55"/>
      <c r="W59" s="54">
        <f t="shared" si="4"/>
        <v>135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-63.666666666666742</v>
      </c>
      <c r="AG59" s="246">
        <f>N59/K59</f>
        <v>0.95931842385516497</v>
      </c>
      <c r="AH59" s="403">
        <f>AG69</f>
        <v>0.92045793397231068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1778</v>
      </c>
      <c r="H60" s="78">
        <f>F60*G60</f>
        <v>50246.280000000006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1422.4000000000096</v>
      </c>
      <c r="O60" s="81">
        <f>N60/M60</f>
        <v>118.53333333333414</v>
      </c>
      <c r="P60" s="74">
        <f>M60-J60</f>
        <v>0</v>
      </c>
      <c r="Q60" s="83">
        <f>O60-L60</f>
        <v>-11.883333333332516</v>
      </c>
      <c r="R60" s="72">
        <f>O60/L60</f>
        <v>0.90888178913738649</v>
      </c>
      <c r="S60" s="467"/>
      <c r="T60" s="22">
        <v>0.39236111111111099</v>
      </c>
      <c r="U60" s="22">
        <v>0.44444444444444398</v>
      </c>
      <c r="V60" s="30">
        <f>(T60-U59)*24*60</f>
        <v>9.999999999999325</v>
      </c>
      <c r="W60" s="248">
        <f t="shared" si="4"/>
        <v>74.999999999999488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-142.59999999999036</v>
      </c>
      <c r="AG60" s="249">
        <f>N60/K60</f>
        <v>0.90888178913738638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1333</v>
      </c>
      <c r="H61" s="254">
        <f>F61*G61</f>
        <v>37670.58</v>
      </c>
      <c r="I61" s="182"/>
      <c r="J61" s="106">
        <f>VLOOKUP(D61,產線配置圖!$A$3:$C$40,2,0)</f>
        <v>11</v>
      </c>
      <c r="K61" s="107">
        <f>VLOOKUP(D61,產線配置圖!$A$3:$C$40,3,0)</f>
        <v>1565</v>
      </c>
      <c r="L61" s="238">
        <f>K61/J61</f>
        <v>142.27272727272728</v>
      </c>
      <c r="M61" s="108">
        <v>11</v>
      </c>
      <c r="N61" s="107">
        <f>G61/W61*60</f>
        <v>1332.9999999999889</v>
      </c>
      <c r="O61" s="238">
        <f>N61/M61</f>
        <v>121.18181818181716</v>
      </c>
      <c r="P61" s="111">
        <f>M61-J61</f>
        <v>0</v>
      </c>
      <c r="Q61" s="255">
        <f>O61-L61</f>
        <v>-21.090909090910117</v>
      </c>
      <c r="R61" s="85">
        <f>O61/L61</f>
        <v>0.85175718849839532</v>
      </c>
      <c r="S61" s="440"/>
      <c r="T61" s="22">
        <v>0.45138888888888901</v>
      </c>
      <c r="U61" s="22">
        <v>0.49305555555555602</v>
      </c>
      <c r="V61" s="30">
        <f>(T61-U60)*24*60</f>
        <v>10.000000000000844</v>
      </c>
      <c r="W61" s="256">
        <f t="shared" si="4"/>
        <v>60.000000000000504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-232.00000000001114</v>
      </c>
      <c r="AG61" s="247">
        <f>N61/K61</f>
        <v>0.85175718849839543</v>
      </c>
      <c r="AH61" s="404"/>
    </row>
    <row r="62" spans="1:34" ht="15" customHeight="1">
      <c r="A62" s="465"/>
      <c r="B62" s="250" t="s">
        <v>125</v>
      </c>
      <c r="C62" s="251"/>
      <c r="D62" s="257" t="s">
        <v>126</v>
      </c>
      <c r="E62" s="253"/>
      <c r="F62" s="250">
        <f>VLOOKUP(D62,廠價表!$C$1:$E$43,3,0)</f>
        <v>28.26</v>
      </c>
      <c r="G62" s="38">
        <v>2258</v>
      </c>
      <c r="H62" s="254">
        <f>F62*G62</f>
        <v>63811.08</v>
      </c>
      <c r="I62" s="182"/>
      <c r="J62" s="106">
        <f>VLOOKUP(D62,產線配置圖!$A$3:$C$40,2,0)</f>
        <v>11</v>
      </c>
      <c r="K62" s="107">
        <f>VLOOKUP(D62,產線配置圖!$A$3:$C$40,3,0)</f>
        <v>1565</v>
      </c>
      <c r="L62" s="238">
        <f>K62/J62</f>
        <v>142.27272727272728</v>
      </c>
      <c r="M62" s="108">
        <v>11</v>
      </c>
      <c r="N62" s="107">
        <f>G62/W62*60</f>
        <v>1505.3333333333333</v>
      </c>
      <c r="O62" s="238">
        <f>N62/M62</f>
        <v>136.84848484848484</v>
      </c>
      <c r="P62" s="111">
        <f>M62-J62</f>
        <v>0</v>
      </c>
      <c r="Q62" s="255">
        <f>O62-L62</f>
        <v>-5.4242424242424363</v>
      </c>
      <c r="R62" s="85">
        <f>O62/L62</f>
        <v>0.96187433439829595</v>
      </c>
      <c r="S62" s="440"/>
      <c r="T62" s="22">
        <v>0.54513888888888895</v>
      </c>
      <c r="U62" s="22">
        <v>0.60763888888888895</v>
      </c>
      <c r="V62" s="30">
        <f>(T62-U61)*24*60</f>
        <v>74.999999999999417</v>
      </c>
      <c r="W62" s="248">
        <f t="shared" si="4"/>
        <v>90</v>
      </c>
      <c r="X62" s="22">
        <v>0.50347222222222199</v>
      </c>
      <c r="Y62" s="84">
        <v>0.54513888888888895</v>
      </c>
      <c r="Z62" s="90"/>
      <c r="AA62" s="90"/>
      <c r="AB62" s="407"/>
      <c r="AC62" s="407"/>
      <c r="AD62" s="92"/>
      <c r="AE62" s="92"/>
      <c r="AF62" s="317">
        <f>N62-K62</f>
        <v>-59.666666666666742</v>
      </c>
      <c r="AG62" s="247">
        <f>N62/K62</f>
        <v>0.96187433439829606</v>
      </c>
      <c r="AH62" s="404"/>
    </row>
    <row r="63" spans="1:34" ht="15" customHeight="1">
      <c r="A63" s="465"/>
      <c r="B63" s="258" t="s">
        <v>145</v>
      </c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40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34">AVERAGE(J59:J68)</f>
        <v>12.25</v>
      </c>
      <c r="K69" s="240">
        <f t="shared" si="34"/>
        <v>1565</v>
      </c>
      <c r="L69" s="268">
        <f t="shared" si="34"/>
        <v>129.82386363636363</v>
      </c>
      <c r="M69" s="240">
        <f t="shared" si="34"/>
        <v>12.25</v>
      </c>
      <c r="N69" s="240">
        <f t="shared" si="34"/>
        <v>1440.5166666666662</v>
      </c>
      <c r="O69" s="268">
        <f t="shared" si="34"/>
        <v>119.16313131313126</v>
      </c>
      <c r="P69" s="269">
        <f>M69-J69</f>
        <v>0</v>
      </c>
      <c r="Q69" s="222">
        <f>N69-K69</f>
        <v>-124.4833333333338</v>
      </c>
      <c r="R69" s="123">
        <f>O69/L69</f>
        <v>0.91788310696796815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-124.4833333333338</v>
      </c>
      <c r="AG69" s="124">
        <f>N69/K69</f>
        <v>0.92045793397231068</v>
      </c>
      <c r="AH69" s="406"/>
    </row>
    <row r="70" spans="1:36" ht="15" customHeight="1">
      <c r="A70" s="471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39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/>
      <c r="D79" s="430"/>
      <c r="E79" s="430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D3:AE3"/>
    <mergeCell ref="I3:I4"/>
    <mergeCell ref="J3:J4"/>
    <mergeCell ref="K3:K4"/>
    <mergeCell ref="L3:L4"/>
    <mergeCell ref="AF1:AH2"/>
    <mergeCell ref="G3:G4"/>
    <mergeCell ref="J1:L2"/>
    <mergeCell ref="M1:O2"/>
    <mergeCell ref="P1:S2"/>
    <mergeCell ref="T1:Y2"/>
    <mergeCell ref="S3:S4"/>
    <mergeCell ref="H3:H4"/>
    <mergeCell ref="X3:Y3"/>
    <mergeCell ref="Z3:AA3"/>
    <mergeCell ref="P3:P4"/>
    <mergeCell ref="Q3:Q4"/>
    <mergeCell ref="R3:R4"/>
    <mergeCell ref="AH3:AH4"/>
    <mergeCell ref="AG3:AG4"/>
    <mergeCell ref="AF3:AF4"/>
    <mergeCell ref="O3:O4"/>
    <mergeCell ref="AB1:AC2"/>
    <mergeCell ref="A2:B2"/>
    <mergeCell ref="A3:A4"/>
    <mergeCell ref="B3:B4"/>
    <mergeCell ref="D3:E4"/>
    <mergeCell ref="F3:F4"/>
    <mergeCell ref="N3:N4"/>
    <mergeCell ref="A27:A37"/>
    <mergeCell ref="S27:S37"/>
    <mergeCell ref="AB6:AC6"/>
    <mergeCell ref="AB7:AC7"/>
    <mergeCell ref="AB30:AC30"/>
    <mergeCell ref="AB31:AC31"/>
    <mergeCell ref="AB37:AC37"/>
    <mergeCell ref="AB12:AC12"/>
    <mergeCell ref="AB10:AC10"/>
    <mergeCell ref="AB11:AC11"/>
    <mergeCell ref="AB36:AC36"/>
    <mergeCell ref="D37:E37"/>
    <mergeCell ref="D15:E15"/>
    <mergeCell ref="D26:E26"/>
    <mergeCell ref="AB13:AC13"/>
    <mergeCell ref="AB34:AC34"/>
    <mergeCell ref="A16:A26"/>
    <mergeCell ref="S16:S26"/>
    <mergeCell ref="A5:A15"/>
    <mergeCell ref="S5:S15"/>
    <mergeCell ref="AB9:AC9"/>
    <mergeCell ref="AB8:AC8"/>
    <mergeCell ref="AB14:AC14"/>
    <mergeCell ref="AB15:AC15"/>
    <mergeCell ref="AB16:AC16"/>
    <mergeCell ref="W3:W4"/>
    <mergeCell ref="AB5:AC5"/>
    <mergeCell ref="V3:V4"/>
    <mergeCell ref="T3:U3"/>
    <mergeCell ref="AB3:AC4"/>
    <mergeCell ref="M3:M4"/>
    <mergeCell ref="AB25:AC25"/>
    <mergeCell ref="AB28:AC28"/>
    <mergeCell ref="AB32:AC32"/>
    <mergeCell ref="AB33:AC33"/>
    <mergeCell ref="AB27:AC27"/>
    <mergeCell ref="AB35:AC35"/>
    <mergeCell ref="AB29:AC29"/>
    <mergeCell ref="A38:A48"/>
    <mergeCell ref="S38:S48"/>
    <mergeCell ref="AB38:AC38"/>
    <mergeCell ref="D48:E48"/>
    <mergeCell ref="AB48:AC48"/>
    <mergeCell ref="AB44:AC44"/>
    <mergeCell ref="AB45:AC45"/>
    <mergeCell ref="AB46:AC46"/>
    <mergeCell ref="AB47:AC47"/>
    <mergeCell ref="AB43:AC43"/>
    <mergeCell ref="AB41:AC41"/>
    <mergeCell ref="AB42:AC42"/>
    <mergeCell ref="AB21:AC21"/>
    <mergeCell ref="AB22:AC22"/>
    <mergeCell ref="AB23:AC23"/>
    <mergeCell ref="AB39:AC39"/>
    <mergeCell ref="AB40:AC40"/>
    <mergeCell ref="AH5:AH15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H16:AH26"/>
    <mergeCell ref="AB17:AC17"/>
    <mergeCell ref="AB18:AC18"/>
    <mergeCell ref="AB19:AC19"/>
    <mergeCell ref="AB20:AC20"/>
    <mergeCell ref="AH27:AH37"/>
    <mergeCell ref="AB26:AC26"/>
    <mergeCell ref="AB24:AC24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68" priority="1" operator="greaterThan">
      <formula>0</formula>
    </cfRule>
  </conditionalFormatting>
  <conditionalFormatting sqref="Q5:Q79 AF5:AF79">
    <cfRule type="cellIs" dxfId="267" priority="4" operator="lessThan">
      <formula>0</formula>
    </cfRule>
  </conditionalFormatting>
  <conditionalFormatting sqref="R5:R79 AG5:AG79">
    <cfRule type="cellIs" dxfId="266" priority="2" operator="greaterThan">
      <formula>1</formula>
    </cfRule>
    <cfRule type="cellIs" dxfId="265" priority="3" operator="lessThan">
      <formula>0.8</formula>
    </cfRule>
  </conditionalFormatting>
  <conditionalFormatting sqref="S5:S10 S37:S62 AH59:AH62 S69:S76 AH69:AH76">
    <cfRule type="cellIs" dxfId="264" priority="7" operator="lessThan">
      <formula>0.8</formula>
    </cfRule>
  </conditionalFormatting>
  <conditionalFormatting sqref="S19:S25 AH19:AH25">
    <cfRule type="cellIs" dxfId="263" priority="6" operator="lessThan">
      <formula>0.8</formula>
    </cfRule>
  </conditionalFormatting>
  <conditionalFormatting sqref="S79">
    <cfRule type="cellIs" dxfId="262" priority="5" operator="lessThan">
      <formula>0.8</formula>
    </cfRule>
  </conditionalFormatting>
  <conditionalFormatting sqref="AH5:AH8 S15:S16 AH15:AH16 AH49 AH79">
    <cfRule type="cellIs" dxfId="261" priority="9" operator="lessThan">
      <formula>0.8</formula>
    </cfRule>
  </conditionalFormatting>
  <conditionalFormatting sqref="AH27 S27:S28">
    <cfRule type="cellIs" dxfId="2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C39CA9-1D29-4134-8CA3-95A0C8BAE2B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411F-F6E5-4051-AF7E-E03A634A0D6E}">
  <dimension ref="B1:O26"/>
  <sheetViews>
    <sheetView topLeftCell="A2" zoomScale="70" zoomScaleNormal="70" workbookViewId="0">
      <selection activeCell="U62" sqref="U6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46178</v>
      </c>
      <c r="E3" s="510"/>
      <c r="F3" s="3" t="s">
        <v>72</v>
      </c>
      <c r="G3" s="511">
        <f>'0605'!E1</f>
        <v>46341</v>
      </c>
      <c r="H3" s="511"/>
      <c r="I3" s="3" t="s">
        <v>2</v>
      </c>
      <c r="J3" s="512">
        <f>'0605'!G1</f>
        <v>2214773.8709999998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122.62349024885788</v>
      </c>
      <c r="G6" s="507"/>
      <c r="H6" s="508">
        <f>AVERAGE(D13:H13)</f>
        <v>121.18341557135673</v>
      </c>
      <c r="I6" s="508"/>
      <c r="J6" s="508">
        <f>AVERAGE(I13)</f>
        <v>129.82386363636363</v>
      </c>
      <c r="K6" s="508"/>
      <c r="L6" s="516">
        <f>SUM(D18:J18)</f>
        <v>0</v>
      </c>
      <c r="M6" s="499">
        <f>SUM(D19:J19)</f>
        <v>0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110.30056283908111</v>
      </c>
      <c r="G7" s="496"/>
      <c r="H7" s="497">
        <f>AVERAGE(D14:H14)</f>
        <v>109.71092519879964</v>
      </c>
      <c r="I7" s="497"/>
      <c r="J7" s="497">
        <f>AVERAGE(I14)</f>
        <v>113.24875104048844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0.89950598058522035</v>
      </c>
      <c r="G8" s="502"/>
      <c r="H8" s="502">
        <f>H7/H6</f>
        <v>0.90532953442130282</v>
      </c>
      <c r="I8" s="502"/>
      <c r="J8" s="502">
        <f>J7/J6</f>
        <v>0.87232614920241447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VALUE('0605'!L15)</f>
        <v>150</v>
      </c>
      <c r="E13" s="13">
        <f>VALUE('0605'!L26)</f>
        <v>157.84421460892048</v>
      </c>
      <c r="F13" s="13">
        <f>VALUE('0605'!L37)</f>
        <v>94.872863247863251</v>
      </c>
      <c r="G13" s="13">
        <f>VALUE('0605'!L48)</f>
        <v>102.24575163398693</v>
      </c>
      <c r="H13" s="13">
        <f>VALUE('0605'!L58)</f>
        <v>100.95424836601308</v>
      </c>
      <c r="I13" s="13">
        <f>VALUE('0605'!L69)</f>
        <v>129.82386363636363</v>
      </c>
      <c r="J13" s="13">
        <f>'0605'!L79</f>
        <v>0</v>
      </c>
    </row>
    <row r="14" spans="2:15" ht="39.950000000000003" customHeight="1">
      <c r="B14" s="490"/>
      <c r="C14" s="12" t="s">
        <v>100</v>
      </c>
      <c r="D14" s="13">
        <f>VALUE('0605'!O15)</f>
        <v>138.042412633238</v>
      </c>
      <c r="E14" s="13">
        <f>VALUE('0605'!O26)</f>
        <v>141.6868465164809</v>
      </c>
      <c r="F14" s="13">
        <f>VALUE('0605'!O37)</f>
        <v>86.334336475483497</v>
      </c>
      <c r="G14" s="13">
        <f>VALUE('0605'!O48)</f>
        <v>90.684229289801138</v>
      </c>
      <c r="H14" s="13">
        <f>VALUE('0605'!O58)</f>
        <v>91.806801078994724</v>
      </c>
      <c r="I14" s="13">
        <f>VALUE('0605'!O69)</f>
        <v>113.24875104048844</v>
      </c>
      <c r="J14" s="13">
        <f>'0605'!O79</f>
        <v>0</v>
      </c>
    </row>
    <row r="15" spans="2:15" ht="39.950000000000003" customHeight="1">
      <c r="B15" s="491"/>
      <c r="C15" s="10" t="s">
        <v>26</v>
      </c>
      <c r="D15" s="14">
        <f t="shared" ref="D15:I15" si="1">D14/D13</f>
        <v>0.92028275088825329</v>
      </c>
      <c r="E15" s="14">
        <f t="shared" si="1"/>
        <v>0.89763724864752525</v>
      </c>
      <c r="F15" s="14">
        <f t="shared" si="1"/>
        <v>0.91000032590908375</v>
      </c>
      <c r="G15" s="14">
        <f t="shared" si="1"/>
        <v>0.88692417866345175</v>
      </c>
      <c r="H15" s="14">
        <f t="shared" si="1"/>
        <v>0.909390169952492</v>
      </c>
      <c r="I15" s="14">
        <f t="shared" si="1"/>
        <v>0.87232614920241447</v>
      </c>
      <c r="J15" s="15">
        <f>'0605'!S70</f>
        <v>0</v>
      </c>
    </row>
    <row r="16" spans="2:15" ht="17.25" customHeight="1">
      <c r="B16" s="492" t="s">
        <v>101</v>
      </c>
      <c r="C16" s="10" t="s">
        <v>34</v>
      </c>
      <c r="D16" s="16">
        <f>'0605'!T5</f>
        <v>0.29375000000000001</v>
      </c>
      <c r="E16" s="16">
        <f>'0605'!T16</f>
        <v>0.29305555555555601</v>
      </c>
      <c r="F16" s="16">
        <f>'0605'!T27</f>
        <v>0.29166666666666702</v>
      </c>
      <c r="G16" s="16">
        <f>'0605'!T38</f>
        <v>0.33333333333333298</v>
      </c>
      <c r="H16" s="16">
        <f>'0605'!T49</f>
        <v>0.29513888888888901</v>
      </c>
      <c r="I16" s="16">
        <f>'0605'!T59</f>
        <v>0.29166666666666702</v>
      </c>
      <c r="J16" s="16">
        <f>'0605'!T70</f>
        <v>0</v>
      </c>
    </row>
    <row r="17" spans="2:10" ht="17.25" customHeight="1">
      <c r="B17" s="493"/>
      <c r="C17" s="10" t="s">
        <v>35</v>
      </c>
      <c r="D17" s="18">
        <v>0.484027777777778</v>
      </c>
      <c r="E17" s="19">
        <v>0.563194444444444</v>
      </c>
      <c r="F17" s="19">
        <v>0.55902777777777801</v>
      </c>
      <c r="G17" s="20">
        <v>0.56805555555555598</v>
      </c>
      <c r="H17" s="21">
        <v>0.59097222222222201</v>
      </c>
      <c r="I17" s="22">
        <v>0.57777777777777795</v>
      </c>
      <c r="J17" s="22">
        <v>0</v>
      </c>
    </row>
    <row r="18" spans="2:10" ht="17.25" customHeight="1">
      <c r="B18" s="494" t="s">
        <v>102</v>
      </c>
      <c r="C18" s="330" t="s">
        <v>36</v>
      </c>
      <c r="D18" s="358">
        <f>'0605'!Z15</f>
        <v>0</v>
      </c>
      <c r="E18" s="359">
        <f>'0605'!Z26</f>
        <v>0</v>
      </c>
      <c r="F18" s="359">
        <f>'0605'!Z37</f>
        <v>0</v>
      </c>
      <c r="G18" s="360">
        <f>'0605'!Z48</f>
        <v>0</v>
      </c>
      <c r="H18" s="360">
        <f>'0605'!Z58</f>
        <v>0</v>
      </c>
      <c r="I18" s="359">
        <f>'0605'!Z69</f>
        <v>0</v>
      </c>
      <c r="J18" s="359">
        <f>'0605'!AA79</f>
        <v>0</v>
      </c>
    </row>
    <row r="19" spans="2:10" ht="17.25" customHeight="1">
      <c r="B19" s="495"/>
      <c r="C19" s="330" t="s">
        <v>37</v>
      </c>
      <c r="D19" s="358">
        <f>'0605'!AA15</f>
        <v>0</v>
      </c>
      <c r="E19" s="359">
        <f>'0605'!AA26</f>
        <v>0</v>
      </c>
      <c r="F19" s="359">
        <f>'0605'!AA37</f>
        <v>0</v>
      </c>
      <c r="G19" s="360">
        <f>'0605'!AA48</f>
        <v>0</v>
      </c>
      <c r="H19" s="360">
        <f>'0605'!AA58</f>
        <v>0</v>
      </c>
      <c r="I19" s="359">
        <f>'0605'!AA69</f>
        <v>0</v>
      </c>
      <c r="J19" s="359">
        <f>'0605'!AB79</f>
        <v>0</v>
      </c>
    </row>
    <row r="20" spans="2:10" ht="17.25" customHeight="1">
      <c r="B20" s="494" t="s">
        <v>103</v>
      </c>
      <c r="C20" s="330" t="s">
        <v>36</v>
      </c>
      <c r="D20" s="358">
        <f>'0605'!AD15</f>
        <v>0</v>
      </c>
      <c r="E20" s="359">
        <f>'0605'!AD26</f>
        <v>0</v>
      </c>
      <c r="F20" s="359">
        <f>'0605'!AD37</f>
        <v>0</v>
      </c>
      <c r="G20" s="360">
        <f>'0605'!AD48</f>
        <v>0</v>
      </c>
      <c r="H20" s="360">
        <f>'0605'!AD58</f>
        <v>0</v>
      </c>
      <c r="I20" s="359">
        <f>'0605'!AD69</f>
        <v>0</v>
      </c>
      <c r="J20" s="359">
        <f>'0605'!AD79</f>
        <v>0</v>
      </c>
    </row>
    <row r="21" spans="2:10" ht="17.25" customHeight="1">
      <c r="B21" s="495"/>
      <c r="C21" s="330" t="s">
        <v>85</v>
      </c>
      <c r="D21" s="358">
        <f>'0605'!AE15</f>
        <v>0</v>
      </c>
      <c r="E21" s="359">
        <f>'0605'!AE26</f>
        <v>0</v>
      </c>
      <c r="F21" s="359">
        <f>'0605'!AE37</f>
        <v>0</v>
      </c>
      <c r="G21" s="360">
        <f>'0605'!AE48</f>
        <v>0</v>
      </c>
      <c r="H21" s="360">
        <f>'0605'!AE58</f>
        <v>0</v>
      </c>
      <c r="I21" s="359">
        <f>'0605'!AE69</f>
        <v>0</v>
      </c>
      <c r="J21" s="359">
        <f>'0605'!AE79</f>
        <v>0</v>
      </c>
    </row>
    <row r="22" spans="2:10" ht="17.25" customHeight="1">
      <c r="B22" s="477" t="s">
        <v>104</v>
      </c>
      <c r="C22" s="478"/>
      <c r="D22" s="23">
        <f>VALUE('0605'!M15)</f>
        <v>15</v>
      </c>
      <c r="E22" s="23">
        <f>VALUE('0605'!M26)</f>
        <v>14.4</v>
      </c>
      <c r="F22" s="23">
        <f>VALUE('0605'!M37)</f>
        <v>16.25</v>
      </c>
      <c r="G22" s="23">
        <f>VALUE('0605'!M48)</f>
        <v>16.333333333333332</v>
      </c>
      <c r="H22" s="23">
        <f>VALUE('0605'!M58)</f>
        <v>16.600000000000001</v>
      </c>
      <c r="I22" s="23">
        <f>VALUE('0605'!M69)</f>
        <v>13.25</v>
      </c>
      <c r="J22" s="23">
        <f>'0605'!M79</f>
        <v>0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F487-BAF3-410B-AFAD-B9A25D6FEF74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U62" sqref="U62"/>
      <selection pane="topRight" activeCell="U62" sqref="U62"/>
      <selection pane="bottomLeft" activeCell="U62" sqref="U62"/>
      <selection pane="bottomRight" activeCell="U62" sqref="U6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46341</v>
      </c>
      <c r="F1" s="30" t="s">
        <v>2</v>
      </c>
      <c r="G1" s="31">
        <f>SUM(H5:H79)</f>
        <v>2214773.8709999998</v>
      </c>
      <c r="H1" s="32" t="s">
        <v>3</v>
      </c>
      <c r="I1" s="33">
        <f>M15+M26+M48+M58+M69+M79+M37</f>
        <v>91.833333333333343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150</v>
      </c>
      <c r="B2" s="381"/>
      <c r="C2" s="28"/>
      <c r="D2" s="28" t="s">
        <v>14</v>
      </c>
      <c r="E2" s="35">
        <f>AVERAGE(O15,O26,O37,O48,O58,O69,O79)</f>
        <v>110.30056283908111</v>
      </c>
      <c r="F2" s="36" t="s">
        <v>15</v>
      </c>
      <c r="G2" s="37">
        <f>G1/E1</f>
        <v>47.792966724930402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2287</v>
      </c>
      <c r="H5" s="43">
        <f>F5*G5</f>
        <v>130061.68999999999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2111.0769230769174</v>
      </c>
      <c r="O5" s="47">
        <f>N5/M5</f>
        <v>140.73846153846117</v>
      </c>
      <c r="P5" s="49">
        <f>M5-J5</f>
        <v>0</v>
      </c>
      <c r="Q5" s="50">
        <f>O5-L5</f>
        <v>-9.2615384615388336</v>
      </c>
      <c r="R5" s="51">
        <f>O5/L5</f>
        <v>0.93825641025640782</v>
      </c>
      <c r="S5" s="439">
        <f>R15</f>
        <v>0.92028275088825329</v>
      </c>
      <c r="T5" s="319">
        <v>0.29375000000000001</v>
      </c>
      <c r="U5" s="320">
        <v>0.33888888888888902</v>
      </c>
      <c r="V5" s="53"/>
      <c r="W5" s="54">
        <f t="shared" ref="W5:W14" si="0">(U5-T5)*24*60</f>
        <v>65.000000000000171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-138.92307692308259</v>
      </c>
      <c r="AG5" s="52">
        <f t="shared" ref="AG5:AG11" si="2">N5/K5</f>
        <v>0.93825641025640771</v>
      </c>
      <c r="AH5" s="403">
        <f>AG15</f>
        <v>0.92028275088825351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2608</v>
      </c>
      <c r="H6" s="63">
        <f>F6*G6</f>
        <v>151707.36000000002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2032.2077922077992</v>
      </c>
      <c r="O6" s="67">
        <f>N6/M6</f>
        <v>135.48051948051994</v>
      </c>
      <c r="P6" s="69">
        <f>M6-J6</f>
        <v>0</v>
      </c>
      <c r="Q6" s="70">
        <f>O6-L6</f>
        <v>-14.519480519480055</v>
      </c>
      <c r="R6" s="71">
        <f>O6/L6</f>
        <v>0.90320346320346634</v>
      </c>
      <c r="S6" s="440"/>
      <c r="T6" s="16">
        <v>0.34652777777777799</v>
      </c>
      <c r="U6" s="16">
        <v>0.4</v>
      </c>
      <c r="V6" s="30">
        <f>(T6-U5)*24*60</f>
        <v>11.000000000000121</v>
      </c>
      <c r="W6" s="73">
        <f t="shared" si="0"/>
        <v>76.99999999999973</v>
      </c>
      <c r="X6" s="22"/>
      <c r="Y6" s="84"/>
      <c r="Z6" s="90"/>
      <c r="AA6" s="90"/>
      <c r="AB6" s="434"/>
      <c r="AC6" s="434"/>
      <c r="AD6" s="149"/>
      <c r="AE6" s="149"/>
      <c r="AF6" s="307">
        <f t="shared" si="1"/>
        <v>-217.79220779220077</v>
      </c>
      <c r="AG6" s="72">
        <f t="shared" si="2"/>
        <v>0.90320346320346634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3758</v>
      </c>
      <c r="H7" s="78">
        <f>F7*G7</f>
        <v>184668.12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2068.6238532109937</v>
      </c>
      <c r="O7" s="81">
        <f>N7/M7</f>
        <v>137.90825688073292</v>
      </c>
      <c r="P7" s="74">
        <f>M7-J7</f>
        <v>0</v>
      </c>
      <c r="Q7" s="83">
        <f>O7-L7</f>
        <v>-12.091743119267079</v>
      </c>
      <c r="R7" s="72">
        <f>O7/L7</f>
        <v>0.91938837920488614</v>
      </c>
      <c r="S7" s="440"/>
      <c r="T7" s="18">
        <v>0.40833333333333299</v>
      </c>
      <c r="U7" s="18">
        <v>0.484027777777778</v>
      </c>
      <c r="V7" s="30">
        <f>(T7-U6)*24*60</f>
        <v>11.999999999999478</v>
      </c>
      <c r="W7" s="73">
        <f t="shared" si="0"/>
        <v>109.00000000000081</v>
      </c>
      <c r="X7" s="22"/>
      <c r="Y7" s="84"/>
      <c r="Z7" s="90"/>
      <c r="AA7" s="90"/>
      <c r="AB7" s="407"/>
      <c r="AC7" s="407"/>
      <c r="AD7" s="92"/>
      <c r="AE7" s="92"/>
      <c r="AF7" s="307">
        <f t="shared" si="1"/>
        <v>-181.37614678900627</v>
      </c>
      <c r="AG7" s="72">
        <f t="shared" si="2"/>
        <v>0.91938837920488614</v>
      </c>
      <c r="AH7" s="404"/>
    </row>
    <row r="8" spans="1:34" ht="15" customHeight="1">
      <c r="A8" s="43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40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4"/>
      <c r="AC8" s="434"/>
      <c r="AD8" s="149"/>
      <c r="AE8" s="149"/>
      <c r="AF8" s="307">
        <f t="shared" si="1"/>
        <v>0</v>
      </c>
      <c r="AG8" s="72" t="e">
        <f t="shared" si="2"/>
        <v>#DIV/0!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0</v>
      </c>
      <c r="AG9" s="72" t="e">
        <f t="shared" si="2"/>
        <v>#DIV/0!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2070.6361894985703</v>
      </c>
      <c r="O15" s="117">
        <f t="shared" si="3"/>
        <v>138.042412633238</v>
      </c>
      <c r="P15" s="121">
        <f>M15-J15</f>
        <v>0</v>
      </c>
      <c r="Q15" s="122">
        <f>O15-L15</f>
        <v>-11.957587366761999</v>
      </c>
      <c r="R15" s="123">
        <f>O15/L15</f>
        <v>0.92028275088825329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-179.36381050142973</v>
      </c>
      <c r="AG15" s="124">
        <f>N15/K15</f>
        <v>0.92028275088825351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2864</v>
      </c>
      <c r="H16" s="134">
        <f>F16*G16</f>
        <v>145118.88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2203.0769230769511</v>
      </c>
      <c r="O16" s="141">
        <f>N16/M16</f>
        <v>157.36263736263936</v>
      </c>
      <c r="P16" s="142">
        <f>M16-J16</f>
        <v>0</v>
      </c>
      <c r="Q16" s="143">
        <f>O16-L16</f>
        <v>-3.3516483516463609</v>
      </c>
      <c r="R16" s="144">
        <f>O16/L16</f>
        <v>0.97914529914531157</v>
      </c>
      <c r="S16" s="425">
        <f>R26</f>
        <v>0.89763724864752525</v>
      </c>
      <c r="T16" s="145">
        <v>0.29305555555555601</v>
      </c>
      <c r="U16" s="145">
        <v>0.34722222222222199</v>
      </c>
      <c r="V16" s="135"/>
      <c r="W16" s="146">
        <f t="shared" ref="W16:W78" si="4">(U16-T16)*24*60</f>
        <v>77.999999999999005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-46.923076923048939</v>
      </c>
      <c r="AG16" s="52">
        <f>N16/K16</f>
        <v>0.97914529914531157</v>
      </c>
      <c r="AH16" s="403">
        <f>AG26</f>
        <v>0.89351853537803227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1547</v>
      </c>
      <c r="H17" s="78">
        <f>F17*G17</f>
        <v>88503.87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1856.4000000000126</v>
      </c>
      <c r="O17" s="96">
        <f>N17/M17</f>
        <v>109.20000000000074</v>
      </c>
      <c r="P17" s="97">
        <f>M17-J17</f>
        <v>0</v>
      </c>
      <c r="Q17" s="98">
        <f>O17-L17</f>
        <v>-23.152941176469838</v>
      </c>
      <c r="R17" s="99">
        <f>O17/L17</f>
        <v>0.82506666666667228</v>
      </c>
      <c r="S17" s="426"/>
      <c r="T17" s="19">
        <v>0.35416666666666702</v>
      </c>
      <c r="U17" s="19">
        <v>0.38888888888888901</v>
      </c>
      <c r="V17" s="30">
        <f>(T17-U16)*24*60</f>
        <v>10.000000000000844</v>
      </c>
      <c r="W17" s="149">
        <f t="shared" si="4"/>
        <v>49.999999999999659</v>
      </c>
      <c r="X17" s="19"/>
      <c r="Y17" s="297"/>
      <c r="Z17" s="90"/>
      <c r="AA17" s="90"/>
      <c r="AB17" s="407" t="s">
        <v>151</v>
      </c>
      <c r="AC17" s="407"/>
      <c r="AD17" s="92"/>
      <c r="AE17" s="92"/>
      <c r="AF17" s="307">
        <f>N17-K17</f>
        <v>-393.5999999999874</v>
      </c>
      <c r="AG17" s="72">
        <f>N17/K17</f>
        <v>0.82506666666667228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900</v>
      </c>
      <c r="H18" s="78">
        <f>F18*G18</f>
        <v>50949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1862.0689655172275</v>
      </c>
      <c r="O18" s="96">
        <f>N18/M18</f>
        <v>124.13793103448184</v>
      </c>
      <c r="P18" s="97">
        <f>M18-J18</f>
        <v>0</v>
      </c>
      <c r="Q18" s="98">
        <f>O18-L18</f>
        <v>-25.862068965518162</v>
      </c>
      <c r="R18" s="99">
        <f>O18/L18</f>
        <v>0.82758620689654561</v>
      </c>
      <c r="S18" s="426"/>
      <c r="T18" s="19">
        <v>0.39722222222222198</v>
      </c>
      <c r="U18" s="19">
        <v>0.41736111111111102</v>
      </c>
      <c r="V18" s="30">
        <f>(T18-U17)*24*60</f>
        <v>11.999999999999478</v>
      </c>
      <c r="W18" s="149">
        <f t="shared" si="4"/>
        <v>29.000000000000217</v>
      </c>
      <c r="X18" s="22">
        <v>0.48611111111111099</v>
      </c>
      <c r="Y18" s="84">
        <v>0.52777777777777801</v>
      </c>
      <c r="Z18" s="90"/>
      <c r="AA18" s="90"/>
      <c r="AB18" s="407"/>
      <c r="AC18" s="407"/>
      <c r="AD18" s="92"/>
      <c r="AE18" s="92"/>
      <c r="AF18" s="307">
        <f>N18-K18</f>
        <v>-387.93103448277247</v>
      </c>
      <c r="AG18" s="72">
        <f>N18/K18</f>
        <v>0.82758620689654561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2817</v>
      </c>
      <c r="H19" s="78">
        <f>F19*G19</f>
        <v>141948.63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>K19/J19</f>
        <v>173.07692307692307</v>
      </c>
      <c r="M19" s="148">
        <v>13</v>
      </c>
      <c r="N19" s="95">
        <f t="shared" ref="N19:N20" si="5">G19/W19*60</f>
        <v>2086.6666666666661</v>
      </c>
      <c r="O19" s="96">
        <f t="shared" ref="O19:O20" si="6">N19/M19</f>
        <v>160.51282051282047</v>
      </c>
      <c r="P19" s="97">
        <f t="shared" ref="P19:P20" si="7">M19-J19</f>
        <v>0</v>
      </c>
      <c r="Q19" s="98">
        <f t="shared" ref="Q19:Q20" si="8">O19-L19</f>
        <v>-12.564102564102598</v>
      </c>
      <c r="R19" s="99">
        <f t="shared" ref="R19:R20" si="9">O19/L19</f>
        <v>0.92740740740740724</v>
      </c>
      <c r="S19" s="426"/>
      <c r="T19" s="19">
        <v>0.422916666666667</v>
      </c>
      <c r="U19" s="19">
        <v>0.47916666666666702</v>
      </c>
      <c r="V19" s="30">
        <f>(T19-U18)*24*60</f>
        <v>8.0000000000006111</v>
      </c>
      <c r="W19" s="149">
        <f t="shared" si="4"/>
        <v>81.000000000000028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-163.33333333333394</v>
      </c>
      <c r="AG19" s="72">
        <f>N19/K19</f>
        <v>0.92740740740740712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1056</v>
      </c>
      <c r="H20" s="78">
        <f>F20*G20</f>
        <v>53211.840000000004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>K20/J20</f>
        <v>173.07692307692307</v>
      </c>
      <c r="M20" s="148">
        <v>13</v>
      </c>
      <c r="N20" s="95">
        <f t="shared" si="5"/>
        <v>2043.8709677420061</v>
      </c>
      <c r="O20" s="96">
        <f t="shared" si="6"/>
        <v>157.220843672462</v>
      </c>
      <c r="P20" s="97">
        <f t="shared" si="7"/>
        <v>0</v>
      </c>
      <c r="Q20" s="98">
        <f t="shared" si="8"/>
        <v>-15.85607940446107</v>
      </c>
      <c r="R20" s="99">
        <f t="shared" si="9"/>
        <v>0.90838709677422491</v>
      </c>
      <c r="S20" s="426"/>
      <c r="T20" s="19">
        <v>0.54166666666666696</v>
      </c>
      <c r="U20" s="19">
        <v>0.563194444444444</v>
      </c>
      <c r="V20" s="30">
        <f>(T20-U19)*24*60</f>
        <v>89.999999999999915</v>
      </c>
      <c r="W20" s="149">
        <f t="shared" si="4"/>
        <v>30.999999999998931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6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50"/>
      <c r="U22" s="150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4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0">AVERAGE(J16:J25)</f>
        <v>14.4</v>
      </c>
      <c r="K26" s="155">
        <f t="shared" si="10"/>
        <v>2250</v>
      </c>
      <c r="L26" s="158">
        <f t="shared" si="10"/>
        <v>157.84421460892048</v>
      </c>
      <c r="M26" s="155">
        <f t="shared" si="10"/>
        <v>14.4</v>
      </c>
      <c r="N26" s="155">
        <f t="shared" si="10"/>
        <v>2010.4167046005725</v>
      </c>
      <c r="O26" s="158">
        <f t="shared" si="10"/>
        <v>141.6868465164809</v>
      </c>
      <c r="P26" s="159">
        <f>M26-J26</f>
        <v>0</v>
      </c>
      <c r="Q26" s="160">
        <f>O26-L26</f>
        <v>-16.157368092439583</v>
      </c>
      <c r="R26" s="161">
        <f>O26/L26</f>
        <v>0.89763724864752525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1">N26-K26</f>
        <v>-239.58329539942747</v>
      </c>
      <c r="AG26" s="124">
        <f t="shared" ref="AG26:AG31" si="12">N26/K26</f>
        <v>0.89351853537803227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50.67</v>
      </c>
      <c r="G27" s="169">
        <v>1249</v>
      </c>
      <c r="H27" s="134">
        <f>F27*G27</f>
        <v>63286.83</v>
      </c>
      <c r="I27" s="135"/>
      <c r="J27" s="136">
        <f>VLOOKUP(D27,產線配置圖!$A$3:$C$40,2,0)</f>
        <v>13</v>
      </c>
      <c r="K27" s="137">
        <f>VLOOKUP(D27,產線配置圖!$A$3:$C$40,3,0)</f>
        <v>1440</v>
      </c>
      <c r="L27" s="138">
        <f>K27/J27</f>
        <v>110.76923076923077</v>
      </c>
      <c r="M27" s="170">
        <v>13</v>
      </c>
      <c r="N27" s="140">
        <f>G27/W27*60</f>
        <v>1362.5454545454713</v>
      </c>
      <c r="O27" s="141">
        <f>N27/M27</f>
        <v>104.81118881119011</v>
      </c>
      <c r="P27" s="142">
        <f>M27-J27</f>
        <v>0</v>
      </c>
      <c r="Q27" s="143">
        <f>O27-L27</f>
        <v>-5.9580419580406669</v>
      </c>
      <c r="R27" s="144">
        <f>O27/L27</f>
        <v>0.94621212121213283</v>
      </c>
      <c r="S27" s="425">
        <f>R37</f>
        <v>0.91000032590908375</v>
      </c>
      <c r="T27" s="171">
        <v>0.29166666666666702</v>
      </c>
      <c r="U27" s="171">
        <v>0.32986111111111099</v>
      </c>
      <c r="V27" s="135"/>
      <c r="W27" s="146">
        <f t="shared" si="4"/>
        <v>54.999999999999325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11"/>
        <v>-77.45454545452867</v>
      </c>
      <c r="AG27" s="172">
        <f t="shared" si="12"/>
        <v>0.94621212121213283</v>
      </c>
      <c r="AH27" s="403">
        <f>AG37</f>
        <v>0.87975454703756339</v>
      </c>
    </row>
    <row r="28" spans="1:34" ht="15" customHeight="1">
      <c r="A28" s="457"/>
      <c r="B28" s="75" t="s">
        <v>81</v>
      </c>
      <c r="C28" s="173"/>
      <c r="D28" s="59" t="s">
        <v>122</v>
      </c>
      <c r="E28" s="104"/>
      <c r="F28" s="75">
        <f>VLOOKUP(D28,廠價表!$C$1:$E$43,3,0)</f>
        <v>57.21</v>
      </c>
      <c r="G28" s="90">
        <v>679</v>
      </c>
      <c r="H28" s="91">
        <f>F28*G28</f>
        <v>38845.590000000004</v>
      </c>
      <c r="I28" s="92"/>
      <c r="J28" s="79">
        <f>VLOOKUP(D28,產線配置圖!$A$3:$C$40,2,0)</f>
        <v>18</v>
      </c>
      <c r="K28" s="80">
        <f>VLOOKUP(D28,產線配置圖!$A$3:$C$40,3,0)</f>
        <v>1565</v>
      </c>
      <c r="L28" s="93">
        <f>K28/J28</f>
        <v>86.944444444444443</v>
      </c>
      <c r="M28" s="94">
        <v>18</v>
      </c>
      <c r="N28" s="95">
        <f>G28/W28*60</f>
        <v>1273.1250000000109</v>
      </c>
      <c r="O28" s="96">
        <f>N28/M28</f>
        <v>70.729166666667268</v>
      </c>
      <c r="P28" s="97">
        <f>M28-J28</f>
        <v>0</v>
      </c>
      <c r="Q28" s="98">
        <f>O28-L28</f>
        <v>-16.215277777777175</v>
      </c>
      <c r="R28" s="99">
        <f>O28/L28</f>
        <v>0.81349840255591743</v>
      </c>
      <c r="S28" s="426"/>
      <c r="T28" s="19">
        <v>0.33541666666666697</v>
      </c>
      <c r="U28" s="19">
        <v>0.35763888888888901</v>
      </c>
      <c r="V28" s="92">
        <f>(T28-U27)*24*60</f>
        <v>8.0000000000006111</v>
      </c>
      <c r="W28" s="149">
        <f t="shared" si="4"/>
        <v>31.999999999999726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11"/>
        <v>-291.87499999998909</v>
      </c>
      <c r="AG28" s="99">
        <f t="shared" si="12"/>
        <v>0.81349840255591754</v>
      </c>
      <c r="AH28" s="445"/>
    </row>
    <row r="29" spans="1:34" ht="15" customHeight="1">
      <c r="A29" s="457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3728</v>
      </c>
      <c r="H29" s="91">
        <f>F29*G29</f>
        <v>213278.88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17</v>
      </c>
      <c r="N29" s="95">
        <f>G29/W29*60</f>
        <v>1491.199999999995</v>
      </c>
      <c r="O29" s="96">
        <f>N29/M29</f>
        <v>87.717647058823232</v>
      </c>
      <c r="P29" s="97">
        <f>M29-J29</f>
        <v>-1</v>
      </c>
      <c r="Q29" s="98">
        <f>O29-L29</f>
        <v>-3.1712418300656537</v>
      </c>
      <c r="R29" s="99">
        <f>O29/L29</f>
        <v>0.96510858622177154</v>
      </c>
      <c r="S29" s="426"/>
      <c r="T29" s="19">
        <v>0.36111111111111099</v>
      </c>
      <c r="U29" s="19">
        <v>0.46527777777777801</v>
      </c>
      <c r="V29" s="92">
        <f>(T29-U28)*24*60</f>
        <v>4.9999999999996625</v>
      </c>
      <c r="W29" s="149">
        <f t="shared" si="4"/>
        <v>150.00000000000051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11"/>
        <v>-144.80000000000496</v>
      </c>
      <c r="AG29" s="99">
        <f t="shared" si="12"/>
        <v>0.91149144254278425</v>
      </c>
      <c r="AH29" s="445"/>
    </row>
    <row r="30" spans="1:34" ht="15" customHeight="1">
      <c r="A30" s="457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1000</v>
      </c>
      <c r="H30" s="91">
        <f>F30*G30</f>
        <v>57210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17</v>
      </c>
      <c r="N30" s="95">
        <f>G30/W30*60</f>
        <v>1395.3488372093075</v>
      </c>
      <c r="O30" s="96">
        <f>N30/M30</f>
        <v>82.079343365253379</v>
      </c>
      <c r="P30" s="97">
        <f>M30-J30</f>
        <v>-1</v>
      </c>
      <c r="Q30" s="98">
        <f>O30-L30</f>
        <v>-8.8095455236355065</v>
      </c>
      <c r="R30" s="99">
        <f>O30/L30</f>
        <v>0.90307346000890032</v>
      </c>
      <c r="S30" s="426"/>
      <c r="T30" s="19">
        <v>0.52916666666666701</v>
      </c>
      <c r="U30" s="19">
        <v>0.55902777777777801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07"/>
      <c r="AC30" s="407"/>
      <c r="AD30" s="92"/>
      <c r="AE30" s="92"/>
      <c r="AF30" s="312">
        <f t="shared" si="11"/>
        <v>-240.65116279069252</v>
      </c>
      <c r="AG30" s="99">
        <f t="shared" si="12"/>
        <v>0.85290271223062808</v>
      </c>
      <c r="AH30" s="446"/>
    </row>
    <row r="31" spans="1:34" ht="15" customHeight="1">
      <c r="A31" s="457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6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1"/>
        <v>0</v>
      </c>
      <c r="AG31" s="99" t="e">
        <f t="shared" si="12"/>
        <v>#DIV/0!</v>
      </c>
      <c r="AH31" s="405"/>
    </row>
    <row r="32" spans="1:34" ht="15" customHeight="1">
      <c r="A32" s="457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13">AVERAGE(J27:J36)</f>
        <v>16.75</v>
      </c>
      <c r="K37" s="155">
        <f t="shared" si="13"/>
        <v>1569.25</v>
      </c>
      <c r="L37" s="158">
        <f t="shared" si="13"/>
        <v>94.872863247863251</v>
      </c>
      <c r="M37" s="155">
        <f t="shared" si="13"/>
        <v>16.25</v>
      </c>
      <c r="N37" s="155">
        <f t="shared" si="13"/>
        <v>1380.5548229386964</v>
      </c>
      <c r="O37" s="158">
        <f t="shared" si="13"/>
        <v>86.334336475483497</v>
      </c>
      <c r="P37" s="159">
        <f>M37-J37</f>
        <v>-0.5</v>
      </c>
      <c r="Q37" s="160">
        <f>N37-K37</f>
        <v>-188.69517706130364</v>
      </c>
      <c r="R37" s="161">
        <f>O37/L37</f>
        <v>0.91000032590908375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-188.69517706130364</v>
      </c>
      <c r="AG37" s="124">
        <f>N37/K37</f>
        <v>0.87975454703756339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2582</v>
      </c>
      <c r="H38" s="134">
        <f>F38*G38</f>
        <v>128867.62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1630.7368421052429</v>
      </c>
      <c r="O38" s="141">
        <f>N38/M38</f>
        <v>108.71578947368286</v>
      </c>
      <c r="P38" s="142">
        <f>M38-J38</f>
        <v>0</v>
      </c>
      <c r="Q38" s="143">
        <f>O38-L38</f>
        <v>-5.5508771929838048</v>
      </c>
      <c r="R38" s="144">
        <f>O38/L38</f>
        <v>0.9514217281827555</v>
      </c>
      <c r="S38" s="453">
        <f>R48</f>
        <v>0.88692417866345175</v>
      </c>
      <c r="T38" s="191">
        <v>0.33333333333333298</v>
      </c>
      <c r="U38" s="191">
        <v>0.39930555555555602</v>
      </c>
      <c r="V38" s="192"/>
      <c r="W38" s="193">
        <f t="shared" si="4"/>
        <v>95.00000000000118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-83.263157894757114</v>
      </c>
      <c r="AG38" s="195">
        <f>N38/K38</f>
        <v>0.9514217281827555</v>
      </c>
      <c r="AH38" s="459">
        <f>AG48</f>
        <v>0.88396793317940081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2654</v>
      </c>
      <c r="H39" s="91">
        <f>F39*G39</f>
        <v>117572.2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1447.6363636363615</v>
      </c>
      <c r="O39" s="203">
        <f>N39/M39</f>
        <v>85.155080213903616</v>
      </c>
      <c r="P39" s="97">
        <f>M39-J39</f>
        <v>0</v>
      </c>
      <c r="Q39" s="98">
        <f>O39-L39</f>
        <v>-11.080213903743442</v>
      </c>
      <c r="R39" s="99">
        <f>O39/L39</f>
        <v>0.88486330295621118</v>
      </c>
      <c r="S39" s="454"/>
      <c r="T39" s="20">
        <v>0.40625</v>
      </c>
      <c r="U39" s="20">
        <v>0.48263888888888901</v>
      </c>
      <c r="V39" s="92">
        <f>(T39-U38)*24*60</f>
        <v>9.999999999999325</v>
      </c>
      <c r="W39" s="205">
        <f t="shared" si="4"/>
        <v>110.00000000000017</v>
      </c>
      <c r="X39" s="22"/>
      <c r="Y39" s="84"/>
      <c r="Z39" s="90"/>
      <c r="AA39" s="90"/>
      <c r="AB39" s="462"/>
      <c r="AC39" s="462"/>
      <c r="AD39" s="200"/>
      <c r="AE39" s="200"/>
      <c r="AF39" s="314">
        <f>N39-K39</f>
        <v>-188.36363636363853</v>
      </c>
      <c r="AG39" s="206">
        <f>N39/K39</f>
        <v>0.88486330295621118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731</v>
      </c>
      <c r="H40" s="91">
        <f>F40*G40</f>
        <v>32383.3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1329.0909090908879</v>
      </c>
      <c r="O40" s="203">
        <f>N40/M40</f>
        <v>78.181818181816936</v>
      </c>
      <c r="P40" s="97">
        <f>M40-J40</f>
        <v>0</v>
      </c>
      <c r="Q40" s="98">
        <f>O40-L40</f>
        <v>-18.053475935830122</v>
      </c>
      <c r="R40" s="99">
        <f>O40/L40</f>
        <v>0.81240275616802438</v>
      </c>
      <c r="S40" s="440"/>
      <c r="T40" s="20">
        <v>0.54513888888888895</v>
      </c>
      <c r="U40" s="20">
        <v>0.56805555555555598</v>
      </c>
      <c r="V40" s="92">
        <f>(T40-U39)*24*60</f>
        <v>89.999999999999915</v>
      </c>
      <c r="W40" s="205">
        <f t="shared" si="4"/>
        <v>33.000000000000526</v>
      </c>
      <c r="X40" s="208"/>
      <c r="Y40" s="209"/>
      <c r="Z40" s="337"/>
      <c r="AA40" s="337"/>
      <c r="AB40" s="407" t="s">
        <v>140</v>
      </c>
      <c r="AC40" s="407"/>
      <c r="AD40" s="92"/>
      <c r="AE40" s="92"/>
      <c r="AF40" s="314">
        <f>N40-K40</f>
        <v>-306.90909090911214</v>
      </c>
      <c r="AG40" s="206">
        <f>N40/K40</f>
        <v>0.81240275616802438</v>
      </c>
      <c r="AH40" s="460"/>
    </row>
    <row r="41" spans="1:34" ht="15" customHeight="1">
      <c r="A41" s="451"/>
      <c r="B41" s="75" t="s">
        <v>145</v>
      </c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40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0</v>
      </c>
      <c r="AG41" s="206" t="e">
        <f>N41/K41</f>
        <v>#DIV/0!</v>
      </c>
      <c r="AH41" s="460"/>
    </row>
    <row r="42" spans="1:34" ht="15" customHeight="1">
      <c r="A42" s="451"/>
      <c r="B42" s="75" t="s">
        <v>145</v>
      </c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14">AVERAGE(J38:J47)</f>
        <v>16.333333333333332</v>
      </c>
      <c r="K48" s="155">
        <f t="shared" si="14"/>
        <v>1662</v>
      </c>
      <c r="L48" s="158">
        <f t="shared" si="14"/>
        <v>102.24575163398693</v>
      </c>
      <c r="M48" s="155">
        <f t="shared" si="14"/>
        <v>16.333333333333332</v>
      </c>
      <c r="N48" s="155">
        <f t="shared" si="14"/>
        <v>1469.1547049441642</v>
      </c>
      <c r="O48" s="158">
        <f t="shared" si="14"/>
        <v>90.684229289801138</v>
      </c>
      <c r="P48" s="221">
        <f>M48-J48</f>
        <v>0</v>
      </c>
      <c r="Q48" s="222">
        <f>N48-K48</f>
        <v>-192.84529505583578</v>
      </c>
      <c r="R48" s="223">
        <f>O48/L48</f>
        <v>0.88692417866345175</v>
      </c>
      <c r="S48" s="443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15">N48-K48</f>
        <v>-192.84529505583578</v>
      </c>
      <c r="AG48" s="162">
        <f t="shared" ref="AG48:AG53" si="16">N48/K48</f>
        <v>0.88396793317940081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1757</v>
      </c>
      <c r="H49" s="134">
        <f>F49*G49</f>
        <v>87006.64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1527.8260869565115</v>
      </c>
      <c r="O49" s="141">
        <f>N49/M49</f>
        <v>89.87212276214774</v>
      </c>
      <c r="P49" s="229">
        <f>M49-J49</f>
        <v>0</v>
      </c>
      <c r="Q49" s="230">
        <f>O49-L49</f>
        <v>-16.010230179028724</v>
      </c>
      <c r="R49" s="52">
        <f>O49/L49</f>
        <v>0.84879227053139539</v>
      </c>
      <c r="S49" s="439">
        <f>R58</f>
        <v>0.909390169952492</v>
      </c>
      <c r="T49" s="191">
        <v>0.29513888888888901</v>
      </c>
      <c r="U49" s="191">
        <v>0.343055555555556</v>
      </c>
      <c r="V49" s="55"/>
      <c r="W49" s="193">
        <f t="shared" si="4"/>
        <v>69.000000000000469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15"/>
        <v>-272.17391304348848</v>
      </c>
      <c r="AG49" s="52">
        <f t="shared" si="16"/>
        <v>0.84879227053139528</v>
      </c>
      <c r="AH49" s="403">
        <f>AG58</f>
        <v>0.88700056314907505</v>
      </c>
    </row>
    <row r="50" spans="1:34" ht="15" customHeight="1">
      <c r="A50" s="469"/>
      <c r="B50" s="75" t="s">
        <v>81</v>
      </c>
      <c r="C50" s="76"/>
      <c r="D50" s="59" t="s">
        <v>132</v>
      </c>
      <c r="E50" s="77"/>
      <c r="F50" s="75">
        <f>VLOOKUP(D50,廠價表!$C$1:$E$43,3,0)</f>
        <v>49.97</v>
      </c>
      <c r="G50" s="202">
        <v>2352</v>
      </c>
      <c r="H50" s="231">
        <f>F50*G50</f>
        <v>117529.44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1603.6363636363403</v>
      </c>
      <c r="O50" s="235">
        <f>N50/M50</f>
        <v>100.22727272727127</v>
      </c>
      <c r="P50" s="74">
        <f>M50-J50</f>
        <v>0</v>
      </c>
      <c r="Q50" s="83">
        <f>O50-L50</f>
        <v>-12.27272727272873</v>
      </c>
      <c r="R50" s="72">
        <f>O50/L50</f>
        <v>0.89090909090907799</v>
      </c>
      <c r="S50" s="440"/>
      <c r="T50" s="21">
        <v>0.35069444444444398</v>
      </c>
      <c r="U50" s="21">
        <v>0.41180555555555598</v>
      </c>
      <c r="V50" s="30">
        <f>(T50-U49)*24*60</f>
        <v>10.999999999998682</v>
      </c>
      <c r="W50" s="236">
        <f t="shared" si="4"/>
        <v>88.000000000001279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15"/>
        <v>-196.36363636365968</v>
      </c>
      <c r="AG50" s="72">
        <f t="shared" si="16"/>
        <v>0.89090909090907799</v>
      </c>
      <c r="AH50" s="404"/>
    </row>
    <row r="51" spans="1:34" ht="15" customHeight="1">
      <c r="A51" s="469"/>
      <c r="B51" s="75" t="s">
        <v>81</v>
      </c>
      <c r="C51" s="76"/>
      <c r="D51" s="59" t="s">
        <v>133</v>
      </c>
      <c r="E51" s="77"/>
      <c r="F51" s="75">
        <f>VLOOKUP(D51,廠價表!$C$1:$E$43,3,0)</f>
        <v>50.289000000000001</v>
      </c>
      <c r="G51" s="202">
        <v>1321</v>
      </c>
      <c r="H51" s="231">
        <f>F51*G51</f>
        <v>66431.769</v>
      </c>
      <c r="I51" s="232"/>
      <c r="J51" s="79">
        <f>VLOOKUP(D51,產線配置圖!$A$3:$C$40,2,0)</f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1366.5517241379584</v>
      </c>
      <c r="O51" s="235">
        <f>N51/M51</f>
        <v>75.919540229886579</v>
      </c>
      <c r="P51" s="74">
        <f>M51-J51</f>
        <v>0</v>
      </c>
      <c r="Q51" s="83">
        <f>O51-L51</f>
        <v>-11.024904214557864</v>
      </c>
      <c r="R51" s="72">
        <f>O51/L51</f>
        <v>0.87319598986451019</v>
      </c>
      <c r="S51" s="440"/>
      <c r="T51" s="21">
        <v>0.41805555555555601</v>
      </c>
      <c r="U51" s="19">
        <v>0.45833333333333298</v>
      </c>
      <c r="V51" s="30">
        <f>(T51-U50)*24*60</f>
        <v>9.000000000000048</v>
      </c>
      <c r="W51" s="236">
        <f t="shared" si="4"/>
        <v>57.999999999998835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15"/>
        <v>-198.44827586204156</v>
      </c>
      <c r="AG51" s="72">
        <f t="shared" si="16"/>
        <v>0.87319598986451019</v>
      </c>
      <c r="AH51" s="404"/>
    </row>
    <row r="52" spans="1:34" ht="15" customHeight="1">
      <c r="A52" s="469"/>
      <c r="B52" s="75" t="s">
        <v>81</v>
      </c>
      <c r="C52" s="86"/>
      <c r="D52" s="59" t="s">
        <v>133</v>
      </c>
      <c r="E52" s="87"/>
      <c r="F52" s="75">
        <f>VLOOKUP(D52,廠價表!$C$1:$E$43,3,0)</f>
        <v>50.289000000000001</v>
      </c>
      <c r="G52" s="202">
        <v>1298</v>
      </c>
      <c r="H52" s="231">
        <f t="shared" ref="H52:H53" si="17">F52*G52</f>
        <v>65275.122000000003</v>
      </c>
      <c r="I52" s="232"/>
      <c r="J52" s="79">
        <f>VLOOKUP(D52,產線配置圖!$A$3:$C$40,2,0)</f>
        <v>18</v>
      </c>
      <c r="K52" s="80">
        <f>VLOOKUP(D52,產線配置圖!$A$3:$C$40,3,0)</f>
        <v>1565</v>
      </c>
      <c r="L52" s="81">
        <f t="shared" ref="L52:L53" si="18">K52/J52</f>
        <v>86.944444444444443</v>
      </c>
      <c r="M52" s="233">
        <v>17</v>
      </c>
      <c r="N52" s="234">
        <f t="shared" ref="N52:N53" si="19">G52/W52*60</f>
        <v>1469.4339622641339</v>
      </c>
      <c r="O52" s="235">
        <f t="shared" ref="O52:O53" si="20">N52/M52</f>
        <v>86.437291897890233</v>
      </c>
      <c r="P52" s="74">
        <f t="shared" ref="P52:P53" si="21">M52-J52</f>
        <v>-1</v>
      </c>
      <c r="Q52" s="83">
        <f t="shared" ref="Q52:Q53" si="22">O52-L52</f>
        <v>-0.50715254655420949</v>
      </c>
      <c r="R52" s="72">
        <f t="shared" ref="R52:R53" si="23">O52/L52</f>
        <v>0.99416693556678859</v>
      </c>
      <c r="S52" s="440"/>
      <c r="T52" s="21">
        <v>0.51736111111111105</v>
      </c>
      <c r="U52" s="21">
        <v>0.55416666666666703</v>
      </c>
      <c r="V52" s="30">
        <f>(T52-U51)*24*60</f>
        <v>85.000000000000412</v>
      </c>
      <c r="W52" s="236">
        <f t="shared" si="4"/>
        <v>53.000000000000611</v>
      </c>
      <c r="X52" s="22">
        <v>0.47916666666666702</v>
      </c>
      <c r="Y52" s="84">
        <v>0.52083333333333304</v>
      </c>
      <c r="Z52" s="90"/>
      <c r="AA52" s="90"/>
      <c r="AB52" s="407"/>
      <c r="AC52" s="407"/>
      <c r="AD52" s="92"/>
      <c r="AE52" s="92"/>
      <c r="AF52" s="307">
        <f t="shared" si="15"/>
        <v>-95.566037735866075</v>
      </c>
      <c r="AG52" s="72">
        <f t="shared" si="16"/>
        <v>0.93893543914641142</v>
      </c>
      <c r="AH52" s="404"/>
    </row>
    <row r="53" spans="1:34" ht="15" customHeight="1">
      <c r="A53" s="469"/>
      <c r="B53" s="101" t="s">
        <v>81</v>
      </c>
      <c r="C53" s="102"/>
      <c r="D53" s="103" t="s">
        <v>132</v>
      </c>
      <c r="E53" s="104"/>
      <c r="F53" s="75">
        <f>VLOOKUP(D53,廠價表!$C$1:$E$43,3,0)</f>
        <v>49.97</v>
      </c>
      <c r="G53" s="202">
        <v>1199</v>
      </c>
      <c r="H53" s="231">
        <f t="shared" si="17"/>
        <v>59914.03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18"/>
        <v>112.5</v>
      </c>
      <c r="M53" s="108">
        <v>15</v>
      </c>
      <c r="N53" s="234">
        <f t="shared" si="19"/>
        <v>1598.6666666666667</v>
      </c>
      <c r="O53" s="235">
        <f t="shared" si="20"/>
        <v>106.57777777777778</v>
      </c>
      <c r="P53" s="74">
        <f t="shared" si="21"/>
        <v>-1</v>
      </c>
      <c r="Q53" s="83">
        <f t="shared" si="22"/>
        <v>-5.9222222222222172</v>
      </c>
      <c r="R53" s="72">
        <f t="shared" si="23"/>
        <v>0.9473580246913581</v>
      </c>
      <c r="S53" s="440"/>
      <c r="T53" s="21">
        <v>0.55972222222222201</v>
      </c>
      <c r="U53" s="21">
        <v>0.59097222222222201</v>
      </c>
      <c r="V53" s="30">
        <f>(T53-U52)*24*60</f>
        <v>7.9999999999991722</v>
      </c>
      <c r="W53" s="236">
        <f t="shared" si="4"/>
        <v>45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15"/>
        <v>-201.33333333333326</v>
      </c>
      <c r="AG53" s="72">
        <f t="shared" si="16"/>
        <v>0.88814814814814824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7" t="s">
        <v>152</v>
      </c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24">AVERAGE(J49:J57)</f>
        <v>17</v>
      </c>
      <c r="K58" s="120">
        <f t="shared" si="24"/>
        <v>1706</v>
      </c>
      <c r="L58" s="117">
        <f t="shared" si="24"/>
        <v>100.95424836601308</v>
      </c>
      <c r="M58" s="120">
        <f t="shared" si="24"/>
        <v>16.600000000000001</v>
      </c>
      <c r="N58" s="120">
        <f t="shared" si="24"/>
        <v>1513.222960732322</v>
      </c>
      <c r="O58" s="117">
        <f t="shared" si="24"/>
        <v>91.806801078994724</v>
      </c>
      <c r="P58" s="121">
        <f>M58-J58</f>
        <v>-0.39999999999999858</v>
      </c>
      <c r="Q58" s="122">
        <f>N58-K58</f>
        <v>-192.77703926767799</v>
      </c>
      <c r="R58" s="123">
        <f>O58/L58</f>
        <v>0.909390169952492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-192.77703926767799</v>
      </c>
      <c r="AG58" s="124">
        <f>N58/K58</f>
        <v>0.88700056314907505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2974</v>
      </c>
      <c r="H59" s="243">
        <f>F59*G59</f>
        <v>80268.259999999995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16</v>
      </c>
      <c r="N59" s="137">
        <f>G59/W59*60</f>
        <v>1551.6521739130458</v>
      </c>
      <c r="O59" s="138">
        <f>N59/M59</f>
        <v>96.978260869565361</v>
      </c>
      <c r="P59" s="56">
        <f>M59-J59</f>
        <v>1</v>
      </c>
      <c r="Q59" s="230">
        <f>O59-L59</f>
        <v>-7.3550724637679679</v>
      </c>
      <c r="R59" s="52">
        <f>O59/L59</f>
        <v>0.92950409779136134</v>
      </c>
      <c r="S59" s="439">
        <f>R69</f>
        <v>0.87232614920241447</v>
      </c>
      <c r="T59" s="245">
        <v>0.29166666666666702</v>
      </c>
      <c r="U59" s="245">
        <v>0.37152777777777801</v>
      </c>
      <c r="V59" s="55"/>
      <c r="W59" s="54">
        <f t="shared" si="4"/>
        <v>114.99999999999983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-13.347826086954228</v>
      </c>
      <c r="AG59" s="246">
        <f>N59/K59</f>
        <v>0.9914710376441187</v>
      </c>
      <c r="AH59" s="403">
        <f>AG69</f>
        <v>0.9500846255179608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1581</v>
      </c>
      <c r="H60" s="78">
        <f>F60*G60</f>
        <v>44679.060000000005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13</v>
      </c>
      <c r="N60" s="80">
        <f>G60/W60*60</f>
        <v>1607.7966101694601</v>
      </c>
      <c r="O60" s="81">
        <f>N60/M60</f>
        <v>123.6766623207277</v>
      </c>
      <c r="P60" s="74">
        <f>M60-J60</f>
        <v>1</v>
      </c>
      <c r="Q60" s="83">
        <f>O60-L60</f>
        <v>-6.7400043459389565</v>
      </c>
      <c r="R60" s="72">
        <f>O60/L60</f>
        <v>0.94831945549439778</v>
      </c>
      <c r="S60" s="467"/>
      <c r="T60" s="22">
        <v>0.37708333333333299</v>
      </c>
      <c r="U60" s="22">
        <v>0.41805555555555601</v>
      </c>
      <c r="V60" s="30">
        <f>(T60-U59)*24*60</f>
        <v>7.9999999999991722</v>
      </c>
      <c r="W60" s="248">
        <f t="shared" si="4"/>
        <v>59.000000000001151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42.796610169460109</v>
      </c>
      <c r="AG60" s="249">
        <f>N60/K60</f>
        <v>1.0273460767855975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2171</v>
      </c>
      <c r="H61" s="254">
        <f>F61*G61</f>
        <v>61352.460000000006</v>
      </c>
      <c r="I61" s="182"/>
      <c r="J61" s="106">
        <f>VLOOKUP(D61,產線配置圖!$A$3:$C$40,2,0)</f>
        <v>11</v>
      </c>
      <c r="K61" s="107">
        <f>VLOOKUP(D61,產線配置圖!$A$3:$C$40,3,0)</f>
        <v>1565</v>
      </c>
      <c r="L61" s="238">
        <f>K61/J61</f>
        <v>142.27272727272728</v>
      </c>
      <c r="M61" s="108">
        <v>12</v>
      </c>
      <c r="N61" s="107">
        <f>G61/W61*60</f>
        <v>1371.1578947368469</v>
      </c>
      <c r="O61" s="238">
        <f>N61/M61</f>
        <v>114.26315789473723</v>
      </c>
      <c r="P61" s="111">
        <f>M61-J61</f>
        <v>1</v>
      </c>
      <c r="Q61" s="255">
        <f>O61-L61</f>
        <v>-28.009569377990047</v>
      </c>
      <c r="R61" s="85">
        <f>O61/L61</f>
        <v>0.80312762737514987</v>
      </c>
      <c r="S61" s="440"/>
      <c r="T61" s="22">
        <v>0.42361111111111099</v>
      </c>
      <c r="U61" s="22">
        <v>0.48958333333333298</v>
      </c>
      <c r="V61" s="30">
        <f>(T61-U60)*24*60</f>
        <v>7.9999999999991722</v>
      </c>
      <c r="W61" s="256">
        <f t="shared" si="4"/>
        <v>94.999999999999659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-193.84210526315314</v>
      </c>
      <c r="AG61" s="247">
        <f>N61/K61</f>
        <v>0.87613922986379988</v>
      </c>
      <c r="AH61" s="404"/>
    </row>
    <row r="62" spans="1:34" ht="15" customHeight="1">
      <c r="A62" s="465"/>
      <c r="B62" s="250" t="s">
        <v>125</v>
      </c>
      <c r="C62" s="251"/>
      <c r="D62" s="257" t="s">
        <v>126</v>
      </c>
      <c r="E62" s="253"/>
      <c r="F62" s="250">
        <f>VLOOKUP(D62,廠價表!$C$1:$E$43,3,0)</f>
        <v>28.26</v>
      </c>
      <c r="G62" s="38">
        <v>1228</v>
      </c>
      <c r="H62" s="254">
        <f>F62*G62</f>
        <v>34703.279999999999</v>
      </c>
      <c r="I62" s="182"/>
      <c r="J62" s="106">
        <f>VLOOKUP(D62,產線配置圖!$A$3:$C$40,2,0)</f>
        <v>11</v>
      </c>
      <c r="K62" s="107">
        <f>VLOOKUP(D62,產線配置圖!$A$3:$C$40,3,0)</f>
        <v>1565</v>
      </c>
      <c r="L62" s="238">
        <f>K62/J62</f>
        <v>142.27272727272728</v>
      </c>
      <c r="M62" s="108">
        <v>12</v>
      </c>
      <c r="N62" s="107">
        <f>G62/W62*60</f>
        <v>1416.9230769230819</v>
      </c>
      <c r="O62" s="238">
        <f>N62/M62</f>
        <v>118.07692307692349</v>
      </c>
      <c r="P62" s="111">
        <f>M62-J62</f>
        <v>1</v>
      </c>
      <c r="Q62" s="255">
        <f>O62-L62</f>
        <v>-24.195804195803788</v>
      </c>
      <c r="R62" s="85">
        <f>O62/L62</f>
        <v>0.82993364463013308</v>
      </c>
      <c r="S62" s="440"/>
      <c r="T62" s="22">
        <v>0.54166666666666696</v>
      </c>
      <c r="U62" s="22">
        <v>0.57777777777777795</v>
      </c>
      <c r="V62" s="30">
        <f>(T62-U61)*24*60</f>
        <v>75.000000000000938</v>
      </c>
      <c r="W62" s="248">
        <f t="shared" si="4"/>
        <v>51.999999999999815</v>
      </c>
      <c r="X62" s="22">
        <v>0.50347222222222199</v>
      </c>
      <c r="Y62" s="84">
        <v>0.54513888888888895</v>
      </c>
      <c r="Z62" s="90"/>
      <c r="AA62" s="90"/>
      <c r="AB62" s="407"/>
      <c r="AC62" s="407"/>
      <c r="AD62" s="92"/>
      <c r="AE62" s="92"/>
      <c r="AF62" s="317">
        <f>N62-K62</f>
        <v>-148.07692307691809</v>
      </c>
      <c r="AG62" s="247">
        <f>N62/K62</f>
        <v>0.90538215777832709</v>
      </c>
      <c r="AH62" s="404"/>
    </row>
    <row r="63" spans="1:34" ht="15" customHeight="1">
      <c r="A63" s="465"/>
      <c r="B63" s="258" t="s">
        <v>145</v>
      </c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40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07" t="s">
        <v>153</v>
      </c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25">AVERAGE(J59:J68)</f>
        <v>12.25</v>
      </c>
      <c r="K69" s="240">
        <f t="shared" si="25"/>
        <v>1565</v>
      </c>
      <c r="L69" s="268">
        <f t="shared" si="25"/>
        <v>129.82386363636363</v>
      </c>
      <c r="M69" s="240">
        <f t="shared" si="25"/>
        <v>13.25</v>
      </c>
      <c r="N69" s="240">
        <f t="shared" si="25"/>
        <v>1486.8824389356087</v>
      </c>
      <c r="O69" s="268">
        <f t="shared" si="25"/>
        <v>113.24875104048844</v>
      </c>
      <c r="P69" s="269">
        <f>M69-J69</f>
        <v>1</v>
      </c>
      <c r="Q69" s="222">
        <f>N69-K69</f>
        <v>-78.117561064391339</v>
      </c>
      <c r="R69" s="123">
        <f>O69/L69</f>
        <v>0.87232614920241447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-78.117561064391339</v>
      </c>
      <c r="AG69" s="124">
        <f>N69/K69</f>
        <v>0.9500846255179608</v>
      </c>
      <c r="AH69" s="406"/>
    </row>
    <row r="70" spans="1:36" ht="15" customHeight="1">
      <c r="A70" s="471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39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/>
      <c r="D79" s="430"/>
      <c r="E79" s="430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9:AC59"/>
    <mergeCell ref="A49:A58"/>
    <mergeCell ref="S49:S58"/>
    <mergeCell ref="AB49:AC49"/>
    <mergeCell ref="A59:A69"/>
    <mergeCell ref="S59:S69"/>
    <mergeCell ref="D79:E79"/>
    <mergeCell ref="AB79:AC79"/>
    <mergeCell ref="A70:A79"/>
    <mergeCell ref="S70:S79"/>
    <mergeCell ref="AB70:AC70"/>
    <mergeCell ref="D58:E58"/>
    <mergeCell ref="AB58:AC58"/>
    <mergeCell ref="D69:E69"/>
    <mergeCell ref="AB69:AC69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H27:AH3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27:A37"/>
    <mergeCell ref="S27:S37"/>
    <mergeCell ref="AB27:AC27"/>
    <mergeCell ref="D37:E37"/>
    <mergeCell ref="AB25:AC25"/>
    <mergeCell ref="AB26:AC26"/>
    <mergeCell ref="S16:S26"/>
    <mergeCell ref="AB16:AC16"/>
    <mergeCell ref="D26:E26"/>
    <mergeCell ref="AB36:AC36"/>
    <mergeCell ref="AB37:AC37"/>
    <mergeCell ref="AB22:AC22"/>
    <mergeCell ref="AB23:AC23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B42:AC42"/>
    <mergeCell ref="AB43:AC43"/>
    <mergeCell ref="AB44:AC44"/>
    <mergeCell ref="AB45:AC45"/>
    <mergeCell ref="AB46:AC46"/>
    <mergeCell ref="AH16:AH26"/>
    <mergeCell ref="AB17:AC17"/>
    <mergeCell ref="AB18:AC18"/>
    <mergeCell ref="AB19:AC19"/>
    <mergeCell ref="A16:A26"/>
    <mergeCell ref="AB5:AC5"/>
    <mergeCell ref="X3:Y3"/>
    <mergeCell ref="AB3:AC4"/>
    <mergeCell ref="AD3:AE3"/>
    <mergeCell ref="AB24:AC24"/>
    <mergeCell ref="AB20:AC20"/>
    <mergeCell ref="AB21:AC21"/>
    <mergeCell ref="AB12:AC12"/>
    <mergeCell ref="AB14:AC14"/>
    <mergeCell ref="AB13:AC13"/>
    <mergeCell ref="AB7:AC7"/>
    <mergeCell ref="AB8:AC8"/>
    <mergeCell ref="AB9:AC9"/>
    <mergeCell ref="AB10:AC10"/>
    <mergeCell ref="AB11:AC11"/>
    <mergeCell ref="AG3:AG4"/>
    <mergeCell ref="AH3:AH4"/>
    <mergeCell ref="AF3:AF4"/>
    <mergeCell ref="A5:A15"/>
    <mergeCell ref="S5:S15"/>
    <mergeCell ref="N3:N4"/>
    <mergeCell ref="O3:O4"/>
    <mergeCell ref="D15:E15"/>
    <mergeCell ref="P3:P4"/>
    <mergeCell ref="Q3:Q4"/>
    <mergeCell ref="L3:L4"/>
    <mergeCell ref="M3:M4"/>
    <mergeCell ref="R3:R4"/>
    <mergeCell ref="A2:B2"/>
    <mergeCell ref="A3:A4"/>
    <mergeCell ref="B3:B4"/>
    <mergeCell ref="D3:E4"/>
    <mergeCell ref="F3:F4"/>
    <mergeCell ref="AB15:AC15"/>
    <mergeCell ref="AH5:AH15"/>
    <mergeCell ref="AB6:AC6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T3:U3"/>
    <mergeCell ref="V3:V4"/>
    <mergeCell ref="W3:W4"/>
    <mergeCell ref="Z3:AA3"/>
  </mergeCells>
  <phoneticPr fontId="0" type="noConversion"/>
  <conditionalFormatting sqref="P5:P79">
    <cfRule type="cellIs" dxfId="258" priority="1" operator="greaterThan">
      <formula>0</formula>
    </cfRule>
  </conditionalFormatting>
  <conditionalFormatting sqref="Q5:Q79 AF5:AF79">
    <cfRule type="cellIs" dxfId="257" priority="4" operator="lessThan">
      <formula>0</formula>
    </cfRule>
  </conditionalFormatting>
  <conditionalFormatting sqref="R5:R79 AG5:AG79">
    <cfRule type="cellIs" dxfId="256" priority="2" operator="greaterThan">
      <formula>1</formula>
    </cfRule>
    <cfRule type="cellIs" dxfId="255" priority="3" operator="lessThan">
      <formula>0.8</formula>
    </cfRule>
  </conditionalFormatting>
  <conditionalFormatting sqref="S5:S10 S37:S62 AH59:AH62 S69:S76 AH69:AH76">
    <cfRule type="cellIs" dxfId="254" priority="7" operator="lessThan">
      <formula>0.8</formula>
    </cfRule>
  </conditionalFormatting>
  <conditionalFormatting sqref="S19:S25 AH19:AH25">
    <cfRule type="cellIs" dxfId="253" priority="6" operator="lessThan">
      <formula>0.8</formula>
    </cfRule>
  </conditionalFormatting>
  <conditionalFormatting sqref="S79">
    <cfRule type="cellIs" dxfId="252" priority="5" operator="lessThan">
      <formula>0.8</formula>
    </cfRule>
  </conditionalFormatting>
  <conditionalFormatting sqref="AH5:AH8 S15:S16 AH15:AH16 AH49 AH79">
    <cfRule type="cellIs" dxfId="251" priority="9" operator="lessThan">
      <formula>0.8</formula>
    </cfRule>
  </conditionalFormatting>
  <conditionalFormatting sqref="AH27 S27:S28">
    <cfRule type="cellIs" dxfId="2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020CCBD-472D-4F2E-83A2-E7F68D5ABEA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4746-04C7-4D40-8352-1AE384D38EAD}">
  <dimension ref="B1:O26"/>
  <sheetViews>
    <sheetView zoomScale="70" zoomScaleNormal="70" workbookViewId="0">
      <selection activeCell="U54" sqref="U5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46179</v>
      </c>
      <c r="E3" s="510"/>
      <c r="F3" s="3" t="s">
        <v>72</v>
      </c>
      <c r="G3" s="511">
        <f>'0606'!E1</f>
        <v>53256</v>
      </c>
      <c r="H3" s="511"/>
      <c r="I3" s="3" t="s">
        <v>2</v>
      </c>
      <c r="J3" s="512">
        <f>'0606'!G1</f>
        <v>2550422.3470000005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121.28084698072443</v>
      </c>
      <c r="G6" s="507"/>
      <c r="H6" s="508">
        <f>AVERAGE(D13:H13)</f>
        <v>119.57224364959659</v>
      </c>
      <c r="I6" s="508"/>
      <c r="J6" s="508">
        <f>AVERAGE(I13)</f>
        <v>129.82386363636363</v>
      </c>
      <c r="K6" s="508"/>
      <c r="L6" s="516">
        <f>SUM(D18:J18)</f>
        <v>5</v>
      </c>
      <c r="M6" s="499">
        <f>SUM(D19:J19)</f>
        <v>21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107.75478978790848</v>
      </c>
      <c r="G7" s="496"/>
      <c r="H7" s="497">
        <f>AVERAGE(D14:H14)</f>
        <v>106.46132138753433</v>
      </c>
      <c r="I7" s="497"/>
      <c r="J7" s="497">
        <f>AVERAGE(I14)</f>
        <v>114.22213178977931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0.88847326243552949</v>
      </c>
      <c r="G8" s="502"/>
      <c r="H8" s="502">
        <f>H7/H6</f>
        <v>0.89035145731242205</v>
      </c>
      <c r="I8" s="502"/>
      <c r="J8" s="502">
        <f>J7/J6</f>
        <v>0.87982385202858593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VALUE('0606'!L15)</f>
        <v>139.24705882352941</v>
      </c>
      <c r="E13" s="13">
        <f>VALUE('0606'!L26)</f>
        <v>158.32255979314803</v>
      </c>
      <c r="F13" s="13">
        <f>VALUE('0606'!L37)</f>
        <v>94.872863247863251</v>
      </c>
      <c r="G13" s="13">
        <f>VALUE('0606'!L48)</f>
        <v>102.24575163398693</v>
      </c>
      <c r="H13" s="13">
        <f>VALUE('0606'!L58)</f>
        <v>103.17298474945534</v>
      </c>
      <c r="I13" s="13">
        <f>VALUE('0606'!L69)</f>
        <v>129.82386363636363</v>
      </c>
      <c r="J13" s="13">
        <f>'0606'!L79</f>
        <v>0</v>
      </c>
    </row>
    <row r="14" spans="2:15" ht="39.950000000000003" customHeight="1">
      <c r="B14" s="490"/>
      <c r="C14" s="12" t="s">
        <v>100</v>
      </c>
      <c r="D14" s="13">
        <f>VALUE('0606'!O15)</f>
        <v>130.33926420617124</v>
      </c>
      <c r="E14" s="13">
        <f>VALUE('0606'!O26)</f>
        <v>148.31360365483567</v>
      </c>
      <c r="F14" s="13">
        <f>VALUE('0606'!O37)</f>
        <v>75.299855963797881</v>
      </c>
      <c r="G14" s="13">
        <f>VALUE('0606'!O48)</f>
        <v>87.824100409394006</v>
      </c>
      <c r="H14" s="13">
        <f>VALUE('0606'!O58)</f>
        <v>90.52978270347279</v>
      </c>
      <c r="I14" s="13">
        <f>VALUE('0606'!O69)</f>
        <v>114.22213178977931</v>
      </c>
      <c r="J14" s="13">
        <f>'0606'!O79</f>
        <v>0</v>
      </c>
    </row>
    <row r="15" spans="2:15" ht="39.950000000000003" customHeight="1">
      <c r="B15" s="491"/>
      <c r="C15" s="10" t="s">
        <v>26</v>
      </c>
      <c r="D15" s="14">
        <f t="shared" ref="D15:I15" si="1">D14/D13</f>
        <v>0.93602884906425776</v>
      </c>
      <c r="E15" s="14">
        <f t="shared" si="1"/>
        <v>0.93678123855886819</v>
      </c>
      <c r="F15" s="14">
        <f t="shared" si="1"/>
        <v>0.79369224650752601</v>
      </c>
      <c r="G15" s="14">
        <f t="shared" si="1"/>
        <v>0.85895109582431683</v>
      </c>
      <c r="H15" s="14">
        <f t="shared" si="1"/>
        <v>0.87745627329978648</v>
      </c>
      <c r="I15" s="14">
        <f t="shared" si="1"/>
        <v>0.87982385202858593</v>
      </c>
      <c r="J15" s="15">
        <f>'0606'!S70</f>
        <v>0</v>
      </c>
    </row>
    <row r="16" spans="2:15" ht="17.25" customHeight="1">
      <c r="B16" s="492" t="s">
        <v>101</v>
      </c>
      <c r="C16" s="10" t="s">
        <v>34</v>
      </c>
      <c r="D16" s="16">
        <f>'0606'!T5</f>
        <v>0.29166666666666702</v>
      </c>
      <c r="E16" s="16">
        <f>'0606'!T16</f>
        <v>0.29166666666666702</v>
      </c>
      <c r="F16" s="16">
        <f>'0606'!T27</f>
        <v>0.28819444444444398</v>
      </c>
      <c r="G16" s="16">
        <f>'0606'!T38</f>
        <v>0.33333333333333298</v>
      </c>
      <c r="H16" s="16">
        <f>'0606'!T49</f>
        <v>0.29027777777777802</v>
      </c>
      <c r="I16" s="16">
        <f>'0606'!T59</f>
        <v>0.29166666666666702</v>
      </c>
      <c r="J16" s="16">
        <f>'0606'!T70</f>
        <v>0</v>
      </c>
    </row>
    <row r="17" spans="2:10" ht="17.25" customHeight="1">
      <c r="B17" s="493"/>
      <c r="C17" s="10" t="s">
        <v>35</v>
      </c>
      <c r="D17" s="22">
        <v>0.61805555555555602</v>
      </c>
      <c r="E17" s="19">
        <v>0.59791666666666698</v>
      </c>
      <c r="F17" s="19">
        <v>0.62013888888888902</v>
      </c>
      <c r="G17" s="20">
        <v>0.58680555555555602</v>
      </c>
      <c r="H17" s="21">
        <v>0.65138888888888902</v>
      </c>
      <c r="I17" s="22">
        <v>0.60763888888888895</v>
      </c>
      <c r="J17" s="22">
        <v>0</v>
      </c>
    </row>
    <row r="18" spans="2:10" ht="17.25" customHeight="1">
      <c r="B18" s="494" t="s">
        <v>102</v>
      </c>
      <c r="C18" s="330" t="s">
        <v>36</v>
      </c>
      <c r="D18" s="358">
        <f>'0606'!Z15</f>
        <v>0</v>
      </c>
      <c r="E18" s="359">
        <f>'0606'!Z26</f>
        <v>0</v>
      </c>
      <c r="F18" s="359">
        <f>'0606'!Z37</f>
        <v>5</v>
      </c>
      <c r="G18" s="360">
        <f>'0606'!Z48</f>
        <v>0</v>
      </c>
      <c r="H18" s="360">
        <f>'0606'!Z58</f>
        <v>0</v>
      </c>
      <c r="I18" s="359">
        <f>'0606'!Z69</f>
        <v>0</v>
      </c>
      <c r="J18" s="359">
        <f>'0606'!AA79</f>
        <v>0</v>
      </c>
    </row>
    <row r="19" spans="2:10" ht="17.25" customHeight="1">
      <c r="B19" s="495"/>
      <c r="C19" s="330" t="s">
        <v>37</v>
      </c>
      <c r="D19" s="358">
        <f>'0606'!AA15</f>
        <v>0</v>
      </c>
      <c r="E19" s="359">
        <f>'0606'!AA26</f>
        <v>0</v>
      </c>
      <c r="F19" s="359">
        <f>'0606'!AA37</f>
        <v>21</v>
      </c>
      <c r="G19" s="360">
        <f>'0606'!AA48</f>
        <v>0</v>
      </c>
      <c r="H19" s="360">
        <f>'0606'!AA58</f>
        <v>0</v>
      </c>
      <c r="I19" s="359">
        <f>'0606'!AA69</f>
        <v>0</v>
      </c>
      <c r="J19" s="359">
        <f>'0606'!AB79</f>
        <v>0</v>
      </c>
    </row>
    <row r="20" spans="2:10" ht="17.25" customHeight="1">
      <c r="B20" s="494" t="s">
        <v>103</v>
      </c>
      <c r="C20" s="330" t="s">
        <v>36</v>
      </c>
      <c r="D20" s="358">
        <f>'0606'!AD15</f>
        <v>0</v>
      </c>
      <c r="E20" s="359">
        <f>'0606'!AD26</f>
        <v>0</v>
      </c>
      <c r="F20" s="359">
        <f>'0606'!AD37</f>
        <v>0</v>
      </c>
      <c r="G20" s="360">
        <f>'0606'!AD48</f>
        <v>0</v>
      </c>
      <c r="H20" s="360">
        <f>'0606'!AD58</f>
        <v>0</v>
      </c>
      <c r="I20" s="359">
        <f>'0606'!AD69</f>
        <v>0</v>
      </c>
      <c r="J20" s="359">
        <f>'0606'!AD79</f>
        <v>0</v>
      </c>
    </row>
    <row r="21" spans="2:10" ht="17.25" customHeight="1">
      <c r="B21" s="495"/>
      <c r="C21" s="330" t="s">
        <v>85</v>
      </c>
      <c r="D21" s="358">
        <f>'0606'!AE15</f>
        <v>0</v>
      </c>
      <c r="E21" s="359">
        <f>'0606'!AE26</f>
        <v>0</v>
      </c>
      <c r="F21" s="359">
        <f>'0606'!AE37</f>
        <v>0</v>
      </c>
      <c r="G21" s="360">
        <f>'0606'!AE48</f>
        <v>0</v>
      </c>
      <c r="H21" s="360">
        <f>'0606'!AE58</f>
        <v>0</v>
      </c>
      <c r="I21" s="359">
        <f>'0606'!AE69</f>
        <v>0</v>
      </c>
      <c r="J21" s="359">
        <f>'0606'!AE79</f>
        <v>0</v>
      </c>
    </row>
    <row r="22" spans="2:10" ht="17.25" customHeight="1">
      <c r="B22" s="477" t="s">
        <v>104</v>
      </c>
      <c r="C22" s="478"/>
      <c r="D22" s="23">
        <f>VALUE('0606'!M15)</f>
        <v>15.2</v>
      </c>
      <c r="E22" s="23">
        <f>VALUE('0606'!M26)</f>
        <v>14.333333333333334</v>
      </c>
      <c r="F22" s="23">
        <f>VALUE('0606'!M37)</f>
        <v>16.5</v>
      </c>
      <c r="G22" s="23">
        <f>VALUE('0606'!M48)</f>
        <v>15.666666666666666</v>
      </c>
      <c r="H22" s="23">
        <f>VALUE('0606'!M58)</f>
        <v>16.666666666666668</v>
      </c>
      <c r="I22" s="23">
        <f>VALUE('0606'!M69)</f>
        <v>12.25</v>
      </c>
      <c r="J22" s="23">
        <f>'0606'!M79</f>
        <v>0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B596D-717C-4CD5-9AE7-B585881D7F64}">
  <sheetPr>
    <tabColor theme="9" tint="0.79998168889431442"/>
  </sheetPr>
  <dimension ref="A1:AJ92"/>
  <sheetViews>
    <sheetView zoomScale="69" zoomScaleNormal="69" workbookViewId="0">
      <pane xSplit="5" ySplit="4" topLeftCell="F32" activePane="bottomRight" state="frozen"/>
      <selection activeCell="U54" sqref="U54"/>
      <selection pane="topRight" activeCell="U54" sqref="U54"/>
      <selection pane="bottomLeft" activeCell="U54" sqref="U54"/>
      <selection pane="bottomRight" activeCell="U54" sqref="U5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53256</v>
      </c>
      <c r="F1" s="30" t="s">
        <v>2</v>
      </c>
      <c r="G1" s="31">
        <f>SUM(H5:H79)</f>
        <v>2550422.3470000005</v>
      </c>
      <c r="H1" s="32" t="s">
        <v>3</v>
      </c>
      <c r="I1" s="33">
        <f>M15+M26+M48+M58+M69+M79+M37</f>
        <v>90.61666666666666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154</v>
      </c>
      <c r="B2" s="381"/>
      <c r="C2" s="28"/>
      <c r="D2" s="28" t="s">
        <v>14</v>
      </c>
      <c r="E2" s="35">
        <f>AVERAGE(O15,O26,O37,O48,O58,O69,O79)</f>
        <v>107.75478978790848</v>
      </c>
      <c r="F2" s="36" t="s">
        <v>15</v>
      </c>
      <c r="G2" s="37">
        <f>G1/E1</f>
        <v>47.889859302238257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5</v>
      </c>
      <c r="AA2" s="339">
        <f>AA15+AA26+AA37+AA48+AA58+AA69+AA79</f>
        <v>21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2697</v>
      </c>
      <c r="H5" s="43">
        <f>F5*G5</f>
        <v>153378.38999999998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2101.5584415584512</v>
      </c>
      <c r="O5" s="47">
        <f>N5/M5</f>
        <v>140.10389610389674</v>
      </c>
      <c r="P5" s="49">
        <f>M5-J5</f>
        <v>0</v>
      </c>
      <c r="Q5" s="50">
        <f>O5-L5</f>
        <v>-9.8961038961032557</v>
      </c>
      <c r="R5" s="51">
        <f>O5/L5</f>
        <v>0.93402597402597831</v>
      </c>
      <c r="S5" s="439">
        <f>R15</f>
        <v>0.93602884906425776</v>
      </c>
      <c r="T5" s="319">
        <v>0.29166666666666702</v>
      </c>
      <c r="U5" s="320">
        <v>0.34513888888888899</v>
      </c>
      <c r="V5" s="53"/>
      <c r="W5" s="54">
        <f t="shared" ref="W5:W14" si="0">(U5-T5)*24*60</f>
        <v>76.999999999999645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-148.44155844154875</v>
      </c>
      <c r="AG5" s="52">
        <f t="shared" ref="AG5:AG11" si="2">N5/K5</f>
        <v>0.93402597402597831</v>
      </c>
      <c r="AH5" s="403">
        <f>AG15</f>
        <v>0.9271895141599944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2959</v>
      </c>
      <c r="H6" s="63">
        <f>F6*G6</f>
        <v>172125.03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2088.7058823529346</v>
      </c>
      <c r="O6" s="67">
        <f>N6/M6</f>
        <v>139.24705882352899</v>
      </c>
      <c r="P6" s="69">
        <f>M6-J6</f>
        <v>0</v>
      </c>
      <c r="Q6" s="70">
        <f>O6-L6</f>
        <v>-10.752941176471012</v>
      </c>
      <c r="R6" s="71">
        <f>O6/L6</f>
        <v>0.92831372549019331</v>
      </c>
      <c r="S6" s="440"/>
      <c r="T6" s="16">
        <v>0.35277777777777802</v>
      </c>
      <c r="U6" s="16">
        <v>0.41180555555555598</v>
      </c>
      <c r="V6" s="30">
        <f>(T6-U5)*24*60</f>
        <v>11.000000000000201</v>
      </c>
      <c r="W6" s="73">
        <f t="shared" si="0"/>
        <v>85.000000000000256</v>
      </c>
      <c r="X6" s="22"/>
      <c r="Y6" s="84"/>
      <c r="Z6" s="90"/>
      <c r="AA6" s="90"/>
      <c r="AB6" s="434"/>
      <c r="AC6" s="434"/>
      <c r="AD6" s="149"/>
      <c r="AE6" s="149"/>
      <c r="AF6" s="307">
        <f t="shared" si="1"/>
        <v>-161.29411764706538</v>
      </c>
      <c r="AG6" s="72">
        <f t="shared" si="2"/>
        <v>0.9283137254901932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61">
        <f>VLOOKUP(D7,廠價表!$C$1:$E$43,3,0)</f>
        <v>49.14</v>
      </c>
      <c r="G7" s="66">
        <v>2555</v>
      </c>
      <c r="H7" s="78">
        <f>F7*G7</f>
        <v>125552.7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2129.1666666666652</v>
      </c>
      <c r="O7" s="81">
        <f>N7/M7</f>
        <v>141.94444444444434</v>
      </c>
      <c r="P7" s="74">
        <f>M7-J7</f>
        <v>0</v>
      </c>
      <c r="Q7" s="83">
        <f>O7-L7</f>
        <v>-8.0555555555556566</v>
      </c>
      <c r="R7" s="72">
        <f>O7/L7</f>
        <v>0.94629629629629564</v>
      </c>
      <c r="S7" s="440"/>
      <c r="T7" s="18">
        <v>0.42708333333333298</v>
      </c>
      <c r="U7" s="18">
        <v>0.47708333333333303</v>
      </c>
      <c r="V7" s="30">
        <f>(T7-U6)*24*60</f>
        <v>21.999999999998884</v>
      </c>
      <c r="W7" s="73">
        <f t="shared" si="0"/>
        <v>72.000000000000057</v>
      </c>
      <c r="X7" s="22"/>
      <c r="Y7" s="84"/>
      <c r="Z7" s="90"/>
      <c r="AA7" s="90"/>
      <c r="AB7" s="407"/>
      <c r="AC7" s="407"/>
      <c r="AD7" s="92"/>
      <c r="AE7" s="92"/>
      <c r="AF7" s="307">
        <f t="shared" si="1"/>
        <v>-120.83333333333485</v>
      </c>
      <c r="AG7" s="72">
        <f t="shared" si="2"/>
        <v>0.94629629629629564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2236</v>
      </c>
      <c r="H8" s="78">
        <f>F8*G8</f>
        <v>109877.04000000001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2163.8709677419597</v>
      </c>
      <c r="O8" s="81">
        <f>N8/M8</f>
        <v>144.25806451613064</v>
      </c>
      <c r="P8" s="74">
        <f>M8-J8</f>
        <v>0</v>
      </c>
      <c r="Q8" s="83">
        <f>O8-L8</f>
        <v>-5.741935483869355</v>
      </c>
      <c r="R8" s="72">
        <f>O8/L8</f>
        <v>0.9617204301075376</v>
      </c>
      <c r="S8" s="440"/>
      <c r="T8" s="16">
        <v>0.54166666666666696</v>
      </c>
      <c r="U8" s="16">
        <v>0.58472222222222203</v>
      </c>
      <c r="V8" s="30">
        <f t="shared" ref="V8:V9" si="3">(T8-U7)*24*60</f>
        <v>93.000000000000867</v>
      </c>
      <c r="W8" s="73">
        <f t="shared" si="0"/>
        <v>61.999999999999304</v>
      </c>
      <c r="X8" s="22"/>
      <c r="Y8" s="84"/>
      <c r="Z8" s="90"/>
      <c r="AA8" s="90"/>
      <c r="AB8" s="434"/>
      <c r="AC8" s="434"/>
      <c r="AD8" s="149"/>
      <c r="AE8" s="149"/>
      <c r="AF8" s="307">
        <f t="shared" si="1"/>
        <v>-86.129032258040297</v>
      </c>
      <c r="AG8" s="72">
        <f t="shared" si="2"/>
        <v>0.9617204301075376</v>
      </c>
      <c r="AH8" s="404"/>
    </row>
    <row r="9" spans="1:34" ht="15" customHeight="1">
      <c r="A9" s="437"/>
      <c r="B9" s="75" t="s">
        <v>128</v>
      </c>
      <c r="C9" s="86"/>
      <c r="D9" s="59" t="s">
        <v>130</v>
      </c>
      <c r="E9" s="87"/>
      <c r="F9" s="75">
        <f>VLOOKUP(D9,廠價表!$C$1:$E$43,3,0)</f>
        <v>44.3</v>
      </c>
      <c r="G9" s="62">
        <v>804</v>
      </c>
      <c r="H9" s="78">
        <f>F9*G9</f>
        <v>35617.199999999997</v>
      </c>
      <c r="I9" s="73"/>
      <c r="J9" s="79">
        <f>VLOOKUP(D9,產線配置圖!$A$3:$C$40,2,0)</f>
        <v>17</v>
      </c>
      <c r="K9" s="80">
        <f>VLOOKUP(D9,產線配置圖!$A$3:$C$40,3,0)</f>
        <v>1636</v>
      </c>
      <c r="L9" s="81">
        <f>K9/J9</f>
        <v>96.235294117647058</v>
      </c>
      <c r="M9" s="82">
        <v>16</v>
      </c>
      <c r="N9" s="80">
        <f>G9/W9*60</f>
        <v>1378.2857142856876</v>
      </c>
      <c r="O9" s="81">
        <f>N9/M9</f>
        <v>86.142857142855476</v>
      </c>
      <c r="P9" s="74">
        <f>M9-J9</f>
        <v>-1</v>
      </c>
      <c r="Q9" s="83">
        <f>O9-L9</f>
        <v>-10.092436974791582</v>
      </c>
      <c r="R9" s="72">
        <f>O9/L9</f>
        <v>0.89512748864825376</v>
      </c>
      <c r="S9" s="441"/>
      <c r="T9" s="22">
        <v>0.59375</v>
      </c>
      <c r="U9" s="22">
        <v>0.61805555555555602</v>
      </c>
      <c r="V9" s="30">
        <f t="shared" si="3"/>
        <v>13.000000000000274</v>
      </c>
      <c r="W9" s="73">
        <f t="shared" si="0"/>
        <v>35.000000000000675</v>
      </c>
      <c r="X9" s="22"/>
      <c r="Y9" s="84"/>
      <c r="Z9" s="90"/>
      <c r="AA9" s="90"/>
      <c r="AB9" s="434" t="s">
        <v>127</v>
      </c>
      <c r="AC9" s="434"/>
      <c r="AD9" s="149"/>
      <c r="AE9" s="149"/>
      <c r="AF9" s="307">
        <f t="shared" si="1"/>
        <v>-257.71428571431238</v>
      </c>
      <c r="AG9" s="72">
        <f t="shared" si="2"/>
        <v>0.84247293049247407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4">AVERAGE(J5:J14)</f>
        <v>15.4</v>
      </c>
      <c r="K15" s="120">
        <f t="shared" si="4"/>
        <v>2127.1999999999998</v>
      </c>
      <c r="L15" s="117">
        <f t="shared" si="4"/>
        <v>139.24705882352941</v>
      </c>
      <c r="M15" s="120">
        <f t="shared" si="4"/>
        <v>15.2</v>
      </c>
      <c r="N15" s="120">
        <f t="shared" si="4"/>
        <v>1972.3175345211398</v>
      </c>
      <c r="O15" s="117">
        <f t="shared" si="4"/>
        <v>130.33926420617124</v>
      </c>
      <c r="P15" s="121">
        <f>M15-J15</f>
        <v>-0.20000000000000107</v>
      </c>
      <c r="Q15" s="122">
        <f>O15-L15</f>
        <v>-8.9077946173581779</v>
      </c>
      <c r="R15" s="123">
        <f>O15/L15</f>
        <v>0.93602884906425776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-154.88246547886001</v>
      </c>
      <c r="AG15" s="124">
        <f>N15/K15</f>
        <v>0.9271895141599944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2043</v>
      </c>
      <c r="H16" s="134">
        <f>F16*G16</f>
        <v>103518.81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2043.0000000000343</v>
      </c>
      <c r="O16" s="141">
        <f>N16/M16</f>
        <v>145.92857142857389</v>
      </c>
      <c r="P16" s="142">
        <f>M16-J16</f>
        <v>0</v>
      </c>
      <c r="Q16" s="143">
        <f>O16-L16</f>
        <v>-14.785714285711833</v>
      </c>
      <c r="R16" s="144">
        <f>O16/L16</f>
        <v>0.90800000000001524</v>
      </c>
      <c r="S16" s="425">
        <f>R26</f>
        <v>0.93678123855886819</v>
      </c>
      <c r="T16" s="145">
        <v>0.29166666666666702</v>
      </c>
      <c r="U16" s="145">
        <v>0.33333333333333298</v>
      </c>
      <c r="V16" s="135"/>
      <c r="W16" s="146">
        <f t="shared" ref="W16:W78" si="5">(U16-T16)*24*60</f>
        <v>59.999999999998991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-206.99999999996567</v>
      </c>
      <c r="AG16" s="52">
        <f>N16/K16</f>
        <v>0.90800000000001524</v>
      </c>
      <c r="AH16" s="403">
        <f>AG26</f>
        <v>0.93535786789663788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1949</v>
      </c>
      <c r="H17" s="78">
        <f>F17*G17</f>
        <v>111502.29000000001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2051.5789473684367</v>
      </c>
      <c r="O17" s="96">
        <f>N17/M17</f>
        <v>120.68111455108452</v>
      </c>
      <c r="P17" s="97">
        <f>M17-J17</f>
        <v>0</v>
      </c>
      <c r="Q17" s="98">
        <f>O17-L17</f>
        <v>-11.671826625386061</v>
      </c>
      <c r="R17" s="99">
        <f>O17/L17</f>
        <v>0.91181286549708307</v>
      </c>
      <c r="S17" s="426"/>
      <c r="T17" s="19">
        <v>0.34861111111111098</v>
      </c>
      <c r="U17" s="19">
        <v>0.38819444444444401</v>
      </c>
      <c r="V17" s="30">
        <f>(T17-U16)*24*60</f>
        <v>22.00000000000032</v>
      </c>
      <c r="W17" s="149">
        <f t="shared" si="5"/>
        <v>56.999999999999559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-198.42105263156327</v>
      </c>
      <c r="AG17" s="72">
        <f>N17/K17</f>
        <v>0.91181286549708296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1256</v>
      </c>
      <c r="H18" s="78">
        <f>F18*G18</f>
        <v>71102.16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2093.3333333333317</v>
      </c>
      <c r="O18" s="96">
        <f>N18/M18</f>
        <v>139.55555555555546</v>
      </c>
      <c r="P18" s="97">
        <f>M18-J18</f>
        <v>0</v>
      </c>
      <c r="Q18" s="98">
        <f>O18-L18</f>
        <v>-10.444444444444542</v>
      </c>
      <c r="R18" s="99">
        <f>O18/L18</f>
        <v>0.93037037037036974</v>
      </c>
      <c r="S18" s="426"/>
      <c r="T18" s="19">
        <v>0.39513888888888898</v>
      </c>
      <c r="U18" s="19">
        <v>0.42013888888888901</v>
      </c>
      <c r="V18" s="30">
        <f>(T18-U17)*24*60</f>
        <v>10.000000000000764</v>
      </c>
      <c r="W18" s="149">
        <f t="shared" si="5"/>
        <v>36.000000000000028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-156.66666666666833</v>
      </c>
      <c r="AG18" s="72">
        <f>N18/K18</f>
        <v>0.93037037037036963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2727</v>
      </c>
      <c r="H19" s="78">
        <f t="shared" ref="H19:H21" si="6">F19*G19</f>
        <v>137413.53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7">K19/J19</f>
        <v>173.07692307692307</v>
      </c>
      <c r="M19" s="148">
        <v>13</v>
      </c>
      <c r="N19" s="95">
        <f t="shared" ref="N19:N21" si="8">G19/W19*60</f>
        <v>2124.9350649350326</v>
      </c>
      <c r="O19" s="96">
        <f t="shared" ref="O19:O21" si="9">N19/M19</f>
        <v>163.45654345654097</v>
      </c>
      <c r="P19" s="97">
        <f t="shared" ref="P19:P21" si="10">M19-J19</f>
        <v>0</v>
      </c>
      <c r="Q19" s="98">
        <f t="shared" ref="Q19:Q21" si="11">O19-L19</f>
        <v>-9.6203796203820957</v>
      </c>
      <c r="R19" s="99">
        <f t="shared" ref="R19:R21" si="12">O19/L19</f>
        <v>0.94441558441557016</v>
      </c>
      <c r="S19" s="426"/>
      <c r="T19" s="19">
        <v>0.42569444444444399</v>
      </c>
      <c r="U19" s="19">
        <v>0.47916666666666702</v>
      </c>
      <c r="V19" s="30">
        <f>(T19-U18)*24*60</f>
        <v>7.9999999999991722</v>
      </c>
      <c r="W19" s="149">
        <f t="shared" si="5"/>
        <v>77.000000000001165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-125.06493506496736</v>
      </c>
      <c r="AG19" s="72">
        <f>N19/K19</f>
        <v>0.94441558441557005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1466</v>
      </c>
      <c r="H20" s="78">
        <f t="shared" si="6"/>
        <v>73871.740000000005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7"/>
        <v>173.07692307692307</v>
      </c>
      <c r="M20" s="148">
        <v>13</v>
      </c>
      <c r="N20" s="95">
        <f t="shared" si="8"/>
        <v>2199.0000000000605</v>
      </c>
      <c r="O20" s="96">
        <f t="shared" si="9"/>
        <v>169.15384615385079</v>
      </c>
      <c r="P20" s="97">
        <f t="shared" si="10"/>
        <v>0</v>
      </c>
      <c r="Q20" s="98">
        <f t="shared" si="11"/>
        <v>-3.9230769230722728</v>
      </c>
      <c r="R20" s="99">
        <f t="shared" si="12"/>
        <v>0.97733333333336025</v>
      </c>
      <c r="S20" s="426"/>
      <c r="T20" s="19">
        <v>0.54166666666666696</v>
      </c>
      <c r="U20" s="19">
        <v>0.56944444444444398</v>
      </c>
      <c r="V20" s="30">
        <f>(T20-U19)*24*60</f>
        <v>89.999999999999915</v>
      </c>
      <c r="W20" s="149">
        <f t="shared" si="5"/>
        <v>39.999999999998899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v>1093</v>
      </c>
      <c r="H21" s="78">
        <f t="shared" si="6"/>
        <v>55382.310000000005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7"/>
        <v>160.71428571428572</v>
      </c>
      <c r="M21" s="148">
        <v>14</v>
      </c>
      <c r="N21" s="95">
        <f t="shared" si="8"/>
        <v>2115.4838709677169</v>
      </c>
      <c r="O21" s="96">
        <f t="shared" si="9"/>
        <v>151.10599078340834</v>
      </c>
      <c r="P21" s="97">
        <f t="shared" si="10"/>
        <v>0</v>
      </c>
      <c r="Q21" s="98">
        <f t="shared" si="11"/>
        <v>-9.6082949308773777</v>
      </c>
      <c r="R21" s="99">
        <f t="shared" si="12"/>
        <v>0.94021505376342962</v>
      </c>
      <c r="S21" s="426"/>
      <c r="T21" s="19">
        <v>0.57638888888888895</v>
      </c>
      <c r="U21" s="19">
        <v>0.59791666666666698</v>
      </c>
      <c r="V21" s="30">
        <f>(T21-U20)*24*60</f>
        <v>10.000000000000764</v>
      </c>
      <c r="W21" s="149">
        <f t="shared" si="5"/>
        <v>31.000000000000369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 t="s">
        <v>145</v>
      </c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9"/>
      <c r="U22" s="19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5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3">AVERAGE(J16:J25)</f>
        <v>14.333333333333334</v>
      </c>
      <c r="K26" s="155">
        <f t="shared" si="13"/>
        <v>2250</v>
      </c>
      <c r="L26" s="158">
        <f t="shared" si="13"/>
        <v>158.32255979314803</v>
      </c>
      <c r="M26" s="155">
        <f t="shared" si="13"/>
        <v>14.333333333333334</v>
      </c>
      <c r="N26" s="155">
        <f t="shared" si="13"/>
        <v>2104.5552027674353</v>
      </c>
      <c r="O26" s="158">
        <f t="shared" si="13"/>
        <v>148.31360365483567</v>
      </c>
      <c r="P26" s="159">
        <f>M26-J26</f>
        <v>0</v>
      </c>
      <c r="Q26" s="160">
        <f>O26-L26</f>
        <v>-10.008956138312357</v>
      </c>
      <c r="R26" s="161">
        <f>O26/L26</f>
        <v>0.93678123855886819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4">N26-K26</f>
        <v>-145.44479723256472</v>
      </c>
      <c r="AG26" s="124">
        <f t="shared" ref="AG26:AG31" si="15">N26/K26</f>
        <v>0.93535786789663788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50.67</v>
      </c>
      <c r="G27" s="169">
        <v>1561</v>
      </c>
      <c r="H27" s="134">
        <f>F27*G27</f>
        <v>79095.87000000001</v>
      </c>
      <c r="I27" s="135"/>
      <c r="J27" s="136">
        <f>VLOOKUP(D27,產線配置圖!$A$3:$C$40,2,0)</f>
        <v>13</v>
      </c>
      <c r="K27" s="137">
        <f>VLOOKUP(D27,產線配置圖!$A$3:$C$40,3,0)</f>
        <v>1440</v>
      </c>
      <c r="L27" s="138">
        <f>K27/J27</f>
        <v>110.76923076923077</v>
      </c>
      <c r="M27" s="170">
        <v>13</v>
      </c>
      <c r="N27" s="140">
        <f>G27/W27*60</f>
        <v>1357.3913043478153</v>
      </c>
      <c r="O27" s="141">
        <f>N27/M27</f>
        <v>104.41471571906271</v>
      </c>
      <c r="P27" s="142">
        <f>M27-J27</f>
        <v>0</v>
      </c>
      <c r="Q27" s="143">
        <f>O27-L27</f>
        <v>-6.354515050168061</v>
      </c>
      <c r="R27" s="144">
        <f>O27/L27</f>
        <v>0.94263285024153831</v>
      </c>
      <c r="S27" s="425">
        <f>R37</f>
        <v>0.79369224650752601</v>
      </c>
      <c r="T27" s="171">
        <v>0.28819444444444398</v>
      </c>
      <c r="U27" s="171">
        <v>0.33611111111111103</v>
      </c>
      <c r="V27" s="135"/>
      <c r="W27" s="146">
        <f t="shared" si="5"/>
        <v>69.000000000000554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14"/>
        <v>-82.608695652184679</v>
      </c>
      <c r="AG27" s="172">
        <f t="shared" si="15"/>
        <v>0.94263285024153842</v>
      </c>
      <c r="AH27" s="403">
        <f>AG37</f>
        <v>0.76761822211405106</v>
      </c>
    </row>
    <row r="28" spans="1:34" ht="15" customHeight="1">
      <c r="A28" s="457"/>
      <c r="B28" s="75" t="s">
        <v>81</v>
      </c>
      <c r="C28" s="173"/>
      <c r="D28" s="59" t="s">
        <v>122</v>
      </c>
      <c r="E28" s="104"/>
      <c r="F28" s="75">
        <f>VLOOKUP(D28,廠價表!$C$1:$E$43,3,0)</f>
        <v>57.21</v>
      </c>
      <c r="G28" s="90">
        <v>1028</v>
      </c>
      <c r="H28" s="91">
        <f>F28*G28</f>
        <v>58811.88</v>
      </c>
      <c r="I28" s="92"/>
      <c r="J28" s="79">
        <f>VLOOKUP(D28,產線配置圖!$A$3:$C$40,2,0)</f>
        <v>18</v>
      </c>
      <c r="K28" s="80">
        <f>VLOOKUP(D28,產線配置圖!$A$3:$C$40,3,0)</f>
        <v>1565</v>
      </c>
      <c r="L28" s="93">
        <f>K28/J28</f>
        <v>86.944444444444443</v>
      </c>
      <c r="M28" s="94">
        <v>18</v>
      </c>
      <c r="N28" s="95">
        <f>G28/W28*60</f>
        <v>1063.4482758620904</v>
      </c>
      <c r="O28" s="96">
        <f>N28/M28</f>
        <v>59.080459770116136</v>
      </c>
      <c r="P28" s="97">
        <f>M28-J28</f>
        <v>0</v>
      </c>
      <c r="Q28" s="98">
        <f>O28-L28</f>
        <v>-27.863984674328307</v>
      </c>
      <c r="R28" s="99">
        <f>O28/L28</f>
        <v>0.67951966508759776</v>
      </c>
      <c r="S28" s="426"/>
      <c r="T28" s="19">
        <v>0.34166666666666701</v>
      </c>
      <c r="U28" s="19">
        <v>0.38194444444444398</v>
      </c>
      <c r="V28" s="92">
        <f>(T28-U27)*24*60</f>
        <v>8.0000000000006111</v>
      </c>
      <c r="W28" s="149">
        <f t="shared" si="5"/>
        <v>57.999999999998835</v>
      </c>
      <c r="X28" s="174"/>
      <c r="Y28" s="301"/>
      <c r="Z28" s="335">
        <v>1</v>
      </c>
      <c r="AA28" s="335">
        <v>10</v>
      </c>
      <c r="AB28" s="407" t="s">
        <v>155</v>
      </c>
      <c r="AC28" s="407"/>
      <c r="AD28" s="92"/>
      <c r="AE28" s="92"/>
      <c r="AF28" s="311">
        <f t="shared" si="14"/>
        <v>-501.55172413790956</v>
      </c>
      <c r="AG28" s="99">
        <f t="shared" si="15"/>
        <v>0.67951966508759776</v>
      </c>
      <c r="AH28" s="445"/>
    </row>
    <row r="29" spans="1:34" ht="15" customHeight="1">
      <c r="A29" s="457"/>
      <c r="B29" s="75" t="s">
        <v>81</v>
      </c>
      <c r="C29" s="88"/>
      <c r="D29" s="59" t="s">
        <v>124</v>
      </c>
      <c r="E29" s="89"/>
      <c r="F29" s="75">
        <f>VLOOKUP(D29,廠價表!$C$1:$E$43,3,0)</f>
        <v>57.21</v>
      </c>
      <c r="G29" s="90">
        <v>1221</v>
      </c>
      <c r="H29" s="91">
        <f t="shared" ref="H29:H30" si="16">F29*G29</f>
        <v>69853.41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 t="shared" ref="L29:L30" si="17">K29/J29</f>
        <v>90.888888888888886</v>
      </c>
      <c r="M29" s="94">
        <v>18</v>
      </c>
      <c r="N29" s="95">
        <f t="shared" ref="N29:N30" si="18">G29/W29*60</f>
        <v>1017.4999999999993</v>
      </c>
      <c r="O29" s="96">
        <f t="shared" ref="O29:O30" si="19">N29/M29</f>
        <v>56.527777777777743</v>
      </c>
      <c r="P29" s="97">
        <f t="shared" ref="P29:P30" si="20">M29-J29</f>
        <v>0</v>
      </c>
      <c r="Q29" s="98">
        <f t="shared" ref="Q29:Q30" si="21">O29-L29</f>
        <v>-34.361111111111143</v>
      </c>
      <c r="R29" s="99">
        <f t="shared" ref="R29:R30" si="22">O29/L29</f>
        <v>0.62194376528117323</v>
      </c>
      <c r="S29" s="426"/>
      <c r="T29" s="19">
        <v>0.42916666666666697</v>
      </c>
      <c r="U29" s="19">
        <v>0.47916666666666702</v>
      </c>
      <c r="V29" s="92">
        <f>(T29-U28)*24*60</f>
        <v>68.000000000001123</v>
      </c>
      <c r="W29" s="149">
        <f t="shared" si="5"/>
        <v>72.000000000000057</v>
      </c>
      <c r="X29" s="22"/>
      <c r="Y29" s="84"/>
      <c r="Z29" s="90">
        <v>4</v>
      </c>
      <c r="AA29" s="90">
        <v>11</v>
      </c>
      <c r="AB29" s="434" t="s">
        <v>156</v>
      </c>
      <c r="AC29" s="407"/>
      <c r="AD29" s="92"/>
      <c r="AE29" s="92"/>
      <c r="AF29" s="312">
        <f t="shared" si="14"/>
        <v>-618.50000000000068</v>
      </c>
      <c r="AG29" s="99">
        <f t="shared" si="15"/>
        <v>0.62194376528117312</v>
      </c>
      <c r="AH29" s="445"/>
    </row>
    <row r="30" spans="1:34" ht="15" customHeight="1">
      <c r="A30" s="457"/>
      <c r="B30" s="75" t="s">
        <v>81</v>
      </c>
      <c r="C30" s="177"/>
      <c r="D30" s="59" t="s">
        <v>124</v>
      </c>
      <c r="E30" s="178"/>
      <c r="F30" s="75">
        <f>VLOOKUP(D30,廠價表!$C$1:$E$43,3,0)</f>
        <v>57.21</v>
      </c>
      <c r="G30" s="90">
        <v>2829</v>
      </c>
      <c r="H30" s="91">
        <f t="shared" si="16"/>
        <v>161847.09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si="17"/>
        <v>90.888888888888886</v>
      </c>
      <c r="M30" s="94">
        <v>17</v>
      </c>
      <c r="N30" s="95">
        <f t="shared" si="18"/>
        <v>1379.9999999999941</v>
      </c>
      <c r="O30" s="96">
        <f t="shared" si="19"/>
        <v>81.176470588234949</v>
      </c>
      <c r="P30" s="97">
        <f t="shared" si="20"/>
        <v>-1</v>
      </c>
      <c r="Q30" s="98">
        <f t="shared" si="21"/>
        <v>-9.7124183006539369</v>
      </c>
      <c r="R30" s="99">
        <f t="shared" si="22"/>
        <v>0.8931396519487953</v>
      </c>
      <c r="S30" s="426"/>
      <c r="T30" s="19">
        <v>0.53472222222222199</v>
      </c>
      <c r="U30" s="19">
        <v>0.62013888888888902</v>
      </c>
      <c r="V30" s="92">
        <f>(T30-U29)*24*60</f>
        <v>79.999999999999162</v>
      </c>
      <c r="W30" s="149">
        <f t="shared" si="5"/>
        <v>123.00000000000053</v>
      </c>
      <c r="X30" s="174"/>
      <c r="Y30" s="301"/>
      <c r="Z30" s="335"/>
      <c r="AA30" s="335"/>
      <c r="AB30" s="407"/>
      <c r="AC30" s="407"/>
      <c r="AD30" s="92"/>
      <c r="AE30" s="92"/>
      <c r="AF30" s="312">
        <f t="shared" si="14"/>
        <v>-256.00000000000591</v>
      </c>
      <c r="AG30" s="99">
        <f t="shared" si="15"/>
        <v>0.84352078239608441</v>
      </c>
      <c r="AH30" s="446"/>
    </row>
    <row r="31" spans="1:34" ht="15" customHeight="1">
      <c r="A31" s="457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6"/>
      <c r="T31" s="19"/>
      <c r="U31" s="19"/>
      <c r="V31" s="92"/>
      <c r="W31" s="149">
        <f t="shared" si="5"/>
        <v>0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4"/>
        <v>0</v>
      </c>
      <c r="AG31" s="99" t="e">
        <f t="shared" si="15"/>
        <v>#DIV/0!</v>
      </c>
      <c r="AH31" s="405"/>
    </row>
    <row r="32" spans="1:34" ht="15" customHeight="1">
      <c r="A32" s="457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9"/>
      <c r="U32" s="19"/>
      <c r="V32" s="92"/>
      <c r="W32" s="149">
        <f t="shared" si="5"/>
        <v>0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5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9"/>
      <c r="U34" s="19"/>
      <c r="V34" s="92"/>
      <c r="W34" s="149">
        <f t="shared" si="5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9"/>
      <c r="U35" s="19"/>
      <c r="V35" s="92"/>
      <c r="W35" s="149">
        <f t="shared" si="5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3">AVERAGE(J27:J36)</f>
        <v>16.75</v>
      </c>
      <c r="K37" s="155">
        <f t="shared" si="23"/>
        <v>1569.25</v>
      </c>
      <c r="L37" s="158">
        <f t="shared" si="23"/>
        <v>94.872863247863251</v>
      </c>
      <c r="M37" s="155">
        <f t="shared" si="23"/>
        <v>16.5</v>
      </c>
      <c r="N37" s="155">
        <f t="shared" si="23"/>
        <v>1204.5848950524746</v>
      </c>
      <c r="O37" s="158">
        <f t="shared" si="23"/>
        <v>75.299855963797881</v>
      </c>
      <c r="P37" s="159">
        <f>M37-J37</f>
        <v>-0.25</v>
      </c>
      <c r="Q37" s="160">
        <f>N37-K37</f>
        <v>-364.66510494752538</v>
      </c>
      <c r="R37" s="161">
        <f>O37/L37</f>
        <v>0.79369224650752601</v>
      </c>
      <c r="S37" s="427"/>
      <c r="T37" s="163"/>
      <c r="U37" s="163"/>
      <c r="V37" s="164"/>
      <c r="W37" s="164"/>
      <c r="X37" s="321"/>
      <c r="Y37" s="322"/>
      <c r="Z37" s="334">
        <f>SUM(Z27:Z36)</f>
        <v>5</v>
      </c>
      <c r="AA37" s="334">
        <f>SUM(AA27:AA36)</f>
        <v>21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-364.66510494752538</v>
      </c>
      <c r="AG37" s="124">
        <f>N37/K37</f>
        <v>0.76761822211405106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2353</v>
      </c>
      <c r="H38" s="134">
        <f>F38*G38</f>
        <v>117438.23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14</v>
      </c>
      <c r="N38" s="140">
        <f>G38/W38*60</f>
        <v>1411.7999999999881</v>
      </c>
      <c r="O38" s="141">
        <f>N38/M38</f>
        <v>100.84285714285629</v>
      </c>
      <c r="P38" s="142">
        <f>M38-J38</f>
        <v>-1</v>
      </c>
      <c r="Q38" s="143">
        <f>O38-L38</f>
        <v>-13.423809523810377</v>
      </c>
      <c r="R38" s="144">
        <f>O38/L38</f>
        <v>0.88252208701449497</v>
      </c>
      <c r="S38" s="453">
        <f>R48</f>
        <v>0.85895109582431683</v>
      </c>
      <c r="T38" s="191">
        <v>0.33333333333333298</v>
      </c>
      <c r="U38" s="191">
        <v>0.40277777777777801</v>
      </c>
      <c r="V38" s="192"/>
      <c r="W38" s="193">
        <f t="shared" si="5"/>
        <v>100.00000000000084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-302.20000000001187</v>
      </c>
      <c r="AG38" s="195">
        <f>N38/K38</f>
        <v>0.82368728121352863</v>
      </c>
      <c r="AH38" s="459">
        <f>AG48</f>
        <v>0.82140719288733255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2267</v>
      </c>
      <c r="H39" s="91">
        <f>F39*G39</f>
        <v>100428.09999999999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16</v>
      </c>
      <c r="N39" s="202">
        <f>G39/W39*60</f>
        <v>1295.4285714285652</v>
      </c>
      <c r="O39" s="203">
        <f>N39/M39</f>
        <v>80.964285714285325</v>
      </c>
      <c r="P39" s="97">
        <f>M39-J39</f>
        <v>-1</v>
      </c>
      <c r="Q39" s="98">
        <f>O39-L39</f>
        <v>-15.271008403361733</v>
      </c>
      <c r="R39" s="99">
        <f>O39/L39</f>
        <v>0.84131592734893068</v>
      </c>
      <c r="S39" s="454"/>
      <c r="T39" s="20">
        <v>0.40972222222222199</v>
      </c>
      <c r="U39" s="20">
        <v>0.48263888888888901</v>
      </c>
      <c r="V39" s="92">
        <f>(T39-U38)*24*60</f>
        <v>9.999999999999325</v>
      </c>
      <c r="W39" s="205">
        <f t="shared" si="5"/>
        <v>105.00000000000051</v>
      </c>
      <c r="X39" s="22"/>
      <c r="Y39" s="84"/>
      <c r="Z39" s="90"/>
      <c r="AA39" s="90"/>
      <c r="AB39" s="462"/>
      <c r="AC39" s="462"/>
      <c r="AD39" s="200"/>
      <c r="AE39" s="200"/>
      <c r="AF39" s="314">
        <f>N39-K39</f>
        <v>-340.57142857143481</v>
      </c>
      <c r="AG39" s="206">
        <f>N39/K39</f>
        <v>0.79182675515193468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1504</v>
      </c>
      <c r="H40" s="91">
        <f>F40*G40</f>
        <v>66627.199999999997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1388.3076923076869</v>
      </c>
      <c r="O40" s="203">
        <f>N40/M40</f>
        <v>81.665158371040405</v>
      </c>
      <c r="P40" s="97">
        <f>M40-J40</f>
        <v>0</v>
      </c>
      <c r="Q40" s="98">
        <f>O40-L40</f>
        <v>-14.570135746606653</v>
      </c>
      <c r="R40" s="99">
        <f>O40/L40</f>
        <v>0.84859883392890401</v>
      </c>
      <c r="S40" s="440"/>
      <c r="T40" s="20">
        <v>0.54166666666666696</v>
      </c>
      <c r="U40" s="20">
        <v>0.58680555555555602</v>
      </c>
      <c r="V40" s="92">
        <f>(T40-U39)*24*60</f>
        <v>85.000000000000256</v>
      </c>
      <c r="W40" s="205">
        <f t="shared" si="5"/>
        <v>65.000000000000256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-247.69230769231308</v>
      </c>
      <c r="AG40" s="206">
        <f>N40/K40</f>
        <v>0.84859883392890401</v>
      </c>
      <c r="AH40" s="460"/>
    </row>
    <row r="41" spans="1:34" ht="15" customHeight="1">
      <c r="A41" s="45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40"/>
      <c r="T41" s="20"/>
      <c r="U41" s="210"/>
      <c r="V41" s="92"/>
      <c r="W41" s="205">
        <f t="shared" si="5"/>
        <v>0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0</v>
      </c>
      <c r="AG41" s="206" t="e">
        <f>N41/K41</f>
        <v>#DIV/0!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5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5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5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5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5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5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4">AVERAGE(J38:J47)</f>
        <v>16.333333333333332</v>
      </c>
      <c r="K48" s="155">
        <f t="shared" si="24"/>
        <v>1662</v>
      </c>
      <c r="L48" s="158">
        <f t="shared" si="24"/>
        <v>102.24575163398693</v>
      </c>
      <c r="M48" s="155">
        <f t="shared" si="24"/>
        <v>15.666666666666666</v>
      </c>
      <c r="N48" s="155">
        <f t="shared" si="24"/>
        <v>1365.1787545787467</v>
      </c>
      <c r="O48" s="158">
        <f t="shared" si="24"/>
        <v>87.824100409394006</v>
      </c>
      <c r="P48" s="221">
        <f>M48-J48</f>
        <v>-0.66666666666666607</v>
      </c>
      <c r="Q48" s="222">
        <f>N48-K48</f>
        <v>-296.82124542125325</v>
      </c>
      <c r="R48" s="223">
        <f>O48/L48</f>
        <v>0.85895109582431683</v>
      </c>
      <c r="S48" s="443"/>
      <c r="T48" s="224"/>
      <c r="U48" s="224"/>
      <c r="V48" s="225"/>
      <c r="W48" s="226">
        <f t="shared" si="5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25">N48-K48</f>
        <v>-296.82124542125325</v>
      </c>
      <c r="AG48" s="162">
        <f t="shared" ref="AG48:AG53" si="26">N48/K48</f>
        <v>0.82140719288733255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2156</v>
      </c>
      <c r="H49" s="134">
        <f>F49*G49</f>
        <v>106765.12000000001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1486.8965517241554</v>
      </c>
      <c r="O49" s="141">
        <f>N49/M49</f>
        <v>87.464503042597372</v>
      </c>
      <c r="P49" s="229">
        <f>M49-J49</f>
        <v>0</v>
      </c>
      <c r="Q49" s="230">
        <f>O49-L49</f>
        <v>-18.417849898579092</v>
      </c>
      <c r="R49" s="52">
        <f>O49/L49</f>
        <v>0.82605363984675295</v>
      </c>
      <c r="S49" s="439">
        <f>R58</f>
        <v>0.87745627329978648</v>
      </c>
      <c r="T49" s="191">
        <v>0.29027777777777802</v>
      </c>
      <c r="U49" s="191">
        <v>0.35069444444444398</v>
      </c>
      <c r="V49" s="55"/>
      <c r="W49" s="193">
        <f t="shared" si="5"/>
        <v>86.999999999998977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25"/>
        <v>-313.10344827584458</v>
      </c>
      <c r="AG49" s="52">
        <f t="shared" si="26"/>
        <v>0.82605363984675306</v>
      </c>
      <c r="AH49" s="403">
        <f>AG58</f>
        <v>0.87956851162164928</v>
      </c>
    </row>
    <row r="50" spans="1:34" ht="15" customHeight="1">
      <c r="A50" s="469"/>
      <c r="B50" s="75" t="s">
        <v>81</v>
      </c>
      <c r="C50" s="76"/>
      <c r="D50" s="59" t="s">
        <v>132</v>
      </c>
      <c r="E50" s="77"/>
      <c r="F50" s="75">
        <f>VLOOKUP(D50,廠價表!$C$1:$E$43,3,0)</f>
        <v>49.97</v>
      </c>
      <c r="G50" s="202">
        <v>2173</v>
      </c>
      <c r="H50" s="231">
        <f>F50*G50</f>
        <v>108584.81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1570.843373493974</v>
      </c>
      <c r="O50" s="235">
        <f>N50/M50</f>
        <v>98.177710843373376</v>
      </c>
      <c r="P50" s="74">
        <f>M50-J50</f>
        <v>0</v>
      </c>
      <c r="Q50" s="83">
        <f>O50-L50</f>
        <v>-14.322289156626624</v>
      </c>
      <c r="R50" s="72">
        <f>O50/L50</f>
        <v>0.87269076305220783</v>
      </c>
      <c r="S50" s="440"/>
      <c r="T50" s="21">
        <v>0.35625000000000001</v>
      </c>
      <c r="U50" s="21">
        <v>0.41388888888888897</v>
      </c>
      <c r="V50" s="30">
        <f>(T50-U49)*24*60</f>
        <v>8.000000000000691</v>
      </c>
      <c r="W50" s="236">
        <f t="shared" si="5"/>
        <v>83.000000000000099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25"/>
        <v>-229.15662650602599</v>
      </c>
      <c r="AG50" s="72">
        <f t="shared" si="26"/>
        <v>0.87269076305220783</v>
      </c>
      <c r="AH50" s="404"/>
    </row>
    <row r="51" spans="1:34" ht="15" customHeight="1">
      <c r="A51" s="469"/>
      <c r="B51" s="75" t="s">
        <v>81</v>
      </c>
      <c r="C51" s="76"/>
      <c r="D51" s="59" t="s">
        <v>133</v>
      </c>
      <c r="E51" s="77"/>
      <c r="F51" s="75">
        <f>VLOOKUP(D51,廠價表!$C$1:$E$43,3,0)</f>
        <v>50.289000000000001</v>
      </c>
      <c r="G51" s="202">
        <v>1369</v>
      </c>
      <c r="H51" s="231">
        <f>F51*G51</f>
        <v>68845.641000000003</v>
      </c>
      <c r="I51" s="232"/>
      <c r="J51" s="79">
        <f>VLOOKUP(D51,產線配置圖!$A$3:$C$40,2,0)</f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1466.7857142857113</v>
      </c>
      <c r="O51" s="235">
        <f>N51/M51</f>
        <v>81.48809523809507</v>
      </c>
      <c r="P51" s="74">
        <f>M51-J51</f>
        <v>0</v>
      </c>
      <c r="Q51" s="83">
        <f>O51-L51</f>
        <v>-5.4563492063493726</v>
      </c>
      <c r="R51" s="72">
        <f>O51/L51</f>
        <v>0.93724326791419255</v>
      </c>
      <c r="S51" s="440"/>
      <c r="T51" s="21">
        <v>0.420833333333333</v>
      </c>
      <c r="U51" s="19">
        <v>0.45972222222222198</v>
      </c>
      <c r="V51" s="30">
        <f>(T51-U50)*24*60</f>
        <v>9.9999999999994049</v>
      </c>
      <c r="W51" s="236">
        <f t="shared" si="5"/>
        <v>56.000000000000121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25"/>
        <v>-98.214285714288735</v>
      </c>
      <c r="AG51" s="72">
        <f t="shared" si="26"/>
        <v>0.93724326791419255</v>
      </c>
      <c r="AH51" s="404"/>
    </row>
    <row r="52" spans="1:34" ht="15" customHeight="1">
      <c r="A52" s="469"/>
      <c r="B52" s="75" t="s">
        <v>81</v>
      </c>
      <c r="C52" s="86"/>
      <c r="D52" s="59" t="s">
        <v>133</v>
      </c>
      <c r="E52" s="87"/>
      <c r="F52" s="75">
        <f>VLOOKUP(D52,廠價表!$C$1:$E$43,3,0)</f>
        <v>50.289000000000001</v>
      </c>
      <c r="G52" s="202">
        <v>1494</v>
      </c>
      <c r="H52" s="231">
        <f t="shared" ref="H52:H54" si="27">F52*G52</f>
        <v>75131.766000000003</v>
      </c>
      <c r="I52" s="232"/>
      <c r="J52" s="79">
        <f>VLOOKUP(D52,產線配置圖!$A$3:$C$40,2,0)</f>
        <v>18</v>
      </c>
      <c r="K52" s="80">
        <f>VLOOKUP(D52,產線配置圖!$A$3:$C$40,3,0)</f>
        <v>1565</v>
      </c>
      <c r="L52" s="81">
        <f t="shared" ref="L52:L54" si="28">K52/J52</f>
        <v>86.944444444444443</v>
      </c>
      <c r="M52" s="233">
        <v>18</v>
      </c>
      <c r="N52" s="234">
        <f t="shared" ref="N52:N54" si="29">G52/W52*60</f>
        <v>1493.9999999999854</v>
      </c>
      <c r="O52" s="235">
        <f t="shared" ref="O52:O54" si="30">N52/M52</f>
        <v>82.99999999999919</v>
      </c>
      <c r="P52" s="74">
        <f t="shared" ref="P52:P54" si="31">M52-J52</f>
        <v>0</v>
      </c>
      <c r="Q52" s="83">
        <f t="shared" ref="Q52:Q54" si="32">O52-L52</f>
        <v>-3.9444444444452529</v>
      </c>
      <c r="R52" s="72">
        <f t="shared" ref="R52:R54" si="33">O52/L52</f>
        <v>0.95463258785941563</v>
      </c>
      <c r="S52" s="440"/>
      <c r="T52" s="21">
        <v>0.51388888888888895</v>
      </c>
      <c r="U52" s="21">
        <v>0.55555555555555602</v>
      </c>
      <c r="V52" s="30">
        <f>(T52-U51)*24*60</f>
        <v>78.000000000000441</v>
      </c>
      <c r="W52" s="236">
        <f t="shared" si="5"/>
        <v>60.000000000000583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25"/>
        <v>-71.000000000014552</v>
      </c>
      <c r="AG52" s="72">
        <f t="shared" si="26"/>
        <v>0.95463258785941563</v>
      </c>
      <c r="AH52" s="404"/>
    </row>
    <row r="53" spans="1:34" ht="15" customHeight="1">
      <c r="A53" s="469"/>
      <c r="B53" s="101" t="s">
        <v>81</v>
      </c>
      <c r="C53" s="102"/>
      <c r="D53" s="103" t="s">
        <v>132</v>
      </c>
      <c r="E53" s="104"/>
      <c r="F53" s="75">
        <f>VLOOKUP(D53,廠價表!$C$1:$E$43,3,0)</f>
        <v>49.97</v>
      </c>
      <c r="G53" s="202">
        <v>2382</v>
      </c>
      <c r="H53" s="231">
        <f t="shared" si="27"/>
        <v>119028.54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8"/>
        <v>112.5</v>
      </c>
      <c r="M53" s="108">
        <v>16</v>
      </c>
      <c r="N53" s="234">
        <f t="shared" si="29"/>
        <v>1536.774193548395</v>
      </c>
      <c r="O53" s="235">
        <f t="shared" si="30"/>
        <v>96.04838709677469</v>
      </c>
      <c r="P53" s="74">
        <f t="shared" si="31"/>
        <v>0</v>
      </c>
      <c r="Q53" s="83">
        <f t="shared" si="32"/>
        <v>-16.45161290322531</v>
      </c>
      <c r="R53" s="72">
        <f t="shared" si="33"/>
        <v>0.85376344086021949</v>
      </c>
      <c r="S53" s="440"/>
      <c r="T53" s="21">
        <v>0.56041666666666701</v>
      </c>
      <c r="U53" s="21">
        <v>0.625</v>
      </c>
      <c r="V53" s="30">
        <f>(T53-U52)*24*60</f>
        <v>6.9999999999998153</v>
      </c>
      <c r="W53" s="236">
        <f t="shared" si="5"/>
        <v>92.999999999999517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25"/>
        <v>-263.22580645160497</v>
      </c>
      <c r="AG53" s="72">
        <f t="shared" si="26"/>
        <v>0.85376344086021949</v>
      </c>
      <c r="AH53" s="404"/>
    </row>
    <row r="54" spans="1:34" ht="15" customHeight="1">
      <c r="A54" s="469"/>
      <c r="B54" s="101" t="s">
        <v>128</v>
      </c>
      <c r="C54" s="102"/>
      <c r="D54" s="103" t="s">
        <v>129</v>
      </c>
      <c r="E54" s="104"/>
      <c r="F54" s="75">
        <f>VLOOKUP(D54,廠價表!$C$1:$E$43,3,0)</f>
        <v>49.91</v>
      </c>
      <c r="G54" s="202">
        <v>679</v>
      </c>
      <c r="H54" s="231">
        <f t="shared" si="27"/>
        <v>33888.89</v>
      </c>
      <c r="I54" s="232"/>
      <c r="J54" s="79">
        <f>VLOOKUP(D54,產線配置圖!$A$3:$C$40,2,0)</f>
        <v>15</v>
      </c>
      <c r="K54" s="80">
        <f>VLOOKUP(D54,產線配置圖!$A$3:$C$40,3,0)</f>
        <v>1714</v>
      </c>
      <c r="L54" s="81">
        <f t="shared" si="28"/>
        <v>114.26666666666667</v>
      </c>
      <c r="M54" s="108">
        <v>15</v>
      </c>
      <c r="N54" s="234">
        <f t="shared" si="29"/>
        <v>1454.9999999999552</v>
      </c>
      <c r="O54" s="235">
        <f t="shared" si="30"/>
        <v>96.999999999997016</v>
      </c>
      <c r="P54" s="74">
        <f t="shared" si="31"/>
        <v>0</v>
      </c>
      <c r="Q54" s="83">
        <f t="shared" si="32"/>
        <v>-17.26666666666965</v>
      </c>
      <c r="R54" s="72">
        <f t="shared" si="33"/>
        <v>0.84889148191362618</v>
      </c>
      <c r="S54" s="440"/>
      <c r="T54" s="21">
        <v>0.63194444444444398</v>
      </c>
      <c r="U54" s="21">
        <v>0.65138888888888902</v>
      </c>
      <c r="V54" s="30">
        <f>(T54-U53)*24*60</f>
        <v>9.999999999999325</v>
      </c>
      <c r="W54" s="236">
        <f t="shared" si="5"/>
        <v>28.00000000000086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34">AVERAGE(J49:J57)</f>
        <v>16.666666666666668</v>
      </c>
      <c r="K58" s="120">
        <f t="shared" si="34"/>
        <v>1707.3333333333333</v>
      </c>
      <c r="L58" s="117">
        <f t="shared" si="34"/>
        <v>103.17298474945534</v>
      </c>
      <c r="M58" s="120">
        <f t="shared" si="34"/>
        <v>16.666666666666668</v>
      </c>
      <c r="N58" s="120">
        <f t="shared" si="34"/>
        <v>1501.7166388420292</v>
      </c>
      <c r="O58" s="117">
        <f t="shared" si="34"/>
        <v>90.52978270347279</v>
      </c>
      <c r="P58" s="121">
        <f>M58-J58</f>
        <v>0</v>
      </c>
      <c r="Q58" s="122">
        <f>N58-K58</f>
        <v>-205.61669449130409</v>
      </c>
      <c r="R58" s="123">
        <f>O58/L58</f>
        <v>0.87745627329978648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-205.61669449130409</v>
      </c>
      <c r="AG58" s="124">
        <f>N58/K58</f>
        <v>0.87956851162164928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3310</v>
      </c>
      <c r="H59" s="243">
        <f>F59*G59</f>
        <v>89336.9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1527.6923076923217</v>
      </c>
      <c r="O59" s="138">
        <f>N59/M59</f>
        <v>101.84615384615478</v>
      </c>
      <c r="P59" s="56">
        <f>M59-J59</f>
        <v>0</v>
      </c>
      <c r="Q59" s="230">
        <f>O59-L59</f>
        <v>-2.4871794871785511</v>
      </c>
      <c r="R59" s="52">
        <f>O59/L59</f>
        <v>0.97616121897272956</v>
      </c>
      <c r="S59" s="439">
        <f>R69</f>
        <v>0.87982385202858593</v>
      </c>
      <c r="T59" s="245">
        <v>0.29166666666666702</v>
      </c>
      <c r="U59" s="245">
        <v>0.38194444444444398</v>
      </c>
      <c r="V59" s="55"/>
      <c r="W59" s="54">
        <f t="shared" si="5"/>
        <v>129.99999999999881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-37.30769230767828</v>
      </c>
      <c r="AG59" s="246">
        <f>N59/K59</f>
        <v>0.97616121897272956</v>
      </c>
      <c r="AH59" s="403">
        <f>AG69</f>
        <v>0.88754394262006009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1843</v>
      </c>
      <c r="H60" s="78">
        <f>F60*G60</f>
        <v>52083.18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1474.4000000000101</v>
      </c>
      <c r="O60" s="81">
        <f>N60/M60</f>
        <v>122.86666666666751</v>
      </c>
      <c r="P60" s="74">
        <f>M60-J60</f>
        <v>0</v>
      </c>
      <c r="Q60" s="83">
        <f>O60-L60</f>
        <v>-7.5499999999991445</v>
      </c>
      <c r="R60" s="72">
        <f>O60/L60</f>
        <v>0.94210862619808966</v>
      </c>
      <c r="S60" s="467"/>
      <c r="T60" s="22">
        <v>0.38888888888888901</v>
      </c>
      <c r="U60" s="22">
        <v>0.44097222222222199</v>
      </c>
      <c r="V60" s="30">
        <f>(T60-U59)*24*60</f>
        <v>10.000000000000844</v>
      </c>
      <c r="W60" s="248">
        <f t="shared" si="5"/>
        <v>74.999999999999488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-90.599999999989905</v>
      </c>
      <c r="AG60" s="249">
        <f>N60/K60</f>
        <v>0.94210862619808955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1475</v>
      </c>
      <c r="H61" s="254">
        <f>F61*G61</f>
        <v>41683.5</v>
      </c>
      <c r="I61" s="182"/>
      <c r="J61" s="106">
        <f>VLOOKUP(D61,產線配置圖!$A$3:$C$40,2,0)</f>
        <v>11</v>
      </c>
      <c r="K61" s="107">
        <f>VLOOKUP(D61,產線配置圖!$A$3:$C$40,3,0)</f>
        <v>1565</v>
      </c>
      <c r="L61" s="238">
        <f>K61/J61</f>
        <v>142.27272727272728</v>
      </c>
      <c r="M61" s="108">
        <v>11</v>
      </c>
      <c r="N61" s="107">
        <f>G61/W61*60</f>
        <v>1264.2857142857174</v>
      </c>
      <c r="O61" s="238">
        <f>N61/M61</f>
        <v>114.93506493506521</v>
      </c>
      <c r="P61" s="111">
        <f>M61-J61</f>
        <v>0</v>
      </c>
      <c r="Q61" s="255">
        <f>O61-L61</f>
        <v>-27.337662337662067</v>
      </c>
      <c r="R61" s="85">
        <f>O61/L61</f>
        <v>0.80785029666818997</v>
      </c>
      <c r="S61" s="440"/>
      <c r="T61" s="22">
        <v>0.44791666666666702</v>
      </c>
      <c r="U61" s="22">
        <v>0.49652777777777801</v>
      </c>
      <c r="V61" s="30">
        <f>(T61-U60)*24*60</f>
        <v>10.000000000000844</v>
      </c>
      <c r="W61" s="256">
        <f t="shared" si="5"/>
        <v>69.999999999999829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-300.7142857142826</v>
      </c>
      <c r="AG61" s="247">
        <f>N61/K61</f>
        <v>0.80785029666819008</v>
      </c>
      <c r="AH61" s="404"/>
    </row>
    <row r="62" spans="1:34" ht="15" customHeight="1">
      <c r="A62" s="465"/>
      <c r="B62" s="250" t="s">
        <v>125</v>
      </c>
      <c r="C62" s="251"/>
      <c r="D62" s="257" t="s">
        <v>126</v>
      </c>
      <c r="E62" s="253"/>
      <c r="F62" s="250">
        <f>VLOOKUP(D62,廠價表!$C$1:$E$43,3,0)</f>
        <v>28.26</v>
      </c>
      <c r="G62" s="38">
        <v>1827</v>
      </c>
      <c r="H62" s="254">
        <f>F62*G62</f>
        <v>51631.020000000004</v>
      </c>
      <c r="I62" s="182"/>
      <c r="J62" s="106">
        <f>VLOOKUP(D62,產線配置圖!$A$3:$C$40,2,0)</f>
        <v>11</v>
      </c>
      <c r="K62" s="107">
        <f>VLOOKUP(D62,產線配置圖!$A$3:$C$40,3,0)</f>
        <v>1565</v>
      </c>
      <c r="L62" s="238">
        <f>K62/J62</f>
        <v>142.27272727272728</v>
      </c>
      <c r="M62" s="108">
        <v>11</v>
      </c>
      <c r="N62" s="80">
        <f>G62/W62*60</f>
        <v>1289.6470588235268</v>
      </c>
      <c r="O62" s="81">
        <f>N62/M62</f>
        <v>117.24064171122971</v>
      </c>
      <c r="P62" s="74">
        <f>M62-J62</f>
        <v>0</v>
      </c>
      <c r="Q62" s="83">
        <f>O62-L62</f>
        <v>-25.032085561497567</v>
      </c>
      <c r="R62" s="72">
        <f>O62/L62</f>
        <v>0.82405562864123116</v>
      </c>
      <c r="S62" s="440"/>
      <c r="T62" s="22">
        <v>0.54861111111111105</v>
      </c>
      <c r="U62" s="22">
        <v>0.60763888888888895</v>
      </c>
      <c r="V62" s="30">
        <f>(T62-U61)*24*60</f>
        <v>74.999999999999574</v>
      </c>
      <c r="W62" s="248">
        <f t="shared" si="5"/>
        <v>85.000000000000171</v>
      </c>
      <c r="X62" s="22"/>
      <c r="Y62" s="84"/>
      <c r="Z62" s="90"/>
      <c r="AA62" s="90"/>
      <c r="AB62" s="407"/>
      <c r="AC62" s="407"/>
      <c r="AD62" s="92"/>
      <c r="AE62" s="92"/>
      <c r="AF62" s="317">
        <f>N62-K62</f>
        <v>-275.35294117647322</v>
      </c>
      <c r="AG62" s="247">
        <f>N62/K62</f>
        <v>0.82405562864123116</v>
      </c>
      <c r="AH62" s="404"/>
    </row>
    <row r="63" spans="1:34" ht="15" customHeight="1">
      <c r="A63" s="46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40"/>
      <c r="T63" s="22"/>
      <c r="U63" s="22"/>
      <c r="V63" s="30"/>
      <c r="W63" s="248">
        <f t="shared" si="5"/>
        <v>0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5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5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35">AVERAGE(J59:J68)</f>
        <v>12.25</v>
      </c>
      <c r="K69" s="240">
        <f t="shared" si="35"/>
        <v>1565</v>
      </c>
      <c r="L69" s="268">
        <f t="shared" si="35"/>
        <v>129.82386363636363</v>
      </c>
      <c r="M69" s="240">
        <f t="shared" si="35"/>
        <v>12.25</v>
      </c>
      <c r="N69" s="240">
        <f t="shared" si="35"/>
        <v>1389.0062702003941</v>
      </c>
      <c r="O69" s="268">
        <f t="shared" si="35"/>
        <v>114.22213178977931</v>
      </c>
      <c r="P69" s="269">
        <f>M69-J69</f>
        <v>0</v>
      </c>
      <c r="Q69" s="222">
        <f>N69-K69</f>
        <v>-175.99372979960594</v>
      </c>
      <c r="R69" s="123">
        <f>O69/L69</f>
        <v>0.87982385202858593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-175.99372979960594</v>
      </c>
      <c r="AG69" s="124">
        <f>N69/K69</f>
        <v>0.88754394262006009</v>
      </c>
      <c r="AH69" s="406"/>
    </row>
    <row r="70" spans="1:36" ht="15" customHeight="1">
      <c r="A70" s="471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39">
        <f>R79</f>
        <v>0</v>
      </c>
      <c r="T70" s="245"/>
      <c r="U70" s="245"/>
      <c r="V70" s="55"/>
      <c r="W70" s="54">
        <f t="shared" si="5"/>
        <v>0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5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5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5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/>
      <c r="D79" s="430"/>
      <c r="E79" s="430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G3:G4"/>
    <mergeCell ref="H3:H4"/>
    <mergeCell ref="I3:I4"/>
    <mergeCell ref="X3:Y3"/>
    <mergeCell ref="A2:B2"/>
    <mergeCell ref="A3:A4"/>
    <mergeCell ref="B3:B4"/>
    <mergeCell ref="D3:E4"/>
    <mergeCell ref="F3:F4"/>
    <mergeCell ref="J1:L2"/>
    <mergeCell ref="J3:J4"/>
    <mergeCell ref="K3:K4"/>
    <mergeCell ref="L3:L4"/>
    <mergeCell ref="AH16:AH26"/>
    <mergeCell ref="AB17:AC17"/>
    <mergeCell ref="AB18:AC18"/>
    <mergeCell ref="AB19:AC19"/>
    <mergeCell ref="AB20:AC20"/>
    <mergeCell ref="AB21:AC21"/>
    <mergeCell ref="AB25:AC25"/>
    <mergeCell ref="V3:V4"/>
    <mergeCell ref="W3:W4"/>
    <mergeCell ref="Z3:AA3"/>
    <mergeCell ref="P1:S2"/>
    <mergeCell ref="T1:Y2"/>
    <mergeCell ref="N3:N4"/>
    <mergeCell ref="O3:O4"/>
    <mergeCell ref="M1:O2"/>
    <mergeCell ref="T3:U3"/>
    <mergeCell ref="M3:M4"/>
    <mergeCell ref="P3:P4"/>
    <mergeCell ref="Q3:Q4"/>
    <mergeCell ref="AF1:AH2"/>
    <mergeCell ref="AD3:AE3"/>
    <mergeCell ref="AF3:AF4"/>
    <mergeCell ref="AG3:AG4"/>
    <mergeCell ref="AH3:AH4"/>
    <mergeCell ref="A5:A15"/>
    <mergeCell ref="S5:S15"/>
    <mergeCell ref="AB5:AC5"/>
    <mergeCell ref="AH5:AH15"/>
    <mergeCell ref="AB6:AC6"/>
    <mergeCell ref="D15:E15"/>
    <mergeCell ref="AB14:AC14"/>
    <mergeCell ref="AB15:AC15"/>
    <mergeCell ref="AB8:AC8"/>
    <mergeCell ref="AB9:AC9"/>
    <mergeCell ref="AB10:AC10"/>
    <mergeCell ref="AB11:AC11"/>
    <mergeCell ref="AB13:AC13"/>
    <mergeCell ref="AB12:AC12"/>
    <mergeCell ref="AB7:AC7"/>
    <mergeCell ref="AB1:AC2"/>
    <mergeCell ref="R3:R4"/>
    <mergeCell ref="S3:S4"/>
    <mergeCell ref="AB3:AC4"/>
    <mergeCell ref="A16:A26"/>
    <mergeCell ref="S16:S26"/>
    <mergeCell ref="AB16:AC16"/>
    <mergeCell ref="A38:A48"/>
    <mergeCell ref="S38:S48"/>
    <mergeCell ref="AB38:AC38"/>
    <mergeCell ref="D48:E48"/>
    <mergeCell ref="AB48:AC48"/>
    <mergeCell ref="A27:A37"/>
    <mergeCell ref="S27:S37"/>
    <mergeCell ref="D37:E37"/>
    <mergeCell ref="D26:E26"/>
    <mergeCell ref="AB26:AC26"/>
    <mergeCell ref="AB22:AC22"/>
    <mergeCell ref="AB23:AC23"/>
    <mergeCell ref="AB24:AC2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27:AC27"/>
    <mergeCell ref="AB37:AC3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48" priority="1" operator="greaterThan">
      <formula>0</formula>
    </cfRule>
  </conditionalFormatting>
  <conditionalFormatting sqref="Q5:Q79 AF5:AF79">
    <cfRule type="cellIs" dxfId="247" priority="4" operator="lessThan">
      <formula>0</formula>
    </cfRule>
  </conditionalFormatting>
  <conditionalFormatting sqref="R5:R79 AG5:AG79">
    <cfRule type="cellIs" dxfId="246" priority="2" operator="greaterThan">
      <formula>1</formula>
    </cfRule>
    <cfRule type="cellIs" dxfId="245" priority="3" operator="lessThan">
      <formula>0.8</formula>
    </cfRule>
  </conditionalFormatting>
  <conditionalFormatting sqref="S5:S10 S37:S62 AH59:AH62 S69:S76 AH69:AH76">
    <cfRule type="cellIs" dxfId="244" priority="7" operator="lessThan">
      <formula>0.8</formula>
    </cfRule>
  </conditionalFormatting>
  <conditionalFormatting sqref="S19:S25 AH19:AH25">
    <cfRule type="cellIs" dxfId="243" priority="6" operator="lessThan">
      <formula>0.8</formula>
    </cfRule>
  </conditionalFormatting>
  <conditionalFormatting sqref="S79">
    <cfRule type="cellIs" dxfId="242" priority="5" operator="lessThan">
      <formula>0.8</formula>
    </cfRule>
  </conditionalFormatting>
  <conditionalFormatting sqref="AH5:AH8 S15:S16 AH15:AH16 AH49 AH79">
    <cfRule type="cellIs" dxfId="241" priority="9" operator="lessThan">
      <formula>0.8</formula>
    </cfRule>
  </conditionalFormatting>
  <conditionalFormatting sqref="AH27 S27:S28">
    <cfRule type="cellIs" dxfId="2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8FC106-BA89-4BA9-B4BA-DB3034A3D4BF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656C-9F73-45EC-BE32-B3326C3CC94D}">
  <dimension ref="B1:O26"/>
  <sheetViews>
    <sheetView zoomScale="70" zoomScaleNormal="70" workbookViewId="0">
      <selection activeCell="U63" sqref="U6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46180</v>
      </c>
      <c r="E3" s="510"/>
      <c r="F3" s="3" t="s">
        <v>72</v>
      </c>
      <c r="G3" s="511">
        <f>'0607'!E1</f>
        <v>68143</v>
      </c>
      <c r="H3" s="511"/>
      <c r="I3" s="3" t="s">
        <v>2</v>
      </c>
      <c r="J3" s="512">
        <f>'0607'!G1</f>
        <v>3263929.2100000009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122.55667866991398</v>
      </c>
      <c r="G6" s="507"/>
      <c r="H6" s="508">
        <f>AVERAGE(D13:H13)</f>
        <v>122.12286288874525</v>
      </c>
      <c r="I6" s="508"/>
      <c r="J6" s="508">
        <f>AVERAGE(I13)</f>
        <v>124.72575757575757</v>
      </c>
      <c r="K6" s="508"/>
      <c r="L6" s="516">
        <f>SUM(D18:J18)</f>
        <v>3</v>
      </c>
      <c r="M6" s="499">
        <f>SUM(D19:J19)</f>
        <v>23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110.78729051627585</v>
      </c>
      <c r="G7" s="496"/>
      <c r="H7" s="497">
        <f>AVERAGE(D14:H14)</f>
        <v>110.96254575818088</v>
      </c>
      <c r="I7" s="497"/>
      <c r="J7" s="497">
        <f>AVERAGE(I14)</f>
        <v>109.9110143067506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0.90396779448195541</v>
      </c>
      <c r="G8" s="502"/>
      <c r="H8" s="502">
        <f>H7/H6</f>
        <v>0.90861402307009875</v>
      </c>
      <c r="I8" s="502"/>
      <c r="J8" s="502">
        <f>J7/J6</f>
        <v>0.88122146093192821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VALUE('0607'!L15)</f>
        <v>150</v>
      </c>
      <c r="E13" s="13">
        <f>VALUE('0607'!L26)</f>
        <v>158.32255979314803</v>
      </c>
      <c r="F13" s="13">
        <f>VALUE('0607'!L37)</f>
        <v>96.086525892408233</v>
      </c>
      <c r="G13" s="13">
        <f>VALUE('0607'!L48)</f>
        <v>105.25098039215686</v>
      </c>
      <c r="H13" s="13">
        <f>VALUE('0607'!L58)</f>
        <v>100.95424836601308</v>
      </c>
      <c r="I13" s="13">
        <f>VALUE('0607'!L69)</f>
        <v>124.72575757575757</v>
      </c>
      <c r="J13" s="13">
        <f>'0607'!L79</f>
        <v>0</v>
      </c>
    </row>
    <row r="14" spans="2:15" ht="39.950000000000003" customHeight="1">
      <c r="B14" s="490"/>
      <c r="C14" s="12" t="s">
        <v>100</v>
      </c>
      <c r="D14" s="13">
        <f>VALUE('0607'!O15)</f>
        <v>140.27985041457723</v>
      </c>
      <c r="E14" s="13">
        <f>VALUE('0607'!O26)</f>
        <v>148.35735015957502</v>
      </c>
      <c r="F14" s="13">
        <f>VALUE('0607'!O37)</f>
        <v>78.511311525495216</v>
      </c>
      <c r="G14" s="13">
        <f>VALUE('0607'!O48)</f>
        <v>94.491701680673103</v>
      </c>
      <c r="H14" s="13">
        <f>VALUE('0607'!O58)</f>
        <v>93.172515010583908</v>
      </c>
      <c r="I14" s="13">
        <f>VALUE('0607'!O69)</f>
        <v>109.9110143067506</v>
      </c>
      <c r="J14" s="13">
        <f>'0607'!O79</f>
        <v>0</v>
      </c>
    </row>
    <row r="15" spans="2:15" ht="39.950000000000003" customHeight="1">
      <c r="B15" s="491"/>
      <c r="C15" s="10" t="s">
        <v>26</v>
      </c>
      <c r="D15" s="14">
        <f t="shared" ref="D15:I15" si="1">D14/D13</f>
        <v>0.93519900276384815</v>
      </c>
      <c r="E15" s="14">
        <f t="shared" si="1"/>
        <v>0.93705755107425759</v>
      </c>
      <c r="F15" s="14">
        <f t="shared" si="1"/>
        <v>0.81708970947089232</v>
      </c>
      <c r="G15" s="14">
        <f t="shared" si="1"/>
        <v>0.89777502621452521</v>
      </c>
      <c r="H15" s="14">
        <f t="shared" si="1"/>
        <v>0.92291821809007757</v>
      </c>
      <c r="I15" s="14">
        <f t="shared" si="1"/>
        <v>0.88122146093192821</v>
      </c>
      <c r="J15" s="15">
        <f>'0607'!S70</f>
        <v>0</v>
      </c>
    </row>
    <row r="16" spans="2:15" ht="17.25" customHeight="1">
      <c r="B16" s="492" t="s">
        <v>101</v>
      </c>
      <c r="C16" s="10" t="s">
        <v>34</v>
      </c>
      <c r="D16" s="16">
        <f>'0607'!T5</f>
        <v>0.37083333333333302</v>
      </c>
      <c r="E16" s="16">
        <f>'0607'!T16</f>
        <v>0.29305555555555601</v>
      </c>
      <c r="F16" s="16">
        <f>'0607'!T27</f>
        <v>0.29166666666666702</v>
      </c>
      <c r="G16" s="16">
        <f>'0607'!T38</f>
        <v>0.33333333333333298</v>
      </c>
      <c r="H16" s="16">
        <f>'0607'!T49</f>
        <v>0.28888888888888897</v>
      </c>
      <c r="I16" s="16">
        <f>'0607'!T59</f>
        <v>0.29166666666666702</v>
      </c>
      <c r="J16" s="16">
        <f>'0607'!T70</f>
        <v>0</v>
      </c>
    </row>
    <row r="17" spans="2:10" ht="17.25" customHeight="1">
      <c r="B17" s="493"/>
      <c r="C17" s="10" t="s">
        <v>35</v>
      </c>
      <c r="D17" s="22">
        <v>0.72083333333333299</v>
      </c>
      <c r="E17" s="19">
        <v>0.66944444444444395</v>
      </c>
      <c r="F17" s="19">
        <v>0.64652777777777803</v>
      </c>
      <c r="G17" s="210">
        <v>0.69444444444444398</v>
      </c>
      <c r="H17" s="21">
        <v>0.6875</v>
      </c>
      <c r="I17" s="22">
        <v>0.67638888888888904</v>
      </c>
      <c r="J17" s="22">
        <v>0</v>
      </c>
    </row>
    <row r="18" spans="2:10" ht="17.25" customHeight="1">
      <c r="B18" s="494" t="s">
        <v>102</v>
      </c>
      <c r="C18" s="330" t="s">
        <v>36</v>
      </c>
      <c r="D18" s="358">
        <f>'0607'!Z15</f>
        <v>0</v>
      </c>
      <c r="E18" s="359">
        <f>'0607'!Z26</f>
        <v>0</v>
      </c>
      <c r="F18" s="359">
        <f>'0607'!Z37</f>
        <v>3</v>
      </c>
      <c r="G18" s="360">
        <f>'0607'!Z48</f>
        <v>0</v>
      </c>
      <c r="H18" s="360">
        <f>'0607'!Z58</f>
        <v>0</v>
      </c>
      <c r="I18" s="359">
        <f>'0607'!Z69</f>
        <v>0</v>
      </c>
      <c r="J18" s="359">
        <f>'0607'!AA79</f>
        <v>0</v>
      </c>
    </row>
    <row r="19" spans="2:10" ht="17.25" customHeight="1">
      <c r="B19" s="495"/>
      <c r="C19" s="330" t="s">
        <v>37</v>
      </c>
      <c r="D19" s="358">
        <f>'0607'!AA15</f>
        <v>0</v>
      </c>
      <c r="E19" s="359">
        <f>'0607'!AA26</f>
        <v>0</v>
      </c>
      <c r="F19" s="359">
        <f>'0607'!AA37</f>
        <v>23</v>
      </c>
      <c r="G19" s="360">
        <f>'0607'!AA48</f>
        <v>0</v>
      </c>
      <c r="H19" s="360">
        <f>'0607'!AA58</f>
        <v>0</v>
      </c>
      <c r="I19" s="359">
        <f>'0607'!AA69</f>
        <v>0</v>
      </c>
      <c r="J19" s="359">
        <f>'0607'!AB79</f>
        <v>0</v>
      </c>
    </row>
    <row r="20" spans="2:10" ht="17.25" customHeight="1">
      <c r="B20" s="494" t="s">
        <v>103</v>
      </c>
      <c r="C20" s="330" t="s">
        <v>36</v>
      </c>
      <c r="D20" s="358">
        <f>'0607'!AD15</f>
        <v>0</v>
      </c>
      <c r="E20" s="359">
        <f>'0607'!AD26</f>
        <v>0</v>
      </c>
      <c r="F20" s="359">
        <f>'0607'!AD37</f>
        <v>0</v>
      </c>
      <c r="G20" s="360">
        <f>'0607'!AD48</f>
        <v>0</v>
      </c>
      <c r="H20" s="360">
        <f>'0607'!AD58</f>
        <v>0</v>
      </c>
      <c r="I20" s="359">
        <f>'0607'!AD69</f>
        <v>0</v>
      </c>
      <c r="J20" s="359">
        <f>'0607'!AD79</f>
        <v>0</v>
      </c>
    </row>
    <row r="21" spans="2:10" ht="17.25" customHeight="1">
      <c r="B21" s="495"/>
      <c r="C21" s="330" t="s">
        <v>85</v>
      </c>
      <c r="D21" s="358">
        <f>'0607'!AE15</f>
        <v>0</v>
      </c>
      <c r="E21" s="359">
        <f>'0607'!AE26</f>
        <v>0</v>
      </c>
      <c r="F21" s="359">
        <f>'0607'!AE37</f>
        <v>0</v>
      </c>
      <c r="G21" s="360">
        <f>'0607'!AE48</f>
        <v>0</v>
      </c>
      <c r="H21" s="360">
        <f>'0607'!AE58</f>
        <v>0</v>
      </c>
      <c r="I21" s="359">
        <f>'0607'!AE69</f>
        <v>0</v>
      </c>
      <c r="J21" s="359">
        <f>'0607'!AE79</f>
        <v>0</v>
      </c>
    </row>
    <row r="22" spans="2:10" ht="17.25" customHeight="1">
      <c r="B22" s="477" t="s">
        <v>104</v>
      </c>
      <c r="C22" s="478"/>
      <c r="D22" s="23">
        <f>VALUE('0607'!M15)</f>
        <v>15</v>
      </c>
      <c r="E22" s="23">
        <f>VALUE('0607'!M26)</f>
        <v>14.166666666666666</v>
      </c>
      <c r="F22" s="23">
        <f>VALUE('0607'!M37)</f>
        <v>16.8</v>
      </c>
      <c r="G22" s="23">
        <f>VALUE('0607'!M48)</f>
        <v>16</v>
      </c>
      <c r="H22" s="23">
        <f>VALUE('0607'!M58)</f>
        <v>16.8</v>
      </c>
      <c r="I22" s="23">
        <f>VALUE('0607'!M69)</f>
        <v>12.8</v>
      </c>
      <c r="J22" s="23">
        <f>'0607'!M79</f>
        <v>0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E4E3-1016-4509-A740-526D89DD19A4}">
  <sheetPr>
    <tabColor theme="9" tint="0.79998168889431442"/>
  </sheetPr>
  <dimension ref="A1:AJ92"/>
  <sheetViews>
    <sheetView zoomScale="69" zoomScaleNormal="69" workbookViewId="0">
      <pane xSplit="5" ySplit="4" topLeftCell="F35" activePane="bottomRight" state="frozen"/>
      <selection activeCell="U63" sqref="U63"/>
      <selection pane="topRight" activeCell="U63" sqref="U63"/>
      <selection pane="bottomLeft" activeCell="U63" sqref="U63"/>
      <selection pane="bottomRight" activeCell="U63" sqref="U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68143</v>
      </c>
      <c r="F1" s="30" t="s">
        <v>2</v>
      </c>
      <c r="G1" s="31">
        <f>SUM(H5:H79)</f>
        <v>3263929.2100000009</v>
      </c>
      <c r="H1" s="32" t="s">
        <v>3</v>
      </c>
      <c r="I1" s="33">
        <f>M15+M26+M48+M58+M69+M79+M37</f>
        <v>91.566666666666663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157</v>
      </c>
      <c r="B2" s="381"/>
      <c r="C2" s="28"/>
      <c r="D2" s="28" t="s">
        <v>14</v>
      </c>
      <c r="E2" s="35">
        <f>AVERAGE(O15,O26,O37,O48,O58,O69,O79)</f>
        <v>110.78729051627585</v>
      </c>
      <c r="F2" s="36" t="s">
        <v>15</v>
      </c>
      <c r="G2" s="37">
        <f>G1/E1</f>
        <v>47.898231806641931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3</v>
      </c>
      <c r="AA2" s="339">
        <f>AA15+AA26+AA37+AA48+AA58+AA69+AA79</f>
        <v>23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1018</v>
      </c>
      <c r="H5" s="43">
        <f>F5*G5</f>
        <v>57893.659999999996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2106.2068965517146</v>
      </c>
      <c r="O5" s="47">
        <f>N5/M5</f>
        <v>140.41379310344763</v>
      </c>
      <c r="P5" s="49">
        <f>M5-J5</f>
        <v>0</v>
      </c>
      <c r="Q5" s="50">
        <f>O5-L5</f>
        <v>-9.586206896552369</v>
      </c>
      <c r="R5" s="51">
        <f>O5/L5</f>
        <v>0.93609195402298417</v>
      </c>
      <c r="S5" s="439">
        <f>R15</f>
        <v>0.93519900276384815</v>
      </c>
      <c r="T5" s="319">
        <v>0.37083333333333302</v>
      </c>
      <c r="U5" s="320">
        <v>0.390972222222222</v>
      </c>
      <c r="V5" s="53"/>
      <c r="W5" s="54">
        <f t="shared" ref="W5:W14" si="0">(U5-T5)*24*60</f>
        <v>29.000000000000135</v>
      </c>
      <c r="X5" s="55"/>
      <c r="Y5" s="290"/>
      <c r="Z5" s="169"/>
      <c r="AA5" s="169"/>
      <c r="AB5" s="518" t="s">
        <v>158</v>
      </c>
      <c r="AC5" s="429"/>
      <c r="AD5" s="135"/>
      <c r="AE5" s="135"/>
      <c r="AF5" s="229">
        <f t="shared" ref="AF5:AF11" si="1">N5-K5</f>
        <v>-143.79310344828536</v>
      </c>
      <c r="AG5" s="52">
        <f t="shared" ref="AG5:AG11" si="2">N5/K5</f>
        <v>0.93609195402298429</v>
      </c>
      <c r="AH5" s="403">
        <f>AG15</f>
        <v>0.93519900276384804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2187</v>
      </c>
      <c r="H6" s="63">
        <f>F6*G6</f>
        <v>127217.79000000001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2116.4516129032031</v>
      </c>
      <c r="O6" s="67">
        <f>N6/M6</f>
        <v>141.09677419354688</v>
      </c>
      <c r="P6" s="69">
        <f>M6-J6</f>
        <v>0</v>
      </c>
      <c r="Q6" s="70">
        <f>O6-L6</f>
        <v>-8.903225806453122</v>
      </c>
      <c r="R6" s="71">
        <f>O6/L6</f>
        <v>0.9406451612903125</v>
      </c>
      <c r="S6" s="440"/>
      <c r="T6" s="16">
        <v>0.39722222222222198</v>
      </c>
      <c r="U6" s="16">
        <v>0.44027777777777799</v>
      </c>
      <c r="V6" s="30">
        <f>(T6-U5)*24*60</f>
        <v>8.999999999999968</v>
      </c>
      <c r="W6" s="73">
        <f t="shared" si="0"/>
        <v>62.000000000000661</v>
      </c>
      <c r="X6" s="22"/>
      <c r="Y6" s="84"/>
      <c r="Z6" s="90"/>
      <c r="AA6" s="90"/>
      <c r="AB6" s="434"/>
      <c r="AC6" s="434"/>
      <c r="AD6" s="149"/>
      <c r="AE6" s="149"/>
      <c r="AF6" s="307">
        <f t="shared" si="1"/>
        <v>-133.54838709679689</v>
      </c>
      <c r="AG6" s="72">
        <f t="shared" si="2"/>
        <v>0.9406451612903125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2608</v>
      </c>
      <c r="H7" s="78">
        <f>F7*G7</f>
        <v>128157.12</v>
      </c>
      <c r="I7" s="73"/>
      <c r="J7" s="65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2143.5616438355933</v>
      </c>
      <c r="O7" s="81">
        <f>N7/M7</f>
        <v>142.90410958903956</v>
      </c>
      <c r="P7" s="74">
        <f>M7-J7</f>
        <v>0</v>
      </c>
      <c r="Q7" s="83">
        <f>O7-L7</f>
        <v>-7.0958904109604362</v>
      </c>
      <c r="R7" s="72">
        <f>O7/L7</f>
        <v>0.95269406392693046</v>
      </c>
      <c r="S7" s="440"/>
      <c r="T7" s="18">
        <v>0.44583333333333303</v>
      </c>
      <c r="U7" s="18">
        <v>0.49652777777777801</v>
      </c>
      <c r="V7" s="30">
        <f>(T7-U6)*24*60</f>
        <v>7.9999999999992522</v>
      </c>
      <c r="W7" s="73">
        <f t="shared" si="0"/>
        <v>73.000000000000782</v>
      </c>
      <c r="X7" s="22"/>
      <c r="Y7" s="84"/>
      <c r="Z7" s="90"/>
      <c r="AA7" s="90"/>
      <c r="AB7" s="407"/>
      <c r="AC7" s="407"/>
      <c r="AD7" s="92"/>
      <c r="AE7" s="92"/>
      <c r="AF7" s="307">
        <f t="shared" si="1"/>
        <v>-106.43835616440674</v>
      </c>
      <c r="AG7" s="72">
        <f t="shared" si="2"/>
        <v>0.95269406392693035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2523</v>
      </c>
      <c r="H8" s="78">
        <f t="shared" ref="H8:H11" si="3">F8*G8</f>
        <v>123980.22</v>
      </c>
      <c r="I8" s="73"/>
      <c r="J8" s="65">
        <f>VLOOKUP(D8,產線配置圖!$A$3:$C$40,2,0)</f>
        <v>15</v>
      </c>
      <c r="K8" s="80">
        <f>VLOOKUP(D8,產線配置圖!$A$3:$C$40,3,0)</f>
        <v>2250</v>
      </c>
      <c r="L8" s="81">
        <f t="shared" ref="L8:L11" si="4">K8/J8</f>
        <v>150</v>
      </c>
      <c r="M8" s="82">
        <v>15</v>
      </c>
      <c r="N8" s="80">
        <f t="shared" ref="N8:N11" si="5">G8/W8*60</f>
        <v>2073.6986301370071</v>
      </c>
      <c r="O8" s="81">
        <f t="shared" ref="O8:O11" si="6">N8/M8</f>
        <v>138.24657534246714</v>
      </c>
      <c r="P8" s="74">
        <f t="shared" ref="P8:P11" si="7">M8-J8</f>
        <v>0</v>
      </c>
      <c r="Q8" s="83">
        <f t="shared" ref="Q8:Q11" si="8">O8-L8</f>
        <v>-11.753424657532861</v>
      </c>
      <c r="R8" s="72">
        <f t="shared" ref="R8:R11" si="9">O8/L8</f>
        <v>0.92164383561644758</v>
      </c>
      <c r="S8" s="440"/>
      <c r="T8" s="16">
        <v>0.55625000000000002</v>
      </c>
      <c r="U8" s="16">
        <v>0.60694444444444395</v>
      </c>
      <c r="V8" s="30">
        <f t="shared" ref="V8:V11" si="10">(T8-U7)*24*60</f>
        <v>85.999999999999687</v>
      </c>
      <c r="W8" s="73">
        <f t="shared" si="0"/>
        <v>72.999999999999261</v>
      </c>
      <c r="X8" s="22"/>
      <c r="Y8" s="84"/>
      <c r="Z8" s="90"/>
      <c r="AA8" s="90"/>
      <c r="AB8" s="434"/>
      <c r="AC8" s="434"/>
      <c r="AD8" s="149"/>
      <c r="AE8" s="149"/>
      <c r="AF8" s="307">
        <f t="shared" si="1"/>
        <v>-176.30136986299294</v>
      </c>
      <c r="AG8" s="72">
        <f t="shared" si="2"/>
        <v>0.92164383561644758</v>
      </c>
      <c r="AH8" s="404"/>
    </row>
    <row r="9" spans="1:34" ht="15" customHeight="1">
      <c r="A9" s="437"/>
      <c r="B9" s="75" t="s">
        <v>81</v>
      </c>
      <c r="C9" s="76"/>
      <c r="D9" s="59" t="s">
        <v>114</v>
      </c>
      <c r="E9" s="77"/>
      <c r="F9" s="75">
        <f>VLOOKUP(D9,廠價表!$C$1:$E$43,3,0)</f>
        <v>58.17</v>
      </c>
      <c r="G9" s="66">
        <v>1732</v>
      </c>
      <c r="H9" s="78">
        <f t="shared" si="3"/>
        <v>100750.44</v>
      </c>
      <c r="I9" s="73"/>
      <c r="J9" s="65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2120.8163265305989</v>
      </c>
      <c r="O9" s="81">
        <f t="shared" si="6"/>
        <v>141.38775510203993</v>
      </c>
      <c r="P9" s="74">
        <f t="shared" si="7"/>
        <v>0</v>
      </c>
      <c r="Q9" s="83">
        <f t="shared" si="8"/>
        <v>-8.6122448979600676</v>
      </c>
      <c r="R9" s="72">
        <f t="shared" si="9"/>
        <v>0.9425850340135995</v>
      </c>
      <c r="S9" s="441"/>
      <c r="T9" s="16">
        <v>0.61319444444444404</v>
      </c>
      <c r="U9" s="16">
        <v>0.64722222222222203</v>
      </c>
      <c r="V9" s="30">
        <f t="shared" si="10"/>
        <v>9.0000000000001279</v>
      </c>
      <c r="W9" s="73">
        <f t="shared" si="0"/>
        <v>49.000000000000306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-129.18367346940113</v>
      </c>
      <c r="AG9" s="72">
        <f t="shared" si="2"/>
        <v>0.9425850340135995</v>
      </c>
      <c r="AH9" s="405"/>
    </row>
    <row r="10" spans="1:34" ht="15" customHeight="1">
      <c r="A10" s="437"/>
      <c r="B10" s="75" t="s">
        <v>81</v>
      </c>
      <c r="C10" s="86"/>
      <c r="D10" s="59" t="s">
        <v>113</v>
      </c>
      <c r="E10" s="87"/>
      <c r="F10" s="75">
        <f>VLOOKUP(D10,廠價表!$C$1:$E$43,3,0)</f>
        <v>56.87</v>
      </c>
      <c r="G10" s="62">
        <v>1585</v>
      </c>
      <c r="H10" s="78">
        <f t="shared" si="3"/>
        <v>90138.95</v>
      </c>
      <c r="I10" s="73"/>
      <c r="J10" s="65">
        <f>VLOOKUP(D10,產線配置圖!$A$3:$C$40,2,0)</f>
        <v>15</v>
      </c>
      <c r="K10" s="80">
        <f>VLOOKUP(D10,產線配置圖!$A$3:$C$40,3,0)</f>
        <v>2250</v>
      </c>
      <c r="L10" s="81">
        <f t="shared" si="4"/>
        <v>150</v>
      </c>
      <c r="M10" s="82">
        <v>15</v>
      </c>
      <c r="N10" s="80">
        <f t="shared" si="5"/>
        <v>2211.627906976752</v>
      </c>
      <c r="O10" s="81">
        <f t="shared" si="6"/>
        <v>147.4418604651168</v>
      </c>
      <c r="P10" s="74">
        <f t="shared" si="7"/>
        <v>0</v>
      </c>
      <c r="Q10" s="83">
        <f t="shared" si="8"/>
        <v>-2.5581395348831961</v>
      </c>
      <c r="R10" s="72">
        <f t="shared" si="9"/>
        <v>0.98294573643411198</v>
      </c>
      <c r="S10" s="441"/>
      <c r="T10" s="22">
        <v>0.65277777777777801</v>
      </c>
      <c r="U10" s="22">
        <v>0.68263888888888902</v>
      </c>
      <c r="V10" s="30">
        <f t="shared" si="10"/>
        <v>8.0000000000006111</v>
      </c>
      <c r="W10" s="73">
        <f t="shared" si="0"/>
        <v>42.999999999999844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-38.372093023247999</v>
      </c>
      <c r="AG10" s="72">
        <f t="shared" si="2"/>
        <v>0.98294573643411198</v>
      </c>
      <c r="AH10" s="405"/>
    </row>
    <row r="11" spans="1:34" ht="15" customHeight="1">
      <c r="A11" s="437"/>
      <c r="B11" s="75" t="s">
        <v>81</v>
      </c>
      <c r="C11" s="88"/>
      <c r="D11" s="59" t="s">
        <v>115</v>
      </c>
      <c r="E11" s="89"/>
      <c r="F11" s="75">
        <f>VLOOKUP(D11,廠價表!$C$1:$E$43,3,0)</f>
        <v>49.14</v>
      </c>
      <c r="G11" s="90">
        <v>1533</v>
      </c>
      <c r="H11" s="78">
        <f t="shared" si="3"/>
        <v>75331.62</v>
      </c>
      <c r="I11" s="73"/>
      <c r="J11" s="65">
        <f>VLOOKUP(D11,產線配置圖!$A$3:$C$40,2,0)</f>
        <v>15</v>
      </c>
      <c r="K11" s="80">
        <f>VLOOKUP(D11,產線配置圖!$A$3:$C$40,3,0)</f>
        <v>2250</v>
      </c>
      <c r="L11" s="81">
        <f t="shared" si="4"/>
        <v>150</v>
      </c>
      <c r="M11" s="94">
        <v>15</v>
      </c>
      <c r="N11" s="80">
        <f t="shared" si="5"/>
        <v>1957.0212765957381</v>
      </c>
      <c r="O11" s="81">
        <f t="shared" si="6"/>
        <v>130.46808510638255</v>
      </c>
      <c r="P11" s="74">
        <f t="shared" si="7"/>
        <v>0</v>
      </c>
      <c r="Q11" s="83">
        <f t="shared" si="8"/>
        <v>-19.531914893617454</v>
      </c>
      <c r="R11" s="72">
        <f t="shared" si="9"/>
        <v>0.86978723404255032</v>
      </c>
      <c r="S11" s="441"/>
      <c r="T11" s="22">
        <v>0.688194444444444</v>
      </c>
      <c r="U11" s="22">
        <v>0.72083333333333299</v>
      </c>
      <c r="V11" s="30">
        <f t="shared" si="10"/>
        <v>7.9999999999991722</v>
      </c>
      <c r="W11" s="100">
        <f t="shared" si="0"/>
        <v>47.000000000000156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-292.97872340426193</v>
      </c>
      <c r="AG11" s="72">
        <f t="shared" si="2"/>
        <v>0.86978723404255021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10"/>
      <c r="U12" s="110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15</v>
      </c>
      <c r="N15" s="120">
        <f t="shared" si="11"/>
        <v>2104.197756218658</v>
      </c>
      <c r="O15" s="117">
        <f t="shared" si="11"/>
        <v>140.27985041457723</v>
      </c>
      <c r="P15" s="121">
        <f>M15-J15</f>
        <v>0</v>
      </c>
      <c r="Q15" s="122">
        <f>O15-L15</f>
        <v>-9.7201495854227744</v>
      </c>
      <c r="R15" s="123">
        <f>O15/L15</f>
        <v>0.93519900276384815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-145.80224378134199</v>
      </c>
      <c r="AG15" s="124">
        <f>N15/K15</f>
        <v>0.93519900276384804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2520</v>
      </c>
      <c r="H16" s="134">
        <f>F16*G16</f>
        <v>127688.40000000001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2129.5774647887565</v>
      </c>
      <c r="O16" s="141">
        <f>N16/M16</f>
        <v>152.11267605633975</v>
      </c>
      <c r="P16" s="142">
        <f>M16-J16</f>
        <v>0</v>
      </c>
      <c r="Q16" s="143">
        <f>O16-L16</f>
        <v>-8.6016096579459713</v>
      </c>
      <c r="R16" s="144">
        <f>O16/L16</f>
        <v>0.94647887323944724</v>
      </c>
      <c r="S16" s="425">
        <f>R26</f>
        <v>0.93705755107425759</v>
      </c>
      <c r="T16" s="145">
        <v>0.29305555555555601</v>
      </c>
      <c r="U16" s="145">
        <v>0.34236111111111101</v>
      </c>
      <c r="V16" s="135"/>
      <c r="W16" s="146">
        <f t="shared" ref="W16:W78" si="12">(U16-T16)*24*60</f>
        <v>70.99999999999919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-120.42253521124348</v>
      </c>
      <c r="AG16" s="52">
        <f>N16/K16</f>
        <v>0.94647887323944735</v>
      </c>
      <c r="AH16" s="403">
        <f>AG26</f>
        <v>0.92493122888206969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2314</v>
      </c>
      <c r="H17" s="78">
        <f>F17*G17</f>
        <v>132383.94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2072.2388059701839</v>
      </c>
      <c r="O17" s="96">
        <f>N17/M17</f>
        <v>121.89640035118728</v>
      </c>
      <c r="P17" s="97">
        <f>M17-J17</f>
        <v>0</v>
      </c>
      <c r="Q17" s="98">
        <f>O17-L17</f>
        <v>-10.456540825283298</v>
      </c>
      <c r="R17" s="99">
        <f>O17/L17</f>
        <v>0.92099502487563734</v>
      </c>
      <c r="S17" s="426"/>
      <c r="T17" s="19">
        <v>0.34930555555555598</v>
      </c>
      <c r="U17" s="19">
        <v>0.39583333333333298</v>
      </c>
      <c r="V17" s="30">
        <f>(T17-U16)*24*60</f>
        <v>10.000000000000764</v>
      </c>
      <c r="W17" s="149">
        <f t="shared" si="12"/>
        <v>66.999999999998877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-177.76119402981612</v>
      </c>
      <c r="AG17" s="72">
        <f>N17/K17</f>
        <v>0.92099502487563722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1375</v>
      </c>
      <c r="H18" s="78">
        <f>F18*G18</f>
        <v>77838.75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2062.4999999999827</v>
      </c>
      <c r="O18" s="96">
        <f>N18/M18</f>
        <v>137.49999999999883</v>
      </c>
      <c r="P18" s="97">
        <f>M18-J18</f>
        <v>0</v>
      </c>
      <c r="Q18" s="98">
        <f>O18-L18</f>
        <v>-12.500000000001165</v>
      </c>
      <c r="R18" s="99">
        <f>O18/L18</f>
        <v>0.91666666666665886</v>
      </c>
      <c r="S18" s="426"/>
      <c r="T18" s="19">
        <v>0.40277777777777801</v>
      </c>
      <c r="U18" s="19">
        <v>0.43055555555555602</v>
      </c>
      <c r="V18" s="30">
        <f>(T18-U17)*24*60</f>
        <v>10.000000000000844</v>
      </c>
      <c r="W18" s="149">
        <f t="shared" si="12"/>
        <v>40.000000000000341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-187.50000000001728</v>
      </c>
      <c r="AG18" s="72">
        <f>N18/K18</f>
        <v>0.91666666666665897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1840</v>
      </c>
      <c r="H19" s="78">
        <f t="shared" ref="H19:H21" si="13">F19*G19</f>
        <v>92717.6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14">K19/J19</f>
        <v>173.07692307692307</v>
      </c>
      <c r="M19" s="148">
        <v>13</v>
      </c>
      <c r="N19" s="95">
        <f t="shared" ref="N19:N21" si="15">G19/W19*60</f>
        <v>2007.272727272752</v>
      </c>
      <c r="O19" s="96">
        <f t="shared" ref="O19:O21" si="16">N19/M19</f>
        <v>154.4055944055963</v>
      </c>
      <c r="P19" s="97">
        <f t="shared" ref="P19:P21" si="17">M19-J19</f>
        <v>0</v>
      </c>
      <c r="Q19" s="98">
        <f t="shared" ref="Q19:Q21" si="18">O19-L19</f>
        <v>-18.671328671326762</v>
      </c>
      <c r="R19" s="99">
        <f t="shared" ref="R19:R21" si="19">O19/L19</f>
        <v>0.89212121212122319</v>
      </c>
      <c r="S19" s="426"/>
      <c r="T19" s="19">
        <v>0.4375</v>
      </c>
      <c r="U19" s="19">
        <v>0.47569444444444398</v>
      </c>
      <c r="V19" s="30">
        <f>(T19-U18)*24*60</f>
        <v>9.999999999999325</v>
      </c>
      <c r="W19" s="149">
        <f t="shared" si="12"/>
        <v>54.999999999999325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-242.72727272724796</v>
      </c>
      <c r="AG19" s="72">
        <f>N19/K19</f>
        <v>0.89212121212122308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3943</v>
      </c>
      <c r="H20" s="78">
        <f t="shared" si="13"/>
        <v>198687.77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4"/>
        <v>173.07692307692307</v>
      </c>
      <c r="M20" s="148">
        <v>13</v>
      </c>
      <c r="N20" s="95">
        <f t="shared" si="15"/>
        <v>2150.7272727272712</v>
      </c>
      <c r="O20" s="96">
        <f t="shared" si="16"/>
        <v>165.44055944055933</v>
      </c>
      <c r="P20" s="97">
        <f t="shared" si="17"/>
        <v>0</v>
      </c>
      <c r="Q20" s="98">
        <f t="shared" si="18"/>
        <v>-7.6363636363637397</v>
      </c>
      <c r="R20" s="99">
        <f t="shared" si="19"/>
        <v>0.95587878787878733</v>
      </c>
      <c r="S20" s="426"/>
      <c r="T20" s="19">
        <v>0.55208333333333304</v>
      </c>
      <c r="U20" s="19">
        <v>0.62847222222222199</v>
      </c>
      <c r="V20" s="30">
        <f>(T20-U19)*24*60</f>
        <v>110.00000000000026</v>
      </c>
      <c r="W20" s="149">
        <f t="shared" si="12"/>
        <v>110.00000000000009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v>1617</v>
      </c>
      <c r="H21" s="78">
        <f t="shared" si="13"/>
        <v>81933.39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14"/>
        <v>160.71428571428572</v>
      </c>
      <c r="M21" s="148">
        <v>13</v>
      </c>
      <c r="N21" s="95">
        <f t="shared" si="15"/>
        <v>2064.2553191489924</v>
      </c>
      <c r="O21" s="96">
        <f t="shared" si="16"/>
        <v>158.78887070376865</v>
      </c>
      <c r="P21" s="97">
        <f t="shared" si="17"/>
        <v>-1</v>
      </c>
      <c r="Q21" s="98">
        <f t="shared" si="18"/>
        <v>-1.9254150105170709</v>
      </c>
      <c r="R21" s="99">
        <f t="shared" si="19"/>
        <v>0.98801963993456043</v>
      </c>
      <c r="S21" s="426"/>
      <c r="T21" s="19">
        <v>0.63680555555555596</v>
      </c>
      <c r="U21" s="19">
        <v>0.66944444444444395</v>
      </c>
      <c r="V21" s="30">
        <f>(T21-U20)*24*60</f>
        <v>12.000000000000917</v>
      </c>
      <c r="W21" s="149">
        <f t="shared" si="12"/>
        <v>46.999999999998714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9"/>
      <c r="U22" s="19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12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20">AVERAGE(J16:J25)</f>
        <v>14.333333333333334</v>
      </c>
      <c r="K26" s="155">
        <f t="shared" si="20"/>
        <v>2250</v>
      </c>
      <c r="L26" s="158">
        <f t="shared" si="20"/>
        <v>158.32255979314803</v>
      </c>
      <c r="M26" s="155">
        <f t="shared" si="20"/>
        <v>14.166666666666666</v>
      </c>
      <c r="N26" s="155">
        <f t="shared" si="20"/>
        <v>2081.0952649846568</v>
      </c>
      <c r="O26" s="158">
        <f t="shared" si="20"/>
        <v>148.35735015957502</v>
      </c>
      <c r="P26" s="159">
        <f>M26-J26</f>
        <v>-0.16666666666666785</v>
      </c>
      <c r="Q26" s="160">
        <f>O26-L26</f>
        <v>-9.9652096335730107</v>
      </c>
      <c r="R26" s="161">
        <f>O26/L26</f>
        <v>0.93705755107425759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21">N26-K26</f>
        <v>-168.90473501534325</v>
      </c>
      <c r="AG26" s="124">
        <f t="shared" ref="AG26:AG31" si="22">N26/K26</f>
        <v>0.92493122888206969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57.21</v>
      </c>
      <c r="G27" s="169">
        <v>982</v>
      </c>
      <c r="H27" s="134">
        <f>F27*G27</f>
        <v>56180.22</v>
      </c>
      <c r="I27" s="135"/>
      <c r="J27" s="136">
        <f>VLOOKUP(D27,產線配置圖!$A$3:$C$40,2,0)</f>
        <v>18</v>
      </c>
      <c r="K27" s="137">
        <f>VLOOKUP(D27,產線配置圖!$A$3:$C$40,3,0)</f>
        <v>1565</v>
      </c>
      <c r="L27" s="138">
        <f>K27/J27</f>
        <v>86.944444444444443</v>
      </c>
      <c r="M27" s="170">
        <v>18</v>
      </c>
      <c r="N27" s="140">
        <f>G27/W27*60</f>
        <v>1178.400000000008</v>
      </c>
      <c r="O27" s="141">
        <f>N27/M27</f>
        <v>65.466666666667109</v>
      </c>
      <c r="P27" s="142">
        <f>M27-J27</f>
        <v>0</v>
      </c>
      <c r="Q27" s="143">
        <f>O27-L27</f>
        <v>-21.477777777777334</v>
      </c>
      <c r="R27" s="144">
        <f>O27/L27</f>
        <v>0.75297124600639487</v>
      </c>
      <c r="S27" s="425">
        <f>R37</f>
        <v>0.81708970947089232</v>
      </c>
      <c r="T27" s="171">
        <v>0.29166666666666702</v>
      </c>
      <c r="U27" s="171">
        <v>0.32638888888888901</v>
      </c>
      <c r="V27" s="135"/>
      <c r="W27" s="146">
        <f t="shared" si="12"/>
        <v>49.999999999999659</v>
      </c>
      <c r="X27" s="135"/>
      <c r="Y27" s="300" t="s">
        <v>46</v>
      </c>
      <c r="Z27" s="169">
        <v>1</v>
      </c>
      <c r="AA27" s="169">
        <v>10</v>
      </c>
      <c r="AB27" s="429" t="s">
        <v>159</v>
      </c>
      <c r="AC27" s="429"/>
      <c r="AD27" s="135"/>
      <c r="AE27" s="135"/>
      <c r="AF27" s="310">
        <f t="shared" si="21"/>
        <v>-386.59999999999195</v>
      </c>
      <c r="AG27" s="172">
        <f t="shared" si="22"/>
        <v>0.75297124600639487</v>
      </c>
      <c r="AH27" s="403">
        <f>AG37</f>
        <v>0.80818023679346029</v>
      </c>
    </row>
    <row r="28" spans="1:34" ht="15" customHeight="1">
      <c r="A28" s="457"/>
      <c r="B28" s="75" t="s">
        <v>81</v>
      </c>
      <c r="C28" s="173"/>
      <c r="D28" s="59" t="s">
        <v>123</v>
      </c>
      <c r="E28" s="104"/>
      <c r="F28" s="75">
        <f>VLOOKUP(D28,廠價表!$C$1:$E$43,3,0)</f>
        <v>50.67</v>
      </c>
      <c r="G28" s="90">
        <v>1771</v>
      </c>
      <c r="H28" s="91">
        <f>F28*G28</f>
        <v>89736.57</v>
      </c>
      <c r="I28" s="92"/>
      <c r="J28" s="79">
        <f>VLOOKUP(D28,產線配置圖!$A$3:$C$40,2,0)</f>
        <v>13</v>
      </c>
      <c r="K28" s="80">
        <f>VLOOKUP(D28,產線配置圖!$A$3:$C$40,3,0)</f>
        <v>1440</v>
      </c>
      <c r="L28" s="93">
        <f>K28/J28</f>
        <v>110.76923076923077</v>
      </c>
      <c r="M28" s="94">
        <v>13</v>
      </c>
      <c r="N28" s="95">
        <f>G28/W28*60</f>
        <v>1362.3076923076831</v>
      </c>
      <c r="O28" s="96">
        <f>N28/M28</f>
        <v>104.79289940828332</v>
      </c>
      <c r="P28" s="97">
        <f>M28-J28</f>
        <v>0</v>
      </c>
      <c r="Q28" s="98">
        <f>O28-L28</f>
        <v>-5.9763313609474551</v>
      </c>
      <c r="R28" s="99">
        <f>O28/L28</f>
        <v>0.94604700854700219</v>
      </c>
      <c r="S28" s="426"/>
      <c r="T28" s="19">
        <v>0.33124999999999999</v>
      </c>
      <c r="U28" s="19">
        <v>0.38541666666666702</v>
      </c>
      <c r="V28" s="92">
        <f>(T28-U27)*24*60</f>
        <v>6.9999999999998153</v>
      </c>
      <c r="W28" s="149">
        <f t="shared" si="12"/>
        <v>78.000000000000526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21"/>
        <v>-77.692307692316945</v>
      </c>
      <c r="AG28" s="99">
        <f t="shared" si="22"/>
        <v>0.94604700854700208</v>
      </c>
      <c r="AH28" s="445"/>
    </row>
    <row r="29" spans="1:34" ht="15" customHeight="1">
      <c r="A29" s="457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2141</v>
      </c>
      <c r="H29" s="91">
        <f>F29*G29</f>
        <v>122486.61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18</v>
      </c>
      <c r="N29" s="95">
        <f>G29/W29*60</f>
        <v>1284.6000000000088</v>
      </c>
      <c r="O29" s="96">
        <f>N29/M29</f>
        <v>71.366666666667157</v>
      </c>
      <c r="P29" s="97">
        <f>M29-J29</f>
        <v>0</v>
      </c>
      <c r="Q29" s="98">
        <f>O29-L29</f>
        <v>-19.522222222221728</v>
      </c>
      <c r="R29" s="99">
        <f>O29/L29</f>
        <v>0.78520782396088562</v>
      </c>
      <c r="S29" s="426"/>
      <c r="T29" s="19">
        <v>0.390277777777778</v>
      </c>
      <c r="U29" s="19">
        <v>0.45972222222222198</v>
      </c>
      <c r="V29" s="92">
        <f>(T29-U28)*24*60</f>
        <v>6.9999999999998153</v>
      </c>
      <c r="W29" s="149">
        <f t="shared" si="12"/>
        <v>99.999999999999318</v>
      </c>
      <c r="X29" s="22"/>
      <c r="Y29" s="84"/>
      <c r="Z29" s="90">
        <v>1</v>
      </c>
      <c r="AA29" s="90">
        <v>5</v>
      </c>
      <c r="AB29" s="434" t="s">
        <v>160</v>
      </c>
      <c r="AC29" s="407"/>
      <c r="AD29" s="92"/>
      <c r="AE29" s="92"/>
      <c r="AF29" s="312">
        <f t="shared" si="21"/>
        <v>-351.39999999999122</v>
      </c>
      <c r="AG29" s="99">
        <f t="shared" si="22"/>
        <v>0.78520782396088551</v>
      </c>
      <c r="AH29" s="445"/>
    </row>
    <row r="30" spans="1:34" ht="15" customHeight="1">
      <c r="A30" s="457"/>
      <c r="B30" s="75" t="s">
        <v>81</v>
      </c>
      <c r="C30" s="88"/>
      <c r="D30" s="59" t="s">
        <v>113</v>
      </c>
      <c r="E30" s="89"/>
      <c r="F30" s="75">
        <f>VLOOKUP(D30,廠價表!$C$1:$E$43,3,0)</f>
        <v>56.87</v>
      </c>
      <c r="G30" s="90">
        <v>979</v>
      </c>
      <c r="H30" s="91">
        <f t="shared" ref="H30:H31" si="23">F30*G30</f>
        <v>55675.729999999996</v>
      </c>
      <c r="I30" s="92"/>
      <c r="J30" s="79">
        <v>17</v>
      </c>
      <c r="K30" s="80">
        <v>1716</v>
      </c>
      <c r="L30" s="93">
        <f t="shared" ref="L30:L31" si="24">K30/J30</f>
        <v>100.94117647058823</v>
      </c>
      <c r="M30" s="94">
        <v>17</v>
      </c>
      <c r="N30" s="95">
        <f t="shared" ref="N30:N31" si="25">G30/W30*60</f>
        <v>1398.5714285714123</v>
      </c>
      <c r="O30" s="96">
        <f t="shared" ref="O30:O31" si="26">N30/M30</f>
        <v>82.268907563024257</v>
      </c>
      <c r="P30" s="97">
        <f t="shared" ref="P30:P31" si="27">M30-J30</f>
        <v>0</v>
      </c>
      <c r="Q30" s="98">
        <f t="shared" ref="Q30:Q31" si="28">O30-L30</f>
        <v>-18.672268907563975</v>
      </c>
      <c r="R30" s="99">
        <f t="shared" ref="R30:R31" si="29">O30/L30</f>
        <v>0.81501831501830557</v>
      </c>
      <c r="S30" s="426"/>
      <c r="T30" s="19">
        <v>0.52222222222222203</v>
      </c>
      <c r="U30" s="19">
        <v>0.55138888888888904</v>
      </c>
      <c r="V30" s="92">
        <f>(T30-U29)*24*60</f>
        <v>90.000000000000085</v>
      </c>
      <c r="W30" s="149">
        <f t="shared" si="12"/>
        <v>42.00000000000049</v>
      </c>
      <c r="X30" s="174"/>
      <c r="Y30" s="301"/>
      <c r="Z30" s="335"/>
      <c r="AA30" s="335"/>
      <c r="AB30" s="407" t="s">
        <v>140</v>
      </c>
      <c r="AC30" s="407"/>
      <c r="AD30" s="92"/>
      <c r="AE30" s="92"/>
      <c r="AF30" s="312">
        <f t="shared" si="21"/>
        <v>-317.4285714285877</v>
      </c>
      <c r="AG30" s="99">
        <f t="shared" si="22"/>
        <v>0.81501831501830557</v>
      </c>
      <c r="AH30" s="446"/>
    </row>
    <row r="31" spans="1:34" ht="15" customHeight="1">
      <c r="A31" s="457"/>
      <c r="B31" s="75" t="s">
        <v>81</v>
      </c>
      <c r="C31" s="88"/>
      <c r="D31" s="59" t="s">
        <v>124</v>
      </c>
      <c r="E31" s="89"/>
      <c r="F31" s="75">
        <f>VLOOKUP(D31,廠價表!$C$1:$E$43,3,0)</f>
        <v>57.21</v>
      </c>
      <c r="G31" s="90">
        <v>2616</v>
      </c>
      <c r="H31" s="91">
        <f t="shared" si="23"/>
        <v>149661.36000000002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24"/>
        <v>90.888888888888886</v>
      </c>
      <c r="M31" s="94">
        <v>18</v>
      </c>
      <c r="N31" s="95">
        <f t="shared" si="25"/>
        <v>1235.9055118110157</v>
      </c>
      <c r="O31" s="96">
        <f t="shared" si="26"/>
        <v>68.661417322834211</v>
      </c>
      <c r="P31" s="97">
        <f t="shared" si="27"/>
        <v>0</v>
      </c>
      <c r="Q31" s="98">
        <f t="shared" si="28"/>
        <v>-22.227471566054675</v>
      </c>
      <c r="R31" s="99">
        <f t="shared" si="29"/>
        <v>0.75544346687714903</v>
      </c>
      <c r="S31" s="426"/>
      <c r="T31" s="19">
        <v>0.55833333333333302</v>
      </c>
      <c r="U31" s="19">
        <v>0.64652777777777803</v>
      </c>
      <c r="V31" s="92">
        <f>(T31-U30)*24*60</f>
        <v>9.999999999999325</v>
      </c>
      <c r="W31" s="149">
        <f t="shared" si="12"/>
        <v>127.00000000000082</v>
      </c>
      <c r="X31" s="174"/>
      <c r="Y31" s="301"/>
      <c r="Z31" s="335">
        <v>1</v>
      </c>
      <c r="AA31" s="335">
        <v>8</v>
      </c>
      <c r="AB31" s="407" t="s">
        <v>161</v>
      </c>
      <c r="AC31" s="407"/>
      <c r="AD31" s="92"/>
      <c r="AE31" s="92"/>
      <c r="AF31" s="312">
        <f t="shared" si="21"/>
        <v>-400.09448818898431</v>
      </c>
      <c r="AG31" s="99">
        <f t="shared" si="22"/>
        <v>0.75544346687714892</v>
      </c>
      <c r="AH31" s="405"/>
    </row>
    <row r="32" spans="1:34" ht="15" customHeight="1">
      <c r="A32" s="457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9"/>
      <c r="U34" s="19"/>
      <c r="V34" s="92"/>
      <c r="W34" s="149">
        <f t="shared" si="12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30">AVERAGE(J27:J36)</f>
        <v>16.8</v>
      </c>
      <c r="K37" s="155">
        <f t="shared" si="30"/>
        <v>1598.6</v>
      </c>
      <c r="L37" s="158">
        <f t="shared" si="30"/>
        <v>96.086525892408233</v>
      </c>
      <c r="M37" s="155">
        <f t="shared" si="30"/>
        <v>16.8</v>
      </c>
      <c r="N37" s="155">
        <f t="shared" si="30"/>
        <v>1291.9569265380255</v>
      </c>
      <c r="O37" s="158">
        <f t="shared" si="30"/>
        <v>78.511311525495216</v>
      </c>
      <c r="P37" s="159">
        <f>M37-J37</f>
        <v>0</v>
      </c>
      <c r="Q37" s="160">
        <f>N37-K37</f>
        <v>-306.64307346197438</v>
      </c>
      <c r="R37" s="161">
        <f>O37/L37</f>
        <v>0.81708970947089232</v>
      </c>
      <c r="S37" s="427"/>
      <c r="T37" s="163"/>
      <c r="U37" s="163"/>
      <c r="V37" s="164"/>
      <c r="W37" s="164"/>
      <c r="X37" s="321"/>
      <c r="Y37" s="322"/>
      <c r="Z37" s="334">
        <f>SUM(Z27:Z36)</f>
        <v>3</v>
      </c>
      <c r="AA37" s="334">
        <f>SUM(AA27:AA36)</f>
        <v>23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-306.64307346197438</v>
      </c>
      <c r="AG37" s="124">
        <f>N37/K37</f>
        <v>0.80818023679346029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2729</v>
      </c>
      <c r="H38" s="134">
        <f>F38*G38</f>
        <v>136204.38999999998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1559.4285714285638</v>
      </c>
      <c r="O38" s="141">
        <f>N38/M38</f>
        <v>103.96190476190425</v>
      </c>
      <c r="P38" s="142">
        <f>M38-J38</f>
        <v>0</v>
      </c>
      <c r="Q38" s="143">
        <f>O38-L38</f>
        <v>-10.304761904762415</v>
      </c>
      <c r="R38" s="144">
        <f>O38/L38</f>
        <v>0.90981830305050393</v>
      </c>
      <c r="S38" s="453">
        <f>R48</f>
        <v>0.89777502621452521</v>
      </c>
      <c r="T38" s="191">
        <v>0.33333333333333298</v>
      </c>
      <c r="U38" s="191">
        <v>0.40625</v>
      </c>
      <c r="V38" s="192"/>
      <c r="W38" s="193">
        <f t="shared" si="12"/>
        <v>105.00000000000051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-154.57142857143617</v>
      </c>
      <c r="AG38" s="195">
        <f>N38/K38</f>
        <v>0.90981830305050393</v>
      </c>
      <c r="AH38" s="459">
        <f>AG48</f>
        <v>0.89530028429282948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1831</v>
      </c>
      <c r="H39" s="91">
        <f>F39*G39</f>
        <v>81113.299999999988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1373.2500000000146</v>
      </c>
      <c r="O39" s="203">
        <f>N39/M39</f>
        <v>80.779411764706737</v>
      </c>
      <c r="P39" s="97">
        <f>M39-J39</f>
        <v>0</v>
      </c>
      <c r="Q39" s="98">
        <f>O39-L39</f>
        <v>-15.455882352940321</v>
      </c>
      <c r="R39" s="99">
        <f>O39/L39</f>
        <v>0.83939486552568121</v>
      </c>
      <c r="S39" s="454"/>
      <c r="T39" s="20">
        <v>0.41666666666666702</v>
      </c>
      <c r="U39" s="20">
        <v>0.47222222222222199</v>
      </c>
      <c r="V39" s="92">
        <f>(T39-U38)*24*60</f>
        <v>15.000000000000506</v>
      </c>
      <c r="W39" s="205">
        <f t="shared" si="12"/>
        <v>79.999999999999162</v>
      </c>
      <c r="X39" s="22"/>
      <c r="Y39" s="84"/>
      <c r="Z39" s="90"/>
      <c r="AA39" s="90"/>
      <c r="AB39" s="462"/>
      <c r="AC39" s="462"/>
      <c r="AD39" s="200"/>
      <c r="AE39" s="200"/>
      <c r="AF39" s="314">
        <f>N39-K39</f>
        <v>-262.74999999998545</v>
      </c>
      <c r="AG39" s="206">
        <f>N39/K39</f>
        <v>0.83939486552568132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4270</v>
      </c>
      <c r="H40" s="91">
        <f>F40*G40</f>
        <v>189161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1423.3333333333333</v>
      </c>
      <c r="O40" s="203">
        <f>N40/M40</f>
        <v>83.725490196078425</v>
      </c>
      <c r="P40" s="97">
        <f>M40-J40</f>
        <v>0</v>
      </c>
      <c r="Q40" s="98">
        <f>O40-L40</f>
        <v>-12.509803921568633</v>
      </c>
      <c r="R40" s="99">
        <f>O40/L40</f>
        <v>0.87000814995925013</v>
      </c>
      <c r="S40" s="440"/>
      <c r="T40" s="20">
        <v>0.53472222222222199</v>
      </c>
      <c r="U40" s="20">
        <v>0.65972222222222199</v>
      </c>
      <c r="V40" s="92">
        <f>(T40-U39)*24*60</f>
        <v>90</v>
      </c>
      <c r="W40" s="205">
        <f t="shared" si="12"/>
        <v>180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-212.66666666666674</v>
      </c>
      <c r="AG40" s="206">
        <f>N40/K40</f>
        <v>0.87000814995925013</v>
      </c>
      <c r="AH40" s="460"/>
    </row>
    <row r="41" spans="1:34" ht="15" customHeight="1">
      <c r="A41" s="451"/>
      <c r="B41" s="75" t="s">
        <v>128</v>
      </c>
      <c r="C41" s="207"/>
      <c r="D41" s="198" t="s">
        <v>129</v>
      </c>
      <c r="E41" s="178"/>
      <c r="F41" s="75">
        <f>VLOOKUP(D41,廠價表!$C$1:$E$43,3,0)</f>
        <v>49.91</v>
      </c>
      <c r="G41" s="199">
        <v>1095</v>
      </c>
      <c r="H41" s="91">
        <f>F41*G41</f>
        <v>54651.45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15</v>
      </c>
      <c r="N41" s="202">
        <f>G41/W41*60</f>
        <v>1642.5000000000452</v>
      </c>
      <c r="O41" s="203">
        <f>N41/M41</f>
        <v>109.50000000000301</v>
      </c>
      <c r="P41" s="97">
        <f>M41-J41</f>
        <v>0</v>
      </c>
      <c r="Q41" s="98">
        <f>O41-L41</f>
        <v>-4.766666666663653</v>
      </c>
      <c r="R41" s="99">
        <f>O41/L41</f>
        <v>0.95828471411904625</v>
      </c>
      <c r="S41" s="440"/>
      <c r="T41" s="20">
        <v>0.66666666666666696</v>
      </c>
      <c r="U41" s="210">
        <v>0.69444444444444398</v>
      </c>
      <c r="V41" s="92">
        <f>(T41-U40)*24*60</f>
        <v>10.000000000000764</v>
      </c>
      <c r="W41" s="205">
        <f t="shared" si="12"/>
        <v>39.999999999998899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-71.499999999954753</v>
      </c>
      <c r="AG41" s="206">
        <f>N41/K41</f>
        <v>0.95828471411904625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31">AVERAGE(J38:J47)</f>
        <v>16</v>
      </c>
      <c r="K48" s="155">
        <f t="shared" si="31"/>
        <v>1675</v>
      </c>
      <c r="L48" s="158">
        <f t="shared" si="31"/>
        <v>105.25098039215686</v>
      </c>
      <c r="M48" s="155">
        <f t="shared" si="31"/>
        <v>16</v>
      </c>
      <c r="N48" s="155">
        <f t="shared" si="31"/>
        <v>1499.6279761904893</v>
      </c>
      <c r="O48" s="158">
        <f t="shared" si="31"/>
        <v>94.491701680673103</v>
      </c>
      <c r="P48" s="221">
        <f>M48-J48</f>
        <v>0</v>
      </c>
      <c r="Q48" s="222">
        <f>N48-K48</f>
        <v>-175.37202380951067</v>
      </c>
      <c r="R48" s="223">
        <f>O48/L48</f>
        <v>0.89777502621452521</v>
      </c>
      <c r="S48" s="443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32">N48-K48</f>
        <v>-175.37202380951067</v>
      </c>
      <c r="AG48" s="162">
        <f t="shared" ref="AG48:AG53" si="33">N48/K48</f>
        <v>0.89530028429282948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2559</v>
      </c>
      <c r="H49" s="134">
        <f>F49*G49</f>
        <v>126721.68000000001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16</v>
      </c>
      <c r="N49" s="140">
        <f>G49/W49*60</f>
        <v>1490.6796116504804</v>
      </c>
      <c r="O49" s="141">
        <f>N49/M49</f>
        <v>93.167475728155026</v>
      </c>
      <c r="P49" s="229">
        <f>M49-J49</f>
        <v>-1</v>
      </c>
      <c r="Q49" s="230">
        <f>O49-L49</f>
        <v>-12.714877213021438</v>
      </c>
      <c r="R49" s="52">
        <f>O49/L49</f>
        <v>0.87991504854368641</v>
      </c>
      <c r="S49" s="439">
        <f>R58</f>
        <v>0.92291821809007757</v>
      </c>
      <c r="T49" s="191">
        <v>0.28888888888888897</v>
      </c>
      <c r="U49" s="191">
        <v>0.360416666666667</v>
      </c>
      <c r="V49" s="55"/>
      <c r="W49" s="193">
        <f t="shared" si="12"/>
        <v>103.00000000000036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32"/>
        <v>-309.32038834951959</v>
      </c>
      <c r="AG49" s="52">
        <f t="shared" si="33"/>
        <v>0.82815533980582245</v>
      </c>
      <c r="AH49" s="403">
        <f>AG58</f>
        <v>0.91255144765250074</v>
      </c>
    </row>
    <row r="50" spans="1:34" ht="15" customHeight="1">
      <c r="A50" s="469"/>
      <c r="B50" s="75" t="s">
        <v>81</v>
      </c>
      <c r="C50" s="76"/>
      <c r="D50" s="59" t="s">
        <v>132</v>
      </c>
      <c r="E50" s="77"/>
      <c r="F50" s="75">
        <f>VLOOKUP(D50,廠價表!$C$1:$E$43,3,0)</f>
        <v>49.97</v>
      </c>
      <c r="G50" s="202">
        <v>2685</v>
      </c>
      <c r="H50" s="231">
        <f>F50*G50</f>
        <v>134169.44999999998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1643.8775510204209</v>
      </c>
      <c r="O50" s="235">
        <f>N50/M50</f>
        <v>102.74234693877631</v>
      </c>
      <c r="P50" s="74">
        <f>M50-J50</f>
        <v>0</v>
      </c>
      <c r="Q50" s="83">
        <f>O50-L50</f>
        <v>-9.7576530612236922</v>
      </c>
      <c r="R50" s="72">
        <f>O50/L50</f>
        <v>0.91326530612245604</v>
      </c>
      <c r="S50" s="440"/>
      <c r="T50" s="21">
        <v>0.36527777777777798</v>
      </c>
      <c r="U50" s="21">
        <v>0.43333333333333302</v>
      </c>
      <c r="V50" s="30">
        <f>(T50-U49)*24*60</f>
        <v>6.9999999999998153</v>
      </c>
      <c r="W50" s="236">
        <f t="shared" si="12"/>
        <v>97.999999999999247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32"/>
        <v>-156.12244897957908</v>
      </c>
      <c r="AG50" s="72">
        <f t="shared" si="33"/>
        <v>0.91326530612245604</v>
      </c>
      <c r="AH50" s="404"/>
    </row>
    <row r="51" spans="1:34" ht="15" customHeight="1">
      <c r="A51" s="469"/>
      <c r="B51" s="75" t="s">
        <v>81</v>
      </c>
      <c r="C51" s="76"/>
      <c r="D51" s="59" t="s">
        <v>133</v>
      </c>
      <c r="E51" s="77"/>
      <c r="F51" s="75">
        <f>VLOOKUP(D51,廠價表!$C$1:$E$43,3,0)</f>
        <v>50.289000000000001</v>
      </c>
      <c r="G51" s="202">
        <v>778</v>
      </c>
      <c r="H51" s="231">
        <f>F51*G51</f>
        <v>39124.842000000004</v>
      </c>
      <c r="I51" s="232"/>
      <c r="J51" s="79">
        <f>VLOOKUP(D51,產線配置圖!$A$3:$C$40,2,0)</f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1505.8064516128891</v>
      </c>
      <c r="O51" s="235">
        <f>N51/M51</f>
        <v>83.655913978493842</v>
      </c>
      <c r="P51" s="74">
        <f>M51-J51</f>
        <v>0</v>
      </c>
      <c r="Q51" s="83">
        <f>O51-L51</f>
        <v>-3.2885304659506005</v>
      </c>
      <c r="R51" s="72">
        <f>O51/L51</f>
        <v>0.96217664639801226</v>
      </c>
      <c r="S51" s="440"/>
      <c r="T51" s="21">
        <v>0.438194444444444</v>
      </c>
      <c r="U51" s="19">
        <v>0.45972222222222198</v>
      </c>
      <c r="V51" s="30">
        <f>(T51-U50)*24*60</f>
        <v>6.9999999999998153</v>
      </c>
      <c r="W51" s="236">
        <f t="shared" si="12"/>
        <v>31.000000000000291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32"/>
        <v>-59.193548387110923</v>
      </c>
      <c r="AG51" s="72">
        <f t="shared" si="33"/>
        <v>0.96217664639801215</v>
      </c>
      <c r="AH51" s="404"/>
    </row>
    <row r="52" spans="1:34" ht="15" customHeight="1">
      <c r="A52" s="469"/>
      <c r="B52" s="75" t="s">
        <v>81</v>
      </c>
      <c r="C52" s="86"/>
      <c r="D52" s="59" t="s">
        <v>133</v>
      </c>
      <c r="E52" s="87"/>
      <c r="F52" s="75">
        <f>VLOOKUP(D52,廠價表!$C$1:$E$43,3,0)</f>
        <v>50.289000000000001</v>
      </c>
      <c r="G52" s="202">
        <v>2982</v>
      </c>
      <c r="H52" s="231">
        <f t="shared" ref="H52:H53" si="34">F52*G52</f>
        <v>149961.79800000001</v>
      </c>
      <c r="I52" s="232"/>
      <c r="J52" s="79">
        <f>VLOOKUP(D52,產線配置圖!$A$3:$C$40,2,0)</f>
        <v>18</v>
      </c>
      <c r="K52" s="80">
        <f>VLOOKUP(D52,產線配置圖!$A$3:$C$40,3,0)</f>
        <v>1565</v>
      </c>
      <c r="L52" s="81">
        <f t="shared" ref="L52:L53" si="35">K52/J52</f>
        <v>86.944444444444443</v>
      </c>
      <c r="M52" s="233">
        <v>18</v>
      </c>
      <c r="N52" s="234">
        <f t="shared" ref="N52:N53" si="36">G52/W52*60</f>
        <v>1466.5573770491835</v>
      </c>
      <c r="O52" s="235">
        <f t="shared" ref="O52:O53" si="37">N52/M52</f>
        <v>81.475409836065751</v>
      </c>
      <c r="P52" s="74">
        <f t="shared" ref="P52:P53" si="38">M52-J52</f>
        <v>0</v>
      </c>
      <c r="Q52" s="83">
        <f t="shared" ref="Q52:Q53" si="39">O52-L52</f>
        <v>-5.469034608378692</v>
      </c>
      <c r="R52" s="72">
        <f t="shared" ref="R52:R53" si="40">O52/L52</f>
        <v>0.93709736552663481</v>
      </c>
      <c r="S52" s="440"/>
      <c r="T52" s="21">
        <v>0.51041666666666696</v>
      </c>
      <c r="U52" s="21">
        <v>0.59513888888888899</v>
      </c>
      <c r="V52" s="30">
        <f>(T52-U51)*24*60</f>
        <v>73.000000000000782</v>
      </c>
      <c r="W52" s="236">
        <f t="shared" si="12"/>
        <v>121.99999999999973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32"/>
        <v>-98.442622950816485</v>
      </c>
      <c r="AG52" s="72">
        <f t="shared" si="33"/>
        <v>0.93709736552663481</v>
      </c>
      <c r="AH52" s="404"/>
    </row>
    <row r="53" spans="1:34" ht="15" customHeight="1">
      <c r="A53" s="469"/>
      <c r="B53" s="101" t="s">
        <v>81</v>
      </c>
      <c r="C53" s="102"/>
      <c r="D53" s="103" t="s">
        <v>132</v>
      </c>
      <c r="E53" s="104"/>
      <c r="F53" s="75">
        <f>VLOOKUP(D53,廠價表!$C$1:$E$43,3,0)</f>
        <v>49.97</v>
      </c>
      <c r="G53" s="202">
        <v>3522</v>
      </c>
      <c r="H53" s="231">
        <f t="shared" si="34"/>
        <v>175994.34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35"/>
        <v>112.5</v>
      </c>
      <c r="M53" s="108">
        <v>16</v>
      </c>
      <c r="N53" s="234">
        <f t="shared" si="36"/>
        <v>1677.1428571428567</v>
      </c>
      <c r="O53" s="235">
        <f t="shared" si="37"/>
        <v>104.82142857142854</v>
      </c>
      <c r="P53" s="74">
        <f t="shared" si="38"/>
        <v>0</v>
      </c>
      <c r="Q53" s="83">
        <f t="shared" si="39"/>
        <v>-7.678571428571459</v>
      </c>
      <c r="R53" s="72">
        <f t="shared" si="40"/>
        <v>0.93174603174603143</v>
      </c>
      <c r="S53" s="440"/>
      <c r="T53" s="21">
        <v>0.6</v>
      </c>
      <c r="U53" s="21">
        <v>0.6875</v>
      </c>
      <c r="V53" s="30">
        <f>(T53-U52)*24*60</f>
        <v>6.9999999999998153</v>
      </c>
      <c r="W53" s="236">
        <f t="shared" si="12"/>
        <v>126.00000000000003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32"/>
        <v>-122.85714285714334</v>
      </c>
      <c r="AG53" s="72">
        <f t="shared" si="33"/>
        <v>0.93174603174603143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41">AVERAGE(J49:J57)</f>
        <v>17</v>
      </c>
      <c r="K58" s="120">
        <f t="shared" si="41"/>
        <v>1706</v>
      </c>
      <c r="L58" s="117">
        <f t="shared" si="41"/>
        <v>100.95424836601308</v>
      </c>
      <c r="M58" s="120">
        <f t="shared" si="41"/>
        <v>16.8</v>
      </c>
      <c r="N58" s="120">
        <f t="shared" si="41"/>
        <v>1556.8127696951663</v>
      </c>
      <c r="O58" s="117">
        <f t="shared" si="41"/>
        <v>93.172515010583908</v>
      </c>
      <c r="P58" s="121">
        <f>M58-J58</f>
        <v>-0.19999999999999929</v>
      </c>
      <c r="Q58" s="122">
        <f>N58-K58</f>
        <v>-149.18723030483375</v>
      </c>
      <c r="R58" s="123">
        <f>O58/L58</f>
        <v>0.92291821809007757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-149.18723030483375</v>
      </c>
      <c r="AG58" s="124">
        <f>N58/K58</f>
        <v>0.91255144765250074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3078</v>
      </c>
      <c r="H59" s="243">
        <f>F59*G59</f>
        <v>83075.22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1477.4400000000101</v>
      </c>
      <c r="O59" s="138">
        <f>N59/M59</f>
        <v>98.496000000000677</v>
      </c>
      <c r="P59" s="56">
        <f>M59-J59</f>
        <v>0</v>
      </c>
      <c r="Q59" s="230">
        <f>O59-L59</f>
        <v>-5.8373333333326514</v>
      </c>
      <c r="R59" s="52">
        <f>O59/L59</f>
        <v>0.94405111821086918</v>
      </c>
      <c r="S59" s="439">
        <f>R69</f>
        <v>0.88122146093192821</v>
      </c>
      <c r="T59" s="245">
        <v>0.29166666666666702</v>
      </c>
      <c r="U59" s="245">
        <v>0.37847222222222199</v>
      </c>
      <c r="V59" s="55"/>
      <c r="W59" s="54">
        <f t="shared" si="12"/>
        <v>124.99999999999916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-87.559999999989941</v>
      </c>
      <c r="AG59" s="246">
        <f>N59/K59</f>
        <v>0.94405111821086907</v>
      </c>
      <c r="AH59" s="403">
        <f>AG69</f>
        <v>0.88241976091450791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2164</v>
      </c>
      <c r="H60" s="78">
        <f>F60*G60</f>
        <v>61154.640000000007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1527.529411764727</v>
      </c>
      <c r="O60" s="81">
        <f>N60/M60</f>
        <v>127.29411764706059</v>
      </c>
      <c r="P60" s="74">
        <f>M60-J60</f>
        <v>0</v>
      </c>
      <c r="Q60" s="83">
        <f>O60-L60</f>
        <v>-3.122549019606069</v>
      </c>
      <c r="R60" s="72">
        <f>O60/L60</f>
        <v>0.97605713211803657</v>
      </c>
      <c r="S60" s="467"/>
      <c r="T60" s="22">
        <v>0.38541666666666702</v>
      </c>
      <c r="U60" s="22">
        <v>0.44444444444444398</v>
      </c>
      <c r="V60" s="30">
        <f>(T60-U59)*24*60</f>
        <v>10.000000000000844</v>
      </c>
      <c r="W60" s="248">
        <f t="shared" si="12"/>
        <v>84.99999999999882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-37.470588235272999</v>
      </c>
      <c r="AG60" s="249">
        <f>N60/K60</f>
        <v>0.97605713211803646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1582</v>
      </c>
      <c r="H61" s="254">
        <f>F61*G61</f>
        <v>44707.32</v>
      </c>
      <c r="I61" s="182"/>
      <c r="J61" s="106">
        <f>VLOOKUP(D61,產線配置圖!$A$3:$C$40,2,0)</f>
        <v>11</v>
      </c>
      <c r="K61" s="107">
        <f>VLOOKUP(D61,產線配置圖!$A$3:$C$40,3,0)</f>
        <v>1565</v>
      </c>
      <c r="L61" s="238">
        <f>K61/J61</f>
        <v>142.27272727272728</v>
      </c>
      <c r="M61" s="108">
        <v>11</v>
      </c>
      <c r="N61" s="107">
        <f>G61/W61*60</f>
        <v>1356.0000000000032</v>
      </c>
      <c r="O61" s="238">
        <f>N61/M61</f>
        <v>123.27272727272756</v>
      </c>
      <c r="P61" s="111">
        <f>M61-J61</f>
        <v>0</v>
      </c>
      <c r="Q61" s="255">
        <f>O61-L61</f>
        <v>-18.999999999999716</v>
      </c>
      <c r="R61" s="85">
        <f>O61/L61</f>
        <v>0.86645367412140772</v>
      </c>
      <c r="S61" s="440"/>
      <c r="T61" s="22">
        <v>0.45138888888888901</v>
      </c>
      <c r="U61" s="22">
        <v>0.5</v>
      </c>
      <c r="V61" s="30">
        <f>(T61-U60)*24*60</f>
        <v>10.000000000000844</v>
      </c>
      <c r="W61" s="256">
        <f t="shared" si="12"/>
        <v>69.999999999999829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-208.99999999999682</v>
      </c>
      <c r="AG61" s="247">
        <f>N61/K61</f>
        <v>0.86645367412140784</v>
      </c>
      <c r="AH61" s="404"/>
    </row>
    <row r="62" spans="1:34" ht="15" customHeight="1">
      <c r="A62" s="465"/>
      <c r="B62" s="250" t="s">
        <v>125</v>
      </c>
      <c r="C62" s="251"/>
      <c r="D62" s="363" t="s">
        <v>126</v>
      </c>
      <c r="E62" s="253"/>
      <c r="F62" s="250">
        <f>VLOOKUP(D62,廠價表!$C$1:$E$43,3,0)</f>
        <v>28.26</v>
      </c>
      <c r="G62" s="38">
        <v>2124</v>
      </c>
      <c r="H62" s="254">
        <f t="shared" ref="H62:H63" si="42">F62*G62</f>
        <v>60024.240000000005</v>
      </c>
      <c r="I62" s="182"/>
      <c r="J62" s="106">
        <f>VLOOKUP(D62,產線配置圖!$A$3:$C$40,2,0)</f>
        <v>11</v>
      </c>
      <c r="K62" s="107">
        <f>VLOOKUP(D62,產線配置圖!$A$3:$C$40,3,0)</f>
        <v>1565</v>
      </c>
      <c r="L62" s="238">
        <f t="shared" ref="L62:L63" si="43">K62/J62</f>
        <v>142.27272727272728</v>
      </c>
      <c r="M62" s="108">
        <v>11</v>
      </c>
      <c r="N62" s="107">
        <f t="shared" ref="N62:N63" si="44">G62/W62*60</f>
        <v>1274.3999999999903</v>
      </c>
      <c r="O62" s="238">
        <f t="shared" ref="O62:O63" si="45">N62/M62</f>
        <v>115.85454545454458</v>
      </c>
      <c r="P62" s="111">
        <f t="shared" ref="P62:P63" si="46">M62-J62</f>
        <v>0</v>
      </c>
      <c r="Q62" s="255">
        <f t="shared" ref="Q62:Q63" si="47">O62-L62</f>
        <v>-26.418181818182703</v>
      </c>
      <c r="R62" s="85">
        <f t="shared" ref="R62:R63" si="48">O62/L62</f>
        <v>0.81431309904152738</v>
      </c>
      <c r="S62" s="440"/>
      <c r="T62" s="22">
        <v>0.55208333333333304</v>
      </c>
      <c r="U62" s="22">
        <v>0.62152777777777801</v>
      </c>
      <c r="V62" s="30">
        <f t="shared" ref="V62:V63" si="49">(T62-U61)*24*60</f>
        <v>74.999999999999574</v>
      </c>
      <c r="W62" s="248">
        <f t="shared" si="12"/>
        <v>100.00000000000077</v>
      </c>
      <c r="X62" s="22"/>
      <c r="Y62" s="84"/>
      <c r="Z62" s="90"/>
      <c r="AA62" s="90"/>
      <c r="AB62" s="407"/>
      <c r="AC62" s="407"/>
      <c r="AD62" s="92"/>
      <c r="AE62" s="92"/>
      <c r="AF62" s="317">
        <f>N62-K62</f>
        <v>-290.60000000000969</v>
      </c>
      <c r="AG62" s="247">
        <f>N62/K62</f>
        <v>0.81431309904152738</v>
      </c>
      <c r="AH62" s="404"/>
    </row>
    <row r="63" spans="1:34" ht="15" customHeight="1">
      <c r="A63" s="465"/>
      <c r="B63" s="75" t="s">
        <v>125</v>
      </c>
      <c r="C63" s="76"/>
      <c r="D63" s="175" t="s">
        <v>134</v>
      </c>
      <c r="E63" s="77"/>
      <c r="F63" s="250">
        <f>VLOOKUP(D63,廠價表!$C$1:$E$43,3,0)</f>
        <v>26.99</v>
      </c>
      <c r="G63" s="30">
        <v>1460</v>
      </c>
      <c r="H63" s="254">
        <f t="shared" si="42"/>
        <v>39405.399999999994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43"/>
        <v>104.33333333333333</v>
      </c>
      <c r="M63" s="82">
        <v>15</v>
      </c>
      <c r="N63" s="107">
        <f t="shared" si="44"/>
        <v>1269.5652173912943</v>
      </c>
      <c r="O63" s="238">
        <f t="shared" si="45"/>
        <v>84.637681159419614</v>
      </c>
      <c r="P63" s="111">
        <f t="shared" si="46"/>
        <v>0</v>
      </c>
      <c r="Q63" s="255">
        <f t="shared" si="47"/>
        <v>-19.695652173913714</v>
      </c>
      <c r="R63" s="85">
        <f t="shared" si="48"/>
        <v>0.81122378108069926</v>
      </c>
      <c r="S63" s="440"/>
      <c r="T63" s="22">
        <v>0.62847222222222199</v>
      </c>
      <c r="U63" s="22">
        <v>0.67638888888888904</v>
      </c>
      <c r="V63" s="30">
        <f t="shared" si="49"/>
        <v>9.999999999999325</v>
      </c>
      <c r="W63" s="248">
        <f t="shared" si="12"/>
        <v>69.000000000000554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50">AVERAGE(J59:J68)</f>
        <v>12.8</v>
      </c>
      <c r="K69" s="240">
        <f t="shared" si="50"/>
        <v>1565</v>
      </c>
      <c r="L69" s="268">
        <f t="shared" si="50"/>
        <v>124.72575757575757</v>
      </c>
      <c r="M69" s="240">
        <f t="shared" si="50"/>
        <v>12.8</v>
      </c>
      <c r="N69" s="240">
        <f t="shared" si="50"/>
        <v>1380.9869258312049</v>
      </c>
      <c r="O69" s="268">
        <f t="shared" si="50"/>
        <v>109.9110143067506</v>
      </c>
      <c r="P69" s="269">
        <f>M69-J69</f>
        <v>0</v>
      </c>
      <c r="Q69" s="222">
        <f>N69-K69</f>
        <v>-184.01307416879513</v>
      </c>
      <c r="R69" s="123">
        <f>O69/L69</f>
        <v>0.88122146093192821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-184.01307416879513</v>
      </c>
      <c r="AG69" s="124">
        <f>N69/K69</f>
        <v>0.88241976091450791</v>
      </c>
      <c r="AH69" s="406"/>
    </row>
    <row r="70" spans="1:36" ht="15" customHeight="1">
      <c r="A70" s="471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39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/>
      <c r="D79" s="430"/>
      <c r="E79" s="430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59:AH69"/>
    <mergeCell ref="AB60:AC6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59:A69"/>
    <mergeCell ref="S59:S69"/>
    <mergeCell ref="AB59:AC59"/>
    <mergeCell ref="AB67:AC67"/>
    <mergeCell ref="AB68:AC68"/>
    <mergeCell ref="A70:A79"/>
    <mergeCell ref="S70:S79"/>
    <mergeCell ref="AB70:AC70"/>
    <mergeCell ref="A49:A58"/>
    <mergeCell ref="S49:S58"/>
    <mergeCell ref="AB49:AC49"/>
    <mergeCell ref="D69:E69"/>
    <mergeCell ref="AB69:AC69"/>
    <mergeCell ref="AB63:AC63"/>
    <mergeCell ref="AB64:AC64"/>
    <mergeCell ref="AB65:AC65"/>
    <mergeCell ref="AB66:AC66"/>
    <mergeCell ref="AB61:AC61"/>
    <mergeCell ref="AB62:AC62"/>
    <mergeCell ref="D58:E58"/>
    <mergeCell ref="AB58:AC5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16:AH26"/>
    <mergeCell ref="AB35:AC35"/>
    <mergeCell ref="AB36:AC36"/>
    <mergeCell ref="AB37:AC37"/>
    <mergeCell ref="AB26:AC26"/>
    <mergeCell ref="AB17:AC17"/>
    <mergeCell ref="AB18:AC18"/>
    <mergeCell ref="AB19:AC19"/>
    <mergeCell ref="AB20:AC20"/>
    <mergeCell ref="AB25:AC25"/>
    <mergeCell ref="AB22:AC22"/>
    <mergeCell ref="AB23:AC23"/>
    <mergeCell ref="AH27:AH37"/>
    <mergeCell ref="AB28:AC28"/>
    <mergeCell ref="AB29:AC29"/>
    <mergeCell ref="AB16:AC16"/>
    <mergeCell ref="AH38:AH48"/>
    <mergeCell ref="AB44:AC44"/>
    <mergeCell ref="A38:A48"/>
    <mergeCell ref="S38:S48"/>
    <mergeCell ref="AB38:AC38"/>
    <mergeCell ref="D48:E48"/>
    <mergeCell ref="D37:E37"/>
    <mergeCell ref="AB45:AC45"/>
    <mergeCell ref="AB42:AC42"/>
    <mergeCell ref="AB43:AC43"/>
    <mergeCell ref="AB46:AC46"/>
    <mergeCell ref="AB48:AC48"/>
    <mergeCell ref="AB39:AC39"/>
    <mergeCell ref="AB40:AC40"/>
    <mergeCell ref="AB41:AC41"/>
    <mergeCell ref="AB47:AC47"/>
    <mergeCell ref="AH5:AH15"/>
    <mergeCell ref="AB6:AC6"/>
    <mergeCell ref="AB7:AC7"/>
    <mergeCell ref="AB8:AC8"/>
    <mergeCell ref="AB9:AC9"/>
    <mergeCell ref="J1:L2"/>
    <mergeCell ref="M1:O2"/>
    <mergeCell ref="A27:A37"/>
    <mergeCell ref="S27:S37"/>
    <mergeCell ref="AB27:AC27"/>
    <mergeCell ref="AB30:AC30"/>
    <mergeCell ref="AB31:AC31"/>
    <mergeCell ref="AB32:AC32"/>
    <mergeCell ref="AB33:AC33"/>
    <mergeCell ref="AB34:AC34"/>
    <mergeCell ref="H3:H4"/>
    <mergeCell ref="I3:I4"/>
    <mergeCell ref="G3:G4"/>
    <mergeCell ref="AB21:AC21"/>
    <mergeCell ref="D15:E15"/>
    <mergeCell ref="AB12:AC12"/>
    <mergeCell ref="AB14:AC14"/>
    <mergeCell ref="AB13:AC13"/>
    <mergeCell ref="AB15:AC15"/>
    <mergeCell ref="AF1:AH2"/>
    <mergeCell ref="AF3:AF4"/>
    <mergeCell ref="AG3:AG4"/>
    <mergeCell ref="AH3:AH4"/>
    <mergeCell ref="T1:Y2"/>
    <mergeCell ref="Z3:AA3"/>
    <mergeCell ref="W3:W4"/>
    <mergeCell ref="X3:Y3"/>
    <mergeCell ref="T3:U3"/>
    <mergeCell ref="V3:V4"/>
    <mergeCell ref="AB1:AC2"/>
    <mergeCell ref="AB3:AC4"/>
    <mergeCell ref="M3:M4"/>
    <mergeCell ref="N3:N4"/>
    <mergeCell ref="J3:J4"/>
    <mergeCell ref="K3:K4"/>
    <mergeCell ref="L3:L4"/>
    <mergeCell ref="D26:E26"/>
    <mergeCell ref="AB24:AC24"/>
    <mergeCell ref="A2:B2"/>
    <mergeCell ref="A3:A4"/>
    <mergeCell ref="B3:B4"/>
    <mergeCell ref="D3:E4"/>
    <mergeCell ref="F3:F4"/>
    <mergeCell ref="A5:A15"/>
    <mergeCell ref="S5:S15"/>
    <mergeCell ref="AB5:AC5"/>
    <mergeCell ref="A16:A26"/>
    <mergeCell ref="S16:S26"/>
    <mergeCell ref="AD3:AE3"/>
    <mergeCell ref="O3:O4"/>
    <mergeCell ref="P3:P4"/>
    <mergeCell ref="Q3:Q4"/>
    <mergeCell ref="AB10:AC10"/>
    <mergeCell ref="AB11:AC11"/>
    <mergeCell ref="P1:S2"/>
    <mergeCell ref="R3:R4"/>
    <mergeCell ref="S3:S4"/>
  </mergeCells>
  <phoneticPr fontId="0" type="noConversion"/>
  <conditionalFormatting sqref="P5:P79">
    <cfRule type="cellIs" dxfId="238" priority="1" operator="greaterThan">
      <formula>0</formula>
    </cfRule>
  </conditionalFormatting>
  <conditionalFormatting sqref="Q5:Q79 AF5:AF79">
    <cfRule type="cellIs" dxfId="237" priority="4" operator="lessThan">
      <formula>0</formula>
    </cfRule>
  </conditionalFormatting>
  <conditionalFormatting sqref="R5:R79 AG5:AG79">
    <cfRule type="cellIs" dxfId="236" priority="2" operator="greaterThan">
      <formula>1</formula>
    </cfRule>
    <cfRule type="cellIs" dxfId="235" priority="3" operator="lessThan">
      <formula>0.8</formula>
    </cfRule>
  </conditionalFormatting>
  <conditionalFormatting sqref="S5:S10 S37:S62 AH59:AH62 S69:S76 AH69:AH76">
    <cfRule type="cellIs" dxfId="234" priority="7" operator="lessThan">
      <formula>0.8</formula>
    </cfRule>
  </conditionalFormatting>
  <conditionalFormatting sqref="S19:S25 AH19:AH25">
    <cfRule type="cellIs" dxfId="233" priority="6" operator="lessThan">
      <formula>0.8</formula>
    </cfRule>
  </conditionalFormatting>
  <conditionalFormatting sqref="S79">
    <cfRule type="cellIs" dxfId="232" priority="5" operator="lessThan">
      <formula>0.8</formula>
    </cfRule>
  </conditionalFormatting>
  <conditionalFormatting sqref="AH5:AH8 S15:S16 AH15:AH16 AH49 AH79">
    <cfRule type="cellIs" dxfId="231" priority="9" operator="lessThan">
      <formula>0.8</formula>
    </cfRule>
  </conditionalFormatting>
  <conditionalFormatting sqref="AH27 S27:S28">
    <cfRule type="cellIs" dxfId="2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C585C3-7F5A-4B1D-8ABB-B4C5025C74E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731E-459F-43F3-B572-12986E00C4AC}">
  <dimension ref="B1:O26"/>
  <sheetViews>
    <sheetView zoomScale="70" zoomScaleNormal="70" workbookViewId="0">
      <selection activeCell="M34" sqref="M3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46181</v>
      </c>
      <c r="E3" s="510"/>
      <c r="F3" s="3" t="s">
        <v>72</v>
      </c>
      <c r="G3" s="511">
        <f>'0608'!E1</f>
        <v>67691</v>
      </c>
      <c r="H3" s="511"/>
      <c r="I3" s="3" t="s">
        <v>2</v>
      </c>
      <c r="J3" s="512">
        <f>'0608'!G1</f>
        <v>3243485.3739999989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122.3544015624898</v>
      </c>
      <c r="G6" s="507"/>
      <c r="H6" s="508">
        <f>AVERAGE(D13:H13)</f>
        <v>121.88013035983624</v>
      </c>
      <c r="I6" s="508"/>
      <c r="J6" s="508">
        <f>AVERAGE(I13)</f>
        <v>124.72575757575757</v>
      </c>
      <c r="K6" s="508"/>
      <c r="L6" s="516">
        <f>SUM(D18:J18)</f>
        <v>3</v>
      </c>
      <c r="M6" s="499">
        <f>SUM(D19:J19)</f>
        <v>15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109.83528727221095</v>
      </c>
      <c r="G7" s="496"/>
      <c r="H7" s="497">
        <f>AVERAGE(D14:H14)</f>
        <v>110.47577215674001</v>
      </c>
      <c r="I7" s="497"/>
      <c r="J7" s="497">
        <f>AVERAGE(I14)</f>
        <v>106.6328628495656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0.8976815371543051</v>
      </c>
      <c r="G8" s="502"/>
      <c r="H8" s="502">
        <f>H7/H6</f>
        <v>0.90642971771176928</v>
      </c>
      <c r="I8" s="502"/>
      <c r="J8" s="502">
        <f>J7/J6</f>
        <v>0.85493858624027619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VALUE('0608'!L15)</f>
        <v>150</v>
      </c>
      <c r="E13" s="13">
        <f>VALUE('0608'!L26)</f>
        <v>158.32255979314803</v>
      </c>
      <c r="F13" s="13">
        <f>VALUE('0608'!L37)</f>
        <v>94.872863247863251</v>
      </c>
      <c r="G13" s="13">
        <f>VALUE('0608'!L48)</f>
        <v>105.25098039215686</v>
      </c>
      <c r="H13" s="13">
        <f>VALUE('0608'!L58)</f>
        <v>100.95424836601308</v>
      </c>
      <c r="I13" s="13">
        <f>VALUE('0608'!L69)</f>
        <v>124.72575757575757</v>
      </c>
      <c r="J13" s="13">
        <f>'0608'!L79</f>
        <v>0</v>
      </c>
    </row>
    <row r="14" spans="2:15" ht="39.950000000000003" customHeight="1">
      <c r="B14" s="490"/>
      <c r="C14" s="12" t="s">
        <v>100</v>
      </c>
      <c r="D14" s="13">
        <f>VALUE('0608'!O15)</f>
        <v>135.80915417263364</v>
      </c>
      <c r="E14" s="13">
        <f>VALUE('0608'!O26)</f>
        <v>145.48597563329585</v>
      </c>
      <c r="F14" s="13">
        <f>VALUE('0608'!O37)</f>
        <v>83.596065069045522</v>
      </c>
      <c r="G14" s="13">
        <f>VALUE('0608'!O48)</f>
        <v>94.900512208094611</v>
      </c>
      <c r="H14" s="13">
        <f>VALUE('0608'!O58)</f>
        <v>92.587153700630381</v>
      </c>
      <c r="I14" s="13">
        <f>VALUE('0608'!O69)</f>
        <v>106.6328628495656</v>
      </c>
      <c r="J14" s="13">
        <f>'0608'!O79</f>
        <v>0</v>
      </c>
    </row>
    <row r="15" spans="2:15" ht="39.950000000000003" customHeight="1">
      <c r="B15" s="491"/>
      <c r="C15" s="10" t="s">
        <v>26</v>
      </c>
      <c r="D15" s="14">
        <f t="shared" ref="D15:I15" si="1">D14/D13</f>
        <v>0.90539436115089089</v>
      </c>
      <c r="E15" s="14">
        <f t="shared" si="1"/>
        <v>0.91892132001514215</v>
      </c>
      <c r="F15" s="14">
        <f t="shared" si="1"/>
        <v>0.88113779016707705</v>
      </c>
      <c r="G15" s="14">
        <f t="shared" si="1"/>
        <v>0.90165917556779784</v>
      </c>
      <c r="H15" s="14">
        <f t="shared" si="1"/>
        <v>0.9171199350120709</v>
      </c>
      <c r="I15" s="14">
        <f t="shared" si="1"/>
        <v>0.85493858624027619</v>
      </c>
      <c r="J15" s="15">
        <f>'0608'!S70</f>
        <v>0</v>
      </c>
    </row>
    <row r="16" spans="2:15" ht="17.25" customHeight="1">
      <c r="B16" s="492" t="s">
        <v>101</v>
      </c>
      <c r="C16" s="10" t="s">
        <v>34</v>
      </c>
      <c r="D16" s="16">
        <f>'0608'!T5</f>
        <v>0.29166666666666702</v>
      </c>
      <c r="E16" s="16">
        <f>'0608'!T16</f>
        <v>0.29166666666666702</v>
      </c>
      <c r="F16" s="16">
        <f>'0608'!T27</f>
        <v>0.29166666666666702</v>
      </c>
      <c r="G16" s="16">
        <f>'0608'!T38</f>
        <v>0.33333333333333298</v>
      </c>
      <c r="H16" s="16">
        <f>'0608'!T49</f>
        <v>0.29097222222222202</v>
      </c>
      <c r="I16" s="16">
        <f>'0608'!T59</f>
        <v>0.29166666666666702</v>
      </c>
      <c r="J16" s="16">
        <f>'0608'!T70</f>
        <v>0</v>
      </c>
    </row>
    <row r="17" spans="2:10" ht="17.25" customHeight="1">
      <c r="B17" s="493"/>
      <c r="C17" s="10" t="s">
        <v>35</v>
      </c>
      <c r="D17" s="16">
        <v>0.66180555555555598</v>
      </c>
      <c r="E17" s="19">
        <v>0.66319444444444398</v>
      </c>
      <c r="F17" s="19">
        <v>0.59583333333333299</v>
      </c>
      <c r="G17" s="210">
        <v>0.67361111111111105</v>
      </c>
      <c r="H17" s="21">
        <v>0.6875</v>
      </c>
      <c r="I17" s="22">
        <v>0.64097222222222205</v>
      </c>
      <c r="J17" s="22">
        <v>0</v>
      </c>
    </row>
    <row r="18" spans="2:10" ht="17.25" customHeight="1">
      <c r="B18" s="494" t="s">
        <v>102</v>
      </c>
      <c r="C18" s="330" t="s">
        <v>36</v>
      </c>
      <c r="D18" s="358">
        <f>'0608'!Z15</f>
        <v>0</v>
      </c>
      <c r="E18" s="359">
        <f>'0608'!Z26</f>
        <v>0</v>
      </c>
      <c r="F18" s="359">
        <f>'0608'!Z37</f>
        <v>3</v>
      </c>
      <c r="G18" s="360">
        <f>'0608'!Z48</f>
        <v>0</v>
      </c>
      <c r="H18" s="360">
        <f>'0608'!Z58</f>
        <v>0</v>
      </c>
      <c r="I18" s="359">
        <f>'0608'!Z69</f>
        <v>0</v>
      </c>
      <c r="J18" s="359">
        <f>'0608'!AA79</f>
        <v>0</v>
      </c>
    </row>
    <row r="19" spans="2:10" ht="17.25" customHeight="1">
      <c r="B19" s="495"/>
      <c r="C19" s="330" t="s">
        <v>37</v>
      </c>
      <c r="D19" s="358">
        <f>'0608'!AA15</f>
        <v>0</v>
      </c>
      <c r="E19" s="359">
        <f>'0608'!AA26</f>
        <v>0</v>
      </c>
      <c r="F19" s="359">
        <f>'0608'!AA37</f>
        <v>15</v>
      </c>
      <c r="G19" s="360">
        <f>'0608'!AA48</f>
        <v>0</v>
      </c>
      <c r="H19" s="360">
        <f>'0608'!AA58</f>
        <v>0</v>
      </c>
      <c r="I19" s="359">
        <f>'0608'!AA69</f>
        <v>0</v>
      </c>
      <c r="J19" s="359">
        <f>'0608'!AB79</f>
        <v>0</v>
      </c>
    </row>
    <row r="20" spans="2:10" ht="17.25" customHeight="1">
      <c r="B20" s="494" t="s">
        <v>103</v>
      </c>
      <c r="C20" s="330" t="s">
        <v>36</v>
      </c>
      <c r="D20" s="358">
        <f>'0608'!AD15</f>
        <v>0</v>
      </c>
      <c r="E20" s="359">
        <f>'0608'!AD26</f>
        <v>0</v>
      </c>
      <c r="F20" s="359">
        <f>'0608'!AD37</f>
        <v>0</v>
      </c>
      <c r="G20" s="360">
        <f>'0608'!AD48</f>
        <v>0</v>
      </c>
      <c r="H20" s="360">
        <f>'0608'!AD58</f>
        <v>0</v>
      </c>
      <c r="I20" s="359">
        <f>'0608'!AD69</f>
        <v>0</v>
      </c>
      <c r="J20" s="359">
        <f>'0608'!AD79</f>
        <v>0</v>
      </c>
    </row>
    <row r="21" spans="2:10" ht="17.25" customHeight="1">
      <c r="B21" s="495"/>
      <c r="C21" s="330" t="s">
        <v>85</v>
      </c>
      <c r="D21" s="358">
        <f>'0608'!AE15</f>
        <v>0</v>
      </c>
      <c r="E21" s="359">
        <f>'0608'!AE26</f>
        <v>0</v>
      </c>
      <c r="F21" s="359">
        <f>'0608'!AE37</f>
        <v>0</v>
      </c>
      <c r="G21" s="360">
        <f>'0608'!AE48</f>
        <v>0</v>
      </c>
      <c r="H21" s="360">
        <f>'0608'!AE58</f>
        <v>0</v>
      </c>
      <c r="I21" s="359">
        <f>'0608'!AE69</f>
        <v>0</v>
      </c>
      <c r="J21" s="359">
        <f>'0608'!AE79</f>
        <v>0</v>
      </c>
    </row>
    <row r="22" spans="2:10" ht="17.25" customHeight="1">
      <c r="B22" s="477" t="s">
        <v>104</v>
      </c>
      <c r="C22" s="478"/>
      <c r="D22" s="23">
        <f>VALUE('0608'!M15)</f>
        <v>15</v>
      </c>
      <c r="E22" s="23">
        <f>VALUE('0608'!M26)</f>
        <v>14.333333333333334</v>
      </c>
      <c r="F22" s="23">
        <f>VALUE('0608'!M37)</f>
        <v>16.5</v>
      </c>
      <c r="G22" s="23">
        <f>VALUE('0608'!M48)</f>
        <v>16</v>
      </c>
      <c r="H22" s="23">
        <f>VALUE('0608'!M58)</f>
        <v>17</v>
      </c>
      <c r="I22" s="23">
        <f>VALUE('0608'!M69)</f>
        <v>14.8</v>
      </c>
      <c r="J22" s="23">
        <f>'0608'!M79</f>
        <v>0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CDC8-C24F-4029-B259-96B0D82FCFBF}">
  <sheetPr>
    <tabColor theme="9" tint="0.79998168889431442"/>
  </sheetPr>
  <dimension ref="A1:AJ92"/>
  <sheetViews>
    <sheetView zoomScale="69" zoomScaleNormal="69" workbookViewId="0">
      <pane xSplit="5" ySplit="4" topLeftCell="F29" activePane="bottomRight" state="frozen"/>
      <selection activeCell="M34" sqref="M34"/>
      <selection pane="topRight" activeCell="M34" sqref="M34"/>
      <selection pane="bottomLeft" activeCell="M34" sqref="M34"/>
      <selection pane="bottomRight" activeCell="M34" sqref="M3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67691</v>
      </c>
      <c r="F1" s="30" t="s">
        <v>2</v>
      </c>
      <c r="G1" s="31">
        <f>SUM(H5:H79)</f>
        <v>3243485.3739999989</v>
      </c>
      <c r="H1" s="32" t="s">
        <v>3</v>
      </c>
      <c r="I1" s="33">
        <f>M15+M26+M48+M58+M69+M79+M37</f>
        <v>93.63333333333334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162</v>
      </c>
      <c r="B2" s="381"/>
      <c r="C2" s="28"/>
      <c r="D2" s="28" t="s">
        <v>14</v>
      </c>
      <c r="E2" s="35">
        <f>AVERAGE(O15,O26,O37,O48,O58,O69,O79)</f>
        <v>109.83528727221095</v>
      </c>
      <c r="F2" s="36" t="s">
        <v>15</v>
      </c>
      <c r="G2" s="37">
        <f>G1/E1</f>
        <v>47.916050494157254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3</v>
      </c>
      <c r="AA2" s="339">
        <f>AA15+AA26+AA37+AA48+AA58+AA69+AA79</f>
        <v>15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2589</v>
      </c>
      <c r="H5" s="43">
        <f>F5*G5</f>
        <v>147236.43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2099.1891891891851</v>
      </c>
      <c r="O5" s="47">
        <f>N5/M5</f>
        <v>139.94594594594568</v>
      </c>
      <c r="P5" s="49">
        <f>M5-J5</f>
        <v>0</v>
      </c>
      <c r="Q5" s="50">
        <f>O5-L5</f>
        <v>-10.054054054054319</v>
      </c>
      <c r="R5" s="51">
        <f>O5/L5</f>
        <v>0.93297297297297122</v>
      </c>
      <c r="S5" s="439">
        <f>R15</f>
        <v>0.90539436115089089</v>
      </c>
      <c r="T5" s="319">
        <v>0.29166666666666702</v>
      </c>
      <c r="U5" s="320">
        <v>0.343055555555556</v>
      </c>
      <c r="V5" s="53"/>
      <c r="W5" s="54">
        <f t="shared" ref="W5:W14" si="0">(U5-T5)*24*60</f>
        <v>74.000000000000142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-150.81081081081493</v>
      </c>
      <c r="AG5" s="52">
        <f t="shared" ref="AG5:AG11" si="2">N5/K5</f>
        <v>0.9329729729729711</v>
      </c>
      <c r="AH5" s="403">
        <f>AG15</f>
        <v>0.90539436115089111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3835</v>
      </c>
      <c r="H6" s="63">
        <f>F6*G6</f>
        <v>223081.95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2191.4285714285925</v>
      </c>
      <c r="O6" s="67">
        <f>N6/M6</f>
        <v>146.09523809523949</v>
      </c>
      <c r="P6" s="69">
        <f>M6-J6</f>
        <v>0</v>
      </c>
      <c r="Q6" s="70">
        <f>O6-L6</f>
        <v>-3.9047619047605053</v>
      </c>
      <c r="R6" s="71">
        <f>O6/L6</f>
        <v>0.97396825396826325</v>
      </c>
      <c r="S6" s="440"/>
      <c r="T6" s="16">
        <v>0.35416666666666702</v>
      </c>
      <c r="U6" s="16">
        <v>0.42708333333333298</v>
      </c>
      <c r="V6" s="30">
        <f>(T6-U5)*24*60</f>
        <v>15.999999999999863</v>
      </c>
      <c r="W6" s="73">
        <f t="shared" si="0"/>
        <v>104.99999999999899</v>
      </c>
      <c r="X6" s="22"/>
      <c r="Y6" s="84"/>
      <c r="Z6" s="90"/>
      <c r="AA6" s="90"/>
      <c r="AB6" s="434"/>
      <c r="AC6" s="434"/>
      <c r="AD6" s="149"/>
      <c r="AE6" s="149"/>
      <c r="AF6" s="307">
        <f t="shared" si="1"/>
        <v>-58.571428571407523</v>
      </c>
      <c r="AG6" s="72">
        <f t="shared" si="2"/>
        <v>0.97396825396826336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2261</v>
      </c>
      <c r="H7" s="78">
        <f>F7*G7</f>
        <v>111105.54000000001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2024.7761194029752</v>
      </c>
      <c r="O7" s="81">
        <f>N7/M7</f>
        <v>134.98507462686501</v>
      </c>
      <c r="P7" s="74">
        <f>M7-J7</f>
        <v>0</v>
      </c>
      <c r="Q7" s="83">
        <f>O7-L7</f>
        <v>-15.014925373134986</v>
      </c>
      <c r="R7" s="72">
        <f>O7/L7</f>
        <v>0.89990049751243339</v>
      </c>
      <c r="S7" s="440"/>
      <c r="T7" s="18">
        <v>0.43263888888888902</v>
      </c>
      <c r="U7" s="18">
        <v>0.47916666666666702</v>
      </c>
      <c r="V7" s="30">
        <f>(T7-U6)*24*60</f>
        <v>8.000000000000691</v>
      </c>
      <c r="W7" s="73">
        <f t="shared" si="0"/>
        <v>67.000000000000327</v>
      </c>
      <c r="X7" s="22"/>
      <c r="Y7" s="84"/>
      <c r="Z7" s="90"/>
      <c r="AA7" s="90"/>
      <c r="AB7" s="407"/>
      <c r="AC7" s="407"/>
      <c r="AD7" s="92"/>
      <c r="AE7" s="92"/>
      <c r="AF7" s="307">
        <f t="shared" si="1"/>
        <v>-225.22388059702484</v>
      </c>
      <c r="AG7" s="72">
        <f t="shared" si="2"/>
        <v>0.89990049751243339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4199</v>
      </c>
      <c r="H8" s="78">
        <f t="shared" ref="H8:H9" si="3">F8*G8</f>
        <v>206338.86000000002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2048.2926829268231</v>
      </c>
      <c r="O8" s="81">
        <f t="shared" ref="O8:O9" si="6">N8/M8</f>
        <v>136.55284552845487</v>
      </c>
      <c r="P8" s="74">
        <f t="shared" ref="P8:P9" si="7">M8-J8</f>
        <v>0</v>
      </c>
      <c r="Q8" s="83">
        <f t="shared" ref="Q8:Q9" si="8">O8-L8</f>
        <v>-13.447154471545133</v>
      </c>
      <c r="R8" s="72">
        <f t="shared" ref="R8:R9" si="9">O8/L8</f>
        <v>0.91035230352303242</v>
      </c>
      <c r="S8" s="440"/>
      <c r="T8" s="16">
        <v>0.55000000000000004</v>
      </c>
      <c r="U8" s="16">
        <v>0.63541666666666696</v>
      </c>
      <c r="V8" s="30">
        <f t="shared" ref="V8:V9" si="10">(T8-U7)*24*60</f>
        <v>101.99999999999956</v>
      </c>
      <c r="W8" s="73">
        <f t="shared" si="0"/>
        <v>123.00000000000037</v>
      </c>
      <c r="X8" s="22"/>
      <c r="Y8" s="84"/>
      <c r="Z8" s="90"/>
      <c r="AA8" s="90"/>
      <c r="AB8" s="434"/>
      <c r="AC8" s="434"/>
      <c r="AD8" s="149"/>
      <c r="AE8" s="149"/>
      <c r="AF8" s="307">
        <f t="shared" si="1"/>
        <v>-201.70731707317691</v>
      </c>
      <c r="AG8" s="72">
        <f t="shared" si="2"/>
        <v>0.91035230352303254</v>
      </c>
      <c r="AH8" s="404"/>
    </row>
    <row r="9" spans="1:34" ht="15" customHeight="1">
      <c r="A9" s="437"/>
      <c r="B9" s="75" t="s">
        <v>81</v>
      </c>
      <c r="C9" s="76"/>
      <c r="D9" s="59" t="s">
        <v>113</v>
      </c>
      <c r="E9" s="77"/>
      <c r="F9" s="75">
        <f>VLOOKUP(D9,廠價表!$C$1:$E$43,3,0)</f>
        <v>56.87</v>
      </c>
      <c r="G9" s="66">
        <v>911</v>
      </c>
      <c r="H9" s="78">
        <f t="shared" si="3"/>
        <v>51808.57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1821.9999999999482</v>
      </c>
      <c r="O9" s="81">
        <f t="shared" si="6"/>
        <v>121.46666666666322</v>
      </c>
      <c r="P9" s="74">
        <f t="shared" si="7"/>
        <v>0</v>
      </c>
      <c r="Q9" s="83">
        <f t="shared" si="8"/>
        <v>-28.533333333336785</v>
      </c>
      <c r="R9" s="72">
        <f t="shared" si="9"/>
        <v>0.80977777777775473</v>
      </c>
      <c r="S9" s="441"/>
      <c r="T9" s="16">
        <v>0.64097222222222205</v>
      </c>
      <c r="U9" s="16">
        <v>0.66180555555555598</v>
      </c>
      <c r="V9" s="30">
        <f t="shared" si="10"/>
        <v>7.9999999999993321</v>
      </c>
      <c r="W9" s="73">
        <f t="shared" si="0"/>
        <v>30.000000000000853</v>
      </c>
      <c r="X9" s="22"/>
      <c r="Y9" s="84"/>
      <c r="Z9" s="90"/>
      <c r="AA9" s="90"/>
      <c r="AB9" s="434" t="s">
        <v>140</v>
      </c>
      <c r="AC9" s="434"/>
      <c r="AD9" s="149"/>
      <c r="AE9" s="149"/>
      <c r="AF9" s="307">
        <f t="shared" si="1"/>
        <v>-428.00000000005184</v>
      </c>
      <c r="AG9" s="72">
        <f t="shared" si="2"/>
        <v>0.80977777777775473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15</v>
      </c>
      <c r="N15" s="120">
        <f t="shared" si="11"/>
        <v>2037.137312589505</v>
      </c>
      <c r="O15" s="117">
        <f t="shared" si="11"/>
        <v>135.80915417263364</v>
      </c>
      <c r="P15" s="121">
        <f>M15-J15</f>
        <v>0</v>
      </c>
      <c r="Q15" s="122">
        <f>O15-L15</f>
        <v>-14.19084582736636</v>
      </c>
      <c r="R15" s="123">
        <f>O15/L15</f>
        <v>0.90539436115089089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-212.86268741049503</v>
      </c>
      <c r="AG15" s="124">
        <f>N15/K15</f>
        <v>0.90539436115089111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2765</v>
      </c>
      <c r="H16" s="134">
        <f>F16*G16</f>
        <v>140102.55000000002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2154.5454545454645</v>
      </c>
      <c r="O16" s="141">
        <f>N16/M16</f>
        <v>153.89610389610462</v>
      </c>
      <c r="P16" s="142">
        <f>M16-J16</f>
        <v>0</v>
      </c>
      <c r="Q16" s="143">
        <f>O16-L16</f>
        <v>-6.8181818181811025</v>
      </c>
      <c r="R16" s="144">
        <f>O16/L16</f>
        <v>0.95757575757576208</v>
      </c>
      <c r="S16" s="425">
        <f>R26</f>
        <v>0.91892132001514215</v>
      </c>
      <c r="T16" s="145">
        <v>0.29166666666666702</v>
      </c>
      <c r="U16" s="145">
        <v>0.34513888888888899</v>
      </c>
      <c r="V16" s="135"/>
      <c r="W16" s="146">
        <f t="shared" ref="W16:W78" si="12">(U16-T16)*24*60</f>
        <v>76.999999999999645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-95.454545454535491</v>
      </c>
      <c r="AG16" s="52">
        <f>N16/K16</f>
        <v>0.95757575757576197</v>
      </c>
      <c r="AH16" s="403">
        <f>AG26</f>
        <v>0.91904142429838609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2420</v>
      </c>
      <c r="H17" s="78">
        <f>F17*G17</f>
        <v>138448.20000000001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2135.294117647069</v>
      </c>
      <c r="O17" s="96">
        <f>N17/M17</f>
        <v>125.60553633218053</v>
      </c>
      <c r="P17" s="97">
        <f>M17-J17</f>
        <v>0</v>
      </c>
      <c r="Q17" s="98">
        <f>O17-L17</f>
        <v>-6.7474048442900454</v>
      </c>
      <c r="R17" s="99">
        <f>O17/L17</f>
        <v>0.94901960784314188</v>
      </c>
      <c r="S17" s="426"/>
      <c r="T17" s="19">
        <v>0.35347222222222202</v>
      </c>
      <c r="U17" s="19">
        <v>0.40069444444444402</v>
      </c>
      <c r="V17" s="30">
        <f>(T17-U16)*24*60</f>
        <v>11.999999999999558</v>
      </c>
      <c r="W17" s="149">
        <f t="shared" si="12"/>
        <v>67.999999999999673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-114.70588235293098</v>
      </c>
      <c r="AG17" s="72">
        <f>N17/K17</f>
        <v>0.94901960784314177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1656</v>
      </c>
      <c r="H18" s="78">
        <f>F18*G18</f>
        <v>93746.16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2027.7551020408036</v>
      </c>
      <c r="O18" s="96">
        <f>N18/M18</f>
        <v>135.18367346938692</v>
      </c>
      <c r="P18" s="97">
        <f>M18-J18</f>
        <v>0</v>
      </c>
      <c r="Q18" s="98">
        <f>O18-L18</f>
        <v>-14.816326530613082</v>
      </c>
      <c r="R18" s="99">
        <f>O18/L18</f>
        <v>0.90122448979591274</v>
      </c>
      <c r="S18" s="426"/>
      <c r="T18" s="19">
        <v>0.406944444444444</v>
      </c>
      <c r="U18" s="19">
        <v>0.44097222222222199</v>
      </c>
      <c r="V18" s="30">
        <f>(T18-U17)*24*60</f>
        <v>8.999999999999968</v>
      </c>
      <c r="W18" s="149">
        <f t="shared" si="12"/>
        <v>49.000000000000306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-222.24489795919635</v>
      </c>
      <c r="AG18" s="72">
        <f>N18/K18</f>
        <v>0.90122448979591274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1956</v>
      </c>
      <c r="H19" s="78">
        <f t="shared" ref="H19:H21" si="13">F19*G19</f>
        <v>98562.84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14">K19/J19</f>
        <v>173.07692307692307</v>
      </c>
      <c r="M19" s="148">
        <v>13</v>
      </c>
      <c r="N19" s="95">
        <f t="shared" ref="N19:N21" si="15">G19/W19*60</f>
        <v>2133.8181818182084</v>
      </c>
      <c r="O19" s="96">
        <f t="shared" ref="O19:O21" si="16">N19/M19</f>
        <v>164.13986013986218</v>
      </c>
      <c r="P19" s="97">
        <f t="shared" ref="P19:P21" si="17">M19-J19</f>
        <v>0</v>
      </c>
      <c r="Q19" s="98">
        <f t="shared" ref="Q19:Q21" si="18">O19-L19</f>
        <v>-8.9370629370608867</v>
      </c>
      <c r="R19" s="99">
        <f t="shared" ref="R19:R21" si="19">O19/L19</f>
        <v>0.94836363636364818</v>
      </c>
      <c r="S19" s="426"/>
      <c r="T19" s="19">
        <v>0.44652777777777802</v>
      </c>
      <c r="U19" s="19">
        <v>0.484722222222222</v>
      </c>
      <c r="V19" s="30">
        <f>(T19-U18)*24*60</f>
        <v>8.000000000000691</v>
      </c>
      <c r="W19" s="149">
        <f t="shared" si="12"/>
        <v>54.999999999999325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-116.18181818179164</v>
      </c>
      <c r="AG19" s="72">
        <f>N19/K19</f>
        <v>0.94836363636364818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3817</v>
      </c>
      <c r="H20" s="78">
        <f t="shared" si="13"/>
        <v>192338.63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4"/>
        <v>173.07692307692307</v>
      </c>
      <c r="M20" s="148">
        <v>13</v>
      </c>
      <c r="N20" s="95">
        <f t="shared" si="15"/>
        <v>2101.1009174311785</v>
      </c>
      <c r="O20" s="96">
        <f t="shared" si="16"/>
        <v>161.62314749470605</v>
      </c>
      <c r="P20" s="97">
        <f t="shared" si="17"/>
        <v>0</v>
      </c>
      <c r="Q20" s="98">
        <f t="shared" si="18"/>
        <v>-11.45377558221702</v>
      </c>
      <c r="R20" s="99">
        <f t="shared" si="19"/>
        <v>0.93382262996941279</v>
      </c>
      <c r="S20" s="426"/>
      <c r="T20" s="19">
        <v>0.54861111111111105</v>
      </c>
      <c r="U20" s="19">
        <v>0.624305555555556</v>
      </c>
      <c r="V20" s="30">
        <f>(T20-U19)*24*60</f>
        <v>92.000000000000227</v>
      </c>
      <c r="W20" s="149">
        <f t="shared" si="12"/>
        <v>109.00000000000074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v>1360</v>
      </c>
      <c r="H21" s="78">
        <f t="shared" si="13"/>
        <v>68911.199999999997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14"/>
        <v>160.71428571428572</v>
      </c>
      <c r="M21" s="148">
        <v>14</v>
      </c>
      <c r="N21" s="95">
        <f t="shared" si="15"/>
        <v>1854.5454545454882</v>
      </c>
      <c r="O21" s="96">
        <f t="shared" si="16"/>
        <v>132.46753246753488</v>
      </c>
      <c r="P21" s="97">
        <f t="shared" si="17"/>
        <v>0</v>
      </c>
      <c r="Q21" s="98">
        <f t="shared" si="18"/>
        <v>-28.246753246750842</v>
      </c>
      <c r="R21" s="99">
        <f t="shared" si="19"/>
        <v>0.82424242424243921</v>
      </c>
      <c r="S21" s="426"/>
      <c r="T21" s="19">
        <v>0.63263888888888897</v>
      </c>
      <c r="U21" s="19">
        <v>0.66319444444444398</v>
      </c>
      <c r="V21" s="30">
        <f>(T21-U20)*24*60</f>
        <v>11.999999999999478</v>
      </c>
      <c r="W21" s="149">
        <f t="shared" si="12"/>
        <v>43.999999999999204</v>
      </c>
      <c r="X21" s="92"/>
      <c r="Y21" s="298"/>
      <c r="Z21" s="90"/>
      <c r="AA21" s="90"/>
      <c r="AB21" s="434" t="s">
        <v>140</v>
      </c>
      <c r="AC21" s="434"/>
      <c r="AD21" s="92"/>
      <c r="AE21" s="92"/>
      <c r="AF21" s="308"/>
      <c r="AG21" s="85"/>
      <c r="AH21" s="405"/>
    </row>
    <row r="22" spans="1:34" ht="15" customHeight="1">
      <c r="A22" s="423"/>
      <c r="B22" s="30" t="s">
        <v>145</v>
      </c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9"/>
      <c r="U22" s="19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12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20">AVERAGE(J16:J25)</f>
        <v>14.333333333333334</v>
      </c>
      <c r="K26" s="155">
        <f t="shared" si="20"/>
        <v>2250</v>
      </c>
      <c r="L26" s="158">
        <f t="shared" si="20"/>
        <v>158.32255979314803</v>
      </c>
      <c r="M26" s="155">
        <f t="shared" si="20"/>
        <v>14.333333333333334</v>
      </c>
      <c r="N26" s="155">
        <f t="shared" si="20"/>
        <v>2067.8432046713688</v>
      </c>
      <c r="O26" s="158">
        <f t="shared" si="20"/>
        <v>145.48597563329585</v>
      </c>
      <c r="P26" s="159">
        <f>M26-J26</f>
        <v>0</v>
      </c>
      <c r="Q26" s="160">
        <f>O26-L26</f>
        <v>-12.83658415985218</v>
      </c>
      <c r="R26" s="161">
        <f>O26/L26</f>
        <v>0.91892132001514215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21">N26-K26</f>
        <v>-182.15679532863123</v>
      </c>
      <c r="AG26" s="124">
        <f t="shared" ref="AG26:AG31" si="22">N26/K26</f>
        <v>0.91904142429838609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50.67</v>
      </c>
      <c r="G27" s="169">
        <v>1829</v>
      </c>
      <c r="H27" s="134">
        <f>F27*G27</f>
        <v>92675.430000000008</v>
      </c>
      <c r="I27" s="135"/>
      <c r="J27" s="136">
        <f>VLOOKUP(D27,產線配置圖!$A$3:$C$40,2,0)</f>
        <v>13</v>
      </c>
      <c r="K27" s="137">
        <f>VLOOKUP(D27,產線配置圖!$A$3:$C$40,3,0)</f>
        <v>1440</v>
      </c>
      <c r="L27" s="138">
        <f>K27/J27</f>
        <v>110.76923076923077</v>
      </c>
      <c r="M27" s="170">
        <v>13</v>
      </c>
      <c r="N27" s="140">
        <f>G27/W27*60</f>
        <v>1371.7500000000143</v>
      </c>
      <c r="O27" s="141">
        <f>N27/M27</f>
        <v>105.51923076923187</v>
      </c>
      <c r="P27" s="142">
        <f>M27-J27</f>
        <v>0</v>
      </c>
      <c r="Q27" s="143">
        <f>O27-L27</f>
        <v>-5.2499999999989058</v>
      </c>
      <c r="R27" s="144">
        <f>O27/L27</f>
        <v>0.95260416666667658</v>
      </c>
      <c r="S27" s="425">
        <f>R37</f>
        <v>0.88113779016707705</v>
      </c>
      <c r="T27" s="171">
        <v>0.29166666666666702</v>
      </c>
      <c r="U27" s="171">
        <v>0.34722222222222199</v>
      </c>
      <c r="V27" s="135"/>
      <c r="W27" s="146">
        <f t="shared" si="12"/>
        <v>79.999999999999162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21"/>
        <v>-68.249999999985675</v>
      </c>
      <c r="AG27" s="172">
        <f t="shared" si="22"/>
        <v>0.95260416666667658</v>
      </c>
      <c r="AH27" s="403">
        <f>AG37</f>
        <v>0.86332407790464716</v>
      </c>
    </row>
    <row r="28" spans="1:34" ht="15" customHeight="1">
      <c r="A28" s="457"/>
      <c r="B28" s="75" t="s">
        <v>81</v>
      </c>
      <c r="C28" s="173"/>
      <c r="D28" s="59" t="s">
        <v>122</v>
      </c>
      <c r="E28" s="104"/>
      <c r="F28" s="75">
        <f>VLOOKUP(D28,廠價表!$C$1:$E$43,3,0)</f>
        <v>57.21</v>
      </c>
      <c r="G28" s="90">
        <v>1228</v>
      </c>
      <c r="H28" s="91">
        <f>F28*G28</f>
        <v>70253.88</v>
      </c>
      <c r="I28" s="92"/>
      <c r="J28" s="79">
        <f>VLOOKUP(D28,產線配置圖!$A$3:$C$40,2,0)</f>
        <v>18</v>
      </c>
      <c r="K28" s="80">
        <f>VLOOKUP(D28,產線配置圖!$A$3:$C$40,3,0)</f>
        <v>1565</v>
      </c>
      <c r="L28" s="93">
        <f>K28/J28</f>
        <v>86.944444444444443</v>
      </c>
      <c r="M28" s="94">
        <v>17</v>
      </c>
      <c r="N28" s="95">
        <f>G28/W28*60</f>
        <v>1228.0000000000205</v>
      </c>
      <c r="O28" s="96">
        <f>N28/M28</f>
        <v>72.235294117648266</v>
      </c>
      <c r="P28" s="97">
        <f>M28-J28</f>
        <v>-1</v>
      </c>
      <c r="Q28" s="98">
        <f>O28-L28</f>
        <v>-14.709150326796177</v>
      </c>
      <c r="R28" s="99">
        <f>O28/L28</f>
        <v>0.83082127419659346</v>
      </c>
      <c r="S28" s="426"/>
      <c r="T28" s="19">
        <v>0.35277777777777802</v>
      </c>
      <c r="U28" s="19">
        <v>0.39444444444444399</v>
      </c>
      <c r="V28" s="92">
        <f>(T28-U27)*24*60</f>
        <v>8.000000000000691</v>
      </c>
      <c r="W28" s="149">
        <f t="shared" si="12"/>
        <v>59.999999999998991</v>
      </c>
      <c r="X28" s="174"/>
      <c r="Y28" s="301"/>
      <c r="Z28" s="335">
        <v>2</v>
      </c>
      <c r="AA28" s="335">
        <v>10</v>
      </c>
      <c r="AB28" s="434" t="s">
        <v>163</v>
      </c>
      <c r="AC28" s="407"/>
      <c r="AD28" s="92"/>
      <c r="AE28" s="92"/>
      <c r="AF28" s="311">
        <f t="shared" si="21"/>
        <v>-336.99999999997954</v>
      </c>
      <c r="AG28" s="99">
        <f t="shared" si="22"/>
        <v>0.78466453674122716</v>
      </c>
      <c r="AH28" s="445"/>
    </row>
    <row r="29" spans="1:34" ht="15" customHeight="1">
      <c r="A29" s="457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2096</v>
      </c>
      <c r="H29" s="91">
        <f>F29*G29</f>
        <v>119912.16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18</v>
      </c>
      <c r="N29" s="95">
        <f>G29/W29*60</f>
        <v>1479.5294117647015</v>
      </c>
      <c r="O29" s="96">
        <f>N29/M29</f>
        <v>82.196078431372314</v>
      </c>
      <c r="P29" s="97">
        <f>M29-J29</f>
        <v>0</v>
      </c>
      <c r="Q29" s="98">
        <f>O29-L29</f>
        <v>-8.6928104575165719</v>
      </c>
      <c r="R29" s="99">
        <f>O29/L29</f>
        <v>0.90435783115201818</v>
      </c>
      <c r="S29" s="426"/>
      <c r="T29" s="19">
        <v>0.40138888888888902</v>
      </c>
      <c r="U29" s="19">
        <v>0.46041666666666697</v>
      </c>
      <c r="V29" s="92">
        <f>(T29-U28)*24*60</f>
        <v>10.000000000000844</v>
      </c>
      <c r="W29" s="149">
        <f t="shared" si="12"/>
        <v>85.000000000000256</v>
      </c>
      <c r="X29" s="22"/>
      <c r="Y29" s="84"/>
      <c r="Z29" s="90">
        <v>1</v>
      </c>
      <c r="AA29" s="90">
        <v>5</v>
      </c>
      <c r="AB29" s="407" t="s">
        <v>164</v>
      </c>
      <c r="AC29" s="407"/>
      <c r="AD29" s="92"/>
      <c r="AE29" s="92"/>
      <c r="AF29" s="312">
        <f t="shared" si="21"/>
        <v>-156.47058823529846</v>
      </c>
      <c r="AG29" s="99">
        <f t="shared" si="22"/>
        <v>0.90435783115201807</v>
      </c>
      <c r="AH29" s="445"/>
    </row>
    <row r="30" spans="1:34" ht="15" customHeight="1">
      <c r="A30" s="457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2300</v>
      </c>
      <c r="H30" s="91">
        <f>F30*G30</f>
        <v>131583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18</v>
      </c>
      <c r="N30" s="95">
        <f>G30/W30*60</f>
        <v>1339.8058252427336</v>
      </c>
      <c r="O30" s="96">
        <f>N30/M30</f>
        <v>74.433656957929642</v>
      </c>
      <c r="P30" s="97">
        <f>M30-J30</f>
        <v>0</v>
      </c>
      <c r="Q30" s="98">
        <f>O30-L30</f>
        <v>-16.455231930959243</v>
      </c>
      <c r="R30" s="99">
        <f>O30/L30</f>
        <v>0.81895221591854128</v>
      </c>
      <c r="S30" s="426"/>
      <c r="T30" s="19">
        <v>0.52430555555555602</v>
      </c>
      <c r="U30" s="19">
        <v>0.59583333333333299</v>
      </c>
      <c r="V30" s="92">
        <f>(T30-U29)*24*60</f>
        <v>92.000000000000227</v>
      </c>
      <c r="W30" s="149">
        <f t="shared" si="12"/>
        <v>102.99999999999883</v>
      </c>
      <c r="X30" s="174"/>
      <c r="Y30" s="301"/>
      <c r="Z30" s="335"/>
      <c r="AA30" s="335"/>
      <c r="AB30" s="407"/>
      <c r="AC30" s="407"/>
      <c r="AD30" s="92"/>
      <c r="AE30" s="92"/>
      <c r="AF30" s="312">
        <f t="shared" si="21"/>
        <v>-296.19417475726641</v>
      </c>
      <c r="AG30" s="99">
        <f t="shared" si="22"/>
        <v>0.81895221591854128</v>
      </c>
      <c r="AH30" s="446"/>
    </row>
    <row r="31" spans="1:34" ht="15" customHeight="1">
      <c r="A31" s="457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6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21"/>
        <v>0</v>
      </c>
      <c r="AG31" s="99" t="e">
        <f t="shared" si="22"/>
        <v>#DIV/0!</v>
      </c>
      <c r="AH31" s="405"/>
    </row>
    <row r="32" spans="1:34" ht="15" customHeight="1">
      <c r="A32" s="457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9"/>
      <c r="U34" s="19"/>
      <c r="V34" s="92"/>
      <c r="W34" s="149">
        <f t="shared" si="12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3">AVERAGE(J27:J36)</f>
        <v>16.75</v>
      </c>
      <c r="K37" s="155">
        <f t="shared" si="23"/>
        <v>1569.25</v>
      </c>
      <c r="L37" s="158">
        <f t="shared" si="23"/>
        <v>94.872863247863251</v>
      </c>
      <c r="M37" s="155">
        <f t="shared" si="23"/>
        <v>16.5</v>
      </c>
      <c r="N37" s="155">
        <f t="shared" si="23"/>
        <v>1354.7713092518675</v>
      </c>
      <c r="O37" s="158">
        <f t="shared" si="23"/>
        <v>83.596065069045522</v>
      </c>
      <c r="P37" s="159">
        <f>M37-J37</f>
        <v>-0.25</v>
      </c>
      <c r="Q37" s="160">
        <f>N37-K37</f>
        <v>-214.47869074813252</v>
      </c>
      <c r="R37" s="161">
        <f>O37/L37</f>
        <v>0.88113779016707705</v>
      </c>
      <c r="S37" s="427"/>
      <c r="T37" s="163"/>
      <c r="U37" s="163"/>
      <c r="V37" s="164"/>
      <c r="W37" s="164"/>
      <c r="X37" s="321"/>
      <c r="Y37" s="322"/>
      <c r="Z37" s="334">
        <f>SUM(Z27:Z36)</f>
        <v>3</v>
      </c>
      <c r="AA37" s="334">
        <f>SUM(AA27:AA36)</f>
        <v>15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-214.47869074813252</v>
      </c>
      <c r="AG37" s="124">
        <f>N37/K37</f>
        <v>0.86332407790464716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364"/>
      <c r="F38" s="39">
        <f>VLOOKUP(D38,廠價表!$C$1:$E$43,3,0)</f>
        <v>49.91</v>
      </c>
      <c r="G38" s="186">
        <v>2770</v>
      </c>
      <c r="H38" s="134">
        <f>F38*G38</f>
        <v>138250.69999999998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1582.8571428571352</v>
      </c>
      <c r="O38" s="141">
        <f>N38/M38</f>
        <v>105.52380952380901</v>
      </c>
      <c r="P38" s="142">
        <f>M38-J38</f>
        <v>0</v>
      </c>
      <c r="Q38" s="143">
        <f>O38-L38</f>
        <v>-8.7428571428576589</v>
      </c>
      <c r="R38" s="144">
        <f>O38/L38</f>
        <v>0.9234872478746412</v>
      </c>
      <c r="S38" s="453">
        <f>R48</f>
        <v>0.90165917556779784</v>
      </c>
      <c r="T38" s="191">
        <v>0.33333333333333298</v>
      </c>
      <c r="U38" s="191">
        <v>0.40625</v>
      </c>
      <c r="V38" s="192"/>
      <c r="W38" s="193">
        <f t="shared" si="12"/>
        <v>105.00000000000051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-131.14285714286484</v>
      </c>
      <c r="AG38" s="195">
        <f>N38/K38</f>
        <v>0.92348724787464131</v>
      </c>
      <c r="AH38" s="459">
        <f>AG48</f>
        <v>0.90193838971683848</v>
      </c>
    </row>
    <row r="39" spans="1:34" ht="15" customHeight="1">
      <c r="A39" s="451"/>
      <c r="B39" s="75" t="s">
        <v>128</v>
      </c>
      <c r="C39" s="207"/>
      <c r="D39" s="198" t="s">
        <v>130</v>
      </c>
      <c r="E39" s="178"/>
      <c r="F39" s="75">
        <f>VLOOKUP(D39,廠價表!$C$1:$E$43,3,0)</f>
        <v>44.3</v>
      </c>
      <c r="G39" s="199">
        <v>2733</v>
      </c>
      <c r="H39" s="91">
        <f>F39*G39</f>
        <v>121071.9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1546.9811320754739</v>
      </c>
      <c r="O39" s="203">
        <f>N39/M39</f>
        <v>90.998890122086692</v>
      </c>
      <c r="P39" s="97">
        <f>M39-J39</f>
        <v>0</v>
      </c>
      <c r="Q39" s="98">
        <f>O39-L39</f>
        <v>-5.2364039955603658</v>
      </c>
      <c r="R39" s="99">
        <f>O39/L39</f>
        <v>0.94558748904368817</v>
      </c>
      <c r="S39" s="454"/>
      <c r="T39" s="20">
        <v>0.41249999999999998</v>
      </c>
      <c r="U39" s="20">
        <v>0.48611111111111099</v>
      </c>
      <c r="V39" s="92">
        <f>(T39-U38)*24*60</f>
        <v>8.999999999999968</v>
      </c>
      <c r="W39" s="205">
        <f t="shared" si="12"/>
        <v>105.99999999999986</v>
      </c>
      <c r="X39" s="22"/>
      <c r="Y39" s="84"/>
      <c r="Z39" s="90"/>
      <c r="AA39" s="90"/>
      <c r="AB39" s="462"/>
      <c r="AC39" s="462"/>
      <c r="AD39" s="200"/>
      <c r="AE39" s="200"/>
      <c r="AF39" s="314">
        <f>N39-K39</f>
        <v>-89.018867924526148</v>
      </c>
      <c r="AG39" s="206">
        <f>N39/K39</f>
        <v>0.94558748904368817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3335</v>
      </c>
      <c r="H40" s="91">
        <f t="shared" ref="H40:H41" si="24">F40*G40</f>
        <v>147740.5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 t="shared" ref="L40:L41" si="25">K40/J40</f>
        <v>96.235294117647058</v>
      </c>
      <c r="M40" s="201">
        <v>17</v>
      </c>
      <c r="N40" s="202">
        <f>G40/W40*60</f>
        <v>1419.1489361702211</v>
      </c>
      <c r="O40" s="203">
        <f>N40/M40</f>
        <v>83.479349186483589</v>
      </c>
      <c r="P40" s="97">
        <f>M40-J40</f>
        <v>0</v>
      </c>
      <c r="Q40" s="98">
        <f>O40-L40</f>
        <v>-12.755944931163469</v>
      </c>
      <c r="R40" s="99">
        <f>O40/L40</f>
        <v>0.86745044998179766</v>
      </c>
      <c r="S40" s="440"/>
      <c r="T40" s="20">
        <v>0.54305555555555596</v>
      </c>
      <c r="U40" s="210">
        <v>0.64097222222222205</v>
      </c>
      <c r="V40" s="92">
        <f>(T40-U39)*24*60</f>
        <v>82.000000000000753</v>
      </c>
      <c r="W40" s="205">
        <f t="shared" si="12"/>
        <v>140.99999999999918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-216.85106382977892</v>
      </c>
      <c r="AG40" s="206">
        <f>N40/K40</f>
        <v>0.86745044998179777</v>
      </c>
      <c r="AH40" s="460"/>
    </row>
    <row r="41" spans="1:34" ht="15" customHeight="1">
      <c r="A41" s="451"/>
      <c r="B41" s="75" t="s">
        <v>128</v>
      </c>
      <c r="C41" s="86"/>
      <c r="D41" s="198" t="s">
        <v>129</v>
      </c>
      <c r="E41" s="87"/>
      <c r="F41" s="75">
        <f>VLOOKUP(D41,廠價表!$C$1:$E$43,3,0)</f>
        <v>49.91</v>
      </c>
      <c r="G41" s="199">
        <v>996</v>
      </c>
      <c r="H41" s="91">
        <f t="shared" si="24"/>
        <v>49710.359999999993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 t="shared" si="25"/>
        <v>114.26666666666667</v>
      </c>
      <c r="M41" s="201">
        <v>15</v>
      </c>
      <c r="N41" s="202">
        <f>G41/W41*60</f>
        <v>1493.9999999999873</v>
      </c>
      <c r="O41" s="203">
        <f>N41/M41</f>
        <v>99.599999999999156</v>
      </c>
      <c r="P41" s="97">
        <f>M41-J41</f>
        <v>0</v>
      </c>
      <c r="Q41" s="98">
        <f>O41-L41</f>
        <v>-14.66666666666751</v>
      </c>
      <c r="R41" s="99">
        <f>O41/L41</f>
        <v>0.87164527421236138</v>
      </c>
      <c r="S41" s="440"/>
      <c r="T41" s="210">
        <v>0.64583333333333304</v>
      </c>
      <c r="U41" s="210">
        <v>0.67361111111111105</v>
      </c>
      <c r="V41" s="92">
        <f>(T41-U40)*24*60</f>
        <v>6.9999999999998153</v>
      </c>
      <c r="W41" s="205">
        <f t="shared" si="12"/>
        <v>40.000000000000341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-220.00000000001273</v>
      </c>
      <c r="AG41" s="206">
        <f>N41/K41</f>
        <v>0.87164527421236127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6">AVERAGE(J38:J47)</f>
        <v>16</v>
      </c>
      <c r="K48" s="155">
        <f t="shared" si="26"/>
        <v>1675</v>
      </c>
      <c r="L48" s="158">
        <f t="shared" si="26"/>
        <v>105.25098039215686</v>
      </c>
      <c r="M48" s="155">
        <f t="shared" si="26"/>
        <v>16</v>
      </c>
      <c r="N48" s="155">
        <f t="shared" si="26"/>
        <v>1510.7468027757045</v>
      </c>
      <c r="O48" s="158">
        <f t="shared" si="26"/>
        <v>94.900512208094611</v>
      </c>
      <c r="P48" s="221">
        <f>M48-J48</f>
        <v>0</v>
      </c>
      <c r="Q48" s="222">
        <f>N48-K48</f>
        <v>-164.25319722429549</v>
      </c>
      <c r="R48" s="223">
        <f>O48/L48</f>
        <v>0.90165917556779784</v>
      </c>
      <c r="S48" s="443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27">N48-K48</f>
        <v>-164.25319722429549</v>
      </c>
      <c r="AG48" s="162">
        <f t="shared" ref="AG48:AG53" si="28">N48/K48</f>
        <v>0.90193838971683848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2574</v>
      </c>
      <c r="H49" s="134">
        <f>F49*G49</f>
        <v>127464.48000000001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1592.1649484536113</v>
      </c>
      <c r="O49" s="141">
        <f>N49/M49</f>
        <v>93.65676167374184</v>
      </c>
      <c r="P49" s="229">
        <f>M49-J49</f>
        <v>0</v>
      </c>
      <c r="Q49" s="230">
        <f>O49-L49</f>
        <v>-12.225591267434623</v>
      </c>
      <c r="R49" s="52">
        <f>O49/L49</f>
        <v>0.88453608247422855</v>
      </c>
      <c r="S49" s="439">
        <f>R58</f>
        <v>0.9171199350120709</v>
      </c>
      <c r="T49" s="191">
        <v>0.29097222222222202</v>
      </c>
      <c r="U49" s="191">
        <v>0.358333333333333</v>
      </c>
      <c r="V49" s="55"/>
      <c r="W49" s="193">
        <f t="shared" si="12"/>
        <v>96.999999999999815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27"/>
        <v>-207.83505154638874</v>
      </c>
      <c r="AG49" s="52">
        <f t="shared" si="28"/>
        <v>0.88453608247422844</v>
      </c>
      <c r="AH49" s="403">
        <f>AG58</f>
        <v>0.91889318236536199</v>
      </c>
    </row>
    <row r="50" spans="1:34" ht="15" customHeight="1">
      <c r="A50" s="469"/>
      <c r="B50" s="75" t="s">
        <v>81</v>
      </c>
      <c r="C50" s="76"/>
      <c r="D50" s="59" t="s">
        <v>132</v>
      </c>
      <c r="E50" s="77"/>
      <c r="F50" s="75">
        <f>VLOOKUP(D50,廠價表!$C$1:$E$43,3,0)</f>
        <v>49.97</v>
      </c>
      <c r="G50" s="202">
        <v>2686</v>
      </c>
      <c r="H50" s="231">
        <f>F50*G50</f>
        <v>134219.41999999998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1580.0000000000068</v>
      </c>
      <c r="O50" s="235">
        <f>N50/M50</f>
        <v>98.750000000000426</v>
      </c>
      <c r="P50" s="74">
        <f>M50-J50</f>
        <v>0</v>
      </c>
      <c r="Q50" s="83">
        <f>O50-L50</f>
        <v>-13.749999999999574</v>
      </c>
      <c r="R50" s="72">
        <f>O50/L50</f>
        <v>0.87777777777778154</v>
      </c>
      <c r="S50" s="440"/>
      <c r="T50" s="21">
        <v>0.36527777777777798</v>
      </c>
      <c r="U50" s="21">
        <v>0.43611111111111101</v>
      </c>
      <c r="V50" s="30">
        <f>(T50-U49)*24*60</f>
        <v>10.000000000000764</v>
      </c>
      <c r="W50" s="236">
        <f t="shared" si="12"/>
        <v>101.99999999999956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27"/>
        <v>-219.99999999999318</v>
      </c>
      <c r="AG50" s="72">
        <f t="shared" si="28"/>
        <v>0.87777777777778154</v>
      </c>
      <c r="AH50" s="404"/>
    </row>
    <row r="51" spans="1:34" ht="15" customHeight="1">
      <c r="A51" s="469"/>
      <c r="B51" s="75" t="s">
        <v>81</v>
      </c>
      <c r="C51" s="76"/>
      <c r="D51" s="59" t="s">
        <v>133</v>
      </c>
      <c r="E51" s="77"/>
      <c r="F51" s="75">
        <f>VLOOKUP(D51,廠價表!$C$1:$E$43,3,0)</f>
        <v>50.289000000000001</v>
      </c>
      <c r="G51" s="202">
        <v>761</v>
      </c>
      <c r="H51" s="231">
        <f>F51*G51</f>
        <v>38269.929000000004</v>
      </c>
      <c r="I51" s="232"/>
      <c r="J51" s="79">
        <f>VLOOKUP(D51,產線配置圖!$A$3:$C$40,2,0)</f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1472.903225806434</v>
      </c>
      <c r="O51" s="235">
        <f>N51/M51</f>
        <v>81.827956989246331</v>
      </c>
      <c r="P51" s="74">
        <f>M51-J51</f>
        <v>0</v>
      </c>
      <c r="Q51" s="83">
        <f>O51-L51</f>
        <v>-5.1164874551981114</v>
      </c>
      <c r="R51" s="72">
        <f>O51/L51</f>
        <v>0.94115222096257767</v>
      </c>
      <c r="S51" s="440"/>
      <c r="T51" s="21">
        <v>0.44027777777777799</v>
      </c>
      <c r="U51" s="19">
        <v>0.46180555555555602</v>
      </c>
      <c r="V51" s="30">
        <f>(T51-U50)*24*60</f>
        <v>6.0000000000004583</v>
      </c>
      <c r="W51" s="236">
        <f t="shared" si="12"/>
        <v>31.000000000000369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27"/>
        <v>-92.096774193566034</v>
      </c>
      <c r="AG51" s="72">
        <f t="shared" si="28"/>
        <v>0.94115222096257767</v>
      </c>
      <c r="AH51" s="404"/>
    </row>
    <row r="52" spans="1:34" ht="15" customHeight="1">
      <c r="A52" s="469"/>
      <c r="B52" s="75" t="s">
        <v>81</v>
      </c>
      <c r="C52" s="86"/>
      <c r="D52" s="59" t="s">
        <v>133</v>
      </c>
      <c r="E52" s="87"/>
      <c r="F52" s="75">
        <f>VLOOKUP(D52,廠價表!$C$1:$E$43,3,0)</f>
        <v>50.289000000000001</v>
      </c>
      <c r="G52" s="202">
        <v>2895</v>
      </c>
      <c r="H52" s="231">
        <f t="shared" ref="H52:H53" si="29">F52*G52</f>
        <v>145586.655</v>
      </c>
      <c r="I52" s="232"/>
      <c r="J52" s="79">
        <f>VLOOKUP(D52,產線配置圖!$A$3:$C$40,2,0)</f>
        <v>18</v>
      </c>
      <c r="K52" s="80">
        <f>VLOOKUP(D52,產線配置圖!$A$3:$C$40,3,0)</f>
        <v>1565</v>
      </c>
      <c r="L52" s="81">
        <f t="shared" ref="L52:L53" si="30">K52/J52</f>
        <v>86.944444444444443</v>
      </c>
      <c r="M52" s="233">
        <v>18</v>
      </c>
      <c r="N52" s="234">
        <f t="shared" ref="N52:N53" si="31">G52/W52*60</f>
        <v>1564.8648648648727</v>
      </c>
      <c r="O52" s="235">
        <f t="shared" ref="O52:O53" si="32">N52/M52</f>
        <v>86.936936936937371</v>
      </c>
      <c r="P52" s="74">
        <f t="shared" ref="P52:P53" si="33">M52-J52</f>
        <v>0</v>
      </c>
      <c r="Q52" s="83">
        <f t="shared" ref="Q52:Q53" si="34">O52-L52</f>
        <v>-7.5075075070714092E-3</v>
      </c>
      <c r="R52" s="72">
        <f t="shared" ref="R52:R53" si="35">O52/L52</f>
        <v>0.99991365167084523</v>
      </c>
      <c r="S52" s="440"/>
      <c r="T52" s="21">
        <v>0.51875000000000004</v>
      </c>
      <c r="U52" s="21">
        <v>0.59583333333333299</v>
      </c>
      <c r="V52" s="30">
        <f>(T52-U51)*24*60</f>
        <v>81.999999999999389</v>
      </c>
      <c r="W52" s="236">
        <f t="shared" si="12"/>
        <v>110.99999999999945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27"/>
        <v>-0.13513513512725694</v>
      </c>
      <c r="AG52" s="72">
        <f t="shared" si="28"/>
        <v>0.99991365167084523</v>
      </c>
      <c r="AH52" s="404"/>
    </row>
    <row r="53" spans="1:34" ht="15" customHeight="1">
      <c r="A53" s="469"/>
      <c r="B53" s="101" t="s">
        <v>81</v>
      </c>
      <c r="C53" s="102"/>
      <c r="D53" s="103" t="s">
        <v>132</v>
      </c>
      <c r="E53" s="104"/>
      <c r="F53" s="75">
        <f>VLOOKUP(D53,廠價表!$C$1:$E$43,3,0)</f>
        <v>49.97</v>
      </c>
      <c r="G53" s="202">
        <v>3365</v>
      </c>
      <c r="H53" s="231">
        <f t="shared" si="29"/>
        <v>168149.05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30"/>
        <v>112.5</v>
      </c>
      <c r="M53" s="108">
        <v>16</v>
      </c>
      <c r="N53" s="234">
        <f t="shared" si="31"/>
        <v>1628.2258064516143</v>
      </c>
      <c r="O53" s="235">
        <f t="shared" si="32"/>
        <v>101.76411290322589</v>
      </c>
      <c r="P53" s="74">
        <f t="shared" si="33"/>
        <v>0</v>
      </c>
      <c r="Q53" s="83">
        <f t="shared" si="34"/>
        <v>-10.735887096774107</v>
      </c>
      <c r="R53" s="72">
        <f t="shared" si="35"/>
        <v>0.90456989247311903</v>
      </c>
      <c r="S53" s="440"/>
      <c r="T53" s="21">
        <v>0.60138888888888897</v>
      </c>
      <c r="U53" s="21">
        <v>0.6875</v>
      </c>
      <c r="V53" s="30">
        <f>(T53-U52)*24*60</f>
        <v>8.0000000000006111</v>
      </c>
      <c r="W53" s="236">
        <f t="shared" si="12"/>
        <v>123.99999999999989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27"/>
        <v>-171.77419354838571</v>
      </c>
      <c r="AG53" s="72">
        <f t="shared" si="28"/>
        <v>0.90456989247311903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36">AVERAGE(J49:J57)</f>
        <v>17</v>
      </c>
      <c r="K58" s="120">
        <f t="shared" si="36"/>
        <v>1706</v>
      </c>
      <c r="L58" s="117">
        <f t="shared" si="36"/>
        <v>100.95424836601308</v>
      </c>
      <c r="M58" s="120">
        <f t="shared" si="36"/>
        <v>17</v>
      </c>
      <c r="N58" s="120">
        <f t="shared" si="36"/>
        <v>1567.6317691153076</v>
      </c>
      <c r="O58" s="117">
        <f t="shared" si="36"/>
        <v>92.587153700630381</v>
      </c>
      <c r="P58" s="121">
        <f>M58-J58</f>
        <v>0</v>
      </c>
      <c r="Q58" s="122">
        <f>N58-K58</f>
        <v>-138.36823088469237</v>
      </c>
      <c r="R58" s="123">
        <f>O58/L58</f>
        <v>0.9171199350120709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-138.36823088469237</v>
      </c>
      <c r="AG58" s="124">
        <f>N58/K58</f>
        <v>0.91889318236536199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3080</v>
      </c>
      <c r="H59" s="243">
        <f>F59*G59</f>
        <v>83129.2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17</v>
      </c>
      <c r="N59" s="137">
        <f>G59/W59*60</f>
        <v>1606.9565217391328</v>
      </c>
      <c r="O59" s="138">
        <f>N59/M59</f>
        <v>94.526854219948987</v>
      </c>
      <c r="P59" s="56">
        <f>M59-J59</f>
        <v>2</v>
      </c>
      <c r="Q59" s="230">
        <f>O59-L59</f>
        <v>-9.8064791133843414</v>
      </c>
      <c r="R59" s="52">
        <f>O59/L59</f>
        <v>0.90600818741165168</v>
      </c>
      <c r="S59" s="439">
        <f>R69</f>
        <v>0.85493858624027619</v>
      </c>
      <c r="T59" s="245">
        <v>0.29166666666666702</v>
      </c>
      <c r="U59" s="245">
        <v>0.37152777777777801</v>
      </c>
      <c r="V59" s="55"/>
      <c r="W59" s="54">
        <f t="shared" si="12"/>
        <v>114.99999999999983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41.956521739132768</v>
      </c>
      <c r="AG59" s="246">
        <f>N59/K59</f>
        <v>1.0268092790665384</v>
      </c>
      <c r="AH59" s="403">
        <f>AG69</f>
        <v>0.99197011287194525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2234</v>
      </c>
      <c r="H60" s="78">
        <f>F60*G60</f>
        <v>63132.840000000004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14</v>
      </c>
      <c r="N60" s="80">
        <f>G60/W60*60</f>
        <v>1576.9411764705819</v>
      </c>
      <c r="O60" s="81">
        <f>N60/M60</f>
        <v>112.63865546218442</v>
      </c>
      <c r="P60" s="74">
        <f>M60-J60</f>
        <v>2</v>
      </c>
      <c r="Q60" s="83">
        <f>O60-L60</f>
        <v>-17.77801120448224</v>
      </c>
      <c r="R60" s="72">
        <f>O60/L60</f>
        <v>0.86368298117968889</v>
      </c>
      <c r="S60" s="467"/>
      <c r="T60" s="22">
        <v>0.37847222222222199</v>
      </c>
      <c r="U60" s="22">
        <v>0.4375</v>
      </c>
      <c r="V60" s="30">
        <f>(T60-U59)*24*60</f>
        <v>9.999999999999325</v>
      </c>
      <c r="W60" s="248">
        <f t="shared" si="12"/>
        <v>85.000000000000341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11.941176470581922</v>
      </c>
      <c r="AG60" s="249">
        <f>N60/K60</f>
        <v>1.007630144709637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1775</v>
      </c>
      <c r="H61" s="254">
        <f>F61*G61</f>
        <v>50161.5</v>
      </c>
      <c r="I61" s="182"/>
      <c r="J61" s="106">
        <f>VLOOKUP(D61,產線配置圖!$A$3:$C$40,2,0)</f>
        <v>11</v>
      </c>
      <c r="K61" s="107">
        <f>VLOOKUP(D61,產線配置圖!$A$3:$C$40,3,0)</f>
        <v>1565</v>
      </c>
      <c r="L61" s="238">
        <f>K61/J61</f>
        <v>142.27272727272728</v>
      </c>
      <c r="M61" s="108">
        <v>13</v>
      </c>
      <c r="N61" s="107">
        <f>G61/W61*60</f>
        <v>1638.461538461534</v>
      </c>
      <c r="O61" s="238">
        <f>N61/M61</f>
        <v>126.03550295857954</v>
      </c>
      <c r="P61" s="111">
        <f>M61-J61</f>
        <v>2</v>
      </c>
      <c r="Q61" s="255">
        <f>O61-L61</f>
        <v>-16.237224314147738</v>
      </c>
      <c r="R61" s="85">
        <f>O61/L61</f>
        <v>0.88587254475678912</v>
      </c>
      <c r="S61" s="440"/>
      <c r="T61" s="22">
        <v>0.44444444444444398</v>
      </c>
      <c r="U61" s="22">
        <v>0.48958333333333298</v>
      </c>
      <c r="V61" s="30">
        <f t="shared" ref="V61:V63" si="37">(T61-U60)*24*60</f>
        <v>9.999999999999325</v>
      </c>
      <c r="W61" s="256">
        <f t="shared" si="12"/>
        <v>65.000000000000171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73.461538461534019</v>
      </c>
      <c r="AG61" s="247">
        <f>N61/K61</f>
        <v>1.0469402801671144</v>
      </c>
      <c r="AH61" s="404"/>
    </row>
    <row r="62" spans="1:34" ht="15" customHeight="1">
      <c r="A62" s="465"/>
      <c r="B62" s="250" t="s">
        <v>125</v>
      </c>
      <c r="C62" s="251"/>
      <c r="D62" s="257" t="s">
        <v>126</v>
      </c>
      <c r="E62" s="253"/>
      <c r="F62" s="250">
        <f>VLOOKUP(D62,廠價表!$C$1:$E$43,3,0)</f>
        <v>28.26</v>
      </c>
      <c r="G62" s="38">
        <v>1867</v>
      </c>
      <c r="H62" s="254">
        <f t="shared" ref="H62:H63" si="38">F62*G62</f>
        <v>52761.420000000006</v>
      </c>
      <c r="I62" s="182"/>
      <c r="J62" s="106">
        <f>VLOOKUP(D62,產線配置圖!$A$3:$C$40,2,0)</f>
        <v>11</v>
      </c>
      <c r="K62" s="107">
        <f>VLOOKUP(D62,產線配置圖!$A$3:$C$40,3,0)</f>
        <v>1565</v>
      </c>
      <c r="L62" s="238">
        <f t="shared" ref="L62:L63" si="39">K62/J62</f>
        <v>142.27272727272728</v>
      </c>
      <c r="M62" s="108">
        <v>13</v>
      </c>
      <c r="N62" s="107">
        <f t="shared" ref="N62:N63" si="40">G62/W62*60</f>
        <v>1493.6000000000085</v>
      </c>
      <c r="O62" s="238">
        <f t="shared" ref="O62:O63" si="41">N62/M62</f>
        <v>114.89230769230835</v>
      </c>
      <c r="P62" s="111">
        <f t="shared" ref="P62:P63" si="42">M62-J62</f>
        <v>2</v>
      </c>
      <c r="Q62" s="255">
        <f t="shared" ref="Q62:Q63" si="43">O62-L62</f>
        <v>-27.380419580418931</v>
      </c>
      <c r="R62" s="85">
        <f t="shared" ref="R62:R63" si="44">O62/L62</f>
        <v>0.80754976652740684</v>
      </c>
      <c r="S62" s="440"/>
      <c r="T62" s="22">
        <v>0.54166666666666696</v>
      </c>
      <c r="U62" s="22">
        <v>0.59375</v>
      </c>
      <c r="V62" s="30">
        <f t="shared" si="37"/>
        <v>75.000000000000938</v>
      </c>
      <c r="W62" s="248">
        <f t="shared" si="12"/>
        <v>74.999999999999574</v>
      </c>
      <c r="X62" s="22"/>
      <c r="Y62" s="84"/>
      <c r="Z62" s="90"/>
      <c r="AA62" s="90"/>
      <c r="AB62" s="407"/>
      <c r="AC62" s="407"/>
      <c r="AD62" s="92"/>
      <c r="AE62" s="92"/>
      <c r="AF62" s="317">
        <f>N62-K62</f>
        <v>-71.399999999991451</v>
      </c>
      <c r="AG62" s="247">
        <f>N62/K62</f>
        <v>0.95437699680511734</v>
      </c>
      <c r="AH62" s="404"/>
    </row>
    <row r="63" spans="1:34" ht="15" customHeight="1">
      <c r="A63" s="465"/>
      <c r="B63" s="258" t="s">
        <v>125</v>
      </c>
      <c r="C63" s="58"/>
      <c r="D63" s="259" t="s">
        <v>134</v>
      </c>
      <c r="E63" s="60"/>
      <c r="F63" s="250">
        <f>VLOOKUP(D63,廠價表!$C$1:$E$43,3,0)</f>
        <v>26.99</v>
      </c>
      <c r="G63" s="260">
        <v>1398</v>
      </c>
      <c r="H63" s="254">
        <f t="shared" si="38"/>
        <v>37732.019999999997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39"/>
        <v>104.33333333333333</v>
      </c>
      <c r="M63" s="68">
        <v>17</v>
      </c>
      <c r="N63" s="107">
        <f t="shared" si="40"/>
        <v>1446.2068965517135</v>
      </c>
      <c r="O63" s="238">
        <f t="shared" si="41"/>
        <v>85.070993914806678</v>
      </c>
      <c r="P63" s="111">
        <f t="shared" si="42"/>
        <v>2</v>
      </c>
      <c r="Q63" s="255">
        <f t="shared" si="43"/>
        <v>-19.262339418526651</v>
      </c>
      <c r="R63" s="85">
        <f t="shared" si="44"/>
        <v>0.81537693848057524</v>
      </c>
      <c r="S63" s="440"/>
      <c r="T63" s="22">
        <v>0.60069444444444398</v>
      </c>
      <c r="U63" s="22">
        <v>0.64097222222222205</v>
      </c>
      <c r="V63" s="30">
        <f t="shared" si="37"/>
        <v>9.999999999999325</v>
      </c>
      <c r="W63" s="248">
        <f t="shared" si="12"/>
        <v>58.000000000000433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 t="s">
        <v>145</v>
      </c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07" t="s">
        <v>165</v>
      </c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45">AVERAGE(J59:J68)</f>
        <v>12.8</v>
      </c>
      <c r="K69" s="240">
        <f t="shared" si="45"/>
        <v>1565</v>
      </c>
      <c r="L69" s="268">
        <f t="shared" si="45"/>
        <v>124.72575757575757</v>
      </c>
      <c r="M69" s="240">
        <f t="shared" si="45"/>
        <v>14.8</v>
      </c>
      <c r="N69" s="240">
        <f t="shared" si="45"/>
        <v>1552.4332266445942</v>
      </c>
      <c r="O69" s="268">
        <f t="shared" si="45"/>
        <v>106.6328628495656</v>
      </c>
      <c r="P69" s="269">
        <f>M69-J69</f>
        <v>2</v>
      </c>
      <c r="Q69" s="222">
        <f>N69-K69</f>
        <v>-12.566773355405758</v>
      </c>
      <c r="R69" s="123">
        <f>O69/L69</f>
        <v>0.85493858624027619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-12.566773355405758</v>
      </c>
      <c r="AG69" s="124">
        <f>N69/K69</f>
        <v>0.99197011287194525</v>
      </c>
      <c r="AH69" s="406"/>
    </row>
    <row r="70" spans="1:36" ht="15" customHeight="1">
      <c r="A70" s="471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39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/>
      <c r="D79" s="430"/>
      <c r="E79" s="430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F3:AF4"/>
    <mergeCell ref="AG3:AG4"/>
    <mergeCell ref="AH3:AH4"/>
    <mergeCell ref="AB15:AC15"/>
    <mergeCell ref="AF1:AH2"/>
    <mergeCell ref="P1:S2"/>
    <mergeCell ref="T1:Y2"/>
    <mergeCell ref="S3:S4"/>
    <mergeCell ref="V3:V4"/>
    <mergeCell ref="P3:P4"/>
    <mergeCell ref="Q3:Q4"/>
    <mergeCell ref="R3:R4"/>
    <mergeCell ref="T3:U3"/>
    <mergeCell ref="AB1:AC2"/>
    <mergeCell ref="W3:W4"/>
    <mergeCell ref="X3:Y3"/>
    <mergeCell ref="Z3:AA3"/>
    <mergeCell ref="A2:B2"/>
    <mergeCell ref="A3:A4"/>
    <mergeCell ref="B3:B4"/>
    <mergeCell ref="D3:E4"/>
    <mergeCell ref="F3:F4"/>
    <mergeCell ref="G3:G4"/>
    <mergeCell ref="J1:L2"/>
    <mergeCell ref="M1:O2"/>
    <mergeCell ref="H3:H4"/>
    <mergeCell ref="I3:I4"/>
    <mergeCell ref="J3:J4"/>
    <mergeCell ref="K3:K4"/>
    <mergeCell ref="L3:L4"/>
    <mergeCell ref="M3:M4"/>
    <mergeCell ref="N3:N4"/>
    <mergeCell ref="O3:O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16:AC16"/>
    <mergeCell ref="AB24:AC24"/>
    <mergeCell ref="AB25:AC25"/>
    <mergeCell ref="AB26:AC2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48:E48"/>
    <mergeCell ref="AB48:AC48"/>
    <mergeCell ref="A5:A15"/>
    <mergeCell ref="S5:S15"/>
    <mergeCell ref="AB13:AC13"/>
    <mergeCell ref="AB5:AC5"/>
    <mergeCell ref="D15:E15"/>
    <mergeCell ref="S16:S26"/>
    <mergeCell ref="A16:A26"/>
    <mergeCell ref="D26:E26"/>
    <mergeCell ref="A38:A48"/>
    <mergeCell ref="S38:S48"/>
    <mergeCell ref="D37:E37"/>
    <mergeCell ref="AB37:AC37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28" priority="1" operator="greaterThan">
      <formula>0</formula>
    </cfRule>
  </conditionalFormatting>
  <conditionalFormatting sqref="Q5:Q79 AF5:AF79">
    <cfRule type="cellIs" dxfId="227" priority="4" operator="lessThan">
      <formula>0</formula>
    </cfRule>
  </conditionalFormatting>
  <conditionalFormatting sqref="R5:R79 AG5:AG79">
    <cfRule type="cellIs" dxfId="226" priority="2" operator="greaterThan">
      <formula>1</formula>
    </cfRule>
    <cfRule type="cellIs" dxfId="225" priority="3" operator="lessThan">
      <formula>0.8</formula>
    </cfRule>
  </conditionalFormatting>
  <conditionalFormatting sqref="S5:S10 S37:S62 AH59:AH62 S69:S76 AH69:AH76">
    <cfRule type="cellIs" dxfId="224" priority="7" operator="lessThan">
      <formula>0.8</formula>
    </cfRule>
  </conditionalFormatting>
  <conditionalFormatting sqref="S19:S25 AH19:AH25">
    <cfRule type="cellIs" dxfId="223" priority="6" operator="lessThan">
      <formula>0.8</formula>
    </cfRule>
  </conditionalFormatting>
  <conditionalFormatting sqref="S79">
    <cfRule type="cellIs" dxfId="222" priority="5" operator="lessThan">
      <formula>0.8</formula>
    </cfRule>
  </conditionalFormatting>
  <conditionalFormatting sqref="AH5:AH8 S15:S16 AH15:AH16 AH49 AH79">
    <cfRule type="cellIs" dxfId="221" priority="9" operator="lessThan">
      <formula>0.8</formula>
    </cfRule>
  </conditionalFormatting>
  <conditionalFormatting sqref="AH27 S27:S28">
    <cfRule type="cellIs" dxfId="2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E18E89-83FD-41EC-93E0-6FF5BE915DE8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A24B-682A-4963-BB30-AF268E1A70D3}">
  <dimension ref="B1:O26"/>
  <sheetViews>
    <sheetView topLeftCell="A5" zoomScale="70" zoomScaleNormal="70" workbookViewId="0">
      <selection activeCell="AB64" sqref="AB64:AC6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46182</v>
      </c>
      <c r="E3" s="510"/>
      <c r="F3" s="3" t="s">
        <v>72</v>
      </c>
      <c r="G3" s="511">
        <f>'0609'!E1</f>
        <v>73200</v>
      </c>
      <c r="H3" s="511"/>
      <c r="I3" s="3" t="s">
        <v>2</v>
      </c>
      <c r="J3" s="512">
        <f>'0609'!G1</f>
        <v>3577671.8669999996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119.95111752807831</v>
      </c>
      <c r="G6" s="507"/>
      <c r="H6" s="508">
        <f>AVERAGE(D13:H13,J13)</f>
        <v>116.3014304867246</v>
      </c>
      <c r="I6" s="508"/>
      <c r="J6" s="508">
        <f>AVERAGE(I13)</f>
        <v>124.72575757575757</v>
      </c>
      <c r="K6" s="508"/>
      <c r="L6" s="516">
        <f>SUM(D18:J18)</f>
        <v>1</v>
      </c>
      <c r="M6" s="499">
        <f>SUM(D19:J19)</f>
        <v>6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108.8736893691455</v>
      </c>
      <c r="G7" s="496"/>
      <c r="H7" s="497">
        <f>AVERAGE(D14:H14,J14)</f>
        <v>104.05258109394565</v>
      </c>
      <c r="I7" s="497"/>
      <c r="J7" s="497">
        <f>AVERAGE(I14)</f>
        <v>110.13692153115453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0.90765047973529889</v>
      </c>
      <c r="G8" s="502"/>
      <c r="H8" s="502">
        <f>H7/H6</f>
        <v>0.89468014845976362</v>
      </c>
      <c r="I8" s="502"/>
      <c r="J8" s="502">
        <f>J7/J6</f>
        <v>0.88303269245935923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VALUE('0609'!L15)</f>
        <v>140.14814814814815</v>
      </c>
      <c r="E13" s="13">
        <f>VALUE('0609'!L26)</f>
        <v>158.32255979314803</v>
      </c>
      <c r="F13" s="13">
        <f>VALUE('0609'!L37)</f>
        <v>88.259259259259252</v>
      </c>
      <c r="G13" s="13">
        <f>VALUE('0609'!L48)</f>
        <v>105.25098039215686</v>
      </c>
      <c r="H13" s="13">
        <f>VALUE('0609'!L58)</f>
        <v>103</v>
      </c>
      <c r="I13" s="13">
        <f>VALUE('0609'!L69)</f>
        <v>124.72575757575757</v>
      </c>
      <c r="J13" s="13">
        <f>'0609'!L79</f>
        <v>102.82763532763533</v>
      </c>
    </row>
    <row r="14" spans="2:15" ht="39.950000000000003" customHeight="1">
      <c r="B14" s="490"/>
      <c r="C14" s="12" t="s">
        <v>100</v>
      </c>
      <c r="D14" s="13">
        <f>VALUE('0609'!O15)</f>
        <v>128.00446318834716</v>
      </c>
      <c r="E14" s="13">
        <f>VALUE('0609'!O26)</f>
        <v>143.7395681665619</v>
      </c>
      <c r="F14" s="13">
        <f>VALUE('0609'!O37)</f>
        <v>80.915998021835051</v>
      </c>
      <c r="G14" s="13">
        <f>VALUE('0609'!O48)</f>
        <v>95.619913419912933</v>
      </c>
      <c r="H14" s="13">
        <f>VALUE('0609'!O58)</f>
        <v>94.825271887061461</v>
      </c>
      <c r="I14" s="13">
        <f>VALUE('0609'!O69)</f>
        <v>110.13692153115453</v>
      </c>
      <c r="J14" s="13">
        <f>'0609'!O79</f>
        <v>81.210271879955357</v>
      </c>
    </row>
    <row r="15" spans="2:15" ht="39.950000000000003" customHeight="1">
      <c r="B15" s="491"/>
      <c r="C15" s="10" t="s">
        <v>26</v>
      </c>
      <c r="D15" s="14">
        <f t="shared" ref="D15:I15" si="1">D14/D13</f>
        <v>0.91335108511769902</v>
      </c>
      <c r="E15" s="14">
        <f t="shared" si="1"/>
        <v>0.90789062755403183</v>
      </c>
      <c r="F15" s="14">
        <f t="shared" si="1"/>
        <v>0.91679897045301995</v>
      </c>
      <c r="G15" s="14">
        <f t="shared" si="1"/>
        <v>0.90849427780758596</v>
      </c>
      <c r="H15" s="14">
        <f t="shared" si="1"/>
        <v>0.92063370764137342</v>
      </c>
      <c r="I15" s="14">
        <f t="shared" si="1"/>
        <v>0.88303269245935923</v>
      </c>
      <c r="J15" s="15">
        <f>'0609'!S70</f>
        <v>0.78977087843358951</v>
      </c>
    </row>
    <row r="16" spans="2:15" ht="17.25" customHeight="1">
      <c r="B16" s="492" t="s">
        <v>101</v>
      </c>
      <c r="C16" s="10" t="s">
        <v>34</v>
      </c>
      <c r="D16" s="16">
        <f>'0609'!T5</f>
        <v>0.29375000000000001</v>
      </c>
      <c r="E16" s="16">
        <f>'0609'!T16</f>
        <v>0.29166666666666702</v>
      </c>
      <c r="F16" s="16">
        <f>'0609'!T27</f>
        <v>0.28819444444444398</v>
      </c>
      <c r="G16" s="16">
        <f>'0609'!T38</f>
        <v>0.33333333333333298</v>
      </c>
      <c r="H16" s="16">
        <f>'0609'!T49</f>
        <v>0.29166666666666702</v>
      </c>
      <c r="I16" s="16">
        <f>'0609'!T59</f>
        <v>0.29166666666666702</v>
      </c>
      <c r="J16" s="16">
        <f>'0609'!T70</f>
        <v>0.34375</v>
      </c>
    </row>
    <row r="17" spans="2:10" ht="17.25" customHeight="1">
      <c r="B17" s="493"/>
      <c r="C17" s="10" t="s">
        <v>35</v>
      </c>
      <c r="D17" s="22">
        <v>0.70138888888888895</v>
      </c>
      <c r="E17" s="19">
        <v>0.64236111111111105</v>
      </c>
      <c r="F17" s="19">
        <v>0.69444444444444398</v>
      </c>
      <c r="G17" s="210">
        <v>0.67013888888888895</v>
      </c>
      <c r="H17" s="21">
        <v>0.68402777777777801</v>
      </c>
      <c r="I17" s="22">
        <v>0.625</v>
      </c>
      <c r="J17" s="22">
        <v>0.54861111111111105</v>
      </c>
    </row>
    <row r="18" spans="2:10" ht="17.25" customHeight="1">
      <c r="B18" s="494" t="s">
        <v>102</v>
      </c>
      <c r="C18" s="330" t="s">
        <v>36</v>
      </c>
      <c r="D18" s="358">
        <f>'0609'!Z15</f>
        <v>1</v>
      </c>
      <c r="E18" s="359">
        <f>'0609'!Z26</f>
        <v>0</v>
      </c>
      <c r="F18" s="359">
        <f>'0609'!Z37</f>
        <v>0</v>
      </c>
      <c r="G18" s="360">
        <f>'0609'!Z48</f>
        <v>0</v>
      </c>
      <c r="H18" s="360">
        <f>'0609'!Z58</f>
        <v>0</v>
      </c>
      <c r="I18" s="359">
        <f>'0609'!Z69</f>
        <v>0</v>
      </c>
      <c r="J18" s="359">
        <f>'0609'!AA79</f>
        <v>0</v>
      </c>
    </row>
    <row r="19" spans="2:10" ht="17.25" customHeight="1">
      <c r="B19" s="495"/>
      <c r="C19" s="330" t="s">
        <v>37</v>
      </c>
      <c r="D19" s="358">
        <f>'0609'!AA15</f>
        <v>6</v>
      </c>
      <c r="E19" s="359">
        <f>'0609'!AA26</f>
        <v>0</v>
      </c>
      <c r="F19" s="359">
        <f>'0609'!AA37</f>
        <v>0</v>
      </c>
      <c r="G19" s="360">
        <f>'0609'!AA48</f>
        <v>0</v>
      </c>
      <c r="H19" s="360">
        <f>'0609'!AA58</f>
        <v>0</v>
      </c>
      <c r="I19" s="359">
        <f>'0609'!AA69</f>
        <v>0</v>
      </c>
      <c r="J19" s="359">
        <f>'0609'!AB79</f>
        <v>0</v>
      </c>
    </row>
    <row r="20" spans="2:10" ht="17.25" customHeight="1">
      <c r="B20" s="494" t="s">
        <v>103</v>
      </c>
      <c r="C20" s="330" t="s">
        <v>36</v>
      </c>
      <c r="D20" s="358">
        <f>'0609'!AD15</f>
        <v>0</v>
      </c>
      <c r="E20" s="359">
        <f>'0609'!AD26</f>
        <v>0</v>
      </c>
      <c r="F20" s="359">
        <f>'0609'!AD37</f>
        <v>0</v>
      </c>
      <c r="G20" s="360">
        <f>'0609'!AD48</f>
        <v>0</v>
      </c>
      <c r="H20" s="360">
        <f>'0609'!AD58</f>
        <v>0</v>
      </c>
      <c r="I20" s="359">
        <f>'0609'!AD69</f>
        <v>0</v>
      </c>
      <c r="J20" s="359">
        <f>'0609'!AD79</f>
        <v>0</v>
      </c>
    </row>
    <row r="21" spans="2:10" ht="17.25" customHeight="1">
      <c r="B21" s="495"/>
      <c r="C21" s="330" t="s">
        <v>85</v>
      </c>
      <c r="D21" s="358">
        <f>'0609'!AE15</f>
        <v>0</v>
      </c>
      <c r="E21" s="359">
        <f>'0609'!AE26</f>
        <v>0</v>
      </c>
      <c r="F21" s="359">
        <f>'0609'!AE37</f>
        <v>0</v>
      </c>
      <c r="G21" s="360">
        <f>'0609'!AE48</f>
        <v>0</v>
      </c>
      <c r="H21" s="360">
        <f>'0609'!AE58</f>
        <v>0</v>
      </c>
      <c r="I21" s="359">
        <f>'0609'!AE69</f>
        <v>0</v>
      </c>
      <c r="J21" s="359">
        <f>'0609'!AE79</f>
        <v>0</v>
      </c>
    </row>
    <row r="22" spans="2:10" ht="17.25" customHeight="1">
      <c r="B22" s="477" t="s">
        <v>104</v>
      </c>
      <c r="C22" s="478"/>
      <c r="D22" s="23">
        <f>VALUE('0609'!M15)</f>
        <v>15.5</v>
      </c>
      <c r="E22" s="23">
        <f>VALUE('0609'!M26)</f>
        <v>14.333333333333334</v>
      </c>
      <c r="F22" s="23">
        <f>VALUE('0609'!M37)</f>
        <v>17.666666666666668</v>
      </c>
      <c r="G22" s="23">
        <f>VALUE('0609'!M48)</f>
        <v>16</v>
      </c>
      <c r="H22" s="23">
        <f>VALUE('0609'!M58)</f>
        <v>16.2</v>
      </c>
      <c r="I22" s="23">
        <f>VALUE('0609'!M69)</f>
        <v>14.8</v>
      </c>
      <c r="J22" s="23">
        <f>'0609'!M79</f>
        <v>11.666666666666666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17AE-AEBF-4C49-A87E-4186ECBAE541}">
  <sheetPr>
    <tabColor theme="9" tint="0.79998168889431442"/>
  </sheetPr>
  <dimension ref="A1:AJ92"/>
  <sheetViews>
    <sheetView zoomScale="69" zoomScaleNormal="69" workbookViewId="0">
      <pane xSplit="5" ySplit="4" topLeftCell="S5" activePane="bottomRight" state="frozen"/>
      <selection activeCell="AB64" sqref="AB64:AC64"/>
      <selection pane="topRight" activeCell="AB64" sqref="AB64:AC64"/>
      <selection pane="bottomLeft" activeCell="AB64" sqref="AB64:AC64"/>
      <selection pane="bottomRight" activeCell="AD79" sqref="AD7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73200</v>
      </c>
      <c r="F1" s="30" t="s">
        <v>2</v>
      </c>
      <c r="G1" s="31">
        <f>SUM(H5:H79)</f>
        <v>3577671.8669999996</v>
      </c>
      <c r="H1" s="32" t="s">
        <v>3</v>
      </c>
      <c r="I1" s="33">
        <f>M15+M26+M48+M58+M69+M79+M37</f>
        <v>106.16666666666667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166</v>
      </c>
      <c r="B2" s="381"/>
      <c r="C2" s="28"/>
      <c r="D2" s="28" t="s">
        <v>14</v>
      </c>
      <c r="E2" s="35">
        <f>AVERAGE(O15,O26,O37,O48,O58,O69,O79)</f>
        <v>104.92177258497547</v>
      </c>
      <c r="F2" s="36" t="s">
        <v>15</v>
      </c>
      <c r="G2" s="37">
        <f>G1/E1</f>
        <v>48.875298729508188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1</v>
      </c>
      <c r="AA2" s="339">
        <f>AA15+AA26+AA37+AA48+AA58+AA69+AA79</f>
        <v>6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2575</v>
      </c>
      <c r="H5" s="43">
        <f>F5*G5</f>
        <v>146440.25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2116.4383561644026</v>
      </c>
      <c r="O5" s="47">
        <f>N5/M5</f>
        <v>141.09589041096018</v>
      </c>
      <c r="P5" s="49">
        <f>M5-J5</f>
        <v>0</v>
      </c>
      <c r="Q5" s="50">
        <f>O5-L5</f>
        <v>-8.9041095890398196</v>
      </c>
      <c r="R5" s="51">
        <f>O5/L5</f>
        <v>0.94063926940640119</v>
      </c>
      <c r="S5" s="439">
        <f>R15</f>
        <v>0.91335108511769902</v>
      </c>
      <c r="T5" s="319">
        <v>0.29375000000000001</v>
      </c>
      <c r="U5" s="320">
        <v>0.344444444444444</v>
      </c>
      <c r="V5" s="53"/>
      <c r="W5" s="54">
        <f t="shared" ref="W5:W14" si="0">(U5-T5)*24*60</f>
        <v>72.999999999999346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-133.56164383559735</v>
      </c>
      <c r="AG5" s="52">
        <f t="shared" ref="AG5:AG11" si="2">N5/K5</f>
        <v>0.94063926940640119</v>
      </c>
      <c r="AH5" s="403">
        <f>AG15</f>
        <v>0.9123673229330187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3489</v>
      </c>
      <c r="H6" s="63">
        <f>F6*G6</f>
        <v>202955.13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2052.3529411764794</v>
      </c>
      <c r="O6" s="67">
        <f>N6/M6</f>
        <v>136.82352941176529</v>
      </c>
      <c r="P6" s="69">
        <f>M6-J6</f>
        <v>0</v>
      </c>
      <c r="Q6" s="70">
        <f>O6-L6</f>
        <v>-13.176470588234707</v>
      </c>
      <c r="R6" s="71">
        <f>O6/L6</f>
        <v>0.91215686274510199</v>
      </c>
      <c r="S6" s="440"/>
      <c r="T6" s="16">
        <v>0.35138888888888897</v>
      </c>
      <c r="U6" s="16">
        <v>0.422222222222222</v>
      </c>
      <c r="V6" s="30">
        <f>(T6-U5)*24*60</f>
        <v>10.000000000000764</v>
      </c>
      <c r="W6" s="73">
        <f t="shared" si="0"/>
        <v>101.99999999999956</v>
      </c>
      <c r="X6" s="22"/>
      <c r="Y6" s="84"/>
      <c r="Z6" s="90">
        <v>1</v>
      </c>
      <c r="AA6" s="90">
        <v>6</v>
      </c>
      <c r="AB6" s="434" t="s">
        <v>167</v>
      </c>
      <c r="AC6" s="434"/>
      <c r="AD6" s="149"/>
      <c r="AE6" s="149"/>
      <c r="AF6" s="307">
        <f t="shared" si="1"/>
        <v>-197.64705882352064</v>
      </c>
      <c r="AG6" s="72">
        <f t="shared" si="2"/>
        <v>0.91215686274510199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2664</v>
      </c>
      <c r="H7" s="78">
        <f>F7*G7</f>
        <v>130908.96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2159.9999999999936</v>
      </c>
      <c r="O7" s="81">
        <f>N7/M7</f>
        <v>143.99999999999957</v>
      </c>
      <c r="P7" s="74">
        <f>M7-J7</f>
        <v>0</v>
      </c>
      <c r="Q7" s="83">
        <f>O7-L7</f>
        <v>-6.0000000000004263</v>
      </c>
      <c r="R7" s="72">
        <f>O7/L7</f>
        <v>0.95999999999999719</v>
      </c>
      <c r="S7" s="440"/>
      <c r="T7" s="18">
        <v>0.42777777777777798</v>
      </c>
      <c r="U7" s="18">
        <v>0.47916666666666702</v>
      </c>
      <c r="V7" s="30">
        <f>(T7-U6)*24*60</f>
        <v>8.0000000000006111</v>
      </c>
      <c r="W7" s="73">
        <f t="shared" si="0"/>
        <v>74.000000000000213</v>
      </c>
      <c r="X7" s="22"/>
      <c r="Y7" s="84"/>
      <c r="Z7" s="90"/>
      <c r="AA7" s="90"/>
      <c r="AB7" s="407"/>
      <c r="AC7" s="407"/>
      <c r="AD7" s="92"/>
      <c r="AE7" s="92"/>
      <c r="AF7" s="307">
        <f t="shared" si="1"/>
        <v>-90.000000000006366</v>
      </c>
      <c r="AG7" s="72">
        <f t="shared" si="2"/>
        <v>0.95999999999999719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3681</v>
      </c>
      <c r="H8" s="78">
        <f t="shared" ref="H8:H10" si="3">F8*G8</f>
        <v>180884.34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10" si="4">K8/J8</f>
        <v>150</v>
      </c>
      <c r="M8" s="82">
        <v>15</v>
      </c>
      <c r="N8" s="80">
        <f t="shared" ref="N8:N10" si="5">G8/W8*60</f>
        <v>2103.4285714285884</v>
      </c>
      <c r="O8" s="81">
        <f t="shared" ref="O8:O10" si="6">N8/M8</f>
        <v>140.22857142857256</v>
      </c>
      <c r="P8" s="74">
        <f t="shared" ref="P8:P10" si="7">M8-J8</f>
        <v>0</v>
      </c>
      <c r="Q8" s="83">
        <f t="shared" ref="Q8:Q10" si="8">O8-L8</f>
        <v>-9.7714285714274354</v>
      </c>
      <c r="R8" s="72">
        <f t="shared" ref="R8:R10" si="9">O8/L8</f>
        <v>0.93485714285715038</v>
      </c>
      <c r="S8" s="440"/>
      <c r="T8" s="16">
        <v>0.54166666666666696</v>
      </c>
      <c r="U8" s="16">
        <v>0.61458333333333304</v>
      </c>
      <c r="V8" s="30">
        <f t="shared" ref="V8:V10" si="10">(T8-U7)*24*60</f>
        <v>89.999999999999915</v>
      </c>
      <c r="W8" s="73">
        <f t="shared" si="0"/>
        <v>104.99999999999915</v>
      </c>
      <c r="X8" s="22"/>
      <c r="Y8" s="84"/>
      <c r="Z8" s="90"/>
      <c r="AA8" s="90"/>
      <c r="AB8" s="434"/>
      <c r="AC8" s="434"/>
      <c r="AD8" s="149"/>
      <c r="AE8" s="149"/>
      <c r="AF8" s="307">
        <f t="shared" si="1"/>
        <v>-146.57142857141162</v>
      </c>
      <c r="AG8" s="72">
        <f t="shared" si="2"/>
        <v>0.93485714285715038</v>
      </c>
      <c r="AH8" s="404"/>
    </row>
    <row r="9" spans="1:34" ht="15" customHeight="1">
      <c r="A9" s="437"/>
      <c r="B9" s="75" t="s">
        <v>81</v>
      </c>
      <c r="C9" s="76"/>
      <c r="D9" s="59" t="s">
        <v>113</v>
      </c>
      <c r="E9" s="77"/>
      <c r="F9" s="75">
        <f>VLOOKUP(D9,廠價表!$C$1:$E$43,3,0)</f>
        <v>56.87</v>
      </c>
      <c r="G9" s="66">
        <v>699</v>
      </c>
      <c r="H9" s="78">
        <f t="shared" si="3"/>
        <v>39752.129999999997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1906.3636363636156</v>
      </c>
      <c r="O9" s="81">
        <f t="shared" si="6"/>
        <v>127.0909090909077</v>
      </c>
      <c r="P9" s="74">
        <f t="shared" si="7"/>
        <v>0</v>
      </c>
      <c r="Q9" s="83">
        <f t="shared" si="8"/>
        <v>-22.909090909092299</v>
      </c>
      <c r="R9" s="72">
        <f t="shared" si="9"/>
        <v>0.84727272727271796</v>
      </c>
      <c r="S9" s="441"/>
      <c r="T9" s="16">
        <v>0.62013888888888902</v>
      </c>
      <c r="U9" s="16">
        <v>0.63541666666666696</v>
      </c>
      <c r="V9" s="30">
        <f t="shared" si="10"/>
        <v>8.0000000000006111</v>
      </c>
      <c r="W9" s="73">
        <f t="shared" si="0"/>
        <v>22.000000000000242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-343.63636363638443</v>
      </c>
      <c r="AG9" s="72">
        <f t="shared" si="2"/>
        <v>0.84727272727271807</v>
      </c>
      <c r="AH9" s="405"/>
    </row>
    <row r="10" spans="1:34" ht="15" customHeight="1">
      <c r="A10" s="437"/>
      <c r="B10" s="75" t="s">
        <v>81</v>
      </c>
      <c r="C10" s="86"/>
      <c r="D10" s="59" t="s">
        <v>124</v>
      </c>
      <c r="E10" s="87"/>
      <c r="F10" s="75">
        <f>VLOOKUP(D10,廠價表!$C$1:$E$43,3,0)</f>
        <v>57.21</v>
      </c>
      <c r="G10" s="62">
        <v>1300</v>
      </c>
      <c r="H10" s="78">
        <f t="shared" si="3"/>
        <v>74373</v>
      </c>
      <c r="I10" s="73"/>
      <c r="J10" s="79">
        <f>VLOOKUP(D10,產線配置圖!$A$3:$C$40,2,0)</f>
        <v>18</v>
      </c>
      <c r="K10" s="80">
        <f>VLOOKUP(D10,產線配置圖!$A$3:$C$40,3,0)</f>
        <v>1636</v>
      </c>
      <c r="L10" s="81">
        <f t="shared" si="4"/>
        <v>90.888888888888886</v>
      </c>
      <c r="M10" s="82">
        <v>18</v>
      </c>
      <c r="N10" s="80">
        <f t="shared" si="5"/>
        <v>1418.1818181817985</v>
      </c>
      <c r="O10" s="81">
        <f t="shared" si="6"/>
        <v>78.787878787877688</v>
      </c>
      <c r="P10" s="74">
        <f t="shared" si="7"/>
        <v>0</v>
      </c>
      <c r="Q10" s="83">
        <f t="shared" si="8"/>
        <v>-12.101010101011198</v>
      </c>
      <c r="R10" s="72">
        <f t="shared" si="9"/>
        <v>0.86685930206711392</v>
      </c>
      <c r="S10" s="441"/>
      <c r="T10" s="22">
        <v>0.66319444444444398</v>
      </c>
      <c r="U10" s="22">
        <v>0.70138888888888895</v>
      </c>
      <c r="V10" s="30">
        <f t="shared" si="10"/>
        <v>39.999999999998899</v>
      </c>
      <c r="W10" s="73">
        <f t="shared" si="0"/>
        <v>55.000000000000767</v>
      </c>
      <c r="X10" s="22"/>
      <c r="Y10" s="84"/>
      <c r="Z10" s="90"/>
      <c r="AA10" s="90"/>
      <c r="AB10" s="407" t="s">
        <v>127</v>
      </c>
      <c r="AC10" s="407"/>
      <c r="AD10" s="92"/>
      <c r="AE10" s="92"/>
      <c r="AF10" s="307">
        <f t="shared" si="1"/>
        <v>-217.81818181820154</v>
      </c>
      <c r="AG10" s="72">
        <f t="shared" si="2"/>
        <v>0.86685930206711392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11">AVERAGE(J5:J14)</f>
        <v>15.5</v>
      </c>
      <c r="K15" s="120">
        <f t="shared" si="11"/>
        <v>2147.6666666666665</v>
      </c>
      <c r="L15" s="117">
        <f t="shared" si="11"/>
        <v>140.14814814814815</v>
      </c>
      <c r="M15" s="120">
        <f t="shared" si="11"/>
        <v>15.5</v>
      </c>
      <c r="N15" s="120">
        <f t="shared" si="11"/>
        <v>1959.4608872191463</v>
      </c>
      <c r="O15" s="117">
        <f t="shared" si="11"/>
        <v>128.00446318834716</v>
      </c>
      <c r="P15" s="121">
        <f>M15-J15</f>
        <v>0</v>
      </c>
      <c r="Q15" s="122">
        <f>O15-L15</f>
        <v>-12.143684959800993</v>
      </c>
      <c r="R15" s="123">
        <f>O15/L15</f>
        <v>0.91335108511769902</v>
      </c>
      <c r="S15" s="443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6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-188.20577944752017</v>
      </c>
      <c r="AG15" s="124">
        <f>N15/K15</f>
        <v>0.9123673229330187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2643</v>
      </c>
      <c r="H16" s="134">
        <f>F16*G16</f>
        <v>133920.81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2142.9729729729688</v>
      </c>
      <c r="O16" s="141">
        <f>N16/M16</f>
        <v>153.06949806949777</v>
      </c>
      <c r="P16" s="142">
        <f>M16-J16</f>
        <v>0</v>
      </c>
      <c r="Q16" s="143">
        <f>O16-L16</f>
        <v>-7.6447876447879537</v>
      </c>
      <c r="R16" s="144">
        <f>O16/L16</f>
        <v>0.95243243243243048</v>
      </c>
      <c r="S16" s="425">
        <f>R26</f>
        <v>0.90789062755403183</v>
      </c>
      <c r="T16" s="145">
        <v>0.29166666666666702</v>
      </c>
      <c r="U16" s="145">
        <v>0.343055555555556</v>
      </c>
      <c r="V16" s="135"/>
      <c r="W16" s="146">
        <f t="shared" ref="W16:W78" si="12">(U16-T16)*24*60</f>
        <v>74.000000000000142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-107.02702702703118</v>
      </c>
      <c r="AG16" s="52">
        <f>N16/K16</f>
        <v>0.95243243243243059</v>
      </c>
      <c r="AH16" s="403">
        <f>AG26</f>
        <v>0.9063033300803307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2218</v>
      </c>
      <c r="H17" s="78">
        <f>F17*G17</f>
        <v>126891.78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2047.3846153846098</v>
      </c>
      <c r="O17" s="96">
        <f>N17/M17</f>
        <v>120.43438914027116</v>
      </c>
      <c r="P17" s="97">
        <f>M17-J17</f>
        <v>0</v>
      </c>
      <c r="Q17" s="98">
        <f>O17-L17</f>
        <v>-11.918552036199415</v>
      </c>
      <c r="R17" s="99">
        <f>O17/L17</f>
        <v>0.90994871794871557</v>
      </c>
      <c r="S17" s="426"/>
      <c r="T17" s="19">
        <v>0.35069444444444398</v>
      </c>
      <c r="U17" s="19">
        <v>0.39583333333333298</v>
      </c>
      <c r="V17" s="30">
        <f>(T17-U16)*24*60</f>
        <v>10.999999999998682</v>
      </c>
      <c r="W17" s="149">
        <f t="shared" si="12"/>
        <v>65.000000000000171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-202.61538461539021</v>
      </c>
      <c r="AG17" s="72">
        <f>N17/K17</f>
        <v>0.90994871794871546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1351</v>
      </c>
      <c r="H18" s="78">
        <f>F18*G18</f>
        <v>76480.11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1885.1162790697742</v>
      </c>
      <c r="O18" s="96">
        <f>N18/M18</f>
        <v>125.67441860465162</v>
      </c>
      <c r="P18" s="97">
        <f>M18-J18</f>
        <v>0</v>
      </c>
      <c r="Q18" s="98">
        <f>O18-L18</f>
        <v>-24.325581395348379</v>
      </c>
      <c r="R18" s="99">
        <f>O18/L18</f>
        <v>0.83782945736434411</v>
      </c>
      <c r="S18" s="426"/>
      <c r="T18" s="19">
        <v>0.40277777777777801</v>
      </c>
      <c r="U18" s="19">
        <v>0.43263888888888902</v>
      </c>
      <c r="V18" s="30">
        <f>(T18-U17)*24*60</f>
        <v>10.000000000000844</v>
      </c>
      <c r="W18" s="149">
        <f t="shared" si="12"/>
        <v>42.999999999999844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-364.88372093022576</v>
      </c>
      <c r="AG18" s="72">
        <f>N18/K18</f>
        <v>0.83782945736434411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2033</v>
      </c>
      <c r="H19" s="78">
        <f t="shared" ref="H19:H21" si="13">F19*G19</f>
        <v>102442.87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14">K19/J19</f>
        <v>173.07692307692307</v>
      </c>
      <c r="M19" s="148">
        <v>13</v>
      </c>
      <c r="N19" s="95">
        <f t="shared" ref="N19:N21" si="15">G19/W19*60</f>
        <v>2067.4576271186038</v>
      </c>
      <c r="O19" s="96">
        <f t="shared" ref="O19:O21" si="16">N19/M19</f>
        <v>159.03520208604644</v>
      </c>
      <c r="P19" s="97">
        <f t="shared" ref="P19:P21" si="17">M19-J19</f>
        <v>0</v>
      </c>
      <c r="Q19" s="98">
        <f t="shared" ref="Q19:Q21" si="18">O19-L19</f>
        <v>-14.041720990876627</v>
      </c>
      <c r="R19" s="99">
        <f t="shared" ref="R19:R21" si="19">O19/L19</f>
        <v>0.91887005649715725</v>
      </c>
      <c r="S19" s="426"/>
      <c r="T19" s="19">
        <v>0.438194444444444</v>
      </c>
      <c r="U19" s="19">
        <v>0.47916666666666702</v>
      </c>
      <c r="V19" s="30">
        <f>(T19-U18)*24*60</f>
        <v>7.9999999999991722</v>
      </c>
      <c r="W19" s="149">
        <f t="shared" si="12"/>
        <v>59.000000000001151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-182.5423728813962</v>
      </c>
      <c r="AG19" s="72">
        <f>N19/K19</f>
        <v>0.91887005649715725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3473</v>
      </c>
      <c r="H20" s="78">
        <f t="shared" si="13"/>
        <v>175004.47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4"/>
        <v>173.07692307692307</v>
      </c>
      <c r="M20" s="148">
        <v>13</v>
      </c>
      <c r="N20" s="95">
        <f t="shared" si="15"/>
        <v>2170.6250000000223</v>
      </c>
      <c r="O20" s="96">
        <f t="shared" si="16"/>
        <v>166.97115384615557</v>
      </c>
      <c r="P20" s="97">
        <f t="shared" si="17"/>
        <v>0</v>
      </c>
      <c r="Q20" s="98">
        <f t="shared" si="18"/>
        <v>-6.1057692307674927</v>
      </c>
      <c r="R20" s="99">
        <f t="shared" si="19"/>
        <v>0.96472222222223225</v>
      </c>
      <c r="S20" s="426"/>
      <c r="T20" s="19">
        <v>0.54166666666666696</v>
      </c>
      <c r="U20" s="19">
        <v>0.60833333333333295</v>
      </c>
      <c r="V20" s="30">
        <f>(T20-U19)*24*60</f>
        <v>89.999999999999915</v>
      </c>
      <c r="W20" s="149">
        <f t="shared" si="12"/>
        <v>95.999999999999019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v>1249</v>
      </c>
      <c r="H21" s="78">
        <f t="shared" si="13"/>
        <v>63286.83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14"/>
        <v>160.71428571428572</v>
      </c>
      <c r="M21" s="148">
        <v>14</v>
      </c>
      <c r="N21" s="95">
        <f t="shared" si="15"/>
        <v>1921.5384615384839</v>
      </c>
      <c r="O21" s="96">
        <f t="shared" si="16"/>
        <v>137.25274725274886</v>
      </c>
      <c r="P21" s="97">
        <f t="shared" si="17"/>
        <v>0</v>
      </c>
      <c r="Q21" s="98">
        <f t="shared" si="18"/>
        <v>-23.461538461536861</v>
      </c>
      <c r="R21" s="99">
        <f t="shared" si="19"/>
        <v>0.85401709401710402</v>
      </c>
      <c r="S21" s="426"/>
      <c r="T21" s="19">
        <v>0.61527777777777803</v>
      </c>
      <c r="U21" s="19">
        <v>0.64236111111111105</v>
      </c>
      <c r="V21" s="30">
        <f>(T21-U20)*24*60</f>
        <v>10.000000000000924</v>
      </c>
      <c r="W21" s="149">
        <f t="shared" si="12"/>
        <v>38.999999999999545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50"/>
      <c r="U22" s="150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12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20">AVERAGE(J16:J25)</f>
        <v>14.333333333333334</v>
      </c>
      <c r="K26" s="155">
        <f t="shared" si="20"/>
        <v>2250</v>
      </c>
      <c r="L26" s="158">
        <f t="shared" si="20"/>
        <v>158.32255979314803</v>
      </c>
      <c r="M26" s="155">
        <f t="shared" si="20"/>
        <v>14.333333333333334</v>
      </c>
      <c r="N26" s="155">
        <f t="shared" si="20"/>
        <v>2039.182492680744</v>
      </c>
      <c r="O26" s="158">
        <f t="shared" si="20"/>
        <v>143.7395681665619</v>
      </c>
      <c r="P26" s="159">
        <f>M26-J26</f>
        <v>0</v>
      </c>
      <c r="Q26" s="160">
        <f>O26-L26</f>
        <v>-14.582991626586136</v>
      </c>
      <c r="R26" s="161">
        <f>O26/L26</f>
        <v>0.90789062755403183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21">N26-K26</f>
        <v>-210.81750731925604</v>
      </c>
      <c r="AG26" s="124">
        <f t="shared" ref="AG26:AG31" si="22">N26/K26</f>
        <v>0.9063033300803307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124</v>
      </c>
      <c r="E27" s="132"/>
      <c r="F27" s="129">
        <f>VLOOKUP(D27,廠價表!$C$1:$E$43,3,0)</f>
        <v>57.21</v>
      </c>
      <c r="G27" s="169">
        <v>2016</v>
      </c>
      <c r="H27" s="134">
        <f>F27*G27</f>
        <v>115335.36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1475.1219512194973</v>
      </c>
      <c r="O27" s="141">
        <f>N27/M27</f>
        <v>86.771879483499845</v>
      </c>
      <c r="P27" s="142">
        <f>M27-J27</f>
        <v>-1</v>
      </c>
      <c r="Q27" s="143">
        <f>O27-L27</f>
        <v>-4.1170094053890409</v>
      </c>
      <c r="R27" s="144">
        <f>O27/L27</f>
        <v>0.9547028305030546</v>
      </c>
      <c r="S27" s="425">
        <f>R37</f>
        <v>0.91679897045301995</v>
      </c>
      <c r="T27" s="171">
        <v>0.28819444444444398</v>
      </c>
      <c r="U27" s="171">
        <v>0.34513888888888899</v>
      </c>
      <c r="V27" s="135"/>
      <c r="W27" s="146">
        <f t="shared" si="12"/>
        <v>82.000000000000824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21"/>
        <v>-160.8780487805027</v>
      </c>
      <c r="AG27" s="172">
        <f t="shared" si="22"/>
        <v>0.90166378436399586</v>
      </c>
      <c r="AH27" s="403">
        <f>AG37</f>
        <v>0.89859253329743882</v>
      </c>
    </row>
    <row r="28" spans="1:34" ht="15" customHeight="1">
      <c r="A28" s="457"/>
      <c r="B28" s="75" t="s">
        <v>81</v>
      </c>
      <c r="C28" s="173"/>
      <c r="D28" s="59" t="s">
        <v>168</v>
      </c>
      <c r="E28" s="104"/>
      <c r="F28" s="75">
        <f>VLOOKUP(D28,廠價表!$C$1:$E$43,3,0)</f>
        <v>57.21</v>
      </c>
      <c r="G28" s="90">
        <v>3577</v>
      </c>
      <c r="H28" s="91">
        <f>F28*G28</f>
        <v>204640.17</v>
      </c>
      <c r="I28" s="92"/>
      <c r="J28" s="79">
        <f>VLOOKUP(D28,產線配置圖!$A$3:$C$40,2,0)</f>
        <v>18</v>
      </c>
      <c r="K28" s="80">
        <f>VLOOKUP(D28,產線配置圖!$A$3:$C$40,3,0)</f>
        <v>1565</v>
      </c>
      <c r="L28" s="93">
        <f>K28/J28</f>
        <v>86.944444444444443</v>
      </c>
      <c r="M28" s="94">
        <v>18</v>
      </c>
      <c r="N28" s="95">
        <f>G28/W28*60</f>
        <v>1384.6451612903211</v>
      </c>
      <c r="O28" s="96">
        <f>N28/M28</f>
        <v>76.924731182795611</v>
      </c>
      <c r="P28" s="97">
        <f>M28-J28</f>
        <v>0</v>
      </c>
      <c r="Q28" s="98">
        <f>O28-L28</f>
        <v>-10.019713261648832</v>
      </c>
      <c r="R28" s="99">
        <f>O28/L28</f>
        <v>0.8847572915593106</v>
      </c>
      <c r="S28" s="426"/>
      <c r="T28" s="19">
        <v>0.35069444444444398</v>
      </c>
      <c r="U28" s="19">
        <v>0.45833333333333298</v>
      </c>
      <c r="V28" s="92">
        <f>(T28-U27)*24*60</f>
        <v>7.9999999999991722</v>
      </c>
      <c r="W28" s="149">
        <f t="shared" si="12"/>
        <v>155.00000000000017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21"/>
        <v>-180.35483870967892</v>
      </c>
      <c r="AG28" s="99">
        <f t="shared" si="22"/>
        <v>0.8847572915593106</v>
      </c>
      <c r="AH28" s="445"/>
    </row>
    <row r="29" spans="1:34" ht="15" customHeight="1">
      <c r="A29" s="457"/>
      <c r="B29" s="75" t="s">
        <v>81</v>
      </c>
      <c r="C29" s="173"/>
      <c r="D29" s="59" t="s">
        <v>168</v>
      </c>
      <c r="E29" s="104"/>
      <c r="F29" s="75">
        <f>VLOOKUP(D29,廠價表!$C$1:$E$43,3,0)</f>
        <v>57.21</v>
      </c>
      <c r="G29" s="90">
        <v>6000</v>
      </c>
      <c r="H29" s="91">
        <f>F29*G29</f>
        <v>343260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18</v>
      </c>
      <c r="N29" s="95">
        <f>G29/W29*60</f>
        <v>1422.9249011857748</v>
      </c>
      <c r="O29" s="96">
        <f>N29/M29</f>
        <v>79.051383399209712</v>
      </c>
      <c r="P29" s="97">
        <f>M29-J29</f>
        <v>0</v>
      </c>
      <c r="Q29" s="98">
        <f>O29-L29</f>
        <v>-7.893061045234731</v>
      </c>
      <c r="R29" s="99">
        <f>O29/L29</f>
        <v>0.90921718925608619</v>
      </c>
      <c r="S29" s="426"/>
      <c r="T29" s="19">
        <v>0.51875000000000004</v>
      </c>
      <c r="U29" s="19">
        <v>0.69444444444444398</v>
      </c>
      <c r="V29" s="92">
        <f>(T29-U28)*24*60</f>
        <v>87.000000000000568</v>
      </c>
      <c r="W29" s="149">
        <f t="shared" si="12"/>
        <v>252.99999999999926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21"/>
        <v>-142.07509881422516</v>
      </c>
      <c r="AG29" s="99">
        <f t="shared" si="22"/>
        <v>0.90921718925608619</v>
      </c>
      <c r="AH29" s="445"/>
    </row>
    <row r="30" spans="1:34" ht="15" customHeight="1">
      <c r="A30" s="457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6"/>
      <c r="T30" s="19"/>
      <c r="U30" s="19"/>
      <c r="V30" s="92"/>
      <c r="W30" s="149">
        <f t="shared" si="12"/>
        <v>0</v>
      </c>
      <c r="X30" s="174"/>
      <c r="Y30" s="301"/>
      <c r="Z30" s="335"/>
      <c r="AA30" s="335"/>
      <c r="AB30" s="407"/>
      <c r="AC30" s="407"/>
      <c r="AD30" s="92"/>
      <c r="AE30" s="92"/>
      <c r="AF30" s="312">
        <f t="shared" si="21"/>
        <v>0</v>
      </c>
      <c r="AG30" s="99" t="e">
        <f t="shared" si="22"/>
        <v>#DIV/0!</v>
      </c>
      <c r="AH30" s="446"/>
    </row>
    <row r="31" spans="1:34" ht="15" customHeight="1">
      <c r="A31" s="457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6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21"/>
        <v>0</v>
      </c>
      <c r="AG31" s="99" t="e">
        <f t="shared" si="22"/>
        <v>#DIV/0!</v>
      </c>
      <c r="AH31" s="405"/>
    </row>
    <row r="32" spans="1:34" ht="15" customHeight="1">
      <c r="A32" s="457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50"/>
      <c r="U32" s="150"/>
      <c r="V32" s="92"/>
      <c r="W32" s="149">
        <f t="shared" si="12"/>
        <v>0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3">AVERAGE(J27:J36)</f>
        <v>18</v>
      </c>
      <c r="K37" s="155">
        <f t="shared" si="23"/>
        <v>1588.6666666666667</v>
      </c>
      <c r="L37" s="158">
        <f t="shared" si="23"/>
        <v>88.259259259259252</v>
      </c>
      <c r="M37" s="155">
        <f t="shared" si="23"/>
        <v>17.666666666666668</v>
      </c>
      <c r="N37" s="155">
        <f t="shared" si="23"/>
        <v>1427.5640045651978</v>
      </c>
      <c r="O37" s="158">
        <f t="shared" si="23"/>
        <v>80.915998021835051</v>
      </c>
      <c r="P37" s="159">
        <f>M37-J37</f>
        <v>-0.33333333333333215</v>
      </c>
      <c r="Q37" s="160">
        <f>N37-K37</f>
        <v>-161.10266210146892</v>
      </c>
      <c r="R37" s="161">
        <f>O37/L37</f>
        <v>0.91679897045301995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-161.10266210146892</v>
      </c>
      <c r="AG37" s="124">
        <f>N37/K37</f>
        <v>0.89859253329743882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2811</v>
      </c>
      <c r="H38" s="134">
        <f>F38*G38</f>
        <v>140297.00999999998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1606.2857142857065</v>
      </c>
      <c r="O38" s="141">
        <f>N38/M38</f>
        <v>107.08571428571376</v>
      </c>
      <c r="P38" s="142">
        <f>M38-J38</f>
        <v>0</v>
      </c>
      <c r="Q38" s="143">
        <f>O38-L38</f>
        <v>-7.1809523809529026</v>
      </c>
      <c r="R38" s="144">
        <f>O38/L38</f>
        <v>0.93715619269877859</v>
      </c>
      <c r="S38" s="453">
        <f>R48</f>
        <v>0.90849427780758596</v>
      </c>
      <c r="T38" s="191">
        <v>0.33333333333333298</v>
      </c>
      <c r="U38" s="191">
        <v>0.40625</v>
      </c>
      <c r="V38" s="192"/>
      <c r="W38" s="193">
        <f t="shared" si="12"/>
        <v>105.00000000000051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-107.71428571429351</v>
      </c>
      <c r="AG38" s="195">
        <f>N38/K38</f>
        <v>0.93715619269877859</v>
      </c>
      <c r="AH38" s="459">
        <f>AG48</f>
        <v>0.90774956386896233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2922</v>
      </c>
      <c r="H39" s="91">
        <f>F39*G39</f>
        <v>129444.59999999999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1593.8181818181795</v>
      </c>
      <c r="O39" s="203">
        <f>N39/M39</f>
        <v>93.754010695187034</v>
      </c>
      <c r="P39" s="97">
        <f>M39-J39</f>
        <v>0</v>
      </c>
      <c r="Q39" s="98">
        <f>O39-L39</f>
        <v>-2.4812834224600238</v>
      </c>
      <c r="R39" s="99">
        <f>O39/L39</f>
        <v>0.97421649255389953</v>
      </c>
      <c r="S39" s="454"/>
      <c r="T39" s="20">
        <v>0.41319444444444398</v>
      </c>
      <c r="U39" s="20">
        <v>0.48958333333333298</v>
      </c>
      <c r="V39" s="92">
        <f>(T39-U38)*24*60</f>
        <v>9.999999999999325</v>
      </c>
      <c r="W39" s="205">
        <f t="shared" si="12"/>
        <v>110.00000000000017</v>
      </c>
      <c r="X39" s="22"/>
      <c r="Y39" s="84"/>
      <c r="Z39" s="90"/>
      <c r="AA39" s="90"/>
      <c r="AB39" s="462"/>
      <c r="AC39" s="462"/>
      <c r="AD39" s="200"/>
      <c r="AE39" s="200"/>
      <c r="AF39" s="314">
        <f>N39-K39</f>
        <v>-42.181818181820518</v>
      </c>
      <c r="AG39" s="206">
        <f>N39/K39</f>
        <v>0.97421649255389942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2940</v>
      </c>
      <c r="H40" s="91">
        <f>F40*G40</f>
        <v>130241.99999999999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1336.3636363636331</v>
      </c>
      <c r="O40" s="203">
        <f>N40/M40</f>
        <v>78.609625668448999</v>
      </c>
      <c r="P40" s="97">
        <f>M40-J40</f>
        <v>0</v>
      </c>
      <c r="Q40" s="98">
        <f>O40-L40</f>
        <v>-17.625668449198059</v>
      </c>
      <c r="R40" s="99">
        <f>O40/L40</f>
        <v>0.81684818848632823</v>
      </c>
      <c r="S40" s="440"/>
      <c r="T40" s="20">
        <v>0.54861111111111105</v>
      </c>
      <c r="U40" s="20">
        <v>0.64027777777777795</v>
      </c>
      <c r="V40" s="92">
        <f>(T40-U39)*24*60</f>
        <v>85.000000000000412</v>
      </c>
      <c r="W40" s="205">
        <f t="shared" si="12"/>
        <v>132.00000000000034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-299.63636363636692</v>
      </c>
      <c r="AG40" s="206">
        <f>N40/K40</f>
        <v>0.81684818848632834</v>
      </c>
      <c r="AH40" s="460"/>
    </row>
    <row r="41" spans="1:34" ht="15" customHeight="1">
      <c r="A41" s="451"/>
      <c r="B41" s="75" t="s">
        <v>128</v>
      </c>
      <c r="C41" s="207"/>
      <c r="D41" s="198" t="s">
        <v>129</v>
      </c>
      <c r="E41" s="178"/>
      <c r="F41" s="75">
        <f>VLOOKUP(D41,廠價表!$C$1:$E$43,3,0)</f>
        <v>49.91</v>
      </c>
      <c r="G41" s="199">
        <v>850</v>
      </c>
      <c r="H41" s="91">
        <f>F41*G41</f>
        <v>42423.5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15</v>
      </c>
      <c r="N41" s="202">
        <f>G41/W41*60</f>
        <v>1545.4545454545284</v>
      </c>
      <c r="O41" s="203">
        <f>N41/M41</f>
        <v>103.03030303030189</v>
      </c>
      <c r="P41" s="97">
        <f>M41-J41</f>
        <v>0</v>
      </c>
      <c r="Q41" s="98">
        <f>O41-L41</f>
        <v>-11.236363636364771</v>
      </c>
      <c r="R41" s="99">
        <f>O41/L41</f>
        <v>0.90166542908665603</v>
      </c>
      <c r="S41" s="440"/>
      <c r="T41" s="20">
        <v>0.64722222222222203</v>
      </c>
      <c r="U41" s="210">
        <v>0.67013888888888895</v>
      </c>
      <c r="V41" s="92">
        <f>(T41-U40)*24*60</f>
        <v>9.9999999999994849</v>
      </c>
      <c r="W41" s="205">
        <f t="shared" si="12"/>
        <v>33.000000000000362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-168.54545454547156</v>
      </c>
      <c r="AG41" s="206">
        <f>N41/K41</f>
        <v>0.90166542908665603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4">AVERAGE(J38:J47)</f>
        <v>16</v>
      </c>
      <c r="K48" s="155">
        <f t="shared" si="24"/>
        <v>1675</v>
      </c>
      <c r="L48" s="158">
        <f t="shared" si="24"/>
        <v>105.25098039215686</v>
      </c>
      <c r="M48" s="155">
        <f t="shared" si="24"/>
        <v>16</v>
      </c>
      <c r="N48" s="155">
        <f t="shared" si="24"/>
        <v>1520.4805194805119</v>
      </c>
      <c r="O48" s="158">
        <f t="shared" si="24"/>
        <v>95.619913419912933</v>
      </c>
      <c r="P48" s="221">
        <f>M48-J48</f>
        <v>0</v>
      </c>
      <c r="Q48" s="222">
        <f>N48-K48</f>
        <v>-154.51948051948807</v>
      </c>
      <c r="R48" s="223">
        <f>O48/L48</f>
        <v>0.90849427780758596</v>
      </c>
      <c r="S48" s="443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25">N48-K48</f>
        <v>-154.51948051948807</v>
      </c>
      <c r="AG48" s="162">
        <f t="shared" ref="AG48:AG53" si="26">N48/K48</f>
        <v>0.90774956386896233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2567</v>
      </c>
      <c r="H49" s="134">
        <f>F49*G49</f>
        <v>127117.84000000001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1540.2000000000105</v>
      </c>
      <c r="O49" s="141">
        <f>N49/M49</f>
        <v>90.60000000000062</v>
      </c>
      <c r="P49" s="229">
        <f>M49-J49</f>
        <v>0</v>
      </c>
      <c r="Q49" s="230">
        <f>O49-L49</f>
        <v>-15.282352941175844</v>
      </c>
      <c r="R49" s="52">
        <f>O49/L49</f>
        <v>0.85566666666667257</v>
      </c>
      <c r="S49" s="439">
        <f>R58</f>
        <v>0.92063370764137342</v>
      </c>
      <c r="T49" s="191">
        <v>0.29166666666666702</v>
      </c>
      <c r="U49" s="191">
        <v>0.36111111111111099</v>
      </c>
      <c r="V49" s="55"/>
      <c r="W49" s="193">
        <f t="shared" si="12"/>
        <v>99.999999999999318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25"/>
        <v>-259.7999999999895</v>
      </c>
      <c r="AG49" s="52">
        <f t="shared" si="26"/>
        <v>0.85566666666667246</v>
      </c>
      <c r="AH49" s="403">
        <f>AG58</f>
        <v>0.89499662655570322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2648</v>
      </c>
      <c r="H50" s="231">
        <f>F50*G50</f>
        <v>133165.272</v>
      </c>
      <c r="I50" s="232"/>
      <c r="J50" s="79">
        <v>17</v>
      </c>
      <c r="K50" s="80">
        <f>VLOOKUP(D50,產線配置圖!$A$3:$C$40,3,0)</f>
        <v>1565</v>
      </c>
      <c r="L50" s="81">
        <f>K50/J50</f>
        <v>92.058823529411768</v>
      </c>
      <c r="M50" s="233">
        <v>17</v>
      </c>
      <c r="N50" s="234">
        <f>G50/W50*60</f>
        <v>1527.6923076923119</v>
      </c>
      <c r="O50" s="235">
        <f>N50/M50</f>
        <v>89.864253393665408</v>
      </c>
      <c r="P50" s="74">
        <f>M50-J50</f>
        <v>0</v>
      </c>
      <c r="Q50" s="83">
        <f>O50-L50</f>
        <v>-2.1945701357463605</v>
      </c>
      <c r="R50" s="72">
        <f>O50/L50</f>
        <v>0.97616121897272323</v>
      </c>
      <c r="S50" s="440"/>
      <c r="T50" s="21">
        <v>0.36666666666666697</v>
      </c>
      <c r="U50" s="21">
        <v>0.43888888888888899</v>
      </c>
      <c r="V50" s="30">
        <f>(T50-U49)*24*60</f>
        <v>8.0000000000006111</v>
      </c>
      <c r="W50" s="236">
        <f t="shared" si="12"/>
        <v>103.99999999999972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25"/>
        <v>-37.307692307688058</v>
      </c>
      <c r="AG50" s="72">
        <f t="shared" si="26"/>
        <v>0.97616121897272323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f>VLOOKUP(D51,廠價表!$C$1:$E$43,3,0)</f>
        <v>49.97</v>
      </c>
      <c r="G51" s="202">
        <v>1233</v>
      </c>
      <c r="H51" s="231">
        <f>F51*G51</f>
        <v>61613.01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1574.0425531914816</v>
      </c>
      <c r="O51" s="235">
        <f>N51/M51</f>
        <v>104.93617021276545</v>
      </c>
      <c r="P51" s="74">
        <f>M51-J51</f>
        <v>-1</v>
      </c>
      <c r="Q51" s="83">
        <f>O51-L51</f>
        <v>-7.5638297872345532</v>
      </c>
      <c r="R51" s="72">
        <f>O51/L51</f>
        <v>0.93276595744680402</v>
      </c>
      <c r="S51" s="440"/>
      <c r="T51" s="21">
        <v>0.44444444444444398</v>
      </c>
      <c r="U51" s="19">
        <v>0.47708333333333303</v>
      </c>
      <c r="V51" s="30">
        <f>(T51-U50)*24*60</f>
        <v>7.9999999999991722</v>
      </c>
      <c r="W51" s="236">
        <f t="shared" si="12"/>
        <v>47.000000000000234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25"/>
        <v>-225.9574468085184</v>
      </c>
      <c r="AG51" s="72">
        <f t="shared" si="26"/>
        <v>0.87446808510637863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f>VLOOKUP(D52,廠價表!$C$1:$E$43,3,0)</f>
        <v>49.97</v>
      </c>
      <c r="G52" s="202">
        <v>4751</v>
      </c>
      <c r="H52" s="231">
        <f t="shared" ref="H52:H53" si="27">F52*G52</f>
        <v>237407.47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28">K52/J52</f>
        <v>112.5</v>
      </c>
      <c r="M52" s="233">
        <v>15</v>
      </c>
      <c r="N52" s="234">
        <f t="shared" ref="N52:N53" si="29">G52/W52*60</f>
        <v>1619.6590909090937</v>
      </c>
      <c r="O52" s="235">
        <f t="shared" ref="O52:O53" si="30">N52/M52</f>
        <v>107.97727272727292</v>
      </c>
      <c r="P52" s="74">
        <f t="shared" ref="P52:P53" si="31">M52-J52</f>
        <v>-1</v>
      </c>
      <c r="Q52" s="83">
        <f t="shared" ref="Q52:Q53" si="32">O52-L52</f>
        <v>-4.5227272727270815</v>
      </c>
      <c r="R52" s="72">
        <f t="shared" ref="R52:R53" si="33">O52/L52</f>
        <v>0.95979797979798154</v>
      </c>
      <c r="S52" s="440"/>
      <c r="T52" s="21">
        <v>0.53402777777777799</v>
      </c>
      <c r="U52" s="21">
        <v>0.65625</v>
      </c>
      <c r="V52" s="30">
        <f>(T52-U51)*24*60</f>
        <v>82.000000000000753</v>
      </c>
      <c r="W52" s="236">
        <f t="shared" si="12"/>
        <v>175.99999999999969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25"/>
        <v>-180.34090909090628</v>
      </c>
      <c r="AG52" s="72">
        <f t="shared" si="26"/>
        <v>0.89981060606060759</v>
      </c>
      <c r="AH52" s="404"/>
    </row>
    <row r="53" spans="1:34" ht="15" customHeight="1">
      <c r="A53" s="469"/>
      <c r="B53" s="101" t="s">
        <v>81</v>
      </c>
      <c r="C53" s="102"/>
      <c r="D53" s="103" t="s">
        <v>133</v>
      </c>
      <c r="E53" s="104"/>
      <c r="F53" s="75">
        <f>VLOOKUP(D53,廠價表!$C$1:$E$43,3,0)</f>
        <v>50.289000000000001</v>
      </c>
      <c r="G53" s="202">
        <v>755</v>
      </c>
      <c r="H53" s="231">
        <f t="shared" si="27"/>
        <v>37968.195</v>
      </c>
      <c r="I53" s="232"/>
      <c r="J53" s="79">
        <v>17</v>
      </c>
      <c r="K53" s="80">
        <f>VLOOKUP(D53,產線配置圖!$A$3:$C$40,3,0)</f>
        <v>1565</v>
      </c>
      <c r="L53" s="81">
        <f t="shared" si="28"/>
        <v>92.058823529411768</v>
      </c>
      <c r="M53" s="108">
        <v>17</v>
      </c>
      <c r="N53" s="234">
        <f t="shared" si="29"/>
        <v>1372.7272727272507</v>
      </c>
      <c r="O53" s="235">
        <f t="shared" si="30"/>
        <v>80.748663101602986</v>
      </c>
      <c r="P53" s="74">
        <f t="shared" si="31"/>
        <v>0</v>
      </c>
      <c r="Q53" s="83">
        <f t="shared" si="32"/>
        <v>-11.310160427808782</v>
      </c>
      <c r="R53" s="72">
        <f t="shared" si="33"/>
        <v>0.87714202730175761</v>
      </c>
      <c r="S53" s="440"/>
      <c r="T53" s="21">
        <v>0.66111111111111098</v>
      </c>
      <c r="U53" s="21">
        <v>0.68402777777777801</v>
      </c>
      <c r="V53" s="30">
        <f>(T53-U52)*24*60</f>
        <v>6.9999999999998153</v>
      </c>
      <c r="W53" s="236">
        <f t="shared" si="12"/>
        <v>33.000000000000526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25"/>
        <v>-192.27272727274931</v>
      </c>
      <c r="AG53" s="72">
        <f t="shared" si="26"/>
        <v>0.87714202730175761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34">AVERAGE(J49:J57)</f>
        <v>16.600000000000001</v>
      </c>
      <c r="K58" s="120">
        <f t="shared" si="34"/>
        <v>1706</v>
      </c>
      <c r="L58" s="117">
        <f t="shared" si="34"/>
        <v>103</v>
      </c>
      <c r="M58" s="120">
        <f t="shared" si="34"/>
        <v>16.2</v>
      </c>
      <c r="N58" s="120">
        <f t="shared" si="34"/>
        <v>1526.8642449040296</v>
      </c>
      <c r="O58" s="117">
        <f t="shared" si="34"/>
        <v>94.825271887061461</v>
      </c>
      <c r="P58" s="121">
        <f>M58-J58</f>
        <v>-0.40000000000000213</v>
      </c>
      <c r="Q58" s="122">
        <f>N58-K58</f>
        <v>-179.13575509597035</v>
      </c>
      <c r="R58" s="123">
        <f>O58/L58</f>
        <v>0.92063370764137342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-179.13575509597035</v>
      </c>
      <c r="AG58" s="124">
        <f>N58/K58</f>
        <v>0.89499662655570322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3109</v>
      </c>
      <c r="H59" s="243">
        <f>F59*G59</f>
        <v>83911.909999999989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17</v>
      </c>
      <c r="N59" s="137">
        <f>G59/W59*60</f>
        <v>1622.0869565217415</v>
      </c>
      <c r="O59" s="138">
        <f>N59/M59</f>
        <v>95.416879795396554</v>
      </c>
      <c r="P59" s="56">
        <f>M59-J59</f>
        <v>2</v>
      </c>
      <c r="Q59" s="230">
        <f>O59-L59</f>
        <v>-8.9164535379367749</v>
      </c>
      <c r="R59" s="52">
        <f>O59/L59</f>
        <v>0.91453878398143662</v>
      </c>
      <c r="S59" s="439">
        <f>R69</f>
        <v>0.88303269245935923</v>
      </c>
      <c r="T59" s="245">
        <v>0.29166666666666702</v>
      </c>
      <c r="U59" s="245">
        <v>0.37152777777777801</v>
      </c>
      <c r="V59" s="55"/>
      <c r="W59" s="54">
        <f t="shared" si="12"/>
        <v>114.99999999999983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57.086956521741513</v>
      </c>
      <c r="AG59" s="246">
        <f>N59/K59</f>
        <v>1.0364772885122948</v>
      </c>
      <c r="AH59" s="403">
        <f>AG69</f>
        <v>1.0238696247494721</v>
      </c>
    </row>
    <row r="60" spans="1:34" ht="15" customHeight="1">
      <c r="A60" s="464"/>
      <c r="B60" s="75" t="s">
        <v>125</v>
      </c>
      <c r="C60" s="86"/>
      <c r="D60" s="175" t="s">
        <v>126</v>
      </c>
      <c r="E60" s="87"/>
      <c r="F60" s="75">
        <f>VLOOKUP(D60,廠價表!$C$1:$E$43,3,0)</f>
        <v>28.26</v>
      </c>
      <c r="G60" s="30">
        <v>1924</v>
      </c>
      <c r="H60" s="78">
        <f>F60*G60</f>
        <v>54372.240000000005</v>
      </c>
      <c r="I60" s="30"/>
      <c r="J60" s="79">
        <f>VLOOKUP(D60,產線配置圖!$A$3:$C$40,2,0)</f>
        <v>11</v>
      </c>
      <c r="K60" s="80">
        <f>VLOOKUP(D60,產線配置圖!$A$3:$C$40,3,0)</f>
        <v>1565</v>
      </c>
      <c r="L60" s="81">
        <f>K60/J60</f>
        <v>142.27272727272728</v>
      </c>
      <c r="M60" s="82">
        <v>13</v>
      </c>
      <c r="N60" s="80">
        <f>G60/W60*60</f>
        <v>1649.142857142861</v>
      </c>
      <c r="O60" s="81">
        <f>N60/M60</f>
        <v>126.85714285714315</v>
      </c>
      <c r="P60" s="74">
        <f>M60-J60</f>
        <v>2</v>
      </c>
      <c r="Q60" s="83">
        <f>O60-L60</f>
        <v>-15.415584415584135</v>
      </c>
      <c r="R60" s="72">
        <f>O60/L60</f>
        <v>0.89164764947512754</v>
      </c>
      <c r="S60" s="467"/>
      <c r="T60" s="22">
        <v>0.37847222222222199</v>
      </c>
      <c r="U60" s="22">
        <v>0.42708333333333298</v>
      </c>
      <c r="V60" s="30">
        <f>(T60-U59)*24*60</f>
        <v>9.999999999999325</v>
      </c>
      <c r="W60" s="248">
        <f t="shared" si="12"/>
        <v>69.999999999999829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84.142857142860976</v>
      </c>
      <c r="AG60" s="249">
        <f>N60/K60</f>
        <v>1.0537654039251507</v>
      </c>
      <c r="AH60" s="475"/>
    </row>
    <row r="61" spans="1:34" ht="15" customHeight="1">
      <c r="A61" s="465"/>
      <c r="B61" s="250" t="s">
        <v>125</v>
      </c>
      <c r="C61" s="251"/>
      <c r="D61" s="252" t="s">
        <v>135</v>
      </c>
      <c r="E61" s="253"/>
      <c r="F61" s="250">
        <f>VLOOKUP(D61,廠價表!$C$1:$E$43,3,0)</f>
        <v>28.26</v>
      </c>
      <c r="G61" s="38">
        <v>2213</v>
      </c>
      <c r="H61" s="254">
        <f>F61*G61</f>
        <v>62539.380000000005</v>
      </c>
      <c r="I61" s="182"/>
      <c r="J61" s="106">
        <f>VLOOKUP(D61,產線配置圖!$A$3:$C$40,2,0)</f>
        <v>12</v>
      </c>
      <c r="K61" s="107">
        <f>VLOOKUP(D61,產線配置圖!$A$3:$C$40,3,0)</f>
        <v>1565</v>
      </c>
      <c r="L61" s="238">
        <f>K61/J61</f>
        <v>130.41666666666666</v>
      </c>
      <c r="M61" s="108">
        <v>14</v>
      </c>
      <c r="N61" s="107">
        <f>G61/W61*60</f>
        <v>1659.7500000000173</v>
      </c>
      <c r="O61" s="238">
        <f>N61/M61</f>
        <v>118.55357142857267</v>
      </c>
      <c r="P61" s="111">
        <f>M61-J61</f>
        <v>2</v>
      </c>
      <c r="Q61" s="255">
        <f>O61-L61</f>
        <v>-11.86309523809399</v>
      </c>
      <c r="R61" s="85">
        <f>O61/L61</f>
        <v>0.9090369694203656</v>
      </c>
      <c r="S61" s="440"/>
      <c r="T61" s="22">
        <v>0.43402777777777801</v>
      </c>
      <c r="U61" s="22">
        <v>0.48958333333333298</v>
      </c>
      <c r="V61" s="30">
        <f>(T61-U60)*24*60</f>
        <v>10.000000000000844</v>
      </c>
      <c r="W61" s="256">
        <f t="shared" si="12"/>
        <v>79.999999999999162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94.75000000001728</v>
      </c>
      <c r="AG61" s="247">
        <f>N61/K61</f>
        <v>1.0605431309904263</v>
      </c>
      <c r="AH61" s="404"/>
    </row>
    <row r="62" spans="1:34" ht="15" customHeight="1">
      <c r="A62" s="465"/>
      <c r="B62" s="250" t="s">
        <v>125</v>
      </c>
      <c r="C62" s="251"/>
      <c r="D62" s="257" t="s">
        <v>134</v>
      </c>
      <c r="E62" s="253"/>
      <c r="F62" s="250">
        <f>VLOOKUP(D62,廠價表!$C$1:$E$43,3,0)</f>
        <v>26.99</v>
      </c>
      <c r="G62" s="38">
        <v>1249</v>
      </c>
      <c r="H62" s="254">
        <f t="shared" ref="H62:H63" si="35">F62*G62</f>
        <v>33710.509999999995</v>
      </c>
      <c r="I62" s="182"/>
      <c r="J62" s="106">
        <f>VLOOKUP(D62,產線配置圖!$A$3:$C$40,2,0)</f>
        <v>15</v>
      </c>
      <c r="K62" s="107">
        <f>VLOOKUP(D62,產線配置圖!$A$3:$C$40,3,0)</f>
        <v>1565</v>
      </c>
      <c r="L62" s="238">
        <f t="shared" ref="L62:L63" si="36">K62/J62</f>
        <v>104.33333333333333</v>
      </c>
      <c r="M62" s="108">
        <v>17</v>
      </c>
      <c r="N62" s="107">
        <f t="shared" ref="N62:N63" si="37">G62/W62*60</f>
        <v>1498.8000000000102</v>
      </c>
      <c r="O62" s="238">
        <f t="shared" ref="O62:O63" si="38">N62/M62</f>
        <v>88.164705882353545</v>
      </c>
      <c r="P62" s="111">
        <f t="shared" ref="P62:P63" si="39">M62-J62</f>
        <v>2</v>
      </c>
      <c r="Q62" s="255">
        <f t="shared" ref="Q62:Q63" si="40">O62-L62</f>
        <v>-16.168627450979784</v>
      </c>
      <c r="R62" s="85">
        <f t="shared" ref="R62:R63" si="41">O62/L62</f>
        <v>0.84502912986281353</v>
      </c>
      <c r="S62" s="440"/>
      <c r="T62" s="22">
        <v>0.54166666666666696</v>
      </c>
      <c r="U62" s="22">
        <v>0.57638888888888895</v>
      </c>
      <c r="V62" s="30">
        <f t="shared" ref="V62:V63" si="42">(T62-U61)*24*60</f>
        <v>75.000000000000938</v>
      </c>
      <c r="W62" s="248">
        <f t="shared" si="12"/>
        <v>49.999999999999659</v>
      </c>
      <c r="X62" s="22"/>
      <c r="Y62" s="84"/>
      <c r="Z62" s="90"/>
      <c r="AA62" s="90"/>
      <c r="AB62" s="407"/>
      <c r="AC62" s="407"/>
      <c r="AD62" s="92"/>
      <c r="AE62" s="92"/>
      <c r="AF62" s="317">
        <f>N62-K62</f>
        <v>-66.199999999989814</v>
      </c>
      <c r="AG62" s="247">
        <f>N62/K62</f>
        <v>0.95769968051118859</v>
      </c>
      <c r="AH62" s="404"/>
    </row>
    <row r="63" spans="1:34" ht="15" customHeight="1">
      <c r="A63" s="465"/>
      <c r="B63" s="258" t="s">
        <v>125</v>
      </c>
      <c r="C63" s="58"/>
      <c r="D63" s="259" t="s">
        <v>126</v>
      </c>
      <c r="E63" s="60"/>
      <c r="F63" s="250">
        <f>VLOOKUP(D63,廠價表!$C$1:$E$43,3,0)</f>
        <v>28.26</v>
      </c>
      <c r="G63" s="260">
        <v>1582</v>
      </c>
      <c r="H63" s="254">
        <f t="shared" si="35"/>
        <v>44707.32</v>
      </c>
      <c r="I63" s="182"/>
      <c r="J63" s="106">
        <f>VLOOKUP(D63,產線配置圖!$A$3:$C$40,2,0)</f>
        <v>11</v>
      </c>
      <c r="K63" s="107">
        <f>VLOOKUP(D63,產線配置圖!$A$3:$C$40,3,0)</f>
        <v>1565</v>
      </c>
      <c r="L63" s="238">
        <f t="shared" si="36"/>
        <v>142.27272727272728</v>
      </c>
      <c r="M63" s="68">
        <v>13</v>
      </c>
      <c r="N63" s="107">
        <f t="shared" si="37"/>
        <v>1581.9999999999886</v>
      </c>
      <c r="O63" s="238">
        <f t="shared" si="38"/>
        <v>121.69230769230681</v>
      </c>
      <c r="P63" s="111">
        <f t="shared" si="39"/>
        <v>2</v>
      </c>
      <c r="Q63" s="255">
        <f t="shared" si="40"/>
        <v>-20.580419580420468</v>
      </c>
      <c r="R63" s="85">
        <f t="shared" si="41"/>
        <v>0.85534529368394563</v>
      </c>
      <c r="S63" s="440"/>
      <c r="T63" s="22">
        <v>0.58333333333333304</v>
      </c>
      <c r="U63" s="22">
        <v>0.625</v>
      </c>
      <c r="V63" s="30">
        <f t="shared" si="42"/>
        <v>9.9999999999994849</v>
      </c>
      <c r="W63" s="248">
        <f t="shared" si="12"/>
        <v>60.000000000000426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07" t="s">
        <v>169</v>
      </c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43">AVERAGE(J59:J68)</f>
        <v>12.8</v>
      </c>
      <c r="K69" s="240">
        <f t="shared" si="43"/>
        <v>1565</v>
      </c>
      <c r="L69" s="268">
        <f t="shared" si="43"/>
        <v>124.72575757575757</v>
      </c>
      <c r="M69" s="240">
        <f t="shared" si="43"/>
        <v>14.8</v>
      </c>
      <c r="N69" s="240">
        <f t="shared" si="43"/>
        <v>1602.3559627329237</v>
      </c>
      <c r="O69" s="268">
        <f t="shared" si="43"/>
        <v>110.13692153115453</v>
      </c>
      <c r="P69" s="269">
        <f>M69-J69</f>
        <v>2</v>
      </c>
      <c r="Q69" s="222">
        <f>N69-K69</f>
        <v>37.355962732923672</v>
      </c>
      <c r="R69" s="123">
        <f>O69/L69</f>
        <v>0.88303269245935923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37.355962732923672</v>
      </c>
      <c r="AG69" s="124">
        <f>N69/K69</f>
        <v>1.0238696247494721</v>
      </c>
      <c r="AH69" s="406"/>
    </row>
    <row r="70" spans="1:36" ht="15" customHeight="1">
      <c r="A70" s="471" t="s">
        <v>55</v>
      </c>
      <c r="B70" s="129" t="s">
        <v>81</v>
      </c>
      <c r="C70" s="129"/>
      <c r="D70" s="131" t="s">
        <v>123</v>
      </c>
      <c r="E70" s="132"/>
      <c r="F70" s="129">
        <f>VLOOKUP(D70,廠價表!$C$1:$E$43,3,0)</f>
        <v>50.67</v>
      </c>
      <c r="G70" s="55">
        <v>1144</v>
      </c>
      <c r="H70" s="243">
        <f>F70*G70</f>
        <v>57966.48</v>
      </c>
      <c r="I70" s="55"/>
      <c r="J70" s="136">
        <f>VLOOKUP(D70,產線配置圖!$A$3:$C$40,2,0)</f>
        <v>13</v>
      </c>
      <c r="K70" s="137">
        <f>VLOOKUP(D70,產線配置圖!$A$3:$C$40,3,0)</f>
        <v>1440</v>
      </c>
      <c r="L70" s="138">
        <f>K70/J70</f>
        <v>110.76923076923077</v>
      </c>
      <c r="M70" s="244">
        <v>9</v>
      </c>
      <c r="N70" s="137">
        <f>G70/W70*60</f>
        <v>807.52941176470267</v>
      </c>
      <c r="O70" s="138">
        <f>N70/M70</f>
        <v>89.72549019607807</v>
      </c>
      <c r="P70" s="56">
        <f>M70-J70</f>
        <v>-4</v>
      </c>
      <c r="Q70" s="230">
        <f>O70-L70</f>
        <v>-21.043740573152704</v>
      </c>
      <c r="R70" s="52">
        <f>O70/L70</f>
        <v>0.81002178649237144</v>
      </c>
      <c r="S70" s="439">
        <f>R79</f>
        <v>0.78977087843358951</v>
      </c>
      <c r="T70" s="245">
        <v>0.34375</v>
      </c>
      <c r="U70" s="245">
        <v>0.40277777777777801</v>
      </c>
      <c r="V70" s="55"/>
      <c r="W70" s="54">
        <f t="shared" si="12"/>
        <v>85.000000000000341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-632.47058823529733</v>
      </c>
      <c r="AG70" s="246">
        <f>N70/K70</f>
        <v>0.56078431372548798</v>
      </c>
      <c r="AH70" s="403">
        <f>AG79</f>
        <v>0.63178822104250754</v>
      </c>
    </row>
    <row r="71" spans="1:36" ht="15" customHeight="1">
      <c r="A71" s="472"/>
      <c r="B71" s="75" t="s">
        <v>81</v>
      </c>
      <c r="C71" s="76"/>
      <c r="D71" s="59" t="s">
        <v>122</v>
      </c>
      <c r="E71" s="77"/>
      <c r="F71" s="250">
        <f>VLOOKUP(D71,廠價表!$C$1:$E$43,3,0)</f>
        <v>57.21</v>
      </c>
      <c r="G71" s="30">
        <v>991</v>
      </c>
      <c r="H71" s="254">
        <f>F71*G71</f>
        <v>56695.11</v>
      </c>
      <c r="I71" s="182"/>
      <c r="J71" s="106">
        <f>VLOOKUP(D71,產線配置圖!$A$3:$C$40,2,0)</f>
        <v>18</v>
      </c>
      <c r="K71" s="107">
        <f>VLOOKUP(D71,產線配置圖!$A$3:$C$40,3,0)</f>
        <v>1565</v>
      </c>
      <c r="L71" s="238">
        <f>K71/J71</f>
        <v>86.944444444444443</v>
      </c>
      <c r="M71" s="82">
        <v>13</v>
      </c>
      <c r="N71" s="107">
        <f>G71/W71*60</f>
        <v>914.76923076922833</v>
      </c>
      <c r="O71" s="238">
        <f>N71/M71</f>
        <v>70.36686390532526</v>
      </c>
      <c r="P71" s="111">
        <f>M71-J71</f>
        <v>-5</v>
      </c>
      <c r="Q71" s="255">
        <f>O71-L71</f>
        <v>-16.577580539119182</v>
      </c>
      <c r="R71" s="85">
        <f>O71/L71</f>
        <v>0.80933134204207968</v>
      </c>
      <c r="S71" s="440"/>
      <c r="T71" s="22">
        <v>0.41666666666666702</v>
      </c>
      <c r="U71" s="22">
        <v>0.46180555555555602</v>
      </c>
      <c r="V71" s="30">
        <f t="shared" ref="V71:V72" si="44">(T71-U70)*24*60</f>
        <v>20.000000000000171</v>
      </c>
      <c r="W71" s="73">
        <f t="shared" si="12"/>
        <v>65.000000000000171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 t="s">
        <v>81</v>
      </c>
      <c r="C72" s="76"/>
      <c r="D72" s="59" t="s">
        <v>123</v>
      </c>
      <c r="E72" s="77"/>
      <c r="F72" s="250">
        <f>VLOOKUP(D72,廠價表!$C$1:$E$43,3,0)</f>
        <v>50.67</v>
      </c>
      <c r="G72" s="202">
        <v>543</v>
      </c>
      <c r="H72" s="254">
        <f>F72*G72</f>
        <v>27513.81</v>
      </c>
      <c r="I72" s="182"/>
      <c r="J72" s="106">
        <f>VLOOKUP(D72,產線配置圖!$A$3:$C$40,2,0)</f>
        <v>13</v>
      </c>
      <c r="K72" s="107">
        <f>VLOOKUP(D72,產線配置圖!$A$3:$C$40,3,0)</f>
        <v>1440</v>
      </c>
      <c r="L72" s="238">
        <f>K72/J72</f>
        <v>110.76923076923077</v>
      </c>
      <c r="M72" s="82">
        <v>13</v>
      </c>
      <c r="N72" s="107">
        <f>G72/W72*60</f>
        <v>1086.0000000000155</v>
      </c>
      <c r="O72" s="238">
        <f>N72/M72</f>
        <v>83.538461538462727</v>
      </c>
      <c r="P72" s="111">
        <f>M72-J72</f>
        <v>0</v>
      </c>
      <c r="Q72" s="255">
        <f>O72-L72</f>
        <v>-27.230769230768047</v>
      </c>
      <c r="R72" s="85">
        <f>O72/L72</f>
        <v>0.75416666666667731</v>
      </c>
      <c r="S72" s="440"/>
      <c r="T72" s="22">
        <v>0.52777777777777801</v>
      </c>
      <c r="U72" s="22">
        <v>0.54861111111111105</v>
      </c>
      <c r="V72" s="30">
        <f t="shared" si="44"/>
        <v>94.999999999999659</v>
      </c>
      <c r="W72" s="73">
        <f t="shared" si="12"/>
        <v>29.999999999999574</v>
      </c>
      <c r="X72" s="272"/>
      <c r="Y72" s="288"/>
      <c r="Z72" s="90"/>
      <c r="AA72" s="90"/>
      <c r="AB72" s="407" t="s">
        <v>140</v>
      </c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250"/>
      <c r="G73" s="202"/>
      <c r="H73" s="254"/>
      <c r="I73" s="182"/>
      <c r="J73" s="106"/>
      <c r="K73" s="107"/>
      <c r="L73" s="238"/>
      <c r="M73" s="82"/>
      <c r="N73" s="107"/>
      <c r="O73" s="238"/>
      <c r="P73" s="111"/>
      <c r="Q73" s="255"/>
      <c r="R73" s="85"/>
      <c r="S73" s="440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 t="s">
        <v>56</v>
      </c>
      <c r="D79" s="430" t="s">
        <v>42</v>
      </c>
      <c r="E79" s="430"/>
      <c r="F79" s="116"/>
      <c r="G79" s="117"/>
      <c r="H79" s="282"/>
      <c r="I79" s="268"/>
      <c r="J79" s="240">
        <f t="shared" ref="J79:O79" si="45">AVERAGE(J70:J78)</f>
        <v>14.666666666666666</v>
      </c>
      <c r="K79" s="240">
        <f t="shared" si="45"/>
        <v>1481.6666666666667</v>
      </c>
      <c r="L79" s="268">
        <f t="shared" si="45"/>
        <v>102.82763532763533</v>
      </c>
      <c r="M79" s="240">
        <f t="shared" si="45"/>
        <v>11.666666666666666</v>
      </c>
      <c r="N79" s="240">
        <f t="shared" si="45"/>
        <v>936.09954751131545</v>
      </c>
      <c r="O79" s="268">
        <f t="shared" si="45"/>
        <v>81.210271879955357</v>
      </c>
      <c r="P79" s="269">
        <f>M79-J79</f>
        <v>-3</v>
      </c>
      <c r="Q79" s="222">
        <f>N79-K79</f>
        <v>-545.56711915535129</v>
      </c>
      <c r="R79" s="223">
        <f>O79/L79</f>
        <v>0.78977087843358951</v>
      </c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-545.56711915535129</v>
      </c>
      <c r="AG79" s="124">
        <f>N79/K79</f>
        <v>0.63178822104250754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D3:AE3"/>
    <mergeCell ref="AF3:AF4"/>
    <mergeCell ref="T3:U3"/>
    <mergeCell ref="V3:V4"/>
    <mergeCell ref="R3:R4"/>
    <mergeCell ref="P1:S2"/>
    <mergeCell ref="J3:J4"/>
    <mergeCell ref="K3:K4"/>
    <mergeCell ref="L3:L4"/>
    <mergeCell ref="M3:M4"/>
    <mergeCell ref="AF1:AH2"/>
    <mergeCell ref="AH3:AH4"/>
    <mergeCell ref="T1:Y2"/>
    <mergeCell ref="Z3:AA3"/>
    <mergeCell ref="AB3:AC4"/>
    <mergeCell ref="AG3:AG4"/>
    <mergeCell ref="N3:N4"/>
    <mergeCell ref="O3:O4"/>
    <mergeCell ref="P3:P4"/>
    <mergeCell ref="Q3:Q4"/>
    <mergeCell ref="W3:W4"/>
    <mergeCell ref="X3:Y3"/>
    <mergeCell ref="S3:S4"/>
    <mergeCell ref="AB1:AC2"/>
    <mergeCell ref="F3:F4"/>
    <mergeCell ref="J1:L2"/>
    <mergeCell ref="M1:O2"/>
    <mergeCell ref="H3:H4"/>
    <mergeCell ref="I3:I4"/>
    <mergeCell ref="G3:G4"/>
    <mergeCell ref="S5:S15"/>
    <mergeCell ref="AB5:AC5"/>
    <mergeCell ref="AB14:AC14"/>
    <mergeCell ref="AB15:AC15"/>
    <mergeCell ref="AB8:AC8"/>
    <mergeCell ref="AB9:AC9"/>
    <mergeCell ref="AB10:AC10"/>
    <mergeCell ref="AB11:AC11"/>
    <mergeCell ref="AB12:AC12"/>
    <mergeCell ref="AB13:AC13"/>
    <mergeCell ref="A2:B2"/>
    <mergeCell ref="A3:A4"/>
    <mergeCell ref="B3:B4"/>
    <mergeCell ref="D3:E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16:A26"/>
    <mergeCell ref="A5:A15"/>
    <mergeCell ref="D15:E15"/>
    <mergeCell ref="AB7:AC7"/>
    <mergeCell ref="S16:S26"/>
    <mergeCell ref="AB16:AC16"/>
    <mergeCell ref="D26:E26"/>
    <mergeCell ref="AB26:AC2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18" priority="1" operator="greaterThan">
      <formula>0</formula>
    </cfRule>
  </conditionalFormatting>
  <conditionalFormatting sqref="Q5:Q79 AF5:AF79">
    <cfRule type="cellIs" dxfId="217" priority="4" operator="lessThan">
      <formula>0</formula>
    </cfRule>
  </conditionalFormatting>
  <conditionalFormatting sqref="R5:R79 AG5:AG79">
    <cfRule type="cellIs" dxfId="216" priority="2" operator="greaterThan">
      <formula>1</formula>
    </cfRule>
    <cfRule type="cellIs" dxfId="215" priority="3" operator="lessThan">
      <formula>0.8</formula>
    </cfRule>
  </conditionalFormatting>
  <conditionalFormatting sqref="S5:S10 S37:S62 AH59:AH62 S69:S76 AH69:AH76">
    <cfRule type="cellIs" dxfId="214" priority="7" operator="lessThan">
      <formula>0.8</formula>
    </cfRule>
  </conditionalFormatting>
  <conditionalFormatting sqref="S19:S25 AH19:AH25">
    <cfRule type="cellIs" dxfId="213" priority="6" operator="lessThan">
      <formula>0.8</formula>
    </cfRule>
  </conditionalFormatting>
  <conditionalFormatting sqref="S79">
    <cfRule type="cellIs" dxfId="212" priority="5" operator="lessThan">
      <formula>0.8</formula>
    </cfRule>
  </conditionalFormatting>
  <conditionalFormatting sqref="AH5:AH8 S15:S16 AH15:AH16 AH49 AH79">
    <cfRule type="cellIs" dxfId="211" priority="9" operator="lessThan">
      <formula>0.8</formula>
    </cfRule>
  </conditionalFormatting>
  <conditionalFormatting sqref="AH27 S27:S28">
    <cfRule type="cellIs" dxfId="2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C64CD5-58D0-4026-96A5-850380C2E22C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B8CB-3E83-4A54-8B1F-8E1B55B91A3F}">
  <dimension ref="B1:O26"/>
  <sheetViews>
    <sheetView zoomScale="70" zoomScaleNormal="70" workbookViewId="0">
      <selection activeCell="A3" sqref="A3:A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46183</v>
      </c>
      <c r="E3" s="510"/>
      <c r="F3" s="3" t="s">
        <v>72</v>
      </c>
      <c r="G3" s="511">
        <f>'0610'!E1</f>
        <v>65044</v>
      </c>
      <c r="H3" s="511"/>
      <c r="I3" s="3" t="s">
        <v>2</v>
      </c>
      <c r="J3" s="512">
        <f>'0610'!G1</f>
        <v>3170872.9440000011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121.4331803762686</v>
      </c>
      <c r="G6" s="507"/>
      <c r="H6" s="508">
        <f>AVERAGE(D13:H13)</f>
        <v>121.23988249658836</v>
      </c>
      <c r="I6" s="508"/>
      <c r="J6" s="508">
        <f>AVERAGE(I13)</f>
        <v>122.39966977466976</v>
      </c>
      <c r="K6" s="508"/>
      <c r="L6" s="516">
        <f>SUM(D18:J18)</f>
        <v>1</v>
      </c>
      <c r="M6" s="499">
        <f>SUM(D19:J19)</f>
        <v>8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111.04293010636464</v>
      </c>
      <c r="G7" s="496"/>
      <c r="H7" s="497">
        <f>AVERAGE(D14:H14)</f>
        <v>110.59313517525663</v>
      </c>
      <c r="I7" s="497"/>
      <c r="J7" s="497">
        <f>AVERAGE(I14)</f>
        <v>113.29190476190466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0.9144364807237273</v>
      </c>
      <c r="G8" s="502"/>
      <c r="H8" s="502">
        <f>H7/H6</f>
        <v>0.912184447047519</v>
      </c>
      <c r="I8" s="502"/>
      <c r="J8" s="502">
        <f>J7/J6</f>
        <v>0.92558995437216507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VALUE('0610'!L15)</f>
        <v>150</v>
      </c>
      <c r="E13" s="13">
        <f>VALUE('0610'!L26)</f>
        <v>158.32255979314803</v>
      </c>
      <c r="F13" s="13">
        <f>VALUE('0610'!L37)</f>
        <v>88.522222222222211</v>
      </c>
      <c r="G13" s="13">
        <f>VALUE('0610'!L48)</f>
        <v>106.35463046757165</v>
      </c>
      <c r="H13" s="13">
        <f>VALUE('0610'!L58)</f>
        <v>103</v>
      </c>
      <c r="I13" s="13">
        <f>VALUE('0610'!L69)</f>
        <v>122.39966977466976</v>
      </c>
      <c r="J13" s="13">
        <f>'0610'!L79</f>
        <v>0</v>
      </c>
    </row>
    <row r="14" spans="2:15" ht="39.950000000000003" customHeight="1">
      <c r="B14" s="490"/>
      <c r="C14" s="12" t="s">
        <v>100</v>
      </c>
      <c r="D14" s="13">
        <f>VALUE('0610'!O15)</f>
        <v>142.96240800436058</v>
      </c>
      <c r="E14" s="13">
        <f>VALUE('0610'!O26)</f>
        <v>144.19610244278121</v>
      </c>
      <c r="F14" s="13">
        <f>VALUE('0610'!O37)</f>
        <v>81.957224223681493</v>
      </c>
      <c r="G14" s="13">
        <f>VALUE('0610'!O48)</f>
        <v>90.262453125121084</v>
      </c>
      <c r="H14" s="13">
        <f>VALUE('0610'!O58)</f>
        <v>93.587488080338858</v>
      </c>
      <c r="I14" s="13">
        <f>VALUE('0610'!O69)</f>
        <v>113.29190476190466</v>
      </c>
      <c r="J14" s="13">
        <f>'0610'!O79</f>
        <v>0</v>
      </c>
    </row>
    <row r="15" spans="2:15" ht="39.950000000000003" customHeight="1">
      <c r="B15" s="491"/>
      <c r="C15" s="10" t="s">
        <v>26</v>
      </c>
      <c r="D15" s="14">
        <f t="shared" ref="D15:I15" si="1">D14/D13</f>
        <v>0.95308272002907057</v>
      </c>
      <c r="E15" s="14">
        <f t="shared" si="1"/>
        <v>0.91077419813813421</v>
      </c>
      <c r="F15" s="14">
        <f t="shared" si="1"/>
        <v>0.92583785366277582</v>
      </c>
      <c r="G15" s="14">
        <f t="shared" si="1"/>
        <v>0.84869321371618889</v>
      </c>
      <c r="H15" s="14">
        <f t="shared" si="1"/>
        <v>0.90861638912950349</v>
      </c>
      <c r="I15" s="14">
        <f t="shared" si="1"/>
        <v>0.92558995437216507</v>
      </c>
      <c r="J15" s="15">
        <f>'0610'!S70</f>
        <v>0</v>
      </c>
    </row>
    <row r="16" spans="2:15" ht="17.25" customHeight="1">
      <c r="B16" s="492" t="s">
        <v>101</v>
      </c>
      <c r="C16" s="10" t="s">
        <v>34</v>
      </c>
      <c r="D16" s="16">
        <f>'0610'!T5</f>
        <v>0.29375000000000001</v>
      </c>
      <c r="E16" s="16">
        <f>'0610'!T16</f>
        <v>0.29027777777777802</v>
      </c>
      <c r="F16" s="16">
        <f>'0610'!T27</f>
        <v>0.29166666666666702</v>
      </c>
      <c r="G16" s="16">
        <f>'0610'!T38</f>
        <v>0.33333333333333298</v>
      </c>
      <c r="H16" s="16">
        <f>'0610'!T49</f>
        <v>0.29097222222222202</v>
      </c>
      <c r="I16" s="16">
        <f>'0610'!T59</f>
        <v>0.28819444444444398</v>
      </c>
      <c r="J16" s="16">
        <f>'0610'!T70</f>
        <v>0</v>
      </c>
    </row>
    <row r="17" spans="2:10" ht="17.25" customHeight="1">
      <c r="B17" s="493"/>
      <c r="C17" s="10" t="s">
        <v>35</v>
      </c>
      <c r="D17" s="16">
        <v>0.64375000000000004</v>
      </c>
      <c r="E17" s="19">
        <v>0.61805555555555602</v>
      </c>
      <c r="F17" s="19">
        <v>0.6875</v>
      </c>
      <c r="G17" s="210">
        <v>0.70833333333333304</v>
      </c>
      <c r="H17" s="21">
        <v>0.65763888888888899</v>
      </c>
      <c r="I17" s="22">
        <v>0.66319444444444398</v>
      </c>
      <c r="J17" s="22">
        <v>0</v>
      </c>
    </row>
    <row r="18" spans="2:10" ht="17.25" customHeight="1">
      <c r="B18" s="494" t="s">
        <v>102</v>
      </c>
      <c r="C18" s="330" t="s">
        <v>36</v>
      </c>
      <c r="D18" s="358">
        <f>'0610'!Z15</f>
        <v>1</v>
      </c>
      <c r="E18" s="359">
        <f>'0610'!Z26</f>
        <v>0</v>
      </c>
      <c r="F18" s="359">
        <f>'0610'!Z37</f>
        <v>0</v>
      </c>
      <c r="G18" s="360">
        <f>'0610'!Z48</f>
        <v>0</v>
      </c>
      <c r="H18" s="360">
        <f>'0610'!Z58</f>
        <v>0</v>
      </c>
      <c r="I18" s="359">
        <f>'0610'!Z69</f>
        <v>0</v>
      </c>
      <c r="J18" s="359">
        <f>'0610'!AA79</f>
        <v>0</v>
      </c>
    </row>
    <row r="19" spans="2:10" ht="17.25" customHeight="1">
      <c r="B19" s="495"/>
      <c r="C19" s="330" t="s">
        <v>37</v>
      </c>
      <c r="D19" s="358">
        <f>'0610'!AA15</f>
        <v>8</v>
      </c>
      <c r="E19" s="359">
        <f>'0610'!AA26</f>
        <v>0</v>
      </c>
      <c r="F19" s="359">
        <f>'0610'!AA37</f>
        <v>0</v>
      </c>
      <c r="G19" s="360">
        <f>'0610'!AA48</f>
        <v>0</v>
      </c>
      <c r="H19" s="360">
        <f>'0610'!AA58</f>
        <v>0</v>
      </c>
      <c r="I19" s="359">
        <f>'0610'!AA69</f>
        <v>0</v>
      </c>
      <c r="J19" s="359">
        <f>'0610'!AB79</f>
        <v>0</v>
      </c>
    </row>
    <row r="20" spans="2:10" ht="17.25" customHeight="1">
      <c r="B20" s="494" t="s">
        <v>103</v>
      </c>
      <c r="C20" s="330" t="s">
        <v>36</v>
      </c>
      <c r="D20" s="358">
        <f>'0610'!AD15</f>
        <v>0</v>
      </c>
      <c r="E20" s="359">
        <f>'0610'!AD26</f>
        <v>0</v>
      </c>
      <c r="F20" s="359">
        <f>'0610'!AD37</f>
        <v>0</v>
      </c>
      <c r="G20" s="360">
        <f>'0610'!AD48</f>
        <v>0</v>
      </c>
      <c r="H20" s="360">
        <f>'0610'!AD58</f>
        <v>0</v>
      </c>
      <c r="I20" s="359">
        <f>'0610'!AD69</f>
        <v>0</v>
      </c>
      <c r="J20" s="359">
        <f>'0610'!AD79</f>
        <v>0</v>
      </c>
    </row>
    <row r="21" spans="2:10" ht="17.25" customHeight="1">
      <c r="B21" s="495"/>
      <c r="C21" s="330" t="s">
        <v>85</v>
      </c>
      <c r="D21" s="358">
        <f>'0610'!AE15</f>
        <v>0</v>
      </c>
      <c r="E21" s="359">
        <f>'0610'!AE26</f>
        <v>0</v>
      </c>
      <c r="F21" s="359">
        <f>'0610'!AE37</f>
        <v>0</v>
      </c>
      <c r="G21" s="360">
        <f>'0610'!AE48</f>
        <v>0</v>
      </c>
      <c r="H21" s="360">
        <f>'0610'!AE58</f>
        <v>0</v>
      </c>
      <c r="I21" s="359">
        <f>'0610'!AE69</f>
        <v>0</v>
      </c>
      <c r="J21" s="359">
        <f>'0610'!AE79</f>
        <v>0</v>
      </c>
    </row>
    <row r="22" spans="2:10" ht="17.25" customHeight="1">
      <c r="B22" s="477" t="s">
        <v>104</v>
      </c>
      <c r="C22" s="478"/>
      <c r="D22" s="23">
        <f>VALUE('0610'!M15)</f>
        <v>15</v>
      </c>
      <c r="E22" s="23">
        <f>VALUE('0610'!M26)</f>
        <v>14.333333333333334</v>
      </c>
      <c r="F22" s="23">
        <f>VALUE('0610'!M37)</f>
        <v>17</v>
      </c>
      <c r="G22" s="23">
        <f>VALUE('0610'!M48)</f>
        <v>15</v>
      </c>
      <c r="H22" s="23">
        <f>VALUE('0610'!M58)</f>
        <v>16.600000000000001</v>
      </c>
      <c r="I22" s="23">
        <f>VALUE('0610'!M69)</f>
        <v>12.5</v>
      </c>
      <c r="J22" s="23">
        <f>'0610'!M79</f>
        <v>0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C14D3-D1D7-402D-B41D-50C3DDA778E5}">
  <sheetPr>
    <tabColor theme="9" tint="0.79998168889431442"/>
  </sheetPr>
  <dimension ref="A1:AJ92"/>
  <sheetViews>
    <sheetView zoomScale="69" zoomScaleNormal="69" workbookViewId="0">
      <pane xSplit="5" ySplit="4" topLeftCell="F35" activePane="bottomRight" state="frozen"/>
      <selection activeCell="A3" sqref="A3:A4"/>
      <selection pane="topRight" activeCell="A3" sqref="A3:A4"/>
      <selection pane="bottomLeft" activeCell="A3" sqref="A3:A4"/>
      <selection pane="bottomRight" activeCell="A3" sqref="A3:A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65044</v>
      </c>
      <c r="F1" s="30" t="s">
        <v>2</v>
      </c>
      <c r="G1" s="31">
        <f>SUM(H5:H79)</f>
        <v>3170872.9440000011</v>
      </c>
      <c r="H1" s="32" t="s">
        <v>3</v>
      </c>
      <c r="I1" s="33">
        <f>M15+M26+M48+M58+M69+M79+M37</f>
        <v>90.433333333333337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170</v>
      </c>
      <c r="B2" s="381"/>
      <c r="C2" s="28"/>
      <c r="D2" s="28" t="s">
        <v>14</v>
      </c>
      <c r="E2" s="35">
        <f>AVERAGE(O15,O26,O37,O48,O58,O69,O79)</f>
        <v>111.04293010636464</v>
      </c>
      <c r="F2" s="36" t="s">
        <v>15</v>
      </c>
      <c r="G2" s="37">
        <f>G1/E1</f>
        <v>48.749660906463333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1</v>
      </c>
      <c r="AA2" s="339">
        <f>AA15+AA26+AA37+AA48+AA58+AA69+AA79</f>
        <v>8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3155</v>
      </c>
      <c r="H5" s="43">
        <f>F5*G5</f>
        <v>179424.85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2151.1363636363676</v>
      </c>
      <c r="O5" s="47">
        <f>N5/M5</f>
        <v>143.40909090909116</v>
      </c>
      <c r="P5" s="49">
        <f>M5-J5</f>
        <v>0</v>
      </c>
      <c r="Q5" s="50">
        <f>O5-L5</f>
        <v>-6.5909090909088377</v>
      </c>
      <c r="R5" s="51">
        <f>O5/L5</f>
        <v>0.95606060606060772</v>
      </c>
      <c r="S5" s="439">
        <f>R15</f>
        <v>0.95308272002907057</v>
      </c>
      <c r="T5" s="319">
        <v>0.29375000000000001</v>
      </c>
      <c r="U5" s="320">
        <v>0.35486111111111102</v>
      </c>
      <c r="V5" s="53"/>
      <c r="W5" s="54">
        <f t="shared" ref="W5:W14" si="0">(U5-T5)*24*60</f>
        <v>87.999999999999844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-98.863636363632395</v>
      </c>
      <c r="AG5" s="52">
        <f t="shared" ref="AG5:AG11" si="2">N5/K5</f>
        <v>0.95606060606060783</v>
      </c>
      <c r="AH5" s="403">
        <f>AG15</f>
        <v>0.95308272002907046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2009</v>
      </c>
      <c r="H6" s="63">
        <f>F6*G6</f>
        <v>116863.53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2078.2758620689528</v>
      </c>
      <c r="O6" s="67">
        <f>N6/M6</f>
        <v>138.55172413793019</v>
      </c>
      <c r="P6" s="69">
        <f>M6-J6</f>
        <v>0</v>
      </c>
      <c r="Q6" s="70">
        <f>O6-L6</f>
        <v>-11.448275862069806</v>
      </c>
      <c r="R6" s="71">
        <f>O6/L6</f>
        <v>0.92367816091953459</v>
      </c>
      <c r="S6" s="440"/>
      <c r="T6" s="16">
        <v>0.36249999999999999</v>
      </c>
      <c r="U6" s="16">
        <v>0.40277777777777801</v>
      </c>
      <c r="V6" s="30">
        <f>(T6-U5)*24*60</f>
        <v>11.000000000000121</v>
      </c>
      <c r="W6" s="73">
        <f t="shared" si="0"/>
        <v>58.000000000000355</v>
      </c>
      <c r="X6" s="22"/>
      <c r="Y6" s="84"/>
      <c r="Z6" s="90">
        <v>1</v>
      </c>
      <c r="AA6" s="90">
        <v>8</v>
      </c>
      <c r="AB6" s="434" t="s">
        <v>171</v>
      </c>
      <c r="AC6" s="434"/>
      <c r="AD6" s="149"/>
      <c r="AE6" s="149"/>
      <c r="AF6" s="307">
        <f t="shared" si="1"/>
        <v>-171.72413793104715</v>
      </c>
      <c r="AG6" s="72">
        <f t="shared" si="2"/>
        <v>0.92367816091953459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3557</v>
      </c>
      <c r="H7" s="78">
        <f>F7*G7</f>
        <v>174790.98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2200.2061855670127</v>
      </c>
      <c r="O7" s="81">
        <f>N7/M7</f>
        <v>146.68041237113417</v>
      </c>
      <c r="P7" s="74">
        <f>M7-J7</f>
        <v>0</v>
      </c>
      <c r="Q7" s="83">
        <f>O7-L7</f>
        <v>-3.3195876288658326</v>
      </c>
      <c r="R7" s="72">
        <f>O7/L7</f>
        <v>0.97786941580756115</v>
      </c>
      <c r="S7" s="440"/>
      <c r="T7" s="18">
        <v>0.41180555555555598</v>
      </c>
      <c r="U7" s="18">
        <v>0.47916666666666702</v>
      </c>
      <c r="V7" s="30">
        <f>(T7-U6)*24*60</f>
        <v>13.000000000000274</v>
      </c>
      <c r="W7" s="73">
        <f t="shared" si="0"/>
        <v>96.999999999999901</v>
      </c>
      <c r="X7" s="22"/>
      <c r="Y7" s="84"/>
      <c r="Z7" s="90"/>
      <c r="AA7" s="90"/>
      <c r="AB7" s="407"/>
      <c r="AC7" s="407"/>
      <c r="AD7" s="92"/>
      <c r="AE7" s="92"/>
      <c r="AF7" s="307">
        <f t="shared" si="1"/>
        <v>-49.793814432987347</v>
      </c>
      <c r="AG7" s="72">
        <f t="shared" si="2"/>
        <v>0.97786941580756115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2413</v>
      </c>
      <c r="H8" s="78">
        <f t="shared" ref="H8:H9" si="3">F8*G8</f>
        <v>118574.82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2160.8955223880466</v>
      </c>
      <c r="O8" s="81">
        <f t="shared" ref="O8:O9" si="6">N8/M8</f>
        <v>144.05970149253645</v>
      </c>
      <c r="P8" s="74">
        <f t="shared" ref="P8:P9" si="7">M8-J8</f>
        <v>0</v>
      </c>
      <c r="Q8" s="83">
        <f t="shared" ref="Q8:Q9" si="8">O8-L8</f>
        <v>-5.9402985074635524</v>
      </c>
      <c r="R8" s="72">
        <f t="shared" ref="R8:R9" si="9">O8/L8</f>
        <v>0.96039800995024294</v>
      </c>
      <c r="S8" s="440"/>
      <c r="T8" s="16">
        <v>0.56597222222222199</v>
      </c>
      <c r="U8" s="16">
        <v>0.61250000000000004</v>
      </c>
      <c r="V8" s="30">
        <f t="shared" ref="V8:V9" si="10">(T8-U7)*24*60</f>
        <v>124.99999999999916</v>
      </c>
      <c r="W8" s="73">
        <f t="shared" si="0"/>
        <v>67.000000000000398</v>
      </c>
      <c r="X8" s="22"/>
      <c r="Y8" s="84"/>
      <c r="Z8" s="90"/>
      <c r="AA8" s="90"/>
      <c r="AB8" s="434" t="s">
        <v>172</v>
      </c>
      <c r="AC8" s="434"/>
      <c r="AD8" s="149"/>
      <c r="AE8" s="149"/>
      <c r="AF8" s="307">
        <f t="shared" si="1"/>
        <v>-89.104477611953371</v>
      </c>
      <c r="AG8" s="72">
        <f t="shared" si="2"/>
        <v>0.96039800995024294</v>
      </c>
      <c r="AH8" s="404"/>
    </row>
    <row r="9" spans="1:34" ht="15" customHeight="1">
      <c r="A9" s="437"/>
      <c r="B9" s="75" t="s">
        <v>81</v>
      </c>
      <c r="C9" s="76"/>
      <c r="D9" s="59" t="s">
        <v>114</v>
      </c>
      <c r="E9" s="77"/>
      <c r="F9" s="75">
        <f>VLOOKUP(D9,廠價表!$C$1:$E$43,3,0)</f>
        <v>58.17</v>
      </c>
      <c r="G9" s="66">
        <v>1279</v>
      </c>
      <c r="H9" s="78">
        <f t="shared" si="3"/>
        <v>74399.430000000008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2131.6666666666652</v>
      </c>
      <c r="O9" s="81">
        <f t="shared" si="6"/>
        <v>142.111111111111</v>
      </c>
      <c r="P9" s="74">
        <f t="shared" si="7"/>
        <v>0</v>
      </c>
      <c r="Q9" s="83">
        <f t="shared" si="8"/>
        <v>-7.8888888888889994</v>
      </c>
      <c r="R9" s="72">
        <f t="shared" si="9"/>
        <v>0.9474074074074067</v>
      </c>
      <c r="S9" s="441"/>
      <c r="T9" s="16">
        <v>0.61875000000000002</v>
      </c>
      <c r="U9" s="16">
        <v>0.64375000000000004</v>
      </c>
      <c r="V9" s="30">
        <f t="shared" si="10"/>
        <v>8.999999999999968</v>
      </c>
      <c r="W9" s="73">
        <f t="shared" si="0"/>
        <v>36.000000000000028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-118.33333333333485</v>
      </c>
      <c r="AG9" s="72">
        <f t="shared" si="2"/>
        <v>0.9474074074074067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15</v>
      </c>
      <c r="N15" s="120">
        <f t="shared" si="11"/>
        <v>2144.4361200654084</v>
      </c>
      <c r="O15" s="117">
        <f t="shared" si="11"/>
        <v>142.96240800436058</v>
      </c>
      <c r="P15" s="121">
        <f>M15-J15</f>
        <v>0</v>
      </c>
      <c r="Q15" s="122">
        <f>O15-L15</f>
        <v>-7.0375919956394171</v>
      </c>
      <c r="R15" s="123">
        <f>O15/L15</f>
        <v>0.95308272002907057</v>
      </c>
      <c r="S15" s="443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8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-105.56387993459157</v>
      </c>
      <c r="AG15" s="124">
        <f>N15/K15</f>
        <v>0.95308272002907046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2082</v>
      </c>
      <c r="H16" s="134">
        <f>F16*G16</f>
        <v>105494.94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2014.8387096774472</v>
      </c>
      <c r="O16" s="141">
        <f>N16/M16</f>
        <v>143.91705069124623</v>
      </c>
      <c r="P16" s="142">
        <f>M16-J16</f>
        <v>0</v>
      </c>
      <c r="Q16" s="143">
        <f>O16-L16</f>
        <v>-16.797235023039491</v>
      </c>
      <c r="R16" s="144">
        <f>O16/L16</f>
        <v>0.89548387096775428</v>
      </c>
      <c r="S16" s="425">
        <f>R26</f>
        <v>0.91077419813813421</v>
      </c>
      <c r="T16" s="145">
        <v>0.29027777777777802</v>
      </c>
      <c r="U16" s="145">
        <v>0.33333333333333298</v>
      </c>
      <c r="V16" s="135"/>
      <c r="W16" s="146">
        <f t="shared" ref="W16:W78" si="12">(U16-T16)*24*60</f>
        <v>61.99999999999914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-235.16129032255276</v>
      </c>
      <c r="AG16" s="52">
        <f>N16/K16</f>
        <v>0.89548387096775428</v>
      </c>
      <c r="AH16" s="403">
        <f>AG26</f>
        <v>0.91062425587156415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2161</v>
      </c>
      <c r="H17" s="78">
        <f>F17*G17</f>
        <v>123630.81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2058.0952380952376</v>
      </c>
      <c r="O17" s="96">
        <f>N17/M17</f>
        <v>121.06442577030809</v>
      </c>
      <c r="P17" s="97">
        <f>M17-J17</f>
        <v>0</v>
      </c>
      <c r="Q17" s="98">
        <f>O17-L17</f>
        <v>-11.288515406162489</v>
      </c>
      <c r="R17" s="99">
        <f>O17/L17</f>
        <v>0.91470899470899447</v>
      </c>
      <c r="S17" s="426"/>
      <c r="T17" s="19">
        <v>0.34097222222222201</v>
      </c>
      <c r="U17" s="19">
        <v>0.38472222222222202</v>
      </c>
      <c r="V17" s="30">
        <f>(T17-U16)*24*60</f>
        <v>11.000000000000201</v>
      </c>
      <c r="W17" s="149">
        <f t="shared" si="12"/>
        <v>63.000000000000014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-191.90476190476238</v>
      </c>
      <c r="AG17" s="72">
        <f>N17/K17</f>
        <v>0.91470899470899447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1402</v>
      </c>
      <c r="H18" s="78">
        <f>F18*G18</f>
        <v>79367.22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2002.8571428571192</v>
      </c>
      <c r="O18" s="96">
        <f>N18/M18</f>
        <v>133.52380952380796</v>
      </c>
      <c r="P18" s="97">
        <f>M18-J18</f>
        <v>0</v>
      </c>
      <c r="Q18" s="98">
        <f>O18-L18</f>
        <v>-16.476190476192045</v>
      </c>
      <c r="R18" s="99">
        <f>O18/L18</f>
        <v>0.89015873015871971</v>
      </c>
      <c r="S18" s="426"/>
      <c r="T18" s="19">
        <v>0.39236111111111099</v>
      </c>
      <c r="U18" s="19">
        <v>0.421527777777778</v>
      </c>
      <c r="V18" s="30">
        <f>(T18-U17)*24*60</f>
        <v>11.000000000000121</v>
      </c>
      <c r="W18" s="149">
        <f t="shared" si="12"/>
        <v>42.00000000000049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-247.14285714288076</v>
      </c>
      <c r="AG18" s="72">
        <f>N18/K18</f>
        <v>0.89015873015871971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2655</v>
      </c>
      <c r="H19" s="78">
        <f t="shared" ref="H19:H21" si="13">F19*G19</f>
        <v>133785.45000000001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14">K19/J19</f>
        <v>173.07692307692307</v>
      </c>
      <c r="M19" s="148">
        <v>13</v>
      </c>
      <c r="N19" s="95">
        <f t="shared" ref="N19:N21" si="15">G19/W19*60</f>
        <v>2123.9999999999714</v>
      </c>
      <c r="O19" s="96">
        <f t="shared" ref="O19:O21" si="16">N19/M19</f>
        <v>163.38461538461317</v>
      </c>
      <c r="P19" s="97">
        <f t="shared" ref="P19:P21" si="17">M19-J19</f>
        <v>0</v>
      </c>
      <c r="Q19" s="98">
        <f t="shared" ref="Q19:Q21" si="18">O19-L19</f>
        <v>-9.6923076923098961</v>
      </c>
      <c r="R19" s="99">
        <f t="shared" ref="R19:R21" si="19">O19/L19</f>
        <v>0.94399999999998729</v>
      </c>
      <c r="S19" s="426"/>
      <c r="T19" s="19">
        <v>0.42708333333333298</v>
      </c>
      <c r="U19" s="19">
        <v>0.47916666666666702</v>
      </c>
      <c r="V19" s="30">
        <f>(T19-U18)*24*60</f>
        <v>7.9999999999991722</v>
      </c>
      <c r="W19" s="149">
        <f t="shared" si="12"/>
        <v>75.000000000001009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-126.00000000002865</v>
      </c>
      <c r="AG19" s="72">
        <f>N19/K19</f>
        <v>0.94399999999998729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2179</v>
      </c>
      <c r="H20" s="78">
        <f t="shared" si="13"/>
        <v>109799.81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4"/>
        <v>173.07692307692307</v>
      </c>
      <c r="M20" s="148">
        <v>13</v>
      </c>
      <c r="N20" s="95">
        <f t="shared" si="15"/>
        <v>1980.9090909091028</v>
      </c>
      <c r="O20" s="96">
        <f t="shared" si="16"/>
        <v>152.37762237762328</v>
      </c>
      <c r="P20" s="97">
        <f t="shared" si="17"/>
        <v>0</v>
      </c>
      <c r="Q20" s="98">
        <f t="shared" si="18"/>
        <v>-20.699300699299783</v>
      </c>
      <c r="R20" s="99">
        <f t="shared" si="19"/>
        <v>0.88040404040404574</v>
      </c>
      <c r="S20" s="426"/>
      <c r="T20" s="19">
        <v>0.54166666666666696</v>
      </c>
      <c r="U20" s="19">
        <v>0.58750000000000002</v>
      </c>
      <c r="V20" s="30">
        <f>(T20-U19)*24*60</f>
        <v>89.999999999999915</v>
      </c>
      <c r="W20" s="149">
        <f t="shared" si="12"/>
        <v>65.999999999999602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v>1162</v>
      </c>
      <c r="H21" s="78">
        <f t="shared" si="13"/>
        <v>58878.54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14"/>
        <v>160.71428571428572</v>
      </c>
      <c r="M21" s="148">
        <v>14</v>
      </c>
      <c r="N21" s="95">
        <f t="shared" si="15"/>
        <v>2112.7272727272389</v>
      </c>
      <c r="O21" s="96">
        <f t="shared" si="16"/>
        <v>150.90909090908849</v>
      </c>
      <c r="P21" s="97">
        <f t="shared" si="17"/>
        <v>0</v>
      </c>
      <c r="Q21" s="98">
        <f t="shared" si="18"/>
        <v>-9.8051948051972317</v>
      </c>
      <c r="R21" s="99">
        <f t="shared" si="19"/>
        <v>0.93898989898988394</v>
      </c>
      <c r="S21" s="426"/>
      <c r="T21" s="19">
        <v>0.59513888888888899</v>
      </c>
      <c r="U21" s="19">
        <v>0.61805555555555602</v>
      </c>
      <c r="V21" s="30">
        <f>(T21-U20)*24*60</f>
        <v>11.000000000000121</v>
      </c>
      <c r="W21" s="149">
        <f t="shared" si="12"/>
        <v>33.000000000000526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9"/>
      <c r="U22" s="19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12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20">AVERAGE(J16:J25)</f>
        <v>14.333333333333334</v>
      </c>
      <c r="K26" s="155">
        <f t="shared" si="20"/>
        <v>2250</v>
      </c>
      <c r="L26" s="158">
        <f t="shared" si="20"/>
        <v>158.32255979314803</v>
      </c>
      <c r="M26" s="155">
        <f t="shared" si="20"/>
        <v>14.333333333333334</v>
      </c>
      <c r="N26" s="155">
        <f t="shared" si="20"/>
        <v>2048.9045757110193</v>
      </c>
      <c r="O26" s="158">
        <f t="shared" si="20"/>
        <v>144.19610244278121</v>
      </c>
      <c r="P26" s="159">
        <f>M26-J26</f>
        <v>0</v>
      </c>
      <c r="Q26" s="160">
        <f>O26-L26</f>
        <v>-14.12645735036682</v>
      </c>
      <c r="R26" s="161">
        <f>O26/L26</f>
        <v>0.91077419813813421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21">N26-K26</f>
        <v>-201.09542428898067</v>
      </c>
      <c r="AG26" s="124">
        <f t="shared" ref="AG26:AG31" si="22">N26/K26</f>
        <v>0.91062425587156415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124</v>
      </c>
      <c r="E27" s="132"/>
      <c r="F27" s="129">
        <f>VLOOKUP(D27,廠價表!$C$1:$E$43,3,0)</f>
        <v>57.21</v>
      </c>
      <c r="G27" s="169">
        <v>2330</v>
      </c>
      <c r="H27" s="134">
        <f>F27*G27</f>
        <v>133299.29999999999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1503.2258064516207</v>
      </c>
      <c r="O27" s="141">
        <f>N27/M27</f>
        <v>88.425047438330623</v>
      </c>
      <c r="P27" s="142">
        <f>M27-J27</f>
        <v>-1</v>
      </c>
      <c r="Q27" s="143">
        <f>O27-L27</f>
        <v>-2.4638414505582631</v>
      </c>
      <c r="R27" s="144">
        <f>O27/L27</f>
        <v>0.97289171998163282</v>
      </c>
      <c r="S27" s="425">
        <f>R37</f>
        <v>0.92583785366277582</v>
      </c>
      <c r="T27" s="171">
        <v>0.29166666666666702</v>
      </c>
      <c r="U27" s="171">
        <v>0.35625000000000001</v>
      </c>
      <c r="V27" s="135"/>
      <c r="W27" s="146">
        <f t="shared" si="12"/>
        <v>92.999999999999517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21"/>
        <v>-132.77419354837934</v>
      </c>
      <c r="AG27" s="172">
        <f t="shared" si="22"/>
        <v>0.91884217998265316</v>
      </c>
      <c r="AH27" s="403">
        <f>AG37</f>
        <v>0.87440241734817714</v>
      </c>
    </row>
    <row r="28" spans="1:34" ht="15" customHeight="1">
      <c r="A28" s="457"/>
      <c r="B28" s="75" t="s">
        <v>81</v>
      </c>
      <c r="C28" s="173"/>
      <c r="D28" s="59" t="s">
        <v>122</v>
      </c>
      <c r="E28" s="104"/>
      <c r="F28" s="75">
        <f>VLOOKUP(D28,廠價表!$C$1:$E$43,3,0)</f>
        <v>57.21</v>
      </c>
      <c r="G28" s="90">
        <v>981</v>
      </c>
      <c r="H28" s="91">
        <f>F28*G28</f>
        <v>56123.01</v>
      </c>
      <c r="I28" s="92"/>
      <c r="J28" s="79">
        <f>VLOOKUP(D28,產線配置圖!$A$3:$C$40,2,0)</f>
        <v>18</v>
      </c>
      <c r="K28" s="80">
        <f>VLOOKUP(D28,產線配置圖!$A$3:$C$40,3,0)</f>
        <v>1565</v>
      </c>
      <c r="L28" s="93">
        <f>K28/J28</f>
        <v>86.944444444444443</v>
      </c>
      <c r="M28" s="94">
        <v>17</v>
      </c>
      <c r="N28" s="95">
        <f>G28/W28*60</f>
        <v>1308</v>
      </c>
      <c r="O28" s="96">
        <f>N28/M28</f>
        <v>76.941176470588232</v>
      </c>
      <c r="P28" s="97">
        <f>M28-J28</f>
        <v>-1</v>
      </c>
      <c r="Q28" s="98">
        <f>O28-L28</f>
        <v>-10.003267973856211</v>
      </c>
      <c r="R28" s="99">
        <f>O28/L28</f>
        <v>0.88494643863935352</v>
      </c>
      <c r="S28" s="426"/>
      <c r="T28" s="19">
        <v>0.36111111111111099</v>
      </c>
      <c r="U28" s="19">
        <v>0.39236111111111099</v>
      </c>
      <c r="V28" s="92">
        <f>(T28-U27)*24*60</f>
        <v>6.9999999999998153</v>
      </c>
      <c r="W28" s="149">
        <f t="shared" si="12"/>
        <v>45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21"/>
        <v>-257</v>
      </c>
      <c r="AG28" s="99">
        <f t="shared" si="22"/>
        <v>0.83578274760383386</v>
      </c>
      <c r="AH28" s="445"/>
    </row>
    <row r="29" spans="1:34" ht="15" customHeight="1">
      <c r="A29" s="457"/>
      <c r="B29" s="75" t="s">
        <v>81</v>
      </c>
      <c r="C29" s="173"/>
      <c r="D29" s="59" t="s">
        <v>168</v>
      </c>
      <c r="E29" s="104"/>
      <c r="F29" s="75">
        <f>VLOOKUP(D29,廠價表!$C$1:$E$43,3,0)</f>
        <v>57.21</v>
      </c>
      <c r="G29" s="90">
        <v>2410</v>
      </c>
      <c r="H29" s="91">
        <f>F29*G29</f>
        <v>137876.1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1417.6470588235368</v>
      </c>
      <c r="O29" s="96">
        <f>N29/M29</f>
        <v>83.39100346020804</v>
      </c>
      <c r="P29" s="97">
        <f>M29-J29</f>
        <v>-1</v>
      </c>
      <c r="Q29" s="98">
        <f>O29-L29</f>
        <v>-3.5534409842364028</v>
      </c>
      <c r="R29" s="99">
        <f>O29/L29</f>
        <v>0.95912975225798391</v>
      </c>
      <c r="S29" s="426"/>
      <c r="T29" s="19">
        <v>0.40138888888888902</v>
      </c>
      <c r="U29" s="19">
        <v>0.47222222222222199</v>
      </c>
      <c r="V29" s="92">
        <f>(T29-U28)*24*60</f>
        <v>13.000000000000353</v>
      </c>
      <c r="W29" s="149">
        <f t="shared" si="12"/>
        <v>101.99999999999947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21"/>
        <v>-147.35294117646322</v>
      </c>
      <c r="AG29" s="99">
        <f t="shared" si="22"/>
        <v>0.90584476602142927</v>
      </c>
      <c r="AH29" s="445"/>
    </row>
    <row r="30" spans="1:34" ht="15" customHeight="1">
      <c r="A30" s="457"/>
      <c r="B30" s="75" t="s">
        <v>81</v>
      </c>
      <c r="C30" s="173"/>
      <c r="D30" s="59" t="s">
        <v>168</v>
      </c>
      <c r="E30" s="89"/>
      <c r="F30" s="75">
        <f>VLOOKUP(D30,廠價表!$C$1:$E$43,3,0)</f>
        <v>57.21</v>
      </c>
      <c r="G30" s="90">
        <v>3541</v>
      </c>
      <c r="H30" s="91">
        <f t="shared" ref="H30:H31" si="23">F30*G30</f>
        <v>202580.61000000002</v>
      </c>
      <c r="I30" s="92"/>
      <c r="J30" s="79">
        <f>VLOOKUP(D30,產線配置圖!$A$3:$C$40,2,0)</f>
        <v>18</v>
      </c>
      <c r="K30" s="80">
        <f>VLOOKUP(D30,產線配置圖!$A$3:$C$40,3,0)</f>
        <v>1565</v>
      </c>
      <c r="L30" s="93">
        <f t="shared" ref="L30:L31" si="24">K30/J30</f>
        <v>86.944444444444443</v>
      </c>
      <c r="M30" s="94">
        <v>17</v>
      </c>
      <c r="N30" s="95">
        <f t="shared" ref="N30:N31" si="25">G30/W30*60</f>
        <v>1455.2054794520536</v>
      </c>
      <c r="O30" s="96">
        <f t="shared" ref="O30:O31" si="26">N30/M30</f>
        <v>85.60032232070904</v>
      </c>
      <c r="P30" s="97">
        <f t="shared" ref="P30:P31" si="27">M30-J30</f>
        <v>-1</v>
      </c>
      <c r="Q30" s="98">
        <f t="shared" ref="Q30:Q31" si="28">O30-L30</f>
        <v>-1.3441221237354029</v>
      </c>
      <c r="R30" s="99">
        <f t="shared" ref="R30:R31" si="29">O30/L30</f>
        <v>0.98454044841710076</v>
      </c>
      <c r="S30" s="426"/>
      <c r="T30" s="19">
        <v>0.53263888888888899</v>
      </c>
      <c r="U30" s="19">
        <v>0.63402777777777797</v>
      </c>
      <c r="V30" s="92">
        <f>(T30-U29)*24*60</f>
        <v>87.000000000000483</v>
      </c>
      <c r="W30" s="149">
        <f t="shared" si="12"/>
        <v>146.00000000000011</v>
      </c>
      <c r="X30" s="174"/>
      <c r="Y30" s="301"/>
      <c r="Z30" s="335"/>
      <c r="AA30" s="335"/>
      <c r="AB30" s="407"/>
      <c r="AC30" s="407"/>
      <c r="AD30" s="92"/>
      <c r="AE30" s="92"/>
      <c r="AF30" s="312">
        <f t="shared" si="21"/>
        <v>-109.79452054794638</v>
      </c>
      <c r="AG30" s="99">
        <f t="shared" si="22"/>
        <v>0.92984375683837295</v>
      </c>
      <c r="AH30" s="446"/>
    </row>
    <row r="31" spans="1:34" ht="15" customHeight="1">
      <c r="A31" s="457"/>
      <c r="B31" s="75" t="s">
        <v>81</v>
      </c>
      <c r="C31" s="88"/>
      <c r="D31" s="59" t="s">
        <v>124</v>
      </c>
      <c r="E31" s="89"/>
      <c r="F31" s="75">
        <f>VLOOKUP(D31,廠價表!$C$1:$E$43,3,0)</f>
        <v>57.21</v>
      </c>
      <c r="G31" s="90">
        <v>1496</v>
      </c>
      <c r="H31" s="91">
        <f t="shared" si="23"/>
        <v>85586.16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24"/>
        <v>90.888888888888886</v>
      </c>
      <c r="M31" s="94">
        <v>17</v>
      </c>
      <c r="N31" s="95">
        <f t="shared" si="25"/>
        <v>1282.2857142857158</v>
      </c>
      <c r="O31" s="96">
        <f t="shared" si="26"/>
        <v>75.428571428571516</v>
      </c>
      <c r="P31" s="97">
        <f t="shared" si="27"/>
        <v>-1</v>
      </c>
      <c r="Q31" s="98">
        <f t="shared" si="28"/>
        <v>-15.46031746031737</v>
      </c>
      <c r="R31" s="99">
        <f t="shared" si="29"/>
        <v>0.82989870764931983</v>
      </c>
      <c r="S31" s="426"/>
      <c r="T31" s="19">
        <v>0.63888888888888895</v>
      </c>
      <c r="U31" s="19">
        <v>0.6875</v>
      </c>
      <c r="V31" s="92">
        <f>(T31-U30)*24*60</f>
        <v>6.9999999999998153</v>
      </c>
      <c r="W31" s="149">
        <f t="shared" si="12"/>
        <v>69.999999999999915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21"/>
        <v>-353.71428571428419</v>
      </c>
      <c r="AG31" s="99">
        <f t="shared" si="22"/>
        <v>0.78379322389102435</v>
      </c>
      <c r="AH31" s="405"/>
    </row>
    <row r="32" spans="1:34" ht="15" customHeight="1">
      <c r="A32" s="457"/>
      <c r="B32" s="75"/>
      <c r="C32" s="173"/>
      <c r="D32" s="59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30">AVERAGE(J27:J36)</f>
        <v>18</v>
      </c>
      <c r="K37" s="155">
        <f t="shared" si="30"/>
        <v>1593.4</v>
      </c>
      <c r="L37" s="158">
        <f t="shared" si="30"/>
        <v>88.522222222222211</v>
      </c>
      <c r="M37" s="155">
        <f t="shared" si="30"/>
        <v>17</v>
      </c>
      <c r="N37" s="155">
        <f t="shared" si="30"/>
        <v>1393.2728118025855</v>
      </c>
      <c r="O37" s="158">
        <f t="shared" si="30"/>
        <v>81.957224223681493</v>
      </c>
      <c r="P37" s="159">
        <f>M37-J37</f>
        <v>-1</v>
      </c>
      <c r="Q37" s="160">
        <f>N37-K37</f>
        <v>-200.12718819741463</v>
      </c>
      <c r="R37" s="161">
        <f>O37/L37</f>
        <v>0.92583785366277582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-200.12718819741463</v>
      </c>
      <c r="AG37" s="124">
        <f>N37/K37</f>
        <v>0.87440241734817714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2252</v>
      </c>
      <c r="H38" s="134">
        <f>F38*G38</f>
        <v>112397.31999999999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13</v>
      </c>
      <c r="N38" s="140">
        <f>G38/W38*60</f>
        <v>1324.7058823529283</v>
      </c>
      <c r="O38" s="141">
        <f>N38/M38</f>
        <v>101.9004524886868</v>
      </c>
      <c r="P38" s="142">
        <f>M38-J38</f>
        <v>-2</v>
      </c>
      <c r="Q38" s="143">
        <f>O38-L38</f>
        <v>-12.36621417797987</v>
      </c>
      <c r="R38" s="144">
        <f>O38/L38</f>
        <v>0.89177758887415515</v>
      </c>
      <c r="S38" s="453">
        <f>R48</f>
        <v>0.84869321371618889</v>
      </c>
      <c r="T38" s="191">
        <v>0.33333333333333298</v>
      </c>
      <c r="U38" s="191">
        <v>0.40416666666666701</v>
      </c>
      <c r="V38" s="192"/>
      <c r="W38" s="193">
        <f t="shared" si="12"/>
        <v>102.00000000000099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-389.29411764707174</v>
      </c>
      <c r="AG38" s="195">
        <f>N38/K38</f>
        <v>0.77287391035760111</v>
      </c>
      <c r="AH38" s="459">
        <f>AG48</f>
        <v>0.82437808535275892</v>
      </c>
    </row>
    <row r="39" spans="1:34" ht="15" customHeight="1">
      <c r="A39" s="451"/>
      <c r="B39" s="75" t="s">
        <v>81</v>
      </c>
      <c r="C39" s="197"/>
      <c r="D39" s="198" t="s">
        <v>123</v>
      </c>
      <c r="E39" s="176"/>
      <c r="F39" s="75">
        <f>VLOOKUP(D39,廠價表!$C$1:$E$43,3,0)</f>
        <v>50.67</v>
      </c>
      <c r="G39" s="199">
        <v>663</v>
      </c>
      <c r="H39" s="91">
        <f>F39*G39</f>
        <v>33594.21</v>
      </c>
      <c r="I39" s="200"/>
      <c r="J39" s="148">
        <f>VLOOKUP(D39,產線配置圖!$A$3:$C$40,2,0)</f>
        <v>13</v>
      </c>
      <c r="K39" s="95">
        <f>VLOOKUP(D39,產線配置圖!$A$3:$C$40,3,0)</f>
        <v>1440</v>
      </c>
      <c r="L39" s="96">
        <f>K39/J39</f>
        <v>110.76923076923077</v>
      </c>
      <c r="M39" s="201">
        <v>13</v>
      </c>
      <c r="N39" s="202">
        <f>G39/W39*60</f>
        <v>1205.4545454545262</v>
      </c>
      <c r="O39" s="203">
        <f>N39/M39</f>
        <v>92.727272727271242</v>
      </c>
      <c r="P39" s="97">
        <f>M39-J39</f>
        <v>0</v>
      </c>
      <c r="Q39" s="98">
        <f>O39-L39</f>
        <v>-18.041958041959532</v>
      </c>
      <c r="R39" s="99">
        <f>O39/L39</f>
        <v>0.83712121212119872</v>
      </c>
      <c r="S39" s="454"/>
      <c r="T39" s="20">
        <v>0.41319444444444398</v>
      </c>
      <c r="U39" s="20">
        <v>0.43611111111111101</v>
      </c>
      <c r="V39" s="92">
        <f>(T39-U38)*24*60</f>
        <v>12.999999999998835</v>
      </c>
      <c r="W39" s="205">
        <f t="shared" si="12"/>
        <v>33.000000000000526</v>
      </c>
      <c r="X39" s="22"/>
      <c r="Y39" s="84"/>
      <c r="Z39" s="90"/>
      <c r="AA39" s="90"/>
      <c r="AB39" s="462"/>
      <c r="AC39" s="462"/>
      <c r="AD39" s="200"/>
      <c r="AE39" s="200"/>
      <c r="AF39" s="314">
        <f>N39-K39</f>
        <v>-234.54545454547383</v>
      </c>
      <c r="AG39" s="206">
        <f>N39/K39</f>
        <v>0.83712121212119872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1778</v>
      </c>
      <c r="H40" s="91">
        <f>F40*G40</f>
        <v>78765.399999999994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1385.4545454545503</v>
      </c>
      <c r="O40" s="203">
        <f>N40/M40</f>
        <v>81.497326203208843</v>
      </c>
      <c r="P40" s="97">
        <f>M40-J40</f>
        <v>0</v>
      </c>
      <c r="Q40" s="98">
        <f>O40-L40</f>
        <v>-14.737967914438215</v>
      </c>
      <c r="R40" s="99">
        <f>O40/L40</f>
        <v>0.84685485663481075</v>
      </c>
      <c r="S40" s="440"/>
      <c r="T40" s="20">
        <v>0.44305555555555598</v>
      </c>
      <c r="U40" s="20">
        <v>0.49652777777777801</v>
      </c>
      <c r="V40" s="92">
        <f>(T40-U39)*24*60</f>
        <v>10.000000000000764</v>
      </c>
      <c r="W40" s="205">
        <f t="shared" si="12"/>
        <v>76.99999999999973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-250.54545454544973</v>
      </c>
      <c r="AG40" s="206">
        <f>N40/K40</f>
        <v>0.84685485663481064</v>
      </c>
      <c r="AH40" s="460"/>
    </row>
    <row r="41" spans="1:34" ht="15" customHeight="1">
      <c r="A41" s="451"/>
      <c r="B41" s="75" t="s">
        <v>128</v>
      </c>
      <c r="C41" s="207"/>
      <c r="D41" s="198" t="s">
        <v>130</v>
      </c>
      <c r="E41" s="178"/>
      <c r="F41" s="75">
        <f>VLOOKUP(D41,廠價表!$C$1:$E$43,3,0)</f>
        <v>44.3</v>
      </c>
      <c r="G41" s="199">
        <v>3762</v>
      </c>
      <c r="H41" s="91">
        <f t="shared" ref="H41:H42" si="31">F41*G41</f>
        <v>166656.59999999998</v>
      </c>
      <c r="I41" s="200"/>
      <c r="J41" s="148">
        <f>VLOOKUP(D41,產線配置圖!$A$3:$C$40,2,0)</f>
        <v>17</v>
      </c>
      <c r="K41" s="95">
        <f>VLOOKUP(D41,產線配置圖!$A$3:$C$40,3,0)</f>
        <v>1636</v>
      </c>
      <c r="L41" s="96">
        <f t="shared" ref="L41:L42" si="32">K41/J41</f>
        <v>96.235294117647058</v>
      </c>
      <c r="M41" s="201">
        <v>17</v>
      </c>
      <c r="N41" s="202">
        <f>G41/W41*60</f>
        <v>1419.6226415094434</v>
      </c>
      <c r="O41" s="203">
        <f t="shared" ref="O41:O42" si="33">N41/M41</f>
        <v>83.507214206437851</v>
      </c>
      <c r="P41" s="97">
        <f t="shared" ref="P41:P42" si="34">M41-J41</f>
        <v>0</v>
      </c>
      <c r="Q41" s="98">
        <f t="shared" ref="Q41:Q42" si="35">O41-L41</f>
        <v>-12.728079911209207</v>
      </c>
      <c r="R41" s="99">
        <f t="shared" ref="R41:R42" si="36">O41/L41</f>
        <v>0.8677400009226427</v>
      </c>
      <c r="S41" s="440"/>
      <c r="T41" s="20">
        <v>0.55902777777777801</v>
      </c>
      <c r="U41" s="210">
        <v>0.66944444444444395</v>
      </c>
      <c r="V41" s="92">
        <f t="shared" ref="V41:V42" si="37">(T41-U40)*24*60</f>
        <v>90</v>
      </c>
      <c r="W41" s="205">
        <f t="shared" si="12"/>
        <v>158.99999999999895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-216.37735849055662</v>
      </c>
      <c r="AG41" s="206">
        <f>N41/K41</f>
        <v>0.8677400009226427</v>
      </c>
      <c r="AH41" s="460"/>
    </row>
    <row r="42" spans="1:34" ht="15" customHeight="1">
      <c r="A42" s="451"/>
      <c r="B42" s="75" t="s">
        <v>128</v>
      </c>
      <c r="C42" s="86"/>
      <c r="D42" s="198" t="s">
        <v>129</v>
      </c>
      <c r="E42" s="87"/>
      <c r="F42" s="75">
        <f>VLOOKUP(D42,廠價表!$C$1:$E$43,3,0)</f>
        <v>49.91</v>
      </c>
      <c r="G42" s="199">
        <v>1146</v>
      </c>
      <c r="H42" s="91">
        <f t="shared" si="31"/>
        <v>57196.859999999993</v>
      </c>
      <c r="I42" s="200"/>
      <c r="J42" s="148">
        <f>VLOOKUP(D42,產線配置圖!$A$3:$C$40,2,0)</f>
        <v>15</v>
      </c>
      <c r="K42" s="95">
        <f>VLOOKUP(D42,產線配置圖!$A$3:$C$40,3,0)</f>
        <v>1714</v>
      </c>
      <c r="L42" s="96">
        <f t="shared" si="32"/>
        <v>114.26666666666667</v>
      </c>
      <c r="M42" s="201">
        <v>15</v>
      </c>
      <c r="N42" s="202">
        <f>G42/W42*60</f>
        <v>1375.2000000000094</v>
      </c>
      <c r="O42" s="203">
        <f t="shared" si="33"/>
        <v>91.680000000000618</v>
      </c>
      <c r="P42" s="97">
        <f t="shared" si="34"/>
        <v>0</v>
      </c>
      <c r="Q42" s="98">
        <f t="shared" si="35"/>
        <v>-22.586666666666048</v>
      </c>
      <c r="R42" s="99">
        <f t="shared" si="36"/>
        <v>0.80233372228705324</v>
      </c>
      <c r="S42" s="440"/>
      <c r="T42" s="210">
        <v>0.67361111111111105</v>
      </c>
      <c r="U42" s="210">
        <v>0.70833333333333304</v>
      </c>
      <c r="V42" s="92">
        <f t="shared" si="37"/>
        <v>6.0000000000006182</v>
      </c>
      <c r="W42" s="205">
        <f t="shared" si="12"/>
        <v>49.999999999999659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38">AVERAGE(J38:J47)</f>
        <v>15.4</v>
      </c>
      <c r="K48" s="155">
        <f t="shared" si="38"/>
        <v>1628</v>
      </c>
      <c r="L48" s="158">
        <f t="shared" si="38"/>
        <v>106.35463046757165</v>
      </c>
      <c r="M48" s="155">
        <f t="shared" si="38"/>
        <v>15</v>
      </c>
      <c r="N48" s="155">
        <f t="shared" si="38"/>
        <v>1342.0875229542914</v>
      </c>
      <c r="O48" s="158">
        <f t="shared" si="38"/>
        <v>90.262453125121084</v>
      </c>
      <c r="P48" s="221">
        <f>M48-J48</f>
        <v>-0.40000000000000036</v>
      </c>
      <c r="Q48" s="222">
        <f>N48-K48</f>
        <v>-285.91247704570856</v>
      </c>
      <c r="R48" s="223">
        <f>O48/L48</f>
        <v>0.84869321371618889</v>
      </c>
      <c r="S48" s="443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39">N48-K48</f>
        <v>-285.91247704570856</v>
      </c>
      <c r="AG48" s="162">
        <f t="shared" ref="AG48:AG53" si="40">N48/K48</f>
        <v>0.82437808535275892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2109</v>
      </c>
      <c r="H49" s="134">
        <f>F49*G49</f>
        <v>104437.68000000001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1664.9999999999939</v>
      </c>
      <c r="O49" s="141">
        <f>N49/M49</f>
        <v>97.941176470587877</v>
      </c>
      <c r="P49" s="229">
        <f>M49-J49</f>
        <v>0</v>
      </c>
      <c r="Q49" s="230">
        <f>O49-L49</f>
        <v>-7.9411764705885872</v>
      </c>
      <c r="R49" s="52">
        <f>O49/L49</f>
        <v>0.92499999999999671</v>
      </c>
      <c r="S49" s="439">
        <f>R58</f>
        <v>0.90861638912950349</v>
      </c>
      <c r="T49" s="191">
        <v>0.29097222222222202</v>
      </c>
      <c r="U49" s="191">
        <v>0.34375</v>
      </c>
      <c r="V49" s="55"/>
      <c r="W49" s="193">
        <f t="shared" si="12"/>
        <v>76.000000000000284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39"/>
        <v>-135.00000000000614</v>
      </c>
      <c r="AG49" s="52">
        <f t="shared" si="40"/>
        <v>0.9249999999999966</v>
      </c>
      <c r="AH49" s="403">
        <f>AG58</f>
        <v>0.909369473139088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2345</v>
      </c>
      <c r="H50" s="231">
        <f>F50*G50</f>
        <v>117927.705</v>
      </c>
      <c r="I50" s="232"/>
      <c r="J50" s="79">
        <v>17</v>
      </c>
      <c r="K50" s="80">
        <f>VLOOKUP(D50,產線配置圖!$A$3:$C$40,3,0)</f>
        <v>1565</v>
      </c>
      <c r="L50" s="81">
        <f>K50/J50</f>
        <v>92.058823529411768</v>
      </c>
      <c r="M50" s="233">
        <v>17</v>
      </c>
      <c r="N50" s="234">
        <f>G50/W50*60</f>
        <v>1496.8085106383146</v>
      </c>
      <c r="O50" s="235">
        <f>N50/M50</f>
        <v>88.047559449312629</v>
      </c>
      <c r="P50" s="74">
        <f>M50-J50</f>
        <v>0</v>
      </c>
      <c r="Q50" s="83">
        <f>O50-L50</f>
        <v>-4.0112640800991386</v>
      </c>
      <c r="R50" s="72">
        <f>O50/L50</f>
        <v>0.95642716334716593</v>
      </c>
      <c r="S50" s="440"/>
      <c r="T50" s="21">
        <v>0.34930555555555598</v>
      </c>
      <c r="U50" s="21">
        <v>0.41458333333333303</v>
      </c>
      <c r="V50" s="30">
        <f>(T50-U49)*24*60</f>
        <v>8.0000000000006111</v>
      </c>
      <c r="W50" s="236">
        <f t="shared" si="12"/>
        <v>93.999999999998948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39"/>
        <v>-68.191489361685399</v>
      </c>
      <c r="AG50" s="72">
        <f t="shared" si="40"/>
        <v>0.95642716334716593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f>VLOOKUP(D51,廠價表!$C$1:$E$43,3,0)</f>
        <v>49.97</v>
      </c>
      <c r="G51" s="202">
        <v>1844</v>
      </c>
      <c r="H51" s="231">
        <f>F51*G51</f>
        <v>92144.68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1536.666666666667</v>
      </c>
      <c r="O51" s="235">
        <f>N51/M51</f>
        <v>96.041666666666686</v>
      </c>
      <c r="P51" s="74">
        <f>M51-J51</f>
        <v>0</v>
      </c>
      <c r="Q51" s="83">
        <f>O51-L51</f>
        <v>-16.458333333333314</v>
      </c>
      <c r="R51" s="72">
        <f>O51/L51</f>
        <v>0.85370370370370385</v>
      </c>
      <c r="S51" s="440"/>
      <c r="T51" s="21">
        <v>0.41944444444444401</v>
      </c>
      <c r="U51" s="19">
        <v>0.469444444444444</v>
      </c>
      <c r="V51" s="30">
        <f>(T51-U50)*24*60</f>
        <v>6.9999999999998153</v>
      </c>
      <c r="W51" s="236">
        <f t="shared" si="12"/>
        <v>71.999999999999986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39"/>
        <v>-263.33333333333303</v>
      </c>
      <c r="AG51" s="72">
        <f t="shared" si="40"/>
        <v>0.85370370370370385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f>VLOOKUP(D52,廠價表!$C$1:$E$43,3,0)</f>
        <v>49.97</v>
      </c>
      <c r="G52" s="202">
        <v>3807</v>
      </c>
      <c r="H52" s="231">
        <f t="shared" ref="H52:H53" si="41">F52*G52</f>
        <v>190235.79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42">K52/J52</f>
        <v>112.5</v>
      </c>
      <c r="M52" s="233">
        <v>16</v>
      </c>
      <c r="N52" s="234">
        <f t="shared" ref="N52:N53" si="43">G52/W52*60</f>
        <v>1631.5714285714325</v>
      </c>
      <c r="O52" s="235">
        <f t="shared" ref="O52:O53" si="44">N52/M52</f>
        <v>101.97321428571453</v>
      </c>
      <c r="P52" s="74">
        <f t="shared" ref="P52:P53" si="45">M52-J52</f>
        <v>0</v>
      </c>
      <c r="Q52" s="83">
        <f t="shared" ref="Q52:Q53" si="46">O52-L52</f>
        <v>-10.526785714285467</v>
      </c>
      <c r="R52" s="72">
        <f t="shared" ref="R52:R53" si="47">O52/L52</f>
        <v>0.90642857142857358</v>
      </c>
      <c r="S52" s="440"/>
      <c r="T52" s="21">
        <v>0.53263888888888899</v>
      </c>
      <c r="U52" s="21">
        <v>0.62986111111111098</v>
      </c>
      <c r="V52" s="30">
        <f>(T52-U51)*24*60</f>
        <v>91.000000000000796</v>
      </c>
      <c r="W52" s="236">
        <f t="shared" si="12"/>
        <v>139.99999999999966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39"/>
        <v>-168.42857142856747</v>
      </c>
      <c r="AG52" s="72">
        <f t="shared" si="40"/>
        <v>0.90642857142857358</v>
      </c>
      <c r="AH52" s="404"/>
    </row>
    <row r="53" spans="1:34" ht="15" customHeight="1">
      <c r="A53" s="469"/>
      <c r="B53" s="101" t="s">
        <v>81</v>
      </c>
      <c r="C53" s="102"/>
      <c r="D53" s="103" t="s">
        <v>133</v>
      </c>
      <c r="E53" s="104"/>
      <c r="F53" s="75">
        <f>VLOOKUP(D53,廠價表!$C$1:$E$43,3,0)</f>
        <v>50.289000000000001</v>
      </c>
      <c r="G53" s="202">
        <v>761</v>
      </c>
      <c r="H53" s="231">
        <f t="shared" si="41"/>
        <v>38269.929000000004</v>
      </c>
      <c r="I53" s="232"/>
      <c r="J53" s="79">
        <v>17</v>
      </c>
      <c r="K53" s="80">
        <f>VLOOKUP(D53,產線配置圖!$A$3:$C$40,3,0)</f>
        <v>1565</v>
      </c>
      <c r="L53" s="81">
        <f t="shared" si="42"/>
        <v>92.058823529411768</v>
      </c>
      <c r="M53" s="108">
        <v>17</v>
      </c>
      <c r="N53" s="234">
        <f t="shared" si="43"/>
        <v>1426.8750000000121</v>
      </c>
      <c r="O53" s="235">
        <f t="shared" si="44"/>
        <v>83.933823529412479</v>
      </c>
      <c r="P53" s="74">
        <f t="shared" si="45"/>
        <v>0</v>
      </c>
      <c r="Q53" s="83">
        <f t="shared" si="46"/>
        <v>-8.1249999999992895</v>
      </c>
      <c r="R53" s="72">
        <f t="shared" si="47"/>
        <v>0.91174121405751574</v>
      </c>
      <c r="S53" s="440"/>
      <c r="T53" s="21">
        <v>0.63541666666666696</v>
      </c>
      <c r="U53" s="21">
        <v>0.65763888888888899</v>
      </c>
      <c r="V53" s="30">
        <f>(T53-U52)*24*60</f>
        <v>8.0000000000006111</v>
      </c>
      <c r="W53" s="236">
        <f t="shared" si="12"/>
        <v>31.999999999999726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39"/>
        <v>-138.12499999998795</v>
      </c>
      <c r="AG53" s="72">
        <f t="shared" si="40"/>
        <v>0.91174121405751574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48">AVERAGE(J49:J57)</f>
        <v>16.600000000000001</v>
      </c>
      <c r="K58" s="120">
        <f t="shared" si="48"/>
        <v>1706</v>
      </c>
      <c r="L58" s="117">
        <f t="shared" si="48"/>
        <v>103</v>
      </c>
      <c r="M58" s="120">
        <f t="shared" si="48"/>
        <v>16.600000000000001</v>
      </c>
      <c r="N58" s="120">
        <f t="shared" si="48"/>
        <v>1551.3843211752842</v>
      </c>
      <c r="O58" s="117">
        <f t="shared" si="48"/>
        <v>93.587488080338858</v>
      </c>
      <c r="P58" s="121">
        <f>M58-J58</f>
        <v>0</v>
      </c>
      <c r="Q58" s="122">
        <f>N58-K58</f>
        <v>-154.61567882471581</v>
      </c>
      <c r="R58" s="123">
        <f>O58/L58</f>
        <v>0.90861638912950349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-154.61567882471581</v>
      </c>
      <c r="AG58" s="124">
        <f>N58/K58</f>
        <v>0.909369473139088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2477</v>
      </c>
      <c r="H59" s="243">
        <f>F59*G59</f>
        <v>66854.23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1486.1999999999875</v>
      </c>
      <c r="O59" s="138">
        <f>N59/M59</f>
        <v>99.079999999999174</v>
      </c>
      <c r="P59" s="56">
        <f>M59-J59</f>
        <v>0</v>
      </c>
      <c r="Q59" s="230">
        <f>O59-L59</f>
        <v>-5.2533333333341545</v>
      </c>
      <c r="R59" s="52">
        <f>O59/L59</f>
        <v>0.94964856230031158</v>
      </c>
      <c r="S59" s="439">
        <f>R69</f>
        <v>0.92558995437216507</v>
      </c>
      <c r="T59" s="245">
        <v>0.28819444444444398</v>
      </c>
      <c r="U59" s="245">
        <v>0.35763888888888901</v>
      </c>
      <c r="V59" s="55"/>
      <c r="W59" s="54">
        <f t="shared" si="12"/>
        <v>100.00000000000084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-78.80000000001246</v>
      </c>
      <c r="AG59" s="246">
        <f>N59/K59</f>
        <v>0.94964856230031147</v>
      </c>
      <c r="AH59" s="403">
        <f>AG69</f>
        <v>0.90586609289253583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1743</v>
      </c>
      <c r="H60" s="78">
        <f>F60*G60</f>
        <v>49257.18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1494.0000000000036</v>
      </c>
      <c r="O60" s="81">
        <f>N60/M60</f>
        <v>124.5000000000003</v>
      </c>
      <c r="P60" s="74">
        <f>M60-J60</f>
        <v>0</v>
      </c>
      <c r="Q60" s="83">
        <f>O60-L60</f>
        <v>-5.9166666666663588</v>
      </c>
      <c r="R60" s="72">
        <f>O60/L60</f>
        <v>0.95463258785942728</v>
      </c>
      <c r="S60" s="467"/>
      <c r="T60" s="22">
        <v>0.36458333333333298</v>
      </c>
      <c r="U60" s="22">
        <v>0.41319444444444398</v>
      </c>
      <c r="V60" s="30">
        <f>(T60-U59)*24*60</f>
        <v>9.999999999999325</v>
      </c>
      <c r="W60" s="248">
        <f t="shared" si="12"/>
        <v>69.999999999999829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-70.999999999996362</v>
      </c>
      <c r="AG60" s="249">
        <f>N60/K60</f>
        <v>0.95463258785942728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2629</v>
      </c>
      <c r="H61" s="254">
        <f>F61*G61</f>
        <v>74295.540000000008</v>
      </c>
      <c r="I61" s="182"/>
      <c r="J61" s="106">
        <f>VLOOKUP(D61,產線配置圖!$A$3:$C$40,2,0)</f>
        <v>11</v>
      </c>
      <c r="K61" s="107">
        <f>VLOOKUP(D61,產線配置圖!$A$3:$C$40,3,0)</f>
        <v>1565</v>
      </c>
      <c r="L61" s="238">
        <f>K61/J61</f>
        <v>142.27272727272728</v>
      </c>
      <c r="M61" s="108">
        <v>11</v>
      </c>
      <c r="N61" s="107">
        <f>G61/W61*60</f>
        <v>1502.2857142857069</v>
      </c>
      <c r="O61" s="238">
        <f>N61/M61</f>
        <v>136.5714285714279</v>
      </c>
      <c r="P61" s="111">
        <f>M61-J61</f>
        <v>0</v>
      </c>
      <c r="Q61" s="255">
        <f>O61-L61</f>
        <v>-5.701298701299379</v>
      </c>
      <c r="R61" s="85">
        <f>O61/L61</f>
        <v>0.95992697398447724</v>
      </c>
      <c r="S61" s="440"/>
      <c r="T61" s="22">
        <v>0.42013888888888901</v>
      </c>
      <c r="U61" s="22">
        <v>0.49305555555555602</v>
      </c>
      <c r="V61" s="30">
        <f>(T61-U60)*24*60</f>
        <v>10.000000000000844</v>
      </c>
      <c r="W61" s="256">
        <f t="shared" si="12"/>
        <v>105.00000000000051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-62.714285714293055</v>
      </c>
      <c r="AG61" s="247">
        <f>N61/K61</f>
        <v>0.95992697398447724</v>
      </c>
      <c r="AH61" s="404"/>
    </row>
    <row r="62" spans="1:34" ht="15" customHeight="1">
      <c r="A62" s="465"/>
      <c r="B62" s="250" t="s">
        <v>125</v>
      </c>
      <c r="C62" s="251"/>
      <c r="D62" s="257" t="s">
        <v>126</v>
      </c>
      <c r="E62" s="253"/>
      <c r="F62" s="250">
        <f>VLOOKUP(D62,廠價表!$C$1:$E$43,3,0)</f>
        <v>28.26</v>
      </c>
      <c r="G62" s="38">
        <v>770</v>
      </c>
      <c r="H62" s="254">
        <f t="shared" ref="H62:H64" si="49">F62*G62</f>
        <v>21760.2</v>
      </c>
      <c r="I62" s="182"/>
      <c r="J62" s="106">
        <f>VLOOKUP(D62,產線配置圖!$A$3:$C$40,2,0)</f>
        <v>11</v>
      </c>
      <c r="K62" s="107">
        <f>VLOOKUP(D62,產線配置圖!$A$3:$C$40,3,0)</f>
        <v>1565</v>
      </c>
      <c r="L62" s="238">
        <f t="shared" ref="L62:L64" si="50">K62/J62</f>
        <v>142.27272727272728</v>
      </c>
      <c r="M62" s="108">
        <v>11</v>
      </c>
      <c r="N62" s="107">
        <f t="shared" ref="N62:N64" si="51">G62/W62*60</f>
        <v>1443.7500000000123</v>
      </c>
      <c r="O62" s="238">
        <f t="shared" ref="O62:O64" si="52">N62/M62</f>
        <v>131.25000000000111</v>
      </c>
      <c r="P62" s="111">
        <f t="shared" ref="P62:P64" si="53">M62-J62</f>
        <v>0</v>
      </c>
      <c r="Q62" s="255">
        <f t="shared" ref="Q62:Q64" si="54">O62-L62</f>
        <v>-11.022727272726172</v>
      </c>
      <c r="R62" s="85">
        <f t="shared" ref="R62:R64" si="55">O62/L62</f>
        <v>0.92252396166134965</v>
      </c>
      <c r="S62" s="440"/>
      <c r="T62" s="22">
        <v>0.54166666666666696</v>
      </c>
      <c r="U62" s="22">
        <v>0.56388888888888899</v>
      </c>
      <c r="V62" s="30">
        <f t="shared" ref="V62:V64" si="56">(T62-U61)*24*60</f>
        <v>69.999999999999744</v>
      </c>
      <c r="W62" s="248">
        <f t="shared" si="12"/>
        <v>31.999999999999726</v>
      </c>
      <c r="X62" s="22"/>
      <c r="Y62" s="84"/>
      <c r="Z62" s="90"/>
      <c r="AA62" s="90"/>
      <c r="AB62" s="407" t="s">
        <v>140</v>
      </c>
      <c r="AC62" s="407"/>
      <c r="AD62" s="92"/>
      <c r="AE62" s="92"/>
      <c r="AF62" s="317">
        <f>N62-K62</f>
        <v>-121.24999999998772</v>
      </c>
      <c r="AG62" s="247">
        <f>N62/K62</f>
        <v>0.92252396166134965</v>
      </c>
      <c r="AH62" s="404"/>
    </row>
    <row r="63" spans="1:34" ht="15" customHeight="1">
      <c r="A63" s="465"/>
      <c r="B63" s="258" t="s">
        <v>81</v>
      </c>
      <c r="C63" s="58"/>
      <c r="D63" s="259" t="s">
        <v>123</v>
      </c>
      <c r="E63" s="60"/>
      <c r="F63" s="250">
        <f>VLOOKUP(D63,廠價表!$C$1:$E$43,3,0)</f>
        <v>50.67</v>
      </c>
      <c r="G63" s="260">
        <v>789</v>
      </c>
      <c r="H63" s="254">
        <f t="shared" si="49"/>
        <v>39978.630000000005</v>
      </c>
      <c r="I63" s="182"/>
      <c r="J63" s="106">
        <f>VLOOKUP(D63,產線配置圖!$A$3:$C$40,2,0)</f>
        <v>13</v>
      </c>
      <c r="K63" s="107">
        <f>VLOOKUP(D63,產線配置圖!$A$3:$C$40,3,0)</f>
        <v>1440</v>
      </c>
      <c r="L63" s="238">
        <f t="shared" si="50"/>
        <v>110.76923076923077</v>
      </c>
      <c r="M63" s="68">
        <v>11</v>
      </c>
      <c r="N63" s="107">
        <f t="shared" si="51"/>
        <v>986.24999999998045</v>
      </c>
      <c r="O63" s="238">
        <f t="shared" si="52"/>
        <v>89.65909090908913</v>
      </c>
      <c r="P63" s="111">
        <f t="shared" si="53"/>
        <v>-2</v>
      </c>
      <c r="Q63" s="255">
        <f t="shared" si="54"/>
        <v>-21.110139860141643</v>
      </c>
      <c r="R63" s="85">
        <f t="shared" si="55"/>
        <v>0.80942234848483241</v>
      </c>
      <c r="S63" s="440"/>
      <c r="T63" s="22">
        <v>0.58333333333333304</v>
      </c>
      <c r="U63" s="22">
        <v>0.61666666666666703</v>
      </c>
      <c r="V63" s="30">
        <f t="shared" si="56"/>
        <v>27.999999999999421</v>
      </c>
      <c r="W63" s="248">
        <f t="shared" si="12"/>
        <v>48.000000000000952</v>
      </c>
      <c r="X63" s="261"/>
      <c r="Y63" s="291"/>
      <c r="Z63" s="335"/>
      <c r="AA63" s="335"/>
      <c r="AB63" s="407" t="s">
        <v>173</v>
      </c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 t="s">
        <v>125</v>
      </c>
      <c r="C64" s="76"/>
      <c r="D64" s="175" t="s">
        <v>134</v>
      </c>
      <c r="E64" s="77"/>
      <c r="F64" s="250">
        <f>VLOOKUP(D64,廠價表!$C$1:$E$43,3,0)</f>
        <v>26.99</v>
      </c>
      <c r="G64" s="30">
        <v>1357</v>
      </c>
      <c r="H64" s="254">
        <f t="shared" si="49"/>
        <v>36625.43</v>
      </c>
      <c r="I64" s="182"/>
      <c r="J64" s="106">
        <f>VLOOKUP(D64,產線配置圖!$A$3:$C$40,2,0)</f>
        <v>15</v>
      </c>
      <c r="K64" s="107">
        <f>VLOOKUP(D64,產線配置圖!$A$3:$C$40,3,0)</f>
        <v>1565</v>
      </c>
      <c r="L64" s="238">
        <f t="shared" si="50"/>
        <v>104.33333333333333</v>
      </c>
      <c r="M64" s="82">
        <v>15</v>
      </c>
      <c r="N64" s="107">
        <f t="shared" si="51"/>
        <v>1480.3636363636545</v>
      </c>
      <c r="O64" s="238">
        <f t="shared" si="52"/>
        <v>98.690909090910296</v>
      </c>
      <c r="P64" s="111">
        <f t="shared" si="53"/>
        <v>0</v>
      </c>
      <c r="Q64" s="255">
        <f t="shared" si="54"/>
        <v>-5.6424242424230329</v>
      </c>
      <c r="R64" s="85">
        <f t="shared" si="55"/>
        <v>0.94591925646239905</v>
      </c>
      <c r="S64" s="440"/>
      <c r="T64" s="22">
        <v>0.625</v>
      </c>
      <c r="U64" s="22">
        <v>0.66319444444444398</v>
      </c>
      <c r="V64" s="30">
        <f t="shared" si="56"/>
        <v>11.999999999999478</v>
      </c>
      <c r="W64" s="73">
        <f t="shared" si="12"/>
        <v>54.999999999999325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57">AVERAGE(J59:J68)</f>
        <v>12.833333333333334</v>
      </c>
      <c r="K69" s="240">
        <f t="shared" si="57"/>
        <v>1544.1666666666667</v>
      </c>
      <c r="L69" s="268">
        <f t="shared" si="57"/>
        <v>122.39966977466976</v>
      </c>
      <c r="M69" s="240">
        <f t="shared" si="57"/>
        <v>12.5</v>
      </c>
      <c r="N69" s="240">
        <f t="shared" si="57"/>
        <v>1398.8082251082242</v>
      </c>
      <c r="O69" s="268">
        <f t="shared" si="57"/>
        <v>113.29190476190466</v>
      </c>
      <c r="P69" s="269">
        <f>M69-J69</f>
        <v>-0.33333333333333393</v>
      </c>
      <c r="Q69" s="222">
        <f>N69-K69</f>
        <v>-145.35844155844256</v>
      </c>
      <c r="R69" s="123">
        <f>O69/L69</f>
        <v>0.92558995437216507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-145.35844155844256</v>
      </c>
      <c r="AG69" s="124">
        <f>N69/K69</f>
        <v>0.90586609289253583</v>
      </c>
      <c r="AH69" s="406"/>
    </row>
    <row r="70" spans="1:36" ht="15" customHeight="1">
      <c r="A70" s="471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39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/>
      <c r="D79" s="430"/>
      <c r="E79" s="430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27:AC27"/>
    <mergeCell ref="A38:A48"/>
    <mergeCell ref="S38:S48"/>
    <mergeCell ref="AB38:AC38"/>
    <mergeCell ref="D48:E48"/>
    <mergeCell ref="AB48:AC48"/>
    <mergeCell ref="A27:A37"/>
    <mergeCell ref="S27:S37"/>
    <mergeCell ref="A16:A26"/>
    <mergeCell ref="A5:A15"/>
    <mergeCell ref="D37:E37"/>
    <mergeCell ref="D15:E15"/>
    <mergeCell ref="S16:S26"/>
    <mergeCell ref="AB11:AC11"/>
    <mergeCell ref="AB12:AC12"/>
    <mergeCell ref="AB14:AC14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3:AC4"/>
    <mergeCell ref="AB8:AC8"/>
    <mergeCell ref="AB9:AC9"/>
    <mergeCell ref="AB10:AC10"/>
    <mergeCell ref="D26:E26"/>
    <mergeCell ref="AB26:AC26"/>
    <mergeCell ref="S5:S15"/>
    <mergeCell ref="AB5:AC5"/>
    <mergeCell ref="AH16:AH26"/>
    <mergeCell ref="AB16:AC16"/>
    <mergeCell ref="AB13:AC13"/>
    <mergeCell ref="AB15:AC15"/>
    <mergeCell ref="A2:B2"/>
    <mergeCell ref="A3:A4"/>
    <mergeCell ref="B3:B4"/>
    <mergeCell ref="D3:E4"/>
    <mergeCell ref="F3:F4"/>
    <mergeCell ref="P3:P4"/>
    <mergeCell ref="Q3:Q4"/>
    <mergeCell ref="R3:R4"/>
    <mergeCell ref="T3:U3"/>
    <mergeCell ref="V3:V4"/>
    <mergeCell ref="X3:Y3"/>
    <mergeCell ref="Z3:AA3"/>
    <mergeCell ref="W3:W4"/>
    <mergeCell ref="AD3:AE3"/>
    <mergeCell ref="AF3:A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G3:AG4"/>
    <mergeCell ref="AH3:AH4"/>
  </mergeCells>
  <phoneticPr fontId="0" type="noConversion"/>
  <conditionalFormatting sqref="P5:P79">
    <cfRule type="cellIs" dxfId="208" priority="1" operator="greaterThan">
      <formula>0</formula>
    </cfRule>
  </conditionalFormatting>
  <conditionalFormatting sqref="Q5:Q79 AF5:AF79">
    <cfRule type="cellIs" dxfId="207" priority="4" operator="lessThan">
      <formula>0</formula>
    </cfRule>
  </conditionalFormatting>
  <conditionalFormatting sqref="R5:R79 AG5:AG79">
    <cfRule type="cellIs" dxfId="206" priority="2" operator="greaterThan">
      <formula>1</formula>
    </cfRule>
    <cfRule type="cellIs" dxfId="205" priority="3" operator="lessThan">
      <formula>0.8</formula>
    </cfRule>
  </conditionalFormatting>
  <conditionalFormatting sqref="S5:S10 S37:S62 AH59:AH62 S69:S76 AH69:AH76">
    <cfRule type="cellIs" dxfId="204" priority="7" operator="lessThan">
      <formula>0.8</formula>
    </cfRule>
  </conditionalFormatting>
  <conditionalFormatting sqref="S19:S25 AH19:AH25">
    <cfRule type="cellIs" dxfId="203" priority="6" operator="lessThan">
      <formula>0.8</formula>
    </cfRule>
  </conditionalFormatting>
  <conditionalFormatting sqref="S79">
    <cfRule type="cellIs" dxfId="202" priority="5" operator="lessThan">
      <formula>0.8</formula>
    </cfRule>
  </conditionalFormatting>
  <conditionalFormatting sqref="AH5:AH8 S15:S16 AH15:AH16 AH49 AH79">
    <cfRule type="cellIs" dxfId="201" priority="9" operator="lessThan">
      <formula>0.8</formula>
    </cfRule>
  </conditionalFormatting>
  <conditionalFormatting sqref="AH27 S27:S28">
    <cfRule type="cellIs" dxfId="2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9C59C1-E20A-4BBA-BFD8-BFA3A4657FD1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EEB4-C529-47C6-A4B1-00AC7E62AE58}">
  <dimension ref="B1:O26"/>
  <sheetViews>
    <sheetView zoomScale="70" zoomScaleNormal="70" workbookViewId="0">
      <selection activeCell="P25" sqref="P25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46184</v>
      </c>
      <c r="E3" s="510"/>
      <c r="F3" s="3" t="s">
        <v>72</v>
      </c>
      <c r="G3" s="511">
        <f>'0611'!E1</f>
        <v>62899</v>
      </c>
      <c r="H3" s="511"/>
      <c r="I3" s="3" t="s">
        <v>2</v>
      </c>
      <c r="J3" s="512">
        <f>'0611'!G1</f>
        <v>3062140.8419999992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121.19255432748081</v>
      </c>
      <c r="G6" s="507"/>
      <c r="H6" s="508">
        <f>AVERAGE(D13:H13,J13)</f>
        <v>118.3052437214202</v>
      </c>
      <c r="I6" s="508"/>
      <c r="J6" s="508">
        <f>AVERAGE(I13)</f>
        <v>129.82386363636363</v>
      </c>
      <c r="K6" s="508"/>
      <c r="L6" s="516">
        <f>SUM(D18:J18)</f>
        <v>0</v>
      </c>
      <c r="M6" s="499">
        <f>SUM(D19:J19)</f>
        <v>0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111.76834288014402</v>
      </c>
      <c r="G7" s="496"/>
      <c r="H7" s="497">
        <f>AVERAGE(D14:H14,J14)</f>
        <v>108.22427947228745</v>
      </c>
      <c r="I7" s="497"/>
      <c r="J7" s="497">
        <f>AVERAGE(I14)</f>
        <v>112.59771378047259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0.92223770264078164</v>
      </c>
      <c r="G8" s="502"/>
      <c r="H8" s="502">
        <f>H7/H6</f>
        <v>0.91478852557988943</v>
      </c>
      <c r="I8" s="502"/>
      <c r="J8" s="502">
        <f>J7/J6</f>
        <v>0.86731137578726325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VALUE('0611'!L15)</f>
        <v>150</v>
      </c>
      <c r="E13" s="13">
        <f>VALUE('0611'!L26)</f>
        <v>151.83015513897868</v>
      </c>
      <c r="F13" s="13">
        <f>VALUE('0611'!L37)</f>
        <v>90.25555555555556</v>
      </c>
      <c r="G13" s="13">
        <f>VALUE('0611'!L48)</f>
        <v>102.24575163398693</v>
      </c>
      <c r="H13" s="13">
        <f>VALUE('0611'!L58)</f>
        <v>103</v>
      </c>
      <c r="I13" s="13">
        <f>VALUE('0611'!L69)</f>
        <v>129.82386363636363</v>
      </c>
      <c r="J13" s="13">
        <f>'0611'!L79</f>
        <v>112.5</v>
      </c>
    </row>
    <row r="14" spans="2:15" ht="39.950000000000003" customHeight="1">
      <c r="B14" s="490"/>
      <c r="C14" s="12" t="s">
        <v>100</v>
      </c>
      <c r="D14" s="13">
        <f>VALUE('0611'!O15)</f>
        <v>143.20415116072945</v>
      </c>
      <c r="E14" s="13">
        <f>VALUE('0611'!O26)</f>
        <v>140.31763282236005</v>
      </c>
      <c r="F14" s="13">
        <f>VALUE('0611'!O37)</f>
        <v>84.520236167464446</v>
      </c>
      <c r="G14" s="13">
        <f>VALUE('0611'!O48)</f>
        <v>93.992321496356851</v>
      </c>
      <c r="H14" s="13">
        <f>VALUE('0611'!O58)</f>
        <v>95.97800185348072</v>
      </c>
      <c r="I14" s="13">
        <f>VALUE('0611'!O69)</f>
        <v>112.59771378047259</v>
      </c>
      <c r="J14" s="13">
        <f>'0611'!O79</f>
        <v>91.333333333333186</v>
      </c>
    </row>
    <row r="15" spans="2:15" ht="39.950000000000003" customHeight="1">
      <c r="B15" s="491"/>
      <c r="C15" s="10" t="s">
        <v>26</v>
      </c>
      <c r="D15" s="14">
        <f t="shared" ref="D15:I15" si="1">D14/D13</f>
        <v>0.95469434107152973</v>
      </c>
      <c r="E15" s="14">
        <f t="shared" si="1"/>
        <v>0.92417499470984166</v>
      </c>
      <c r="F15" s="14">
        <f t="shared" si="1"/>
        <v>0.93645466638825559</v>
      </c>
      <c r="G15" s="14">
        <f t="shared" si="1"/>
        <v>0.91927850296239988</v>
      </c>
      <c r="H15" s="14">
        <f t="shared" si="1"/>
        <v>0.9318252607134051</v>
      </c>
      <c r="I15" s="14">
        <f t="shared" si="1"/>
        <v>0.86731137578726325</v>
      </c>
      <c r="J15" s="15">
        <f>'0611'!S70</f>
        <v>0.81185185185185049</v>
      </c>
    </row>
    <row r="16" spans="2:15" ht="17.25" customHeight="1">
      <c r="B16" s="492" t="s">
        <v>101</v>
      </c>
      <c r="C16" s="10" t="s">
        <v>34</v>
      </c>
      <c r="D16" s="16">
        <f>'0611'!T5</f>
        <v>0.29513888888888901</v>
      </c>
      <c r="E16" s="16">
        <f>'0611'!T16</f>
        <v>0.3</v>
      </c>
      <c r="F16" s="16">
        <f>'0611'!T27</f>
        <v>0.29166666666666702</v>
      </c>
      <c r="G16" s="16">
        <f>'0611'!T38</f>
        <v>0.33333333333333298</v>
      </c>
      <c r="H16" s="16">
        <f>'0611'!T49</f>
        <v>0.29166666666666702</v>
      </c>
      <c r="I16" s="16">
        <f>'0611'!T59</f>
        <v>0.29166666666666702</v>
      </c>
      <c r="J16" s="16">
        <f>'0611'!T70</f>
        <v>0.33333333333333298</v>
      </c>
    </row>
    <row r="17" spans="2:10" ht="17.25" customHeight="1">
      <c r="B17" s="493"/>
      <c r="C17" s="10" t="s">
        <v>35</v>
      </c>
      <c r="D17" s="16">
        <v>0.61805555555555602</v>
      </c>
      <c r="E17" s="19">
        <v>0.66388888888888897</v>
      </c>
      <c r="F17" s="19">
        <v>0.65972222222222199</v>
      </c>
      <c r="G17" s="20">
        <v>0.625</v>
      </c>
      <c r="H17" s="21">
        <v>0.64027777777777795</v>
      </c>
      <c r="I17" s="22">
        <v>0.60069444444444398</v>
      </c>
      <c r="J17" s="22">
        <v>0.40972222222222199</v>
      </c>
    </row>
    <row r="18" spans="2:10" ht="17.25" customHeight="1">
      <c r="B18" s="494" t="s">
        <v>102</v>
      </c>
      <c r="C18" s="330" t="s">
        <v>36</v>
      </c>
      <c r="D18" s="358">
        <f>'0611'!Z15</f>
        <v>0</v>
      </c>
      <c r="E18" s="359">
        <f>'0611'!Z26</f>
        <v>0</v>
      </c>
      <c r="F18" s="359">
        <f>'0611'!Z37</f>
        <v>0</v>
      </c>
      <c r="G18" s="360">
        <f>'0611'!Z48</f>
        <v>0</v>
      </c>
      <c r="H18" s="360">
        <f>'0611'!Z58</f>
        <v>0</v>
      </c>
      <c r="I18" s="359">
        <f>'0611'!Z69</f>
        <v>0</v>
      </c>
      <c r="J18" s="359">
        <f>'0611'!AA79</f>
        <v>0</v>
      </c>
    </row>
    <row r="19" spans="2:10" ht="17.25" customHeight="1">
      <c r="B19" s="495"/>
      <c r="C19" s="330" t="s">
        <v>37</v>
      </c>
      <c r="D19" s="358">
        <f>'0611'!AA15</f>
        <v>0</v>
      </c>
      <c r="E19" s="359">
        <f>'0611'!AA26</f>
        <v>0</v>
      </c>
      <c r="F19" s="359">
        <f>'0611'!AA37</f>
        <v>0</v>
      </c>
      <c r="G19" s="360">
        <f>'0611'!AA48</f>
        <v>0</v>
      </c>
      <c r="H19" s="360">
        <f>'0611'!AA58</f>
        <v>0</v>
      </c>
      <c r="I19" s="359">
        <f>'0611'!AA69</f>
        <v>0</v>
      </c>
      <c r="J19" s="359">
        <f>'0611'!AB79</f>
        <v>0</v>
      </c>
    </row>
    <row r="20" spans="2:10" ht="17.25" customHeight="1">
      <c r="B20" s="494" t="s">
        <v>103</v>
      </c>
      <c r="C20" s="330" t="s">
        <v>36</v>
      </c>
      <c r="D20" s="358">
        <f>'0611'!AD15</f>
        <v>0</v>
      </c>
      <c r="E20" s="359">
        <f>'0611'!AD26</f>
        <v>0</v>
      </c>
      <c r="F20" s="359">
        <f>'0611'!AD37</f>
        <v>0</v>
      </c>
      <c r="G20" s="360">
        <f>'0611'!AD48</f>
        <v>0</v>
      </c>
      <c r="H20" s="360">
        <f>'0611'!AD58</f>
        <v>0</v>
      </c>
      <c r="I20" s="359">
        <f>'0611'!AD69</f>
        <v>0</v>
      </c>
      <c r="J20" s="359">
        <f>'0611'!AD79</f>
        <v>0</v>
      </c>
    </row>
    <row r="21" spans="2:10" ht="17.25" customHeight="1">
      <c r="B21" s="495"/>
      <c r="C21" s="330" t="s">
        <v>85</v>
      </c>
      <c r="D21" s="358">
        <f>'0611'!AE15</f>
        <v>0</v>
      </c>
      <c r="E21" s="359">
        <f>'0611'!AE26</f>
        <v>0</v>
      </c>
      <c r="F21" s="359">
        <f>'0611'!AE37</f>
        <v>0</v>
      </c>
      <c r="G21" s="360">
        <f>'0611'!AE48</f>
        <v>0</v>
      </c>
      <c r="H21" s="360">
        <f>'0611'!AE58</f>
        <v>0</v>
      </c>
      <c r="I21" s="359">
        <f>'0611'!AE69</f>
        <v>0</v>
      </c>
      <c r="J21" s="359">
        <f>'0611'!AE79</f>
        <v>0</v>
      </c>
    </row>
    <row r="22" spans="2:10" ht="17.25" customHeight="1">
      <c r="B22" s="477" t="s">
        <v>104</v>
      </c>
      <c r="C22" s="478"/>
      <c r="D22" s="23">
        <f>VALUE('0611'!M15)</f>
        <v>15</v>
      </c>
      <c r="E22" s="23">
        <f>VALUE('0611'!M26)</f>
        <v>14.75</v>
      </c>
      <c r="F22" s="23">
        <f>VALUE('0611'!M37)</f>
        <v>17</v>
      </c>
      <c r="G22" s="23">
        <f>VALUE('0611'!M48)</f>
        <v>16.333333333333332</v>
      </c>
      <c r="H22" s="23">
        <f>VALUE('0611'!M58)</f>
        <v>16.600000000000001</v>
      </c>
      <c r="I22" s="23">
        <f>VALUE('0611'!M69)</f>
        <v>13.25</v>
      </c>
      <c r="J22" s="23">
        <f>'0611'!M79</f>
        <v>9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7946-C87C-4E9D-9E0E-771935E93CB6}">
  <sheetPr>
    <tabColor theme="9" tint="0.79998168889431442"/>
  </sheetPr>
  <dimension ref="A1:AJ92"/>
  <sheetViews>
    <sheetView zoomScale="69" zoomScaleNormal="69" workbookViewId="0">
      <pane xSplit="5" ySplit="4" topLeftCell="F56" activePane="bottomRight" state="frozen"/>
      <selection activeCell="AB64" sqref="AB64:AC64"/>
      <selection pane="topRight" activeCell="AB64" sqref="AB64:AC64"/>
      <selection pane="bottomLeft" activeCell="AB64" sqref="AB64:AC64"/>
      <selection pane="bottomRight" activeCell="AB63" sqref="AB63:AC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62899</v>
      </c>
      <c r="F1" s="30" t="s">
        <v>2</v>
      </c>
      <c r="G1" s="31">
        <f>SUM(H5:H79)</f>
        <v>3062140.8419999992</v>
      </c>
      <c r="H1" s="32" t="s">
        <v>3</v>
      </c>
      <c r="I1" s="33">
        <f>M15+M26+M48+M58+M69+M79+M37</f>
        <v>101.93333333333334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174</v>
      </c>
      <c r="B2" s="381"/>
      <c r="C2" s="28"/>
      <c r="D2" s="28" t="s">
        <v>14</v>
      </c>
      <c r="E2" s="35">
        <f>AVERAGE(O15,O26,O37,O48,O58,O69,O79)</f>
        <v>108.84905580202818</v>
      </c>
      <c r="F2" s="36" t="s">
        <v>15</v>
      </c>
      <c r="G2" s="37">
        <f>G1/E1</f>
        <v>48.68345827437637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2940</v>
      </c>
      <c r="H5" s="43">
        <f>F5*G5</f>
        <v>167197.79999999999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2177.7777777777792</v>
      </c>
      <c r="O5" s="47">
        <f>N5/M5</f>
        <v>145.18518518518528</v>
      </c>
      <c r="P5" s="49">
        <f>M5-J5</f>
        <v>0</v>
      </c>
      <c r="Q5" s="50">
        <f>O5-L5</f>
        <v>-4.8148148148147243</v>
      </c>
      <c r="R5" s="51">
        <f>O5/L5</f>
        <v>0.96790123456790189</v>
      </c>
      <c r="S5" s="439">
        <f>R15</f>
        <v>0.95469434107152973</v>
      </c>
      <c r="T5" s="319">
        <v>0.29513888888888901</v>
      </c>
      <c r="U5" s="320">
        <v>0.35138888888888897</v>
      </c>
      <c r="V5" s="53"/>
      <c r="W5" s="54">
        <f t="shared" ref="W5:W14" si="0">(U5-T5)*24*60</f>
        <v>80.999999999999957</v>
      </c>
      <c r="X5" s="55"/>
      <c r="Y5" s="290"/>
      <c r="Z5" s="169"/>
      <c r="AA5" s="169"/>
      <c r="AB5" s="428" t="s">
        <v>175</v>
      </c>
      <c r="AC5" s="429"/>
      <c r="AD5" s="135"/>
      <c r="AE5" s="135"/>
      <c r="AF5" s="229">
        <f t="shared" ref="AF5:AF11" si="1">N5-K5</f>
        <v>-72.222222222220807</v>
      </c>
      <c r="AG5" s="52">
        <f t="shared" ref="AG5:AG11" si="2">N5/K5</f>
        <v>0.96790123456790189</v>
      </c>
      <c r="AH5" s="403">
        <f>AG15</f>
        <v>0.95469434107152973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3081</v>
      </c>
      <c r="H6" s="63">
        <f>F6*G6</f>
        <v>179221.77000000002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2100.6818181818217</v>
      </c>
      <c r="O6" s="67">
        <f>N6/M6</f>
        <v>140.04545454545479</v>
      </c>
      <c r="P6" s="69">
        <f>M6-J6</f>
        <v>0</v>
      </c>
      <c r="Q6" s="70">
        <f>O6-L6</f>
        <v>-9.9545454545452117</v>
      </c>
      <c r="R6" s="71">
        <f>O6/L6</f>
        <v>0.93363636363636526</v>
      </c>
      <c r="S6" s="440"/>
      <c r="T6" s="16">
        <v>0.37083333333333302</v>
      </c>
      <c r="U6" s="16">
        <v>0.43194444444444402</v>
      </c>
      <c r="V6" s="30">
        <f>(T6-U5)*24*60</f>
        <v>27.999999999999421</v>
      </c>
      <c r="W6" s="73">
        <f t="shared" si="0"/>
        <v>87.999999999999844</v>
      </c>
      <c r="X6" s="22"/>
      <c r="Y6" s="84"/>
      <c r="Z6" s="90"/>
      <c r="AA6" s="90"/>
      <c r="AB6" s="434" t="s">
        <v>176</v>
      </c>
      <c r="AC6" s="434"/>
      <c r="AD6" s="149"/>
      <c r="AE6" s="149"/>
      <c r="AF6" s="307">
        <f t="shared" si="1"/>
        <v>-149.31818181817835</v>
      </c>
      <c r="AG6" s="72">
        <f t="shared" si="2"/>
        <v>0.93363636363636515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2150</v>
      </c>
      <c r="H7" s="78">
        <f>F7*G7</f>
        <v>105651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2149.9999999999818</v>
      </c>
      <c r="O7" s="81">
        <f>N7/M7</f>
        <v>143.33333333333212</v>
      </c>
      <c r="P7" s="74">
        <f>M7-J7</f>
        <v>0</v>
      </c>
      <c r="Q7" s="83">
        <f>O7-L7</f>
        <v>-6.6666666666678793</v>
      </c>
      <c r="R7" s="72">
        <f>O7/L7</f>
        <v>0.9555555555555475</v>
      </c>
      <c r="S7" s="440"/>
      <c r="T7" s="18">
        <v>0.45138888888888901</v>
      </c>
      <c r="U7" s="18">
        <v>0.49305555555555602</v>
      </c>
      <c r="V7" s="30">
        <f>(T7-U6)*24*60</f>
        <v>28.000000000000782</v>
      </c>
      <c r="W7" s="73">
        <f t="shared" si="0"/>
        <v>60.000000000000504</v>
      </c>
      <c r="X7" s="22">
        <v>0.5</v>
      </c>
      <c r="Y7" s="84">
        <v>0.54166666666666696</v>
      </c>
      <c r="Z7" s="90"/>
      <c r="AA7" s="90"/>
      <c r="AB7" s="407"/>
      <c r="AC7" s="407"/>
      <c r="AD7" s="92"/>
      <c r="AE7" s="92"/>
      <c r="AF7" s="307">
        <f t="shared" si="1"/>
        <v>-100.00000000001819</v>
      </c>
      <c r="AG7" s="72">
        <f t="shared" si="2"/>
        <v>0.9555555555555475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3426</v>
      </c>
      <c r="H8" s="78">
        <f>F8*G8</f>
        <v>168353.64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2163.7894736841854</v>
      </c>
      <c r="O8" s="81">
        <f>N8/M8</f>
        <v>144.25263157894568</v>
      </c>
      <c r="P8" s="74">
        <f>M8-J8</f>
        <v>0</v>
      </c>
      <c r="Q8" s="83">
        <f>O8-L8</f>
        <v>-5.7473684210543183</v>
      </c>
      <c r="R8" s="72">
        <f>O8/L8</f>
        <v>0.96168421052630459</v>
      </c>
      <c r="S8" s="440"/>
      <c r="T8" s="16">
        <v>0.55208333333333304</v>
      </c>
      <c r="U8" s="16">
        <v>0.61805555555555602</v>
      </c>
      <c r="V8" s="30">
        <f>(T8-U7)*24*60</f>
        <v>84.999999999998892</v>
      </c>
      <c r="W8" s="73">
        <f t="shared" si="0"/>
        <v>95.000000000001108</v>
      </c>
      <c r="X8" s="22"/>
      <c r="Y8" s="84"/>
      <c r="Z8" s="90"/>
      <c r="AA8" s="90"/>
      <c r="AB8" s="434"/>
      <c r="AC8" s="434"/>
      <c r="AD8" s="149"/>
      <c r="AE8" s="149"/>
      <c r="AF8" s="307">
        <f t="shared" si="1"/>
        <v>-86.210526315814604</v>
      </c>
      <c r="AG8" s="72">
        <f t="shared" si="2"/>
        <v>0.96168421052630459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0</v>
      </c>
      <c r="AG9" s="72" t="e">
        <f t="shared" si="2"/>
        <v>#DIV/0!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2148.0622674109418</v>
      </c>
      <c r="O15" s="117">
        <f t="shared" si="3"/>
        <v>143.20415116072945</v>
      </c>
      <c r="P15" s="121">
        <f>M15-J15</f>
        <v>0</v>
      </c>
      <c r="Q15" s="122">
        <f>O15-L15</f>
        <v>-6.7958488392705476</v>
      </c>
      <c r="R15" s="123">
        <f>O15/L15</f>
        <v>0.95469434107152973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-101.93773258905821</v>
      </c>
      <c r="AG15" s="124">
        <f>N15/K15</f>
        <v>0.95469434107152973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2203</v>
      </c>
      <c r="H16" s="134">
        <f>F16*G16</f>
        <v>111626.01000000001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2098.0952380952376</v>
      </c>
      <c r="O16" s="141">
        <f>N16/M16</f>
        <v>149.86394557823127</v>
      </c>
      <c r="P16" s="142">
        <f>M16-J16</f>
        <v>0</v>
      </c>
      <c r="Q16" s="143">
        <f>O16-L16</f>
        <v>-10.850340136054456</v>
      </c>
      <c r="R16" s="144">
        <f>O16/L16</f>
        <v>0.93248677248677225</v>
      </c>
      <c r="S16" s="425">
        <f>R26</f>
        <v>0.92417499470984166</v>
      </c>
      <c r="T16" s="145">
        <v>0.3</v>
      </c>
      <c r="U16" s="145">
        <v>0.34375</v>
      </c>
      <c r="V16" s="135"/>
      <c r="W16" s="146">
        <f t="shared" ref="W16:W78" si="4">(U16-T16)*24*60</f>
        <v>63.000000000000014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-151.90476190476238</v>
      </c>
      <c r="AG16" s="52">
        <f>N16/K16</f>
        <v>0.93248677248677225</v>
      </c>
      <c r="AH16" s="403">
        <f>AG26</f>
        <v>0.90808669108669338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648</v>
      </c>
      <c r="H17" s="78">
        <f>F17*G17</f>
        <v>37072.080000000002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16</v>
      </c>
      <c r="N17" s="95">
        <f>G17/W17*60</f>
        <v>1495.3846153845748</v>
      </c>
      <c r="O17" s="96">
        <f>N17/M17</f>
        <v>93.461538461535923</v>
      </c>
      <c r="P17" s="97">
        <f>M17-J17</f>
        <v>-1</v>
      </c>
      <c r="Q17" s="98">
        <f>O17-L17</f>
        <v>-38.891402714934657</v>
      </c>
      <c r="R17" s="99">
        <f>O17/L17</f>
        <v>0.70615384615382704</v>
      </c>
      <c r="S17" s="426"/>
      <c r="T17" s="19">
        <v>0.35069444444444398</v>
      </c>
      <c r="U17" s="19">
        <v>0.36875000000000002</v>
      </c>
      <c r="V17" s="30">
        <f>(T17-U16)*24*60</f>
        <v>9.999999999999325</v>
      </c>
      <c r="W17" s="149">
        <f t="shared" si="4"/>
        <v>26.000000000000707</v>
      </c>
      <c r="X17" s="19"/>
      <c r="Y17" s="297"/>
      <c r="Z17" s="90"/>
      <c r="AA17" s="90"/>
      <c r="AB17" s="407" t="s">
        <v>177</v>
      </c>
      <c r="AC17" s="407"/>
      <c r="AD17" s="92"/>
      <c r="AE17" s="92"/>
      <c r="AF17" s="307">
        <f>N17-K17</f>
        <v>-754.61538461542523</v>
      </c>
      <c r="AG17" s="72">
        <f>N17/K17</f>
        <v>0.66461538461536651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1343</v>
      </c>
      <c r="H18" s="78">
        <f>F18*G18</f>
        <v>76027.23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2066.1538461537943</v>
      </c>
      <c r="O18" s="96">
        <f>N18/M18</f>
        <v>137.74358974358628</v>
      </c>
      <c r="P18" s="97">
        <f>M18-J18</f>
        <v>0</v>
      </c>
      <c r="Q18" s="98">
        <f>O18-L18</f>
        <v>-12.256410256413716</v>
      </c>
      <c r="R18" s="99">
        <f>O18/L18</f>
        <v>0.91829059829057524</v>
      </c>
      <c r="S18" s="426"/>
      <c r="T18" s="19">
        <v>0.375694444444444</v>
      </c>
      <c r="U18" s="19">
        <v>0.40277777777777801</v>
      </c>
      <c r="V18" s="30">
        <f>(T18-U17)*24*60</f>
        <v>9.999999999999325</v>
      </c>
      <c r="W18" s="149">
        <f t="shared" si="4"/>
        <v>39.000000000000981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-183.84615384620565</v>
      </c>
      <c r="AG18" s="72">
        <f>N18/K18</f>
        <v>0.91829059829057524</v>
      </c>
      <c r="AH18" s="404"/>
    </row>
    <row r="19" spans="1:34" ht="15" customHeight="1">
      <c r="A19" s="422"/>
      <c r="B19" s="75" t="s">
        <v>81</v>
      </c>
      <c r="C19" s="76"/>
      <c r="D19" s="59" t="s">
        <v>118</v>
      </c>
      <c r="E19" s="77"/>
      <c r="F19" s="75">
        <f>VLOOKUP(D19,廠價表!$C$1:$E$43,3,0)</f>
        <v>57.21</v>
      </c>
      <c r="G19" s="147">
        <v>924</v>
      </c>
      <c r="H19" s="78">
        <f t="shared" ref="H19:H23" si="5">F19*G19</f>
        <v>52862.04</v>
      </c>
      <c r="I19" s="30"/>
      <c r="J19" s="79">
        <f>VLOOKUP(D19,產線配置圖!$A$3:$C$40,2,0)</f>
        <v>17</v>
      </c>
      <c r="K19" s="80">
        <f>VLOOKUP(D19,產線配置圖!$A$3:$C$40,3,0)</f>
        <v>2250</v>
      </c>
      <c r="L19" s="81">
        <f t="shared" ref="L19:L23" si="6">K19/J19</f>
        <v>132.35294117647058</v>
      </c>
      <c r="M19" s="148">
        <v>17</v>
      </c>
      <c r="N19" s="95">
        <f t="shared" ref="N19:N21" si="7">G19/W19*60</f>
        <v>2132.307692307641</v>
      </c>
      <c r="O19" s="96">
        <f t="shared" ref="O19:O23" si="8">N19/M19</f>
        <v>125.42986425339065</v>
      </c>
      <c r="P19" s="97">
        <f t="shared" ref="P19:P23" si="9">M19-J19</f>
        <v>0</v>
      </c>
      <c r="Q19" s="98">
        <f t="shared" ref="Q19:Q23" si="10">O19-L19</f>
        <v>-6.9230769230799325</v>
      </c>
      <c r="R19" s="99">
        <f t="shared" ref="R19:R23" si="11">O19/L19</f>
        <v>0.94769230769228496</v>
      </c>
      <c r="S19" s="426"/>
      <c r="T19" s="19">
        <v>0.41111111111111098</v>
      </c>
      <c r="U19" s="19">
        <v>0.42916666666666697</v>
      </c>
      <c r="V19" s="30">
        <f>(T19-U18)*24*60</f>
        <v>11.999999999999478</v>
      </c>
      <c r="W19" s="149">
        <f t="shared" si="4"/>
        <v>26.000000000000625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-117.69230769235901</v>
      </c>
      <c r="AG19" s="72">
        <f>N19/K19</f>
        <v>0.94769230769228485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2248</v>
      </c>
      <c r="H20" s="78">
        <f t="shared" si="5"/>
        <v>113276.72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2140.9523809523807</v>
      </c>
      <c r="O20" s="96">
        <f t="shared" si="8"/>
        <v>164.68864468864467</v>
      </c>
      <c r="P20" s="97">
        <f t="shared" si="9"/>
        <v>0</v>
      </c>
      <c r="Q20" s="98">
        <f t="shared" si="10"/>
        <v>-8.388278388278394</v>
      </c>
      <c r="R20" s="99">
        <f t="shared" si="11"/>
        <v>0.95153439153439145</v>
      </c>
      <c r="S20" s="426"/>
      <c r="T20" s="19">
        <v>0.4375</v>
      </c>
      <c r="U20" s="19">
        <v>0.48125000000000001</v>
      </c>
      <c r="V20" s="30">
        <f>(T20-U19)*24*60</f>
        <v>11.999999999999558</v>
      </c>
      <c r="W20" s="149">
        <f t="shared" si="4"/>
        <v>63.000000000000014</v>
      </c>
      <c r="X20" s="19">
        <v>0.49513888888888902</v>
      </c>
      <c r="Y20" s="297">
        <v>0.53680555555555598</v>
      </c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 t="s">
        <v>81</v>
      </c>
      <c r="C21" s="76"/>
      <c r="D21" s="59" t="s">
        <v>120</v>
      </c>
      <c r="E21" s="77"/>
      <c r="F21" s="75">
        <f>VLOOKUP(D21,廠價表!$C$1:$E$43,3,0)</f>
        <v>50.39</v>
      </c>
      <c r="G21" s="147">
        <v>3262</v>
      </c>
      <c r="H21" s="78">
        <f t="shared" si="5"/>
        <v>164372.18</v>
      </c>
      <c r="I21" s="30"/>
      <c r="J21" s="79">
        <f>VLOOKUP(D21,產線配置圖!$A$3:$C$40,2,0)</f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2174.666666666667</v>
      </c>
      <c r="O21" s="96">
        <f t="shared" si="8"/>
        <v>167.2820512820513</v>
      </c>
      <c r="P21" s="97">
        <f t="shared" si="9"/>
        <v>0</v>
      </c>
      <c r="Q21" s="98">
        <f t="shared" si="10"/>
        <v>-5.7948717948717672</v>
      </c>
      <c r="R21" s="99">
        <f t="shared" si="11"/>
        <v>0.96651851851851867</v>
      </c>
      <c r="S21" s="426"/>
      <c r="T21" s="19">
        <v>0.55138888888888904</v>
      </c>
      <c r="U21" s="19">
        <v>0.61388888888888904</v>
      </c>
      <c r="V21" s="30">
        <f t="shared" ref="V21:V23" si="12">(T21-U20)*24*60</f>
        <v>101.0000000000002</v>
      </c>
      <c r="W21" s="149">
        <f t="shared" si="4"/>
        <v>90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75" t="s">
        <v>81</v>
      </c>
      <c r="C22" s="86"/>
      <c r="D22" s="59" t="s">
        <v>118</v>
      </c>
      <c r="E22" s="87"/>
      <c r="F22" s="75">
        <f>VLOOKUP(D22,廠價表!$C$1:$E$43,3,0)</f>
        <v>57.21</v>
      </c>
      <c r="G22" s="147">
        <v>522</v>
      </c>
      <c r="H22" s="78">
        <f t="shared" si="5"/>
        <v>29863.62</v>
      </c>
      <c r="I22" s="30"/>
      <c r="J22" s="79">
        <f>VLOOKUP(D22,產線配置圖!$A$3:$C$40,2,0)</f>
        <v>17</v>
      </c>
      <c r="K22" s="80">
        <f>VLOOKUP(D22,產線配置圖!$A$3:$C$40,3,0)</f>
        <v>2250</v>
      </c>
      <c r="L22" s="81">
        <f t="shared" si="6"/>
        <v>132.35294117647058</v>
      </c>
      <c r="M22" s="148">
        <v>16</v>
      </c>
      <c r="N22" s="95">
        <f>G22/W22*60</f>
        <v>2088.000000000141</v>
      </c>
      <c r="O22" s="96">
        <f t="shared" si="8"/>
        <v>130.50000000000881</v>
      </c>
      <c r="P22" s="97">
        <f t="shared" si="9"/>
        <v>-1</v>
      </c>
      <c r="Q22" s="98">
        <f t="shared" si="10"/>
        <v>-1.8529411764617691</v>
      </c>
      <c r="R22" s="99">
        <f t="shared" si="11"/>
        <v>0.9860000000000666</v>
      </c>
      <c r="S22" s="426"/>
      <c r="T22" s="19">
        <v>0.624305555555556</v>
      </c>
      <c r="U22" s="19">
        <v>0.63472222222222197</v>
      </c>
      <c r="V22" s="30">
        <f t="shared" si="12"/>
        <v>15.000000000000426</v>
      </c>
      <c r="W22" s="149">
        <f t="shared" si="4"/>
        <v>14.999999999998987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 t="s">
        <v>81</v>
      </c>
      <c r="C23" s="86"/>
      <c r="D23" s="103" t="s">
        <v>116</v>
      </c>
      <c r="E23" s="87"/>
      <c r="F23" s="75">
        <f>VLOOKUP(D23,廠價表!$C$1:$E$43,3,0)</f>
        <v>50.67</v>
      </c>
      <c r="G23" s="95">
        <v>1075</v>
      </c>
      <c r="H23" s="78">
        <f t="shared" si="5"/>
        <v>54470.25</v>
      </c>
      <c r="I23" s="30"/>
      <c r="J23" s="79">
        <f>VLOOKUP(D23,產線配置圖!$A$3:$C$40,2,0)</f>
        <v>14</v>
      </c>
      <c r="K23" s="80">
        <f>VLOOKUP(D23,產線配置圖!$A$3:$C$40,3,0)</f>
        <v>2250</v>
      </c>
      <c r="L23" s="81">
        <f t="shared" si="6"/>
        <v>160.71428571428572</v>
      </c>
      <c r="M23" s="148">
        <v>14</v>
      </c>
      <c r="N23" s="95">
        <f>G23/W23*60</f>
        <v>2150.0000000000418</v>
      </c>
      <c r="O23" s="96">
        <f t="shared" si="8"/>
        <v>153.57142857143157</v>
      </c>
      <c r="P23" s="97">
        <f t="shared" si="9"/>
        <v>0</v>
      </c>
      <c r="Q23" s="98">
        <f t="shared" si="10"/>
        <v>-7.1428571428541545</v>
      </c>
      <c r="R23" s="99">
        <f t="shared" si="11"/>
        <v>0.95555555555557414</v>
      </c>
      <c r="S23" s="426"/>
      <c r="T23" s="19">
        <v>0.64305555555555605</v>
      </c>
      <c r="U23" s="19">
        <v>0.66388888888888897</v>
      </c>
      <c r="V23" s="30">
        <f t="shared" si="12"/>
        <v>12.000000000001076</v>
      </c>
      <c r="W23" s="149">
        <f t="shared" si="4"/>
        <v>29.999999999999414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9"/>
      <c r="U24" s="19"/>
      <c r="V24" s="92"/>
      <c r="W24" s="149">
        <f t="shared" si="4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3">AVERAGE(J16:J25)</f>
        <v>15</v>
      </c>
      <c r="K26" s="155">
        <f t="shared" si="13"/>
        <v>2250</v>
      </c>
      <c r="L26" s="158">
        <f t="shared" si="13"/>
        <v>151.83015513897868</v>
      </c>
      <c r="M26" s="155">
        <f t="shared" si="13"/>
        <v>14.75</v>
      </c>
      <c r="N26" s="155">
        <f t="shared" si="13"/>
        <v>2043.1950549450601</v>
      </c>
      <c r="O26" s="158">
        <f t="shared" si="13"/>
        <v>140.31763282236005</v>
      </c>
      <c r="P26" s="159">
        <f>M26-J26</f>
        <v>-0.25</v>
      </c>
      <c r="Q26" s="160">
        <f>O26-L26</f>
        <v>-11.512522316618629</v>
      </c>
      <c r="R26" s="161">
        <f>O26/L26</f>
        <v>0.92417499470984166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4">N26-K26</f>
        <v>-206.80494505493994</v>
      </c>
      <c r="AG26" s="124">
        <f t="shared" ref="AG26:AG31" si="15">N26/K26</f>
        <v>0.90808669108669338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124</v>
      </c>
      <c r="E27" s="132"/>
      <c r="F27" s="129">
        <f>VLOOKUP(D27,廠價表!$C$1:$E$43,3,0)</f>
        <v>57.21</v>
      </c>
      <c r="G27" s="169">
        <v>2176</v>
      </c>
      <c r="H27" s="134">
        <f>F27*G27</f>
        <v>124488.96000000001</v>
      </c>
      <c r="I27" s="135"/>
      <c r="J27" s="136">
        <f>VLOOKUP(D27,產線配置圖!$A$3:$C$40,2,0)</f>
        <v>18</v>
      </c>
      <c r="K27" s="137">
        <v>1714</v>
      </c>
      <c r="L27" s="138">
        <f>K27/J27</f>
        <v>95.222222222222229</v>
      </c>
      <c r="M27" s="170">
        <v>17</v>
      </c>
      <c r="N27" s="140">
        <f>G27/W27*60</f>
        <v>1536.0000000000214</v>
      </c>
      <c r="O27" s="141">
        <f>N27/M27</f>
        <v>90.352941176471845</v>
      </c>
      <c r="P27" s="142">
        <f>M27-J27</f>
        <v>-1</v>
      </c>
      <c r="Q27" s="143">
        <f>O27-L27</f>
        <v>-4.8692810457503839</v>
      </c>
      <c r="R27" s="144">
        <f>O27/L27</f>
        <v>0.94886402635734723</v>
      </c>
      <c r="S27" s="425">
        <f>R37</f>
        <v>0.93645466638825559</v>
      </c>
      <c r="T27" s="171">
        <v>0.29166666666666702</v>
      </c>
      <c r="U27" s="171">
        <v>0.35069444444444398</v>
      </c>
      <c r="V27" s="135"/>
      <c r="W27" s="146">
        <f t="shared" si="4"/>
        <v>84.99999999999882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14"/>
        <v>-177.99999999997863</v>
      </c>
      <c r="AG27" s="172">
        <f t="shared" si="15"/>
        <v>0.89614935822638353</v>
      </c>
      <c r="AH27" s="403">
        <f>AG37</f>
        <v>0.88442940714446383</v>
      </c>
    </row>
    <row r="28" spans="1:34" ht="15" customHeight="1">
      <c r="A28" s="457"/>
      <c r="B28" s="75" t="s">
        <v>81</v>
      </c>
      <c r="C28" s="173"/>
      <c r="D28" s="59" t="s">
        <v>168</v>
      </c>
      <c r="E28" s="104"/>
      <c r="F28" s="75">
        <f>VLOOKUP(D28,廠價表!$C$1:$E$43,3,0)</f>
        <v>57.21</v>
      </c>
      <c r="G28" s="90">
        <v>2400</v>
      </c>
      <c r="H28" s="91">
        <f>F28*G28</f>
        <v>137304</v>
      </c>
      <c r="I28" s="92"/>
      <c r="J28" s="79">
        <f>VLOOKUP(D28,產線配置圖!$A$3:$C$40,2,0)</f>
        <v>18</v>
      </c>
      <c r="K28" s="80">
        <f>VLOOKUP(D28,產線配置圖!$A$3:$C$40,3,0)</f>
        <v>1565</v>
      </c>
      <c r="L28" s="93">
        <f>K28/J28</f>
        <v>86.944444444444443</v>
      </c>
      <c r="M28" s="94">
        <v>17</v>
      </c>
      <c r="N28" s="95">
        <f>G28/W28*60</f>
        <v>1358.4905660377192</v>
      </c>
      <c r="O28" s="96">
        <f>N28/M28</f>
        <v>79.911209766924657</v>
      </c>
      <c r="P28" s="97">
        <f>M28-J28</f>
        <v>-1</v>
      </c>
      <c r="Q28" s="98">
        <f>O28-L28</f>
        <v>-7.0332346775197863</v>
      </c>
      <c r="R28" s="99">
        <f>O28/L28</f>
        <v>0.91910656600935714</v>
      </c>
      <c r="S28" s="426"/>
      <c r="T28" s="19">
        <v>0.35694444444444401</v>
      </c>
      <c r="U28" s="19">
        <v>0.43055555555555602</v>
      </c>
      <c r="V28" s="92">
        <f>(T28-U27)*24*60</f>
        <v>9.000000000000048</v>
      </c>
      <c r="W28" s="149">
        <f t="shared" si="4"/>
        <v>106.00000000000131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14"/>
        <v>-206.50943396228081</v>
      </c>
      <c r="AG28" s="99">
        <f t="shared" si="15"/>
        <v>0.86804509011994835</v>
      </c>
      <c r="AH28" s="445"/>
    </row>
    <row r="29" spans="1:34" ht="15" customHeight="1">
      <c r="A29" s="457"/>
      <c r="B29" s="75" t="s">
        <v>81</v>
      </c>
      <c r="C29" s="173"/>
      <c r="D29" s="59" t="s">
        <v>122</v>
      </c>
      <c r="E29" s="104"/>
      <c r="F29" s="75">
        <f>VLOOKUP(D29,廠價表!$C$1:$E$43,3,0)</f>
        <v>57.21</v>
      </c>
      <c r="G29" s="90">
        <v>909</v>
      </c>
      <c r="H29" s="91">
        <f>F29*G29</f>
        <v>52003.89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1363.4999999999884</v>
      </c>
      <c r="O29" s="96">
        <f>N29/M29</f>
        <v>80.205882352940492</v>
      </c>
      <c r="P29" s="97">
        <f>M29-J29</f>
        <v>-1</v>
      </c>
      <c r="Q29" s="98">
        <f>O29-L29</f>
        <v>-6.738562091503951</v>
      </c>
      <c r="R29" s="99">
        <f>O29/L29</f>
        <v>0.92249577147152007</v>
      </c>
      <c r="S29" s="426"/>
      <c r="T29" s="19">
        <v>0.4375</v>
      </c>
      <c r="U29" s="19">
        <v>0.46527777777777801</v>
      </c>
      <c r="V29" s="92">
        <f>(T29-U28)*24*60</f>
        <v>9.999999999999325</v>
      </c>
      <c r="W29" s="149">
        <f t="shared" si="4"/>
        <v>40.000000000000341</v>
      </c>
      <c r="X29" s="22">
        <v>0.46875</v>
      </c>
      <c r="Y29" s="84">
        <v>0.52083333333333304</v>
      </c>
      <c r="Z29" s="90"/>
      <c r="AA29" s="90"/>
      <c r="AB29" s="407"/>
      <c r="AC29" s="407"/>
      <c r="AD29" s="92"/>
      <c r="AE29" s="92"/>
      <c r="AF29" s="312">
        <f t="shared" si="14"/>
        <v>-201.5000000000116</v>
      </c>
      <c r="AG29" s="99">
        <f t="shared" si="15"/>
        <v>0.8712460063897689</v>
      </c>
      <c r="AH29" s="445"/>
    </row>
    <row r="30" spans="1:34" ht="15" customHeight="1">
      <c r="A30" s="457"/>
      <c r="B30" s="75" t="s">
        <v>81</v>
      </c>
      <c r="C30" s="88"/>
      <c r="D30" s="59" t="s">
        <v>168</v>
      </c>
      <c r="E30" s="89"/>
      <c r="F30" s="75">
        <f>VLOOKUP(D30,廠價表!$C$1:$E$43,3,0)</f>
        <v>57.21</v>
      </c>
      <c r="G30" s="90">
        <v>2900</v>
      </c>
      <c r="H30" s="91">
        <f t="shared" ref="H30:H31" si="16">F30*G30</f>
        <v>165909</v>
      </c>
      <c r="I30" s="92"/>
      <c r="J30" s="79">
        <f>VLOOKUP(D30,產線配置圖!$A$3:$C$40,2,0)</f>
        <v>18</v>
      </c>
      <c r="K30" s="80">
        <f>VLOOKUP(D30,產線配置圖!$A$3:$C$40,3,0)</f>
        <v>1565</v>
      </c>
      <c r="L30" s="93">
        <f t="shared" ref="L30:L31" si="17">K30/J30</f>
        <v>86.944444444444443</v>
      </c>
      <c r="M30" s="94">
        <v>17</v>
      </c>
      <c r="N30" s="95">
        <f t="shared" ref="N30:N31" si="18">G30/W30*60</f>
        <v>1426.2295081967245</v>
      </c>
      <c r="O30" s="96">
        <f t="shared" ref="O30:O31" si="19">N30/M30</f>
        <v>83.895853423336732</v>
      </c>
      <c r="P30" s="97">
        <f t="shared" ref="P30:P31" si="20">M30-J30</f>
        <v>-1</v>
      </c>
      <c r="Q30" s="98">
        <f t="shared" ref="Q30:Q31" si="21">O30-L30</f>
        <v>-3.0485910211077112</v>
      </c>
      <c r="R30" s="99">
        <f t="shared" ref="R30:R31" si="22">O30/L30</f>
        <v>0.96493633330355344</v>
      </c>
      <c r="S30" s="426"/>
      <c r="T30" s="19">
        <v>0.52638888888888902</v>
      </c>
      <c r="U30" s="19">
        <v>0.61111111111111105</v>
      </c>
      <c r="V30" s="92">
        <f>(T30-U29)*24*60</f>
        <v>87.999999999999844</v>
      </c>
      <c r="W30" s="149">
        <f t="shared" si="4"/>
        <v>121.99999999999973</v>
      </c>
      <c r="X30" s="174"/>
      <c r="Y30" s="301"/>
      <c r="Z30" s="335"/>
      <c r="AA30" s="335"/>
      <c r="AB30" s="407"/>
      <c r="AC30" s="407"/>
      <c r="AD30" s="92"/>
      <c r="AE30" s="92"/>
      <c r="AF30" s="312">
        <f t="shared" si="14"/>
        <v>-138.77049180327549</v>
      </c>
      <c r="AG30" s="99">
        <f t="shared" si="15"/>
        <v>0.91132875923113388</v>
      </c>
      <c r="AH30" s="446"/>
    </row>
    <row r="31" spans="1:34" ht="15" customHeight="1">
      <c r="A31" s="457"/>
      <c r="B31" s="75" t="s">
        <v>81</v>
      </c>
      <c r="C31" s="88"/>
      <c r="D31" s="59" t="s">
        <v>124</v>
      </c>
      <c r="E31" s="89"/>
      <c r="F31" s="75">
        <f>VLOOKUP(D31,廠價表!$C$1:$E$43,3,0)</f>
        <v>57.21</v>
      </c>
      <c r="G31" s="90">
        <v>1500</v>
      </c>
      <c r="H31" s="91">
        <f t="shared" si="16"/>
        <v>85815</v>
      </c>
      <c r="I31" s="92"/>
      <c r="J31" s="79">
        <f>VLOOKUP(D31,產線配置圖!$A$3:$C$40,2,0)</f>
        <v>18</v>
      </c>
      <c r="K31" s="80">
        <v>1714</v>
      </c>
      <c r="L31" s="93">
        <f t="shared" si="17"/>
        <v>95.222222222222229</v>
      </c>
      <c r="M31" s="94">
        <v>17</v>
      </c>
      <c r="N31" s="95">
        <f t="shared" si="18"/>
        <v>1500.0000000000252</v>
      </c>
      <c r="O31" s="96">
        <f t="shared" si="19"/>
        <v>88.23529411764855</v>
      </c>
      <c r="P31" s="97">
        <f t="shared" si="20"/>
        <v>-1</v>
      </c>
      <c r="Q31" s="98">
        <f t="shared" si="21"/>
        <v>-6.9869281045736784</v>
      </c>
      <c r="R31" s="99">
        <f t="shared" si="22"/>
        <v>0.92662502573959959</v>
      </c>
      <c r="S31" s="426"/>
      <c r="T31" s="19">
        <v>0.61805555555555602</v>
      </c>
      <c r="U31" s="19">
        <v>0.65972222222222199</v>
      </c>
      <c r="V31" s="92">
        <f>(T31-U30)*24*60</f>
        <v>10.000000000000764</v>
      </c>
      <c r="W31" s="149">
        <f t="shared" si="4"/>
        <v>59.999999999998991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4"/>
        <v>-213.99999999997476</v>
      </c>
      <c r="AG31" s="99">
        <f t="shared" si="15"/>
        <v>0.87514585764295516</v>
      </c>
      <c r="AH31" s="405"/>
    </row>
    <row r="32" spans="1:34" ht="15" customHeight="1">
      <c r="A32" s="457"/>
      <c r="B32" s="75"/>
      <c r="C32" s="102"/>
      <c r="D32" s="175"/>
      <c r="E32" s="176"/>
      <c r="F32" s="75"/>
      <c r="G32" s="90" t="s">
        <v>178</v>
      </c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3">AVERAGE(J27:J36)</f>
        <v>18</v>
      </c>
      <c r="K37" s="155">
        <f t="shared" si="23"/>
        <v>1624.6</v>
      </c>
      <c r="L37" s="158">
        <f t="shared" si="23"/>
        <v>90.25555555555556</v>
      </c>
      <c r="M37" s="155">
        <f t="shared" si="23"/>
        <v>17</v>
      </c>
      <c r="N37" s="155">
        <f t="shared" si="23"/>
        <v>1436.8440148468958</v>
      </c>
      <c r="O37" s="158">
        <f t="shared" si="23"/>
        <v>84.520236167464446</v>
      </c>
      <c r="P37" s="159">
        <f>M37-J37</f>
        <v>-1</v>
      </c>
      <c r="Q37" s="160">
        <f>N37-K37</f>
        <v>-187.75598515310412</v>
      </c>
      <c r="R37" s="161">
        <f>O37/L37</f>
        <v>0.93645466638825559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-187.75598515310412</v>
      </c>
      <c r="AG37" s="124">
        <f>N37/K37</f>
        <v>0.88442940714446383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3298</v>
      </c>
      <c r="H38" s="134">
        <f>F38*G38</f>
        <v>164603.18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1583.0399999999913</v>
      </c>
      <c r="O38" s="141">
        <f>N38/M38</f>
        <v>105.53599999999942</v>
      </c>
      <c r="P38" s="142">
        <f>M38-J38</f>
        <v>0</v>
      </c>
      <c r="Q38" s="143">
        <f>O38-L38</f>
        <v>-8.730666666667247</v>
      </c>
      <c r="R38" s="144">
        <f>O38/L38</f>
        <v>0.92359393232204856</v>
      </c>
      <c r="S38" s="453">
        <f>R48</f>
        <v>0.91927850296239988</v>
      </c>
      <c r="T38" s="191">
        <v>0.33333333333333298</v>
      </c>
      <c r="U38" s="191">
        <v>0.42013888888888901</v>
      </c>
      <c r="V38" s="192"/>
      <c r="W38" s="193">
        <f t="shared" si="4"/>
        <v>125.00000000000068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-130.96000000000868</v>
      </c>
      <c r="AG38" s="195">
        <f>N38/K38</f>
        <v>0.92359393232204856</v>
      </c>
      <c r="AH38" s="459">
        <f>AG48</f>
        <v>0.91908070523750518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2492</v>
      </c>
      <c r="H39" s="91">
        <f>F39*G39</f>
        <v>110395.59999999999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1541.4432989690738</v>
      </c>
      <c r="O39" s="203">
        <f>N39/M39</f>
        <v>90.673135233474923</v>
      </c>
      <c r="P39" s="97">
        <f>M39-J39</f>
        <v>0</v>
      </c>
      <c r="Q39" s="98">
        <f>O39-L39</f>
        <v>-5.5621588841721348</v>
      </c>
      <c r="R39" s="99">
        <f>O39/L39</f>
        <v>0.94220250548231887</v>
      </c>
      <c r="S39" s="454"/>
      <c r="T39" s="20">
        <v>0.42708333333333298</v>
      </c>
      <c r="U39" s="20">
        <v>0.49444444444444402</v>
      </c>
      <c r="V39" s="92">
        <f>(T39-U38)*24*60</f>
        <v>9.999999999999325</v>
      </c>
      <c r="W39" s="205">
        <f t="shared" si="4"/>
        <v>96.999999999999901</v>
      </c>
      <c r="X39" s="22">
        <v>0.5</v>
      </c>
      <c r="Y39" s="84">
        <v>0.54166666666666696</v>
      </c>
      <c r="Z39" s="90"/>
      <c r="AA39" s="90"/>
      <c r="AB39" s="462"/>
      <c r="AC39" s="462"/>
      <c r="AD39" s="200"/>
      <c r="AE39" s="200"/>
      <c r="AF39" s="314">
        <f>N39-K39</f>
        <v>-94.556701030926206</v>
      </c>
      <c r="AG39" s="206">
        <f>N39/K39</f>
        <v>0.94220250548231899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2746</v>
      </c>
      <c r="H40" s="91">
        <f>F40*G40</f>
        <v>121647.79999999999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1458.0530973451357</v>
      </c>
      <c r="O40" s="203">
        <f>N40/M40</f>
        <v>85.767829255596212</v>
      </c>
      <c r="P40" s="97">
        <f>M40-J40</f>
        <v>0</v>
      </c>
      <c r="Q40" s="98">
        <f>O40-L40</f>
        <v>-10.467464862050846</v>
      </c>
      <c r="R40" s="99">
        <f>O40/L40</f>
        <v>0.89123049959971612</v>
      </c>
      <c r="S40" s="440"/>
      <c r="T40" s="20">
        <v>0.54652777777777795</v>
      </c>
      <c r="U40" s="20">
        <v>0.625</v>
      </c>
      <c r="V40" s="92">
        <f>(T40-U39)*24*60</f>
        <v>75.000000000000853</v>
      </c>
      <c r="W40" s="205">
        <f t="shared" si="4"/>
        <v>112.99999999999976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-177.94690265486429</v>
      </c>
      <c r="AG40" s="206">
        <f>N40/K40</f>
        <v>0.89123049959971623</v>
      </c>
      <c r="AH40" s="460"/>
    </row>
    <row r="41" spans="1:34" ht="15" customHeight="1">
      <c r="A41" s="45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40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0</v>
      </c>
      <c r="AG41" s="206" t="e">
        <f>N41/K41</f>
        <v>#DIV/0!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4">AVERAGE(J38:J47)</f>
        <v>16.333333333333332</v>
      </c>
      <c r="K48" s="155">
        <f t="shared" si="24"/>
        <v>1662</v>
      </c>
      <c r="L48" s="158">
        <f t="shared" si="24"/>
        <v>102.24575163398693</v>
      </c>
      <c r="M48" s="155">
        <f t="shared" si="24"/>
        <v>16.333333333333332</v>
      </c>
      <c r="N48" s="155">
        <f t="shared" si="24"/>
        <v>1527.5121321047336</v>
      </c>
      <c r="O48" s="158">
        <f t="shared" si="24"/>
        <v>93.992321496356851</v>
      </c>
      <c r="P48" s="221">
        <f>M48-J48</f>
        <v>0</v>
      </c>
      <c r="Q48" s="222">
        <f>N48-K48</f>
        <v>-134.48786789526639</v>
      </c>
      <c r="R48" s="223">
        <f>O48/L48</f>
        <v>0.91927850296239988</v>
      </c>
      <c r="S48" s="443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25">N48-K48</f>
        <v>-134.48786789526639</v>
      </c>
      <c r="AG48" s="162">
        <f t="shared" ref="AG48:AG53" si="26">N48/K48</f>
        <v>0.91908070523750518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2138</v>
      </c>
      <c r="H49" s="134">
        <f>F49*G49</f>
        <v>105873.76000000001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1644.6153846154057</v>
      </c>
      <c r="O49" s="141">
        <f>N49/M49</f>
        <v>96.742081447965035</v>
      </c>
      <c r="P49" s="229">
        <f>M49-J49</f>
        <v>0</v>
      </c>
      <c r="Q49" s="230">
        <f>O49-L49</f>
        <v>-9.1402714932114293</v>
      </c>
      <c r="R49" s="52">
        <f>O49/L49</f>
        <v>0.91367521367522542</v>
      </c>
      <c r="S49" s="439">
        <f>R58</f>
        <v>0.9318252607134051</v>
      </c>
      <c r="T49" s="191">
        <v>0.29166666666666702</v>
      </c>
      <c r="U49" s="191">
        <v>0.34583333333333299</v>
      </c>
      <c r="V49" s="55"/>
      <c r="W49" s="193">
        <f t="shared" si="4"/>
        <v>77.999999999999005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25"/>
        <v>-155.38461538459433</v>
      </c>
      <c r="AG49" s="52">
        <f t="shared" si="26"/>
        <v>0.91367521367522542</v>
      </c>
      <c r="AH49" s="403">
        <f>AG58</f>
        <v>0.9309612406178045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2371</v>
      </c>
      <c r="H50" s="231">
        <f>F50*G50</f>
        <v>119235.219</v>
      </c>
      <c r="I50" s="232"/>
      <c r="J50" s="79">
        <v>17</v>
      </c>
      <c r="K50" s="80">
        <f>VLOOKUP(D50,產線配置圖!$A$3:$C$40,3,0)</f>
        <v>1565</v>
      </c>
      <c r="L50" s="81">
        <f>K50/J50</f>
        <v>92.058823529411768</v>
      </c>
      <c r="M50" s="233">
        <v>17</v>
      </c>
      <c r="N50" s="234">
        <f>G50/W50*60</f>
        <v>1394.7058823529483</v>
      </c>
      <c r="O50" s="235">
        <f>N50/M50</f>
        <v>82.041522491349895</v>
      </c>
      <c r="P50" s="74">
        <f>M50-J50</f>
        <v>0</v>
      </c>
      <c r="Q50" s="83">
        <f>O50-L50</f>
        <v>-10.017301038061873</v>
      </c>
      <c r="R50" s="72">
        <f>O50/L50</f>
        <v>0.89118586731817773</v>
      </c>
      <c r="S50" s="440"/>
      <c r="T50" s="21">
        <v>0.35277777777777802</v>
      </c>
      <c r="U50" s="21">
        <v>0.42361111111111099</v>
      </c>
      <c r="V50" s="30">
        <f>(T50-U49)*24*60</f>
        <v>10.000000000000844</v>
      </c>
      <c r="W50" s="236">
        <f t="shared" si="4"/>
        <v>101.99999999999947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25"/>
        <v>-170.29411764705173</v>
      </c>
      <c r="AG50" s="72">
        <f t="shared" si="26"/>
        <v>0.89118586731817784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f>VLOOKUP(D51,廠價表!$C$1:$E$43,3,0)</f>
        <v>49.97</v>
      </c>
      <c r="G51" s="202">
        <v>1219</v>
      </c>
      <c r="H51" s="231">
        <f>F51*G51</f>
        <v>60913.43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1741.4285714286109</v>
      </c>
      <c r="O51" s="235">
        <f>N51/M51</f>
        <v>108.83928571428818</v>
      </c>
      <c r="P51" s="74">
        <f>M51-J51</f>
        <v>0</v>
      </c>
      <c r="Q51" s="83">
        <f>O51-L51</f>
        <v>-3.6607142857118191</v>
      </c>
      <c r="R51" s="72">
        <f>O51/L51</f>
        <v>0.96746031746033934</v>
      </c>
      <c r="S51" s="440"/>
      <c r="T51" s="21">
        <v>0.42916666666666697</v>
      </c>
      <c r="U51" s="19">
        <v>0.45833333333333298</v>
      </c>
      <c r="V51" s="30">
        <f>(T51-U50)*24*60</f>
        <v>8.0000000000006111</v>
      </c>
      <c r="W51" s="236">
        <f t="shared" si="4"/>
        <v>41.999999999999048</v>
      </c>
      <c r="X51" s="22">
        <v>0.46527777777777801</v>
      </c>
      <c r="Y51" s="84">
        <v>0.50694444444444398</v>
      </c>
      <c r="Z51" s="90"/>
      <c r="AA51" s="90"/>
      <c r="AB51" s="407"/>
      <c r="AC51" s="407"/>
      <c r="AD51" s="92"/>
      <c r="AE51" s="92"/>
      <c r="AF51" s="307">
        <f t="shared" si="25"/>
        <v>-58.571428571389106</v>
      </c>
      <c r="AG51" s="72">
        <f t="shared" si="26"/>
        <v>0.96746031746033934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f>VLOOKUP(D52,廠價表!$C$1:$E$43,3,0)</f>
        <v>49.97</v>
      </c>
      <c r="G52" s="202">
        <v>4068</v>
      </c>
      <c r="H52" s="231">
        <f t="shared" ref="H52:H53" si="27">F52*G52</f>
        <v>203277.96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28">K52/J52</f>
        <v>112.5</v>
      </c>
      <c r="M52" s="233">
        <v>16</v>
      </c>
      <c r="N52" s="234">
        <f t="shared" ref="N52:N53" si="29">G52/W52*60</f>
        <v>1731.0638297872283</v>
      </c>
      <c r="O52" s="235">
        <f t="shared" ref="O52:O53" si="30">N52/M52</f>
        <v>108.19148936170177</v>
      </c>
      <c r="P52" s="74">
        <f t="shared" ref="P52:P53" si="31">M52-J52</f>
        <v>0</v>
      </c>
      <c r="Q52" s="83">
        <f t="shared" ref="Q52:Q53" si="32">O52-L52</f>
        <v>-4.3085106382982303</v>
      </c>
      <c r="R52" s="72">
        <f t="shared" ref="R52:R53" si="33">O52/L52</f>
        <v>0.9617021276595713</v>
      </c>
      <c r="S52" s="440"/>
      <c r="T52" s="21">
        <v>0.51736111111111105</v>
      </c>
      <c r="U52" s="21">
        <v>0.61527777777777803</v>
      </c>
      <c r="V52" s="30">
        <f>(T52-U51)*24*60</f>
        <v>85.000000000000412</v>
      </c>
      <c r="W52" s="236">
        <f t="shared" si="4"/>
        <v>141.00000000000045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25"/>
        <v>-68.936170212771685</v>
      </c>
      <c r="AG52" s="72">
        <f t="shared" si="26"/>
        <v>0.9617021276595713</v>
      </c>
      <c r="AH52" s="404"/>
    </row>
    <row r="53" spans="1:34" ht="15" customHeight="1">
      <c r="A53" s="469"/>
      <c r="B53" s="101" t="s">
        <v>81</v>
      </c>
      <c r="C53" s="102"/>
      <c r="D53" s="103" t="s">
        <v>133</v>
      </c>
      <c r="E53" s="104"/>
      <c r="F53" s="75">
        <f>VLOOKUP(D53,廠價表!$C$1:$E$43,3,0)</f>
        <v>50.289000000000001</v>
      </c>
      <c r="G53" s="202">
        <v>667</v>
      </c>
      <c r="H53" s="231">
        <f t="shared" si="27"/>
        <v>33542.762999999999</v>
      </c>
      <c r="I53" s="232"/>
      <c r="J53" s="79">
        <v>17</v>
      </c>
      <c r="K53" s="80">
        <f>VLOOKUP(D53,產線配置圖!$A$3:$C$40,3,0)</f>
        <v>1565</v>
      </c>
      <c r="L53" s="81">
        <f t="shared" si="28"/>
        <v>92.058823529411768</v>
      </c>
      <c r="M53" s="108">
        <v>17</v>
      </c>
      <c r="N53" s="234">
        <f t="shared" si="29"/>
        <v>1429.2857142856785</v>
      </c>
      <c r="O53" s="235">
        <f t="shared" si="30"/>
        <v>84.075630252098733</v>
      </c>
      <c r="P53" s="74">
        <f t="shared" si="31"/>
        <v>0</v>
      </c>
      <c r="Q53" s="83">
        <f t="shared" si="32"/>
        <v>-7.9831932773130347</v>
      </c>
      <c r="R53" s="72">
        <f t="shared" si="33"/>
        <v>0.91328160657231849</v>
      </c>
      <c r="S53" s="440"/>
      <c r="T53" s="21">
        <v>0.62083333333333302</v>
      </c>
      <c r="U53" s="21">
        <v>0.64027777777777795</v>
      </c>
      <c r="V53" s="30">
        <f>(T53-U52)*24*60</f>
        <v>7.9999999999991722</v>
      </c>
      <c r="W53" s="236">
        <f t="shared" si="4"/>
        <v>28.0000000000007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25"/>
        <v>-135.71428571432148</v>
      </c>
      <c r="AG53" s="72">
        <f t="shared" si="26"/>
        <v>0.91328160657231849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34">AVERAGE(J49:J57)</f>
        <v>16.600000000000001</v>
      </c>
      <c r="K58" s="120">
        <f t="shared" si="34"/>
        <v>1706</v>
      </c>
      <c r="L58" s="117">
        <f t="shared" si="34"/>
        <v>103</v>
      </c>
      <c r="M58" s="120">
        <f t="shared" si="34"/>
        <v>16.600000000000001</v>
      </c>
      <c r="N58" s="120">
        <f t="shared" si="34"/>
        <v>1588.2198764939744</v>
      </c>
      <c r="O58" s="117">
        <f t="shared" si="34"/>
        <v>95.97800185348072</v>
      </c>
      <c r="P58" s="121">
        <f>M58-J58</f>
        <v>0</v>
      </c>
      <c r="Q58" s="122">
        <f>N58-K58</f>
        <v>-117.78012350602557</v>
      </c>
      <c r="R58" s="123">
        <f>O58/L58</f>
        <v>0.9318252607134051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-117.78012350602557</v>
      </c>
      <c r="AG58" s="124">
        <f>N58/K58</f>
        <v>0.9309612406178045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3693</v>
      </c>
      <c r="H59" s="243">
        <f>F59*G59</f>
        <v>99674.069999999992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16</v>
      </c>
      <c r="N59" s="137">
        <f>G59/W59*60</f>
        <v>1528.1379310344901</v>
      </c>
      <c r="O59" s="138">
        <f>N59/M59</f>
        <v>95.508620689655629</v>
      </c>
      <c r="P59" s="56">
        <f>M59-J59</f>
        <v>1</v>
      </c>
      <c r="Q59" s="230">
        <f>O59-L59</f>
        <v>-8.8247126436776995</v>
      </c>
      <c r="R59" s="52">
        <f>O59/L59</f>
        <v>0.9154180896772105</v>
      </c>
      <c r="S59" s="439">
        <f>R69</f>
        <v>0.86731137578726325</v>
      </c>
      <c r="T59" s="245">
        <v>0.29166666666666702</v>
      </c>
      <c r="U59" s="245">
        <v>0.39236111111111099</v>
      </c>
      <c r="V59" s="55"/>
      <c r="W59" s="54">
        <f t="shared" si="4"/>
        <v>144.99999999999932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-36.862068965509934</v>
      </c>
      <c r="AG59" s="246">
        <f>N59/K59</f>
        <v>0.97644596232235792</v>
      </c>
      <c r="AH59" s="403">
        <f>AG69</f>
        <v>0.94310281874124724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1776</v>
      </c>
      <c r="H60" s="78">
        <f>F60*G60</f>
        <v>50189.760000000002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13</v>
      </c>
      <c r="N60" s="80">
        <f>G60/W60*60</f>
        <v>1522.2857142857181</v>
      </c>
      <c r="O60" s="81">
        <f>N60/M60</f>
        <v>117.09890109890139</v>
      </c>
      <c r="P60" s="74">
        <f>M60-J60</f>
        <v>1</v>
      </c>
      <c r="Q60" s="83">
        <f>O60-L60</f>
        <v>-13.317765567765264</v>
      </c>
      <c r="R60" s="72">
        <f>O60/L60</f>
        <v>0.89788294772320565</v>
      </c>
      <c r="S60" s="467"/>
      <c r="T60" s="22">
        <v>0.39930555555555602</v>
      </c>
      <c r="U60" s="22">
        <v>0.44791666666666702</v>
      </c>
      <c r="V60" s="30">
        <f>(T60-U59)*24*60</f>
        <v>10.000000000000844</v>
      </c>
      <c r="W60" s="248">
        <f t="shared" si="4"/>
        <v>69.999999999999829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-42.714285714281914</v>
      </c>
      <c r="AG60" s="249">
        <f>N60/K60</f>
        <v>0.97270652670013935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1399</v>
      </c>
      <c r="H61" s="254">
        <f>F61*G61</f>
        <v>39535.740000000005</v>
      </c>
      <c r="I61" s="182"/>
      <c r="J61" s="106">
        <f>VLOOKUP(D61,產線配置圖!$A$3:$C$40,2,0)</f>
        <v>11</v>
      </c>
      <c r="K61" s="107">
        <f>VLOOKUP(D61,產線配置圖!$A$3:$C$40,3,0)</f>
        <v>1565</v>
      </c>
      <c r="L61" s="238">
        <f>K61/J61</f>
        <v>142.27272727272728</v>
      </c>
      <c r="M61" s="108">
        <v>12</v>
      </c>
      <c r="N61" s="107">
        <f>G61/W61*60</f>
        <v>1398.9999999999882</v>
      </c>
      <c r="O61" s="238">
        <f>N61/M61</f>
        <v>116.58333333333235</v>
      </c>
      <c r="P61" s="111">
        <f>M61-J61</f>
        <v>1</v>
      </c>
      <c r="Q61" s="255">
        <f>O61-L61</f>
        <v>-25.689393939394932</v>
      </c>
      <c r="R61" s="85">
        <f>O61/L61</f>
        <v>0.81943556975505161</v>
      </c>
      <c r="S61" s="440"/>
      <c r="T61" s="22">
        <v>0.45486111111111099</v>
      </c>
      <c r="U61" s="22">
        <v>0.49652777777777801</v>
      </c>
      <c r="V61" s="30">
        <f>(T61-U60)*24*60</f>
        <v>9.999999999999325</v>
      </c>
      <c r="W61" s="256">
        <f t="shared" si="4"/>
        <v>60.000000000000504</v>
      </c>
      <c r="X61" s="22">
        <v>0.50694444444444398</v>
      </c>
      <c r="Y61" s="84">
        <v>0.54861111111111105</v>
      </c>
      <c r="Z61" s="90"/>
      <c r="AA61" s="90"/>
      <c r="AB61" s="407"/>
      <c r="AC61" s="407"/>
      <c r="AD61" s="92"/>
      <c r="AE61" s="92"/>
      <c r="AF61" s="317">
        <f>N61-K61</f>
        <v>-166.00000000001182</v>
      </c>
      <c r="AG61" s="247">
        <f>N61/K61</f>
        <v>0.89392971246005637</v>
      </c>
      <c r="AH61" s="404"/>
    </row>
    <row r="62" spans="1:34" ht="15" customHeight="1">
      <c r="A62" s="465"/>
      <c r="B62" s="250" t="s">
        <v>125</v>
      </c>
      <c r="C62" s="251"/>
      <c r="D62" s="257" t="s">
        <v>126</v>
      </c>
      <c r="E62" s="253"/>
      <c r="F62" s="250">
        <f>VLOOKUP(D62,廠價表!$C$1:$E$43,3,0)</f>
        <v>28.26</v>
      </c>
      <c r="G62" s="38">
        <v>1818</v>
      </c>
      <c r="H62" s="254">
        <f>F62*G62</f>
        <v>51376.68</v>
      </c>
      <c r="I62" s="182"/>
      <c r="J62" s="106">
        <f>VLOOKUP(D62,產線配置圖!$A$3:$C$40,2,0)</f>
        <v>11</v>
      </c>
      <c r="K62" s="107">
        <f>VLOOKUP(D62,產線配置圖!$A$3:$C$40,3,0)</f>
        <v>1565</v>
      </c>
      <c r="L62" s="238">
        <f>K62/J62</f>
        <v>142.27272727272728</v>
      </c>
      <c r="M62" s="108">
        <v>12</v>
      </c>
      <c r="N62" s="107">
        <f>G62/W62*60</f>
        <v>1454.4000000000112</v>
      </c>
      <c r="O62" s="238">
        <f>N62/M62</f>
        <v>121.20000000000094</v>
      </c>
      <c r="P62" s="111">
        <f>M62-J62</f>
        <v>1</v>
      </c>
      <c r="Q62" s="255">
        <f>O62-L62</f>
        <v>-21.07272727272634</v>
      </c>
      <c r="R62" s="85">
        <f>O62/L62</f>
        <v>0.85188498402556567</v>
      </c>
      <c r="S62" s="440"/>
      <c r="T62" s="22">
        <v>0.54861111111111105</v>
      </c>
      <c r="U62" s="22">
        <v>0.60069444444444398</v>
      </c>
      <c r="V62" s="30">
        <f>(T62-U61)*24*60</f>
        <v>74.999999999999574</v>
      </c>
      <c r="W62" s="248">
        <f t="shared" si="4"/>
        <v>74.999999999999417</v>
      </c>
      <c r="X62" s="22"/>
      <c r="Y62" s="84"/>
      <c r="Z62" s="90"/>
      <c r="AA62" s="90"/>
      <c r="AB62" s="407"/>
      <c r="AC62" s="407"/>
      <c r="AD62" s="92"/>
      <c r="AE62" s="92"/>
      <c r="AF62" s="317">
        <f>N62-K62</f>
        <v>-110.59999999998877</v>
      </c>
      <c r="AG62" s="247">
        <f>N62/K62</f>
        <v>0.92932907348243532</v>
      </c>
      <c r="AH62" s="404"/>
    </row>
    <row r="63" spans="1:34" ht="15" customHeight="1">
      <c r="A63" s="46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40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07" t="s">
        <v>179</v>
      </c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35">AVERAGE(J59:J68)</f>
        <v>12.25</v>
      </c>
      <c r="K69" s="240">
        <f t="shared" si="35"/>
        <v>1565</v>
      </c>
      <c r="L69" s="268">
        <f t="shared" si="35"/>
        <v>129.82386363636363</v>
      </c>
      <c r="M69" s="240">
        <f t="shared" si="35"/>
        <v>13.25</v>
      </c>
      <c r="N69" s="240">
        <f t="shared" si="35"/>
        <v>1475.955911330052</v>
      </c>
      <c r="O69" s="268">
        <f t="shared" si="35"/>
        <v>112.59771378047259</v>
      </c>
      <c r="P69" s="269">
        <f>M69-J69</f>
        <v>1</v>
      </c>
      <c r="Q69" s="222">
        <f>N69-K69</f>
        <v>-89.044088669947996</v>
      </c>
      <c r="R69" s="123">
        <f>O69/L69</f>
        <v>0.86731137578726325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-89.044088669947996</v>
      </c>
      <c r="AG69" s="124">
        <f>N69/K69</f>
        <v>0.94310281874124724</v>
      </c>
      <c r="AH69" s="406"/>
    </row>
    <row r="70" spans="1:36" ht="15" customHeight="1">
      <c r="A70" s="471" t="s">
        <v>55</v>
      </c>
      <c r="B70" s="129" t="s">
        <v>81</v>
      </c>
      <c r="C70" s="129"/>
      <c r="D70" s="131" t="s">
        <v>123</v>
      </c>
      <c r="E70" s="132"/>
      <c r="F70" s="129">
        <f>VLOOKUP(D70,廠價表!$C$1:$E$43,3,0)</f>
        <v>50.67</v>
      </c>
      <c r="G70" s="55">
        <v>1507</v>
      </c>
      <c r="H70" s="243">
        <f>F70*G70</f>
        <v>76359.69</v>
      </c>
      <c r="I70" s="55"/>
      <c r="J70" s="136">
        <v>10</v>
      </c>
      <c r="K70" s="137">
        <v>1125</v>
      </c>
      <c r="L70" s="138">
        <f>K70/J70</f>
        <v>112.5</v>
      </c>
      <c r="M70" s="244">
        <v>9</v>
      </c>
      <c r="N70" s="137">
        <f>G70/W70*60</f>
        <v>821.99999999999864</v>
      </c>
      <c r="O70" s="138">
        <f>N70/M70</f>
        <v>91.333333333333186</v>
      </c>
      <c r="P70" s="56">
        <f>M70-J70</f>
        <v>-1</v>
      </c>
      <c r="Q70" s="230">
        <f>O70-L70</f>
        <v>-21.166666666666814</v>
      </c>
      <c r="R70" s="52">
        <f>O70/L70</f>
        <v>0.81185185185185049</v>
      </c>
      <c r="S70" s="439">
        <f>R79</f>
        <v>0.81185185185185049</v>
      </c>
      <c r="T70" s="245">
        <v>0.33333333333333298</v>
      </c>
      <c r="U70" s="245">
        <v>0.40972222222222199</v>
      </c>
      <c r="V70" s="55"/>
      <c r="W70" s="54">
        <f t="shared" si="4"/>
        <v>110.00000000000017</v>
      </c>
      <c r="X70" s="270"/>
      <c r="Y70" s="292"/>
      <c r="Z70" s="169"/>
      <c r="AA70" s="169"/>
      <c r="AB70" s="429" t="s">
        <v>180</v>
      </c>
      <c r="AC70" s="429"/>
      <c r="AD70" s="135"/>
      <c r="AE70" s="135"/>
      <c r="AF70" s="310">
        <f>N70-K70</f>
        <v>-303.00000000000136</v>
      </c>
      <c r="AG70" s="246">
        <f>N70/K70</f>
        <v>0.73066666666666547</v>
      </c>
      <c r="AH70" s="403">
        <f>AG79</f>
        <v>0.73066666666666547</v>
      </c>
    </row>
    <row r="71" spans="1:36" ht="15" customHeight="1">
      <c r="A71" s="472"/>
      <c r="B71" s="75" t="s">
        <v>145</v>
      </c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 t="s">
        <v>145</v>
      </c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 t="s">
        <v>56</v>
      </c>
      <c r="D79" s="430" t="s">
        <v>42</v>
      </c>
      <c r="E79" s="430"/>
      <c r="F79" s="116"/>
      <c r="G79" s="117"/>
      <c r="H79" s="282"/>
      <c r="I79" s="268"/>
      <c r="J79" s="240">
        <f t="shared" ref="J79:O79" si="36">AVERAGE(J70:J78)</f>
        <v>10</v>
      </c>
      <c r="K79" s="240">
        <f t="shared" si="36"/>
        <v>1125</v>
      </c>
      <c r="L79" s="268">
        <f t="shared" si="36"/>
        <v>112.5</v>
      </c>
      <c r="M79" s="240">
        <f t="shared" si="36"/>
        <v>9</v>
      </c>
      <c r="N79" s="240">
        <f t="shared" si="36"/>
        <v>821.99999999999864</v>
      </c>
      <c r="O79" s="268">
        <f t="shared" si="36"/>
        <v>91.333333333333186</v>
      </c>
      <c r="P79" s="269">
        <f>M79-J79</f>
        <v>-1</v>
      </c>
      <c r="Q79" s="222">
        <f>N79-K79</f>
        <v>-303.00000000000136</v>
      </c>
      <c r="R79" s="223">
        <f>O79/L79</f>
        <v>0.81185185185185049</v>
      </c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-303.00000000000136</v>
      </c>
      <c r="AG79" s="124">
        <f>N79/K79</f>
        <v>0.73066666666666547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J1:L2"/>
    <mergeCell ref="M1:O2"/>
    <mergeCell ref="P1:S2"/>
    <mergeCell ref="T1:Y2"/>
    <mergeCell ref="S3:S4"/>
    <mergeCell ref="H3:H4"/>
    <mergeCell ref="I3:I4"/>
    <mergeCell ref="T3:U3"/>
    <mergeCell ref="P3:P4"/>
    <mergeCell ref="V3:V4"/>
    <mergeCell ref="W3:W4"/>
    <mergeCell ref="J3:J4"/>
    <mergeCell ref="K3:K4"/>
    <mergeCell ref="A2:B2"/>
    <mergeCell ref="A3:A4"/>
    <mergeCell ref="B3:B4"/>
    <mergeCell ref="D3:E4"/>
    <mergeCell ref="F3:F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L3:L4"/>
    <mergeCell ref="AF1:AH2"/>
    <mergeCell ref="AB1:AC2"/>
    <mergeCell ref="AH3:AH4"/>
    <mergeCell ref="N3:N4"/>
    <mergeCell ref="Z3:AA3"/>
    <mergeCell ref="M3:M4"/>
    <mergeCell ref="X3:Y3"/>
    <mergeCell ref="Q3:Q4"/>
    <mergeCell ref="R3:R4"/>
    <mergeCell ref="O3:O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G3:G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S49:S58"/>
    <mergeCell ref="AB49:AC49"/>
    <mergeCell ref="AB57:AC57"/>
    <mergeCell ref="D58:E58"/>
    <mergeCell ref="AB58:AC58"/>
    <mergeCell ref="AB52:AC52"/>
    <mergeCell ref="AB53:AC53"/>
    <mergeCell ref="AB54:AC54"/>
    <mergeCell ref="AB55:AC55"/>
    <mergeCell ref="AB56:AC56"/>
    <mergeCell ref="A38:A48"/>
    <mergeCell ref="S38:S48"/>
    <mergeCell ref="AB38:AC38"/>
    <mergeCell ref="D48:E48"/>
    <mergeCell ref="AB48:AC48"/>
    <mergeCell ref="AH49:AH58"/>
    <mergeCell ref="AB50:AC50"/>
    <mergeCell ref="AB51:AC51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59:A69"/>
    <mergeCell ref="S59:S69"/>
    <mergeCell ref="AB59:AC59"/>
    <mergeCell ref="D69:E69"/>
    <mergeCell ref="AB69:AC69"/>
    <mergeCell ref="A49:A58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</mergeCells>
  <phoneticPr fontId="0" type="noConversion"/>
  <conditionalFormatting sqref="P5:P79">
    <cfRule type="cellIs" dxfId="198" priority="1" operator="greaterThan">
      <formula>0</formula>
    </cfRule>
  </conditionalFormatting>
  <conditionalFormatting sqref="Q5:Q79 AF5:AF79">
    <cfRule type="cellIs" dxfId="197" priority="4" operator="lessThan">
      <formula>0</formula>
    </cfRule>
  </conditionalFormatting>
  <conditionalFormatting sqref="R5:R79 AG5:AG79">
    <cfRule type="cellIs" dxfId="196" priority="2" operator="greaterThan">
      <formula>1</formula>
    </cfRule>
    <cfRule type="cellIs" dxfId="195" priority="3" operator="lessThan">
      <formula>0.8</formula>
    </cfRule>
  </conditionalFormatting>
  <conditionalFormatting sqref="S5:S10 S37:S62 AH59:AH62 S69:S76 AH69:AH76">
    <cfRule type="cellIs" dxfId="194" priority="7" operator="lessThan">
      <formula>0.8</formula>
    </cfRule>
  </conditionalFormatting>
  <conditionalFormatting sqref="S19:S25 AH19:AH25">
    <cfRule type="cellIs" dxfId="193" priority="6" operator="lessThan">
      <formula>0.8</formula>
    </cfRule>
  </conditionalFormatting>
  <conditionalFormatting sqref="S79">
    <cfRule type="cellIs" dxfId="192" priority="5" operator="lessThan">
      <formula>0.8</formula>
    </cfRule>
  </conditionalFormatting>
  <conditionalFormatting sqref="AH5:AH8 S15:S16 AH15:AH16 AH49 AH79">
    <cfRule type="cellIs" dxfId="191" priority="9" operator="lessThan">
      <formula>0.8</formula>
    </cfRule>
  </conditionalFormatting>
  <conditionalFormatting sqref="AH27 S27:S28">
    <cfRule type="cellIs" dxfId="1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F99318-D7A4-4877-91CE-83D0E5D681E5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80FF-B29D-423E-B32E-D071FB6C85CF}">
  <dimension ref="B1:O26"/>
  <sheetViews>
    <sheetView zoomScale="70" zoomScaleNormal="70" workbookViewId="0">
      <selection activeCell="U52" sqref="U5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46185</v>
      </c>
      <c r="E3" s="510"/>
      <c r="F3" s="3" t="s">
        <v>72</v>
      </c>
      <c r="G3" s="511">
        <f>'0612'!E1</f>
        <v>46456</v>
      </c>
      <c r="H3" s="511"/>
      <c r="I3" s="3" t="s">
        <v>2</v>
      </c>
      <c r="J3" s="512">
        <f>'0612'!G1</f>
        <v>2236198.2849999992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122.22398073059837</v>
      </c>
      <c r="G6" s="507"/>
      <c r="H6" s="508">
        <f>AVERAGE(D13:H13)</f>
        <v>122.18884292178409</v>
      </c>
      <c r="I6" s="508"/>
      <c r="J6" s="508">
        <f>AVERAGE(I13)</f>
        <v>122.39966977466976</v>
      </c>
      <c r="K6" s="508"/>
      <c r="L6" s="516">
        <f>SUM(D18:J18)</f>
        <v>0</v>
      </c>
      <c r="M6" s="499">
        <f>SUM(D19:J19)</f>
        <v>0</v>
      </c>
      <c r="N6" s="517">
        <f>SUM(D20:J20)</f>
        <v>1</v>
      </c>
      <c r="O6" s="499">
        <f>SUM(D20:J20)</f>
        <v>1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111.18226773241463</v>
      </c>
      <c r="G7" s="496"/>
      <c r="H7" s="497">
        <f>AVERAGE(D14:H14)</f>
        <v>110.51521951921919</v>
      </c>
      <c r="I7" s="497"/>
      <c r="J7" s="497">
        <f>AVERAGE(I14)</f>
        <v>114.51750879839189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0.90966001162634791</v>
      </c>
      <c r="G8" s="502"/>
      <c r="H8" s="502">
        <f>H7/H6</f>
        <v>0.90446244416900279</v>
      </c>
      <c r="I8" s="502"/>
      <c r="J8" s="502">
        <f>J7/J6</f>
        <v>0.93560308626004918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VALUE('0612'!L15)</f>
        <v>150</v>
      </c>
      <c r="E13" s="13">
        <f>VALUE('0612'!L26)</f>
        <v>157.84421460892048</v>
      </c>
      <c r="F13" s="13">
        <f>VALUE('0612'!L37)</f>
        <v>92.113725490196089</v>
      </c>
      <c r="G13" s="13">
        <f>VALUE('0612'!L48)</f>
        <v>105.25098039215686</v>
      </c>
      <c r="H13" s="13">
        <f>VALUE('0612'!L58)</f>
        <v>105.73529411764706</v>
      </c>
      <c r="I13" s="13">
        <f>VALUE('0612'!L69)</f>
        <v>122.39966977466976</v>
      </c>
      <c r="J13" s="13">
        <f>'0612'!L79</f>
        <v>0</v>
      </c>
    </row>
    <row r="14" spans="2:15" ht="39.950000000000003" customHeight="1">
      <c r="B14" s="490"/>
      <c r="C14" s="12" t="s">
        <v>100</v>
      </c>
      <c r="D14" s="13">
        <f>VALUE('0612'!O15)</f>
        <v>138.9291007550548</v>
      </c>
      <c r="E14" s="13">
        <f>VALUE('0612'!O26)</f>
        <v>132.74370170592928</v>
      </c>
      <c r="F14" s="13">
        <f>VALUE('0612'!O37)</f>
        <v>87.706374685114199</v>
      </c>
      <c r="G14" s="13">
        <f>VALUE('0612'!O48)</f>
        <v>92.679903961583904</v>
      </c>
      <c r="H14" s="13">
        <f>VALUE('0612'!O58)</f>
        <v>100.5170164884137</v>
      </c>
      <c r="I14" s="13">
        <f>VALUE('0612'!O69)</f>
        <v>114.51750879839189</v>
      </c>
      <c r="J14" s="13">
        <f>'0612'!O79</f>
        <v>0</v>
      </c>
    </row>
    <row r="15" spans="2:15" ht="39.950000000000003" customHeight="1">
      <c r="B15" s="491"/>
      <c r="C15" s="10" t="s">
        <v>26</v>
      </c>
      <c r="D15" s="14">
        <f t="shared" ref="D15:I15" si="1">D14/D13</f>
        <v>0.92619400503369864</v>
      </c>
      <c r="E15" s="14">
        <f t="shared" si="1"/>
        <v>0.84097920240421242</v>
      </c>
      <c r="F15" s="14">
        <f t="shared" si="1"/>
        <v>0.95215315869999229</v>
      </c>
      <c r="G15" s="14">
        <f t="shared" si="1"/>
        <v>0.88056095645157773</v>
      </c>
      <c r="H15" s="14">
        <f t="shared" si="1"/>
        <v>0.95064772200446901</v>
      </c>
      <c r="I15" s="14">
        <f t="shared" si="1"/>
        <v>0.93560308626004918</v>
      </c>
      <c r="J15" s="15">
        <f>'0612'!S70</f>
        <v>0</v>
      </c>
    </row>
    <row r="16" spans="2:15" ht="17.25" customHeight="1">
      <c r="B16" s="492" t="s">
        <v>101</v>
      </c>
      <c r="C16" s="10" t="s">
        <v>34</v>
      </c>
      <c r="D16" s="16">
        <f>'0612'!T5</f>
        <v>0.29375000000000001</v>
      </c>
      <c r="E16" s="16">
        <f>'0612'!T16</f>
        <v>0.29097222222222202</v>
      </c>
      <c r="F16" s="16">
        <f>'0612'!T27</f>
        <v>0.28819444444444398</v>
      </c>
      <c r="G16" s="16">
        <f>'0612'!T38</f>
        <v>0.33333333333333298</v>
      </c>
      <c r="H16" s="16">
        <f>'0612'!T49</f>
        <v>0.29166666666666702</v>
      </c>
      <c r="I16" s="16">
        <f>'0612'!T59</f>
        <v>0.29166666666666702</v>
      </c>
      <c r="J16" s="16">
        <f>'0612'!T70</f>
        <v>0</v>
      </c>
    </row>
    <row r="17" spans="2:10" ht="17.25" customHeight="1">
      <c r="B17" s="493"/>
      <c r="C17" s="10" t="s">
        <v>35</v>
      </c>
      <c r="D17" s="18">
        <v>0.49305555555555602</v>
      </c>
      <c r="E17" s="19">
        <v>0.58055555555555605</v>
      </c>
      <c r="F17" s="19">
        <v>0.58194444444444404</v>
      </c>
      <c r="G17" s="210">
        <v>0.47916666666666702</v>
      </c>
      <c r="H17" s="21">
        <v>0.57152777777777797</v>
      </c>
      <c r="I17" s="22">
        <v>0.60763888888888895</v>
      </c>
      <c r="J17" s="22">
        <v>0</v>
      </c>
    </row>
    <row r="18" spans="2:10" ht="17.25" customHeight="1">
      <c r="B18" s="494" t="s">
        <v>102</v>
      </c>
      <c r="C18" s="330" t="s">
        <v>36</v>
      </c>
      <c r="D18" s="358">
        <f>'0612'!Z15</f>
        <v>0</v>
      </c>
      <c r="E18" s="359">
        <f>'0612'!Z26</f>
        <v>0</v>
      </c>
      <c r="F18" s="359">
        <f>'0612'!Z37</f>
        <v>0</v>
      </c>
      <c r="G18" s="360">
        <f>'0612'!Z48</f>
        <v>0</v>
      </c>
      <c r="H18" s="360">
        <f>'0612'!Z58</f>
        <v>0</v>
      </c>
      <c r="I18" s="359">
        <f>'0612'!Z69</f>
        <v>0</v>
      </c>
      <c r="J18" s="359">
        <f>'0612'!AA79</f>
        <v>0</v>
      </c>
    </row>
    <row r="19" spans="2:10" ht="17.25" customHeight="1">
      <c r="B19" s="495"/>
      <c r="C19" s="330" t="s">
        <v>37</v>
      </c>
      <c r="D19" s="358">
        <f>'0612'!AA15</f>
        <v>0</v>
      </c>
      <c r="E19" s="359">
        <f>'0612'!AA26</f>
        <v>0</v>
      </c>
      <c r="F19" s="359">
        <f>'0612'!AA37</f>
        <v>0</v>
      </c>
      <c r="G19" s="360">
        <f>'0612'!AA48</f>
        <v>0</v>
      </c>
      <c r="H19" s="360">
        <f>'0612'!AA58</f>
        <v>0</v>
      </c>
      <c r="I19" s="359">
        <f>'0612'!AA69</f>
        <v>0</v>
      </c>
      <c r="J19" s="359">
        <f>'0612'!AB79</f>
        <v>0</v>
      </c>
    </row>
    <row r="20" spans="2:10" ht="17.25" customHeight="1">
      <c r="B20" s="494" t="s">
        <v>103</v>
      </c>
      <c r="C20" s="330" t="s">
        <v>36</v>
      </c>
      <c r="D20" s="358">
        <f>'0612'!AD15</f>
        <v>0</v>
      </c>
      <c r="E20" s="359">
        <f>'0612'!AD26</f>
        <v>0</v>
      </c>
      <c r="F20" s="359">
        <f>'0612'!AD37</f>
        <v>0</v>
      </c>
      <c r="G20" s="360">
        <f>'0612'!AD48</f>
        <v>1</v>
      </c>
      <c r="H20" s="360">
        <f>'0612'!AD58</f>
        <v>0</v>
      </c>
      <c r="I20" s="359">
        <f>'0612'!AD69</f>
        <v>0</v>
      </c>
      <c r="J20" s="359">
        <f>'0612'!AD79</f>
        <v>0</v>
      </c>
    </row>
    <row r="21" spans="2:10" ht="17.25" customHeight="1">
      <c r="B21" s="495"/>
      <c r="C21" s="330" t="s">
        <v>85</v>
      </c>
      <c r="D21" s="358">
        <f>'0612'!AE15</f>
        <v>0</v>
      </c>
      <c r="E21" s="359">
        <f>'0612'!AE26</f>
        <v>0</v>
      </c>
      <c r="F21" s="359">
        <f>'0612'!AE37</f>
        <v>0</v>
      </c>
      <c r="G21" s="360">
        <f>'0612'!AE48</f>
        <v>1</v>
      </c>
      <c r="H21" s="360">
        <f>'0612'!AE58</f>
        <v>0</v>
      </c>
      <c r="I21" s="359">
        <f>'0612'!AE69</f>
        <v>0</v>
      </c>
      <c r="J21" s="359">
        <f>'0612'!AE79</f>
        <v>0</v>
      </c>
    </row>
    <row r="22" spans="2:10" ht="17.25" customHeight="1">
      <c r="B22" s="477" t="s">
        <v>104</v>
      </c>
      <c r="C22" s="478"/>
      <c r="D22" s="23">
        <f>VALUE('0612'!M15)</f>
        <v>15</v>
      </c>
      <c r="E22" s="23">
        <f>VALUE('0612'!M26)</f>
        <v>14.4</v>
      </c>
      <c r="F22" s="23">
        <f>VALUE('0612'!M37)</f>
        <v>17</v>
      </c>
      <c r="G22" s="23">
        <f>VALUE('0612'!M48)</f>
        <v>16</v>
      </c>
      <c r="H22" s="23">
        <f>VALUE('0612'!M58)</f>
        <v>15.5</v>
      </c>
      <c r="I22" s="23">
        <f>VALUE('0612'!M69)</f>
        <v>13.333333333333334</v>
      </c>
      <c r="J22" s="23">
        <f>'0612'!M79</f>
        <v>0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F995-AD37-4623-B85F-AB5979F91F12}">
  <sheetPr>
    <tabColor theme="9" tint="0.79998168889431442"/>
  </sheetPr>
  <dimension ref="A1:AJ92"/>
  <sheetViews>
    <sheetView zoomScale="69" zoomScaleNormal="69" workbookViewId="0">
      <pane xSplit="5" ySplit="4" topLeftCell="I32" activePane="bottomRight" state="frozen"/>
      <selection activeCell="U52" sqref="U52"/>
      <selection pane="topRight" activeCell="U52" sqref="U52"/>
      <selection pane="bottomLeft" activeCell="U52" sqref="U52"/>
      <selection pane="bottomRight" activeCell="AB65" sqref="AB65:AC65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46456</v>
      </c>
      <c r="F1" s="30" t="s">
        <v>2</v>
      </c>
      <c r="G1" s="31">
        <f>SUM(H5:H79)</f>
        <v>2236198.2849999992</v>
      </c>
      <c r="H1" s="32" t="s">
        <v>3</v>
      </c>
      <c r="I1" s="33">
        <f>M15+M26+M48+M58+M69+M79+M37</f>
        <v>91.233333333333334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181</v>
      </c>
      <c r="B2" s="381"/>
      <c r="C2" s="28"/>
      <c r="D2" s="28" t="s">
        <v>14</v>
      </c>
      <c r="E2" s="35">
        <f>AVERAGE(O15,O26,O37,O48,O58,O69,O79)</f>
        <v>111.18226773241463</v>
      </c>
      <c r="F2" s="36" t="s">
        <v>15</v>
      </c>
      <c r="G2" s="37">
        <f>G1/E1</f>
        <v>48.135833584467008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1</v>
      </c>
      <c r="AE2" s="340">
        <f>AE15+AE26+AE37+AE48+AE58+AE69+AE79</f>
        <v>1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2194</v>
      </c>
      <c r="H5" s="43">
        <f>F5*G5</f>
        <v>124772.78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2025.2307692307638</v>
      </c>
      <c r="O5" s="47">
        <f>N5/M5</f>
        <v>135.01538461538425</v>
      </c>
      <c r="P5" s="49">
        <f>M5-J5</f>
        <v>0</v>
      </c>
      <c r="Q5" s="50">
        <f>O5-L5</f>
        <v>-14.984615384615751</v>
      </c>
      <c r="R5" s="51">
        <f>O5/L5</f>
        <v>0.90010256410256162</v>
      </c>
      <c r="S5" s="439">
        <f>R15</f>
        <v>0.92619400503369864</v>
      </c>
      <c r="T5" s="319">
        <v>0.29375000000000001</v>
      </c>
      <c r="U5" s="320">
        <v>0.33888888888888902</v>
      </c>
      <c r="V5" s="53"/>
      <c r="W5" s="54">
        <f t="shared" ref="W5:W14" si="0">(U5-T5)*24*60</f>
        <v>65.000000000000171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-224.76923076923617</v>
      </c>
      <c r="AG5" s="52">
        <f t="shared" ref="AG5:AG11" si="2">N5/K5</f>
        <v>0.90010256410256173</v>
      </c>
      <c r="AH5" s="403">
        <f>AG15</f>
        <v>0.92619400503369853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2374</v>
      </c>
      <c r="H6" s="63">
        <f>F6*G6</f>
        <v>138095.58000000002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2158.1818181818335</v>
      </c>
      <c r="O6" s="67">
        <f>N6/M6</f>
        <v>143.8787878787889</v>
      </c>
      <c r="P6" s="69">
        <f>M6-J6</f>
        <v>0</v>
      </c>
      <c r="Q6" s="70">
        <f>O6-L6</f>
        <v>-6.1212121212111015</v>
      </c>
      <c r="R6" s="71">
        <f>O6/L6</f>
        <v>0.95919191919192603</v>
      </c>
      <c r="S6" s="440"/>
      <c r="T6" s="16">
        <v>0.34652777777777799</v>
      </c>
      <c r="U6" s="16">
        <v>0.39236111111111099</v>
      </c>
      <c r="V6" s="30">
        <f>(T6-U5)*24*60</f>
        <v>11.000000000000121</v>
      </c>
      <c r="W6" s="73">
        <f t="shared" si="0"/>
        <v>65.999999999999531</v>
      </c>
      <c r="X6" s="22"/>
      <c r="Y6" s="84"/>
      <c r="Z6" s="90"/>
      <c r="AA6" s="90"/>
      <c r="AB6" s="434"/>
      <c r="AC6" s="434"/>
      <c r="AD6" s="149"/>
      <c r="AE6" s="149"/>
      <c r="AF6" s="307">
        <f t="shared" si="1"/>
        <v>-91.818181818166522</v>
      </c>
      <c r="AG6" s="72">
        <f t="shared" si="2"/>
        <v>0.95919191919192603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4516</v>
      </c>
      <c r="H7" s="78">
        <f>F7*G7</f>
        <v>221916.24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2068.3969465648679</v>
      </c>
      <c r="O7" s="81">
        <f>N7/M7</f>
        <v>137.89312977099118</v>
      </c>
      <c r="P7" s="74">
        <f>M7-J7</f>
        <v>0</v>
      </c>
      <c r="Q7" s="83">
        <f>O7-L7</f>
        <v>-12.10687022900882</v>
      </c>
      <c r="R7" s="72">
        <f>O7/L7</f>
        <v>0.91928753180660783</v>
      </c>
      <c r="S7" s="440"/>
      <c r="T7" s="18">
        <v>0.40208333333333302</v>
      </c>
      <c r="U7" s="18">
        <v>0.49305555555555602</v>
      </c>
      <c r="V7" s="30">
        <f>(T7-U6)*24*60</f>
        <v>13.99999999999971</v>
      </c>
      <c r="W7" s="73">
        <f t="shared" si="0"/>
        <v>131.00000000000114</v>
      </c>
      <c r="X7" s="22"/>
      <c r="Y7" s="84"/>
      <c r="Z7" s="90"/>
      <c r="AA7" s="90"/>
      <c r="AB7" s="407"/>
      <c r="AC7" s="407"/>
      <c r="AD7" s="92"/>
      <c r="AE7" s="92"/>
      <c r="AF7" s="307">
        <f t="shared" si="1"/>
        <v>-181.6030534351321</v>
      </c>
      <c r="AG7" s="72">
        <f t="shared" si="2"/>
        <v>0.91928753180660794</v>
      </c>
      <c r="AH7" s="404"/>
    </row>
    <row r="8" spans="1:34" ht="15" customHeight="1">
      <c r="A8" s="43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40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4"/>
      <c r="AC8" s="434"/>
      <c r="AD8" s="149"/>
      <c r="AE8" s="149"/>
      <c r="AF8" s="307">
        <f t="shared" si="1"/>
        <v>0</v>
      </c>
      <c r="AG8" s="72" t="e">
        <f t="shared" si="2"/>
        <v>#DIV/0!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0</v>
      </c>
      <c r="AG9" s="72" t="e">
        <f t="shared" si="2"/>
        <v>#DIV/0!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2083.9365113258218</v>
      </c>
      <c r="O15" s="117">
        <f t="shared" si="3"/>
        <v>138.9291007550548</v>
      </c>
      <c r="P15" s="121">
        <f>M15-J15</f>
        <v>0</v>
      </c>
      <c r="Q15" s="122">
        <f>O15-L15</f>
        <v>-11.070899244945196</v>
      </c>
      <c r="R15" s="123">
        <f>O15/L15</f>
        <v>0.92619400503369864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-166.06348867417819</v>
      </c>
      <c r="AG15" s="124">
        <f>N15/K15</f>
        <v>0.92619400503369853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2840</v>
      </c>
      <c r="H16" s="134">
        <f>F16*G16</f>
        <v>143902.80000000002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1936.3636363636399</v>
      </c>
      <c r="O16" s="141">
        <f>N16/M16</f>
        <v>138.31168831168856</v>
      </c>
      <c r="P16" s="142">
        <f>M16-J16</f>
        <v>0</v>
      </c>
      <c r="Q16" s="143">
        <f>O16-L16</f>
        <v>-22.402597402597166</v>
      </c>
      <c r="R16" s="144">
        <f>O16/L16</f>
        <v>0.86060606060606204</v>
      </c>
      <c r="S16" s="425">
        <f>R26</f>
        <v>0.84097920240421242</v>
      </c>
      <c r="T16" s="145">
        <v>0.29097222222222202</v>
      </c>
      <c r="U16" s="145">
        <v>0.35208333333333303</v>
      </c>
      <c r="V16" s="135"/>
      <c r="W16" s="146">
        <f t="shared" ref="W16:W78" si="4">(U16-T16)*24*60</f>
        <v>87.999999999999844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-313.6363636363601</v>
      </c>
      <c r="AG16" s="52">
        <f>N16/K16</f>
        <v>0.86060606060606215</v>
      </c>
      <c r="AH16" s="403">
        <f>AG26</f>
        <v>0.84093431714483335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1375</v>
      </c>
      <c r="H17" s="78">
        <f>F17*G17</f>
        <v>78663.75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2115.384615384562</v>
      </c>
      <c r="O17" s="96">
        <f>N17/M17</f>
        <v>124.43438914026835</v>
      </c>
      <c r="P17" s="97">
        <f>M17-J17</f>
        <v>0</v>
      </c>
      <c r="Q17" s="98">
        <f>O17-L17</f>
        <v>-7.9185520362022288</v>
      </c>
      <c r="R17" s="99">
        <f>O17/L17</f>
        <v>0.94017094017091651</v>
      </c>
      <c r="S17" s="426"/>
      <c r="T17" s="19">
        <v>0.359722222222222</v>
      </c>
      <c r="U17" s="19">
        <v>0.38680555555555601</v>
      </c>
      <c r="V17" s="30">
        <f>(T17-U16)*24*60</f>
        <v>11.000000000000121</v>
      </c>
      <c r="W17" s="149">
        <f t="shared" si="4"/>
        <v>39.000000000000981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-134.61538461543796</v>
      </c>
      <c r="AG17" s="72">
        <f>N17/K17</f>
        <v>0.94017094017091651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809</v>
      </c>
      <c r="H18" s="78">
        <f>F18*G18</f>
        <v>45797.49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1470.9090909090676</v>
      </c>
      <c r="O18" s="96">
        <f>N18/M18</f>
        <v>98.060606060604499</v>
      </c>
      <c r="P18" s="97">
        <f>M18-J18</f>
        <v>0</v>
      </c>
      <c r="Q18" s="98">
        <f>O18-L18</f>
        <v>-51.939393939395501</v>
      </c>
      <c r="R18" s="99">
        <f>O18/L18</f>
        <v>0.65373737373736329</v>
      </c>
      <c r="S18" s="426"/>
      <c r="T18" s="19">
        <v>0.39374999999999999</v>
      </c>
      <c r="U18" s="19">
        <v>0.41666666666666702</v>
      </c>
      <c r="V18" s="30">
        <f>(T18-U17)*24*60</f>
        <v>9.999999999999325</v>
      </c>
      <c r="W18" s="149">
        <f t="shared" si="4"/>
        <v>33.000000000000526</v>
      </c>
      <c r="X18" s="22">
        <v>0.48611111111111099</v>
      </c>
      <c r="Y18" s="84">
        <v>0.52777777777777801</v>
      </c>
      <c r="Z18" s="90"/>
      <c r="AA18" s="90"/>
      <c r="AB18" s="407" t="s">
        <v>182</v>
      </c>
      <c r="AC18" s="407"/>
      <c r="AD18" s="92"/>
      <c r="AE18" s="92"/>
      <c r="AF18" s="307">
        <f>N18-K18</f>
        <v>-779.09090909093243</v>
      </c>
      <c r="AG18" s="72">
        <f>N18/K18</f>
        <v>0.6537373737373634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2699</v>
      </c>
      <c r="H19" s="78">
        <f t="shared" ref="H19:H20" si="5">F19*G19</f>
        <v>136002.61000000002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0" si="6">K19/J19</f>
        <v>173.07692307692307</v>
      </c>
      <c r="M19" s="148">
        <v>13</v>
      </c>
      <c r="N19" s="95">
        <f t="shared" ref="N19:N20" si="7">G19/W19*60</f>
        <v>2103.1168831168511</v>
      </c>
      <c r="O19" s="96">
        <f t="shared" ref="O19:O20" si="8">N19/M19</f>
        <v>161.77822177821932</v>
      </c>
      <c r="P19" s="97">
        <f t="shared" ref="P19:P20" si="9">M19-J19</f>
        <v>0</v>
      </c>
      <c r="Q19" s="98">
        <f t="shared" ref="Q19:Q20" si="10">O19-L19</f>
        <v>-11.298701298703747</v>
      </c>
      <c r="R19" s="99">
        <f t="shared" ref="R19:R20" si="11">O19/L19</f>
        <v>0.93471861471860052</v>
      </c>
      <c r="S19" s="426"/>
      <c r="T19" s="19">
        <v>0.42569444444444399</v>
      </c>
      <c r="U19" s="19">
        <v>0.47916666666666702</v>
      </c>
      <c r="V19" s="30">
        <f>(T19-U18)*24*60</f>
        <v>12.999999999998835</v>
      </c>
      <c r="W19" s="149">
        <f t="shared" si="4"/>
        <v>77.000000000001165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-146.88311688314889</v>
      </c>
      <c r="AG19" s="72">
        <f>N19/K19</f>
        <v>0.93471861471860052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1162</v>
      </c>
      <c r="H20" s="78">
        <f t="shared" si="5"/>
        <v>58553.18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1834.7368421052543</v>
      </c>
      <c r="O20" s="96">
        <f t="shared" si="8"/>
        <v>141.1336032388657</v>
      </c>
      <c r="P20" s="97">
        <f t="shared" si="9"/>
        <v>0</v>
      </c>
      <c r="Q20" s="98">
        <f t="shared" si="10"/>
        <v>-31.943319838057363</v>
      </c>
      <c r="R20" s="99">
        <f t="shared" si="11"/>
        <v>0.81543859649122408</v>
      </c>
      <c r="S20" s="426"/>
      <c r="T20" s="19">
        <v>0.55416666666666703</v>
      </c>
      <c r="U20" s="19">
        <v>0.58055555555555605</v>
      </c>
      <c r="V20" s="30">
        <f>(T20-U19)*24*60</f>
        <v>108.00000000000001</v>
      </c>
      <c r="W20" s="149">
        <f t="shared" si="4"/>
        <v>38.000000000000185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6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50"/>
      <c r="U22" s="150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4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2">AVERAGE(J16:J25)</f>
        <v>14.4</v>
      </c>
      <c r="K26" s="155">
        <f t="shared" si="12"/>
        <v>2250</v>
      </c>
      <c r="L26" s="158">
        <f t="shared" si="12"/>
        <v>157.84421460892048</v>
      </c>
      <c r="M26" s="155">
        <f t="shared" si="12"/>
        <v>14.4</v>
      </c>
      <c r="N26" s="155">
        <f t="shared" si="12"/>
        <v>1892.1022135758751</v>
      </c>
      <c r="O26" s="158">
        <f t="shared" si="12"/>
        <v>132.74370170592928</v>
      </c>
      <c r="P26" s="159">
        <f>M26-J26</f>
        <v>0</v>
      </c>
      <c r="Q26" s="160">
        <f>O26-L26</f>
        <v>-25.100512902991198</v>
      </c>
      <c r="R26" s="161">
        <f>O26/L26</f>
        <v>0.84097920240421242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3">N26-K26</f>
        <v>-357.89778642412489</v>
      </c>
      <c r="AG26" s="124">
        <f t="shared" ref="AG26:AG31" si="14">N26/K26</f>
        <v>0.84093431714483335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124</v>
      </c>
      <c r="E27" s="132"/>
      <c r="F27" s="129">
        <f>VLOOKUP(D27,廠價表!$C$1:$E$43,3,0)</f>
        <v>57.21</v>
      </c>
      <c r="G27" s="169">
        <v>2241</v>
      </c>
      <c r="H27" s="134">
        <f>F27*G27</f>
        <v>128207.61</v>
      </c>
      <c r="I27" s="135"/>
      <c r="J27" s="136">
        <f>VLOOKUP(D27,產線配置圖!$A$3:$C$40,2,0)</f>
        <v>18</v>
      </c>
      <c r="K27" s="137">
        <v>1714</v>
      </c>
      <c r="L27" s="138">
        <f>K27/J27</f>
        <v>95.222222222222229</v>
      </c>
      <c r="M27" s="170">
        <v>17</v>
      </c>
      <c r="N27" s="140">
        <f>G27/W27*60</f>
        <v>1581.8823529411702</v>
      </c>
      <c r="O27" s="141">
        <f>N27/M27</f>
        <v>93.051903114186487</v>
      </c>
      <c r="P27" s="142">
        <f>M27-J27</f>
        <v>-1</v>
      </c>
      <c r="Q27" s="143">
        <f>O27-L27</f>
        <v>-2.1703191080357414</v>
      </c>
      <c r="R27" s="144">
        <f>O27/L27</f>
        <v>0.97720785067407034</v>
      </c>
      <c r="S27" s="425">
        <f>R37</f>
        <v>0.95215315869999229</v>
      </c>
      <c r="T27" s="171">
        <v>0.28819444444444398</v>
      </c>
      <c r="U27" s="171">
        <v>0.34722222222222199</v>
      </c>
      <c r="V27" s="135"/>
      <c r="W27" s="146">
        <f t="shared" si="4"/>
        <v>85.000000000000341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13"/>
        <v>-132.11764705882979</v>
      </c>
      <c r="AG27" s="172">
        <f t="shared" si="14"/>
        <v>0.92291852563662202</v>
      </c>
      <c r="AH27" s="403">
        <f>AG37</f>
        <v>0.90981716478334229</v>
      </c>
    </row>
    <row r="28" spans="1:34" ht="15" customHeight="1">
      <c r="A28" s="457"/>
      <c r="B28" s="75" t="s">
        <v>81</v>
      </c>
      <c r="C28" s="173"/>
      <c r="D28" s="59" t="s">
        <v>122</v>
      </c>
      <c r="E28" s="104"/>
      <c r="F28" s="75">
        <f>VLOOKUP(D28,廠價表!$C$1:$E$43,3,0)</f>
        <v>57.21</v>
      </c>
      <c r="G28" s="90">
        <v>542</v>
      </c>
      <c r="H28" s="91">
        <f>F28*G28</f>
        <v>31007.82</v>
      </c>
      <c r="I28" s="92"/>
      <c r="J28" s="79">
        <f>VLOOKUP(D28,產線配置圖!$A$3:$C$40,2,0)</f>
        <v>18</v>
      </c>
      <c r="K28" s="80">
        <f>VLOOKUP(D28,產線配置圖!$A$3:$C$40,3,0)</f>
        <v>1565</v>
      </c>
      <c r="L28" s="93">
        <f>K28/J28</f>
        <v>86.944444444444443</v>
      </c>
      <c r="M28" s="94">
        <v>17</v>
      </c>
      <c r="N28" s="95">
        <f>G28/W28*60</f>
        <v>1413.9130434782805</v>
      </c>
      <c r="O28" s="96">
        <f>N28/M28</f>
        <v>83.171355498722392</v>
      </c>
      <c r="P28" s="97">
        <f>M28-J28</f>
        <v>-1</v>
      </c>
      <c r="Q28" s="98">
        <f>O28-L28</f>
        <v>-3.7730889457220513</v>
      </c>
      <c r="R28" s="99">
        <f>O28/L28</f>
        <v>0.95660344982556111</v>
      </c>
      <c r="S28" s="426"/>
      <c r="T28" s="19">
        <v>0.35277777777777802</v>
      </c>
      <c r="U28" s="19">
        <v>0.36875000000000002</v>
      </c>
      <c r="V28" s="92">
        <f>(T28-U27)*24*60</f>
        <v>8.000000000000691</v>
      </c>
      <c r="W28" s="149">
        <f t="shared" si="4"/>
        <v>22.99999999999968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13"/>
        <v>-151.08695652171946</v>
      </c>
      <c r="AG28" s="99">
        <f t="shared" si="14"/>
        <v>0.90345881372414094</v>
      </c>
      <c r="AH28" s="445"/>
    </row>
    <row r="29" spans="1:34" ht="15" customHeight="1">
      <c r="A29" s="457"/>
      <c r="B29" s="75" t="s">
        <v>81</v>
      </c>
      <c r="C29" s="173"/>
      <c r="D29" s="59" t="s">
        <v>168</v>
      </c>
      <c r="E29" s="104"/>
      <c r="F29" s="75">
        <f>VLOOKUP(D29,廠價表!$C$1:$E$43,3,0)</f>
        <v>57.21</v>
      </c>
      <c r="G29" s="90">
        <v>2571</v>
      </c>
      <c r="H29" s="91">
        <f>F29*G29</f>
        <v>147086.91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1415.2293577981548</v>
      </c>
      <c r="O29" s="96">
        <f>N29/M29</f>
        <v>83.248785752832632</v>
      </c>
      <c r="P29" s="97">
        <f>M29-J29</f>
        <v>-1</v>
      </c>
      <c r="Q29" s="98">
        <f>O29-L29</f>
        <v>-3.6956586916118113</v>
      </c>
      <c r="R29" s="99">
        <f>O29/L29</f>
        <v>0.95749402143833062</v>
      </c>
      <c r="S29" s="426"/>
      <c r="T29" s="19">
        <v>0.375694444444444</v>
      </c>
      <c r="U29" s="19">
        <v>0.45138888888888901</v>
      </c>
      <c r="V29" s="92">
        <f>(T29-U28)*24*60</f>
        <v>9.999999999999325</v>
      </c>
      <c r="W29" s="149">
        <f t="shared" si="4"/>
        <v>109.00000000000081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13"/>
        <v>-149.77064220184525</v>
      </c>
      <c r="AG29" s="99">
        <f t="shared" si="14"/>
        <v>0.90429990913620117</v>
      </c>
      <c r="AH29" s="445"/>
    </row>
    <row r="30" spans="1:34" ht="15" customHeight="1">
      <c r="A30" s="457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700</v>
      </c>
      <c r="H30" s="91">
        <f t="shared" ref="H30:H31" si="15">F30*G30</f>
        <v>40047</v>
      </c>
      <c r="I30" s="92"/>
      <c r="J30" s="79">
        <f>VLOOKUP(D30,產線配置圖!$A$3:$C$40,2,0)</f>
        <v>18</v>
      </c>
      <c r="K30" s="80">
        <v>1714</v>
      </c>
      <c r="L30" s="93">
        <f t="shared" ref="L30:L31" si="16">K30/J30</f>
        <v>95.222222222222229</v>
      </c>
      <c r="M30" s="94">
        <v>17</v>
      </c>
      <c r="N30" s="95">
        <f t="shared" ref="N30:N31" si="17">G30/W30*60</f>
        <v>1555.5555555555611</v>
      </c>
      <c r="O30" s="96">
        <f t="shared" ref="O30:O31" si="18">N30/M30</f>
        <v>91.503267973856538</v>
      </c>
      <c r="P30" s="97">
        <f t="shared" ref="P30:P31" si="19">M30-J30</f>
        <v>-1</v>
      </c>
      <c r="Q30" s="98">
        <f t="shared" ref="Q30:Q31" si="20">O30-L30</f>
        <v>-3.7189542483656908</v>
      </c>
      <c r="R30" s="99">
        <f t="shared" ref="R30:R31" si="21">O30/L30</f>
        <v>0.96094447113734982</v>
      </c>
      <c r="S30" s="426"/>
      <c r="T30" s="19">
        <v>0.52083333333333304</v>
      </c>
      <c r="U30" s="19">
        <v>0.53958333333333297</v>
      </c>
      <c r="V30" s="92">
        <f>(T30-U29)*24*60</f>
        <v>99.999999999999403</v>
      </c>
      <c r="W30" s="149">
        <f t="shared" si="4"/>
        <v>26.999999999999904</v>
      </c>
      <c r="X30" s="174">
        <v>0.49652777777777801</v>
      </c>
      <c r="Y30" s="301">
        <v>0.53819444444444398</v>
      </c>
      <c r="Z30" s="335"/>
      <c r="AA30" s="335"/>
      <c r="AB30" s="407"/>
      <c r="AC30" s="407"/>
      <c r="AD30" s="92"/>
      <c r="AE30" s="92"/>
      <c r="AF30" s="312">
        <f t="shared" si="13"/>
        <v>-158.44444444443889</v>
      </c>
      <c r="AG30" s="99">
        <f t="shared" si="14"/>
        <v>0.90755866718527489</v>
      </c>
      <c r="AH30" s="446"/>
    </row>
    <row r="31" spans="1:34" ht="15" customHeight="1">
      <c r="A31" s="457"/>
      <c r="B31" s="75" t="s">
        <v>128</v>
      </c>
      <c r="C31" s="88"/>
      <c r="D31" s="59" t="s">
        <v>130</v>
      </c>
      <c r="E31" s="89"/>
      <c r="F31" s="75">
        <f>VLOOKUP(D31,廠價表!$C$1:$E$43,3,0)</f>
        <v>44.3</v>
      </c>
      <c r="G31" s="90">
        <v>1290</v>
      </c>
      <c r="H31" s="91">
        <f t="shared" si="15"/>
        <v>57146.999999999993</v>
      </c>
      <c r="I31" s="92"/>
      <c r="J31" s="79">
        <f>VLOOKUP(D31,產線配置圖!$A$3:$C$40,2,0)</f>
        <v>17</v>
      </c>
      <c r="K31" s="80">
        <f>VLOOKUP(D31,產線配置圖!$A$3:$C$40,3,0)</f>
        <v>1636</v>
      </c>
      <c r="L31" s="93">
        <f t="shared" si="16"/>
        <v>96.235294117647058</v>
      </c>
      <c r="M31" s="94">
        <v>17</v>
      </c>
      <c r="N31" s="95">
        <f t="shared" si="17"/>
        <v>1488.4615384615392</v>
      </c>
      <c r="O31" s="96">
        <f t="shared" si="18"/>
        <v>87.556561085972902</v>
      </c>
      <c r="P31" s="97">
        <f t="shared" si="19"/>
        <v>0</v>
      </c>
      <c r="Q31" s="98">
        <f t="shared" si="20"/>
        <v>-8.678733031674156</v>
      </c>
      <c r="R31" s="99">
        <f t="shared" si="21"/>
        <v>0.90981756629678445</v>
      </c>
      <c r="S31" s="426"/>
      <c r="T31" s="19">
        <v>0.54583333333333295</v>
      </c>
      <c r="U31" s="19">
        <v>0.58194444444444404</v>
      </c>
      <c r="V31" s="92">
        <f>(T31-U30)*24*60</f>
        <v>8.999999999999968</v>
      </c>
      <c r="W31" s="149">
        <f t="shared" si="4"/>
        <v>51.999999999999972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3"/>
        <v>-147.53846153846075</v>
      </c>
      <c r="AG31" s="99">
        <f t="shared" si="14"/>
        <v>0.90981756629678434</v>
      </c>
      <c r="AH31" s="405"/>
    </row>
    <row r="32" spans="1:34" ht="15" customHeight="1">
      <c r="A32" s="457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2">AVERAGE(J27:J36)</f>
        <v>17.8</v>
      </c>
      <c r="K37" s="155">
        <f t="shared" si="22"/>
        <v>1638.8</v>
      </c>
      <c r="L37" s="158">
        <f t="shared" si="22"/>
        <v>92.113725490196089</v>
      </c>
      <c r="M37" s="155">
        <f t="shared" si="22"/>
        <v>17</v>
      </c>
      <c r="N37" s="155">
        <f t="shared" si="22"/>
        <v>1491.0083696469412</v>
      </c>
      <c r="O37" s="158">
        <f t="shared" si="22"/>
        <v>87.706374685114199</v>
      </c>
      <c r="P37" s="159">
        <f>M37-J37</f>
        <v>-0.80000000000000071</v>
      </c>
      <c r="Q37" s="160">
        <f>N37-K37</f>
        <v>-147.79163035305874</v>
      </c>
      <c r="R37" s="161">
        <f>O37/L37</f>
        <v>0.95215315869999229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-147.79163035305874</v>
      </c>
      <c r="AG37" s="124">
        <f>N37/K37</f>
        <v>0.90981716478334229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2646</v>
      </c>
      <c r="H38" s="134">
        <f>F38*G38</f>
        <v>132061.85999999999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1587.5999999999867</v>
      </c>
      <c r="O38" s="141">
        <f>N38/M38</f>
        <v>105.83999999999911</v>
      </c>
      <c r="P38" s="142">
        <f>M38-J38</f>
        <v>0</v>
      </c>
      <c r="Q38" s="143">
        <f>O38-L38</f>
        <v>-8.4266666666675576</v>
      </c>
      <c r="R38" s="144">
        <f>O38/L38</f>
        <v>0.92625437572928038</v>
      </c>
      <c r="S38" s="453">
        <f>R48</f>
        <v>0.88056095645157773</v>
      </c>
      <c r="T38" s="191">
        <v>0.33333333333333298</v>
      </c>
      <c r="U38" s="191">
        <v>0.40277777777777801</v>
      </c>
      <c r="V38" s="192"/>
      <c r="W38" s="193">
        <f t="shared" si="4"/>
        <v>100.00000000000084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-126.40000000001328</v>
      </c>
      <c r="AG38" s="195">
        <f>N38/K38</f>
        <v>0.92625437572928049</v>
      </c>
      <c r="AH38" s="459">
        <f>AG48</f>
        <v>0.87744380140115064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2208</v>
      </c>
      <c r="H39" s="91">
        <f>F39*G39</f>
        <v>97814.399999999994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1351.836734693868</v>
      </c>
      <c r="O39" s="203">
        <f>N39/M39</f>
        <v>79.519807923168713</v>
      </c>
      <c r="P39" s="97">
        <f>M39-J39</f>
        <v>0</v>
      </c>
      <c r="Q39" s="98">
        <f>O39-L39</f>
        <v>-16.715486194478345</v>
      </c>
      <c r="R39" s="99">
        <f>O39/L39</f>
        <v>0.82630607255126409</v>
      </c>
      <c r="S39" s="454"/>
      <c r="T39" s="20">
        <v>0.41111111111111098</v>
      </c>
      <c r="U39" s="20">
        <v>0.47916666666666702</v>
      </c>
      <c r="V39" s="92">
        <f>(T39-U38)*24*60</f>
        <v>11.999999999999478</v>
      </c>
      <c r="W39" s="205">
        <f t="shared" si="4"/>
        <v>98.000000000000696</v>
      </c>
      <c r="X39" s="22"/>
      <c r="Y39" s="84"/>
      <c r="Z39" s="90"/>
      <c r="AA39" s="90"/>
      <c r="AB39" s="519" t="s">
        <v>183</v>
      </c>
      <c r="AC39" s="462"/>
      <c r="AD39" s="200">
        <v>1</v>
      </c>
      <c r="AE39" s="200">
        <v>1</v>
      </c>
      <c r="AF39" s="314">
        <f>N39-K39</f>
        <v>-284.16326530613196</v>
      </c>
      <c r="AG39" s="206">
        <f>N39/K39</f>
        <v>0.82630607255126409</v>
      </c>
      <c r="AH39" s="460"/>
    </row>
    <row r="40" spans="1:34" ht="15" customHeight="1">
      <c r="A40" s="451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40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0</v>
      </c>
      <c r="AG40" s="206" t="e">
        <f>N40/K40</f>
        <v>#DIV/0!</v>
      </c>
      <c r="AH40" s="460"/>
    </row>
    <row r="41" spans="1:34" ht="15" customHeight="1">
      <c r="A41" s="45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40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0</v>
      </c>
      <c r="AG41" s="206" t="e">
        <f>N41/K41</f>
        <v>#DIV/0!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3">AVERAGE(J38:J47)</f>
        <v>16</v>
      </c>
      <c r="K48" s="155">
        <f t="shared" si="23"/>
        <v>1675</v>
      </c>
      <c r="L48" s="158">
        <f t="shared" si="23"/>
        <v>105.25098039215686</v>
      </c>
      <c r="M48" s="155">
        <f t="shared" si="23"/>
        <v>16</v>
      </c>
      <c r="N48" s="155">
        <f t="shared" si="23"/>
        <v>1469.7183673469274</v>
      </c>
      <c r="O48" s="158">
        <f t="shared" si="23"/>
        <v>92.679903961583904</v>
      </c>
      <c r="P48" s="221">
        <f>M48-J48</f>
        <v>0</v>
      </c>
      <c r="Q48" s="222">
        <f>N48-K48</f>
        <v>-205.28163265307262</v>
      </c>
      <c r="R48" s="223">
        <f>O48/L48</f>
        <v>0.88056095645157773</v>
      </c>
      <c r="S48" s="443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1</v>
      </c>
      <c r="AE48" s="323">
        <f>SUM(AE38:AE47)</f>
        <v>1</v>
      </c>
      <c r="AF48" s="315">
        <f t="shared" ref="AF48:AF53" si="24">N48-K48</f>
        <v>-205.28163265307262</v>
      </c>
      <c r="AG48" s="162">
        <f t="shared" ref="AG48:AG53" si="25">N48/K48</f>
        <v>0.87744380140115064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1811</v>
      </c>
      <c r="H49" s="134">
        <f>F49*G49</f>
        <v>89680.72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16</v>
      </c>
      <c r="N49" s="140">
        <f>G49/W49*60</f>
        <v>1597.941176470596</v>
      </c>
      <c r="O49" s="141">
        <f>N49/M49</f>
        <v>99.871323529412251</v>
      </c>
      <c r="P49" s="229">
        <f>M49-J49</f>
        <v>-1</v>
      </c>
      <c r="Q49" s="230">
        <f>O49-L49</f>
        <v>-6.0110294117642127</v>
      </c>
      <c r="R49" s="52">
        <f>O49/L49</f>
        <v>0.94322916666667134</v>
      </c>
      <c r="S49" s="439">
        <f>R58</f>
        <v>0.95064772200446901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24"/>
        <v>-202.05882352940398</v>
      </c>
      <c r="AG49" s="52">
        <f t="shared" si="25"/>
        <v>0.88774509803921997</v>
      </c>
      <c r="AH49" s="403">
        <f>AG58</f>
        <v>0.89270708009106026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2315</v>
      </c>
      <c r="H50" s="231">
        <f>F50*G50</f>
        <v>116419.035</v>
      </c>
      <c r="I50" s="232"/>
      <c r="J50" s="79">
        <v>17</v>
      </c>
      <c r="K50" s="80">
        <f>VLOOKUP(D50,產線配置圖!$A$3:$C$40,3,0)</f>
        <v>1565</v>
      </c>
      <c r="L50" s="81">
        <f>K50/J50</f>
        <v>92.058823529411768</v>
      </c>
      <c r="M50" s="233">
        <v>16</v>
      </c>
      <c r="N50" s="234">
        <f>G50/W50*60</f>
        <v>1389.0000000000095</v>
      </c>
      <c r="O50" s="235">
        <f>N50/M50</f>
        <v>86.812500000000597</v>
      </c>
      <c r="P50" s="74">
        <f>M50-J50</f>
        <v>-1</v>
      </c>
      <c r="Q50" s="83">
        <f>O50-L50</f>
        <v>-5.2463235294111712</v>
      </c>
      <c r="R50" s="72">
        <f>O50/L50</f>
        <v>0.94301118210863266</v>
      </c>
      <c r="S50" s="440"/>
      <c r="T50" s="21">
        <v>0.34375</v>
      </c>
      <c r="U50" s="21">
        <v>0.41319444444444398</v>
      </c>
      <c r="V50" s="30">
        <f>(T50-U49)*24*60</f>
        <v>6.9999999999998153</v>
      </c>
      <c r="W50" s="236">
        <f t="shared" si="4"/>
        <v>99.999999999999318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24"/>
        <v>-175.99999999999045</v>
      </c>
      <c r="AG50" s="72">
        <f t="shared" si="25"/>
        <v>0.88753993610224258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f>VLOOKUP(D51,廠價表!$C$1:$E$43,3,0)</f>
        <v>49.97</v>
      </c>
      <c r="G51" s="202">
        <v>1778</v>
      </c>
      <c r="H51" s="231">
        <f>F51*G51</f>
        <v>88846.66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1616.3636363636479</v>
      </c>
      <c r="O51" s="235">
        <f>N51/M51</f>
        <v>107.75757575757652</v>
      </c>
      <c r="P51" s="74">
        <f>M51-J51</f>
        <v>-1</v>
      </c>
      <c r="Q51" s="83">
        <f>O51-L51</f>
        <v>-4.7424242424234819</v>
      </c>
      <c r="R51" s="72">
        <f>O51/L51</f>
        <v>0.95784511784512461</v>
      </c>
      <c r="S51" s="440"/>
      <c r="T51" s="21">
        <v>0.41805555555555601</v>
      </c>
      <c r="U51" s="19">
        <v>0.46388888888888902</v>
      </c>
      <c r="V51" s="30">
        <f>(T51-U50)*24*60</f>
        <v>7.000000000001334</v>
      </c>
      <c r="W51" s="236">
        <f t="shared" si="4"/>
        <v>65.999999999999531</v>
      </c>
      <c r="X51" s="22">
        <v>0.47222222222222199</v>
      </c>
      <c r="Y51" s="84">
        <v>0.51388888888888895</v>
      </c>
      <c r="Z51" s="90"/>
      <c r="AA51" s="90"/>
      <c r="AB51" s="407"/>
      <c r="AC51" s="407"/>
      <c r="AD51" s="92"/>
      <c r="AE51" s="92"/>
      <c r="AF51" s="307">
        <f t="shared" si="24"/>
        <v>-183.63636363635214</v>
      </c>
      <c r="AG51" s="72">
        <f t="shared" si="25"/>
        <v>0.89797979797980432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f>VLOOKUP(D52,廠價表!$C$1:$E$43,3,0)</f>
        <v>49.97</v>
      </c>
      <c r="G52" s="202">
        <v>2018</v>
      </c>
      <c r="H52" s="231">
        <f>F52*G52</f>
        <v>100839.45999999999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>G52/W52*60</f>
        <v>1614.3999999999817</v>
      </c>
      <c r="O52" s="235">
        <f>N52/M52</f>
        <v>107.62666666666544</v>
      </c>
      <c r="P52" s="74">
        <f>M52-J52</f>
        <v>-1</v>
      </c>
      <c r="Q52" s="83">
        <f>O52-L52</f>
        <v>-4.873333333334557</v>
      </c>
      <c r="R52" s="72">
        <f>O52/L52</f>
        <v>0.95668148148147059</v>
      </c>
      <c r="S52" s="440"/>
      <c r="T52" s="21">
        <v>0.51944444444444404</v>
      </c>
      <c r="U52" s="21">
        <v>0.57152777777777797</v>
      </c>
      <c r="V52" s="30">
        <f>(T52-U51)*24*60</f>
        <v>79.999999999999233</v>
      </c>
      <c r="W52" s="236">
        <f t="shared" si="4"/>
        <v>75.000000000000853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24"/>
        <v>-185.60000000001833</v>
      </c>
      <c r="AG52" s="72">
        <f t="shared" si="25"/>
        <v>0.89688888888887874</v>
      </c>
      <c r="AH52" s="404"/>
    </row>
    <row r="53" spans="1:34" ht="15" customHeight="1">
      <c r="A53" s="46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40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24"/>
        <v>0</v>
      </c>
      <c r="AG53" s="72" t="e">
        <f t="shared" si="25"/>
        <v>#DIV/0!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26">AVERAGE(J49:J57)</f>
        <v>16.5</v>
      </c>
      <c r="K58" s="120">
        <f t="shared" si="26"/>
        <v>1741.25</v>
      </c>
      <c r="L58" s="117">
        <f t="shared" si="26"/>
        <v>105.73529411764706</v>
      </c>
      <c r="M58" s="120">
        <f t="shared" si="26"/>
        <v>15.5</v>
      </c>
      <c r="N58" s="120">
        <f t="shared" si="26"/>
        <v>1554.4262032085587</v>
      </c>
      <c r="O58" s="117">
        <f t="shared" si="26"/>
        <v>100.5170164884137</v>
      </c>
      <c r="P58" s="121">
        <f>M58-J58</f>
        <v>-1</v>
      </c>
      <c r="Q58" s="122">
        <f>N58-K58</f>
        <v>-186.82379679144128</v>
      </c>
      <c r="R58" s="123">
        <f>O58/L58</f>
        <v>0.95064772200446901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-186.82379679144128</v>
      </c>
      <c r="AG58" s="124">
        <f>N58/K58</f>
        <v>0.89270708009106026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1954</v>
      </c>
      <c r="H59" s="243">
        <f>F59*G59</f>
        <v>52738.46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16</v>
      </c>
      <c r="N59" s="137">
        <f>G59/W59*60</f>
        <v>1563.2000000000107</v>
      </c>
      <c r="O59" s="138">
        <f>N59/M59</f>
        <v>97.700000000000671</v>
      </c>
      <c r="P59" s="56">
        <f>M59-J59</f>
        <v>1</v>
      </c>
      <c r="Q59" s="230">
        <f>O59-L59</f>
        <v>-6.6333333333326578</v>
      </c>
      <c r="R59" s="52">
        <f>O59/L59</f>
        <v>0.93642172523962308</v>
      </c>
      <c r="S59" s="439">
        <f>R69</f>
        <v>0.93560308626004918</v>
      </c>
      <c r="T59" s="245">
        <v>0.29166666666666702</v>
      </c>
      <c r="U59" s="245">
        <v>0.34375</v>
      </c>
      <c r="V59" s="55"/>
      <c r="W59" s="54">
        <f t="shared" si="4"/>
        <v>74.999999999999488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-1.799999999989268</v>
      </c>
      <c r="AG59" s="246">
        <f>N59/K59</f>
        <v>0.99884984025559787</v>
      </c>
      <c r="AH59" s="403">
        <f>AG69</f>
        <v>0.97711310752040226</v>
      </c>
    </row>
    <row r="60" spans="1:34" ht="15" customHeight="1">
      <c r="A60" s="464"/>
      <c r="B60" s="75" t="s">
        <v>81</v>
      </c>
      <c r="C60" s="86"/>
      <c r="D60" s="175" t="s">
        <v>123</v>
      </c>
      <c r="E60" s="87"/>
      <c r="F60" s="75">
        <f>VLOOKUP(D60,廠價表!$C$1:$E$43,3,0)</f>
        <v>50.67</v>
      </c>
      <c r="G60" s="30">
        <v>1197</v>
      </c>
      <c r="H60" s="78">
        <f>F60*G60</f>
        <v>60651.990000000005</v>
      </c>
      <c r="I60" s="30"/>
      <c r="J60" s="79">
        <f>VLOOKUP(D60,產線配置圖!$A$3:$C$40,2,0)</f>
        <v>13</v>
      </c>
      <c r="K60" s="80">
        <f>VLOOKUP(D60,產線配置圖!$A$3:$C$40,3,0)</f>
        <v>1440</v>
      </c>
      <c r="L60" s="81">
        <f>K60/J60</f>
        <v>110.76923076923077</v>
      </c>
      <c r="M60" s="82">
        <v>13</v>
      </c>
      <c r="N60" s="80">
        <f>G60/W60*60</f>
        <v>1436.4000000000099</v>
      </c>
      <c r="O60" s="81">
        <f>N60/M60</f>
        <v>110.49230769230846</v>
      </c>
      <c r="P60" s="74">
        <f>M60-J60</f>
        <v>0</v>
      </c>
      <c r="Q60" s="83">
        <f>O60-L60</f>
        <v>-0.27692307692231566</v>
      </c>
      <c r="R60" s="72">
        <f>O60/L60</f>
        <v>0.99750000000000683</v>
      </c>
      <c r="S60" s="467"/>
      <c r="T60" s="22">
        <v>0.35416666666666702</v>
      </c>
      <c r="U60" s="22">
        <v>0.38888888888888901</v>
      </c>
      <c r="V60" s="30">
        <f>(T60-U59)*24*60</f>
        <v>15.000000000000506</v>
      </c>
      <c r="W60" s="248">
        <f t="shared" si="4"/>
        <v>49.999999999999659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-3.599999999990132</v>
      </c>
      <c r="AG60" s="249">
        <f>N60/K60</f>
        <v>0.99750000000000683</v>
      </c>
      <c r="AH60" s="475"/>
    </row>
    <row r="61" spans="1:34" ht="15" customHeight="1">
      <c r="A61" s="465"/>
      <c r="B61" s="250" t="s">
        <v>125</v>
      </c>
      <c r="C61" s="251"/>
      <c r="D61" s="252" t="s">
        <v>135</v>
      </c>
      <c r="E61" s="253"/>
      <c r="F61" s="250">
        <f>VLOOKUP(D61,廠價表!$C$1:$E$43,3,0)</f>
        <v>28.26</v>
      </c>
      <c r="G61" s="38">
        <v>1663</v>
      </c>
      <c r="H61" s="254">
        <f>F61*G61</f>
        <v>46996.380000000005</v>
      </c>
      <c r="I61" s="182"/>
      <c r="J61" s="106">
        <f>VLOOKUP(D61,產線配置圖!$A$3:$C$40,2,0)</f>
        <v>12</v>
      </c>
      <c r="K61" s="107">
        <f>VLOOKUP(D61,產線配置圖!$A$3:$C$40,3,0)</f>
        <v>1565</v>
      </c>
      <c r="L61" s="238">
        <f>K61/J61</f>
        <v>130.41666666666666</v>
      </c>
      <c r="M61" s="108">
        <v>12</v>
      </c>
      <c r="N61" s="107">
        <f>G61/W61*60</f>
        <v>1467.3529411764464</v>
      </c>
      <c r="O61" s="238">
        <f>N61/M61</f>
        <v>122.27941176470387</v>
      </c>
      <c r="P61" s="111">
        <f>M61-J61</f>
        <v>0</v>
      </c>
      <c r="Q61" s="255">
        <f>O61-L61</f>
        <v>-8.1372549019627911</v>
      </c>
      <c r="R61" s="85">
        <f>O61/L61</f>
        <v>0.93760571321178687</v>
      </c>
      <c r="S61" s="440"/>
      <c r="T61" s="22">
        <v>0.39583333333333298</v>
      </c>
      <c r="U61" s="22">
        <v>0.44305555555555598</v>
      </c>
      <c r="V61" s="30">
        <f>(T61-U60)*24*60</f>
        <v>9.999999999999325</v>
      </c>
      <c r="W61" s="256">
        <f t="shared" si="4"/>
        <v>68.000000000001123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-97.647058823553607</v>
      </c>
      <c r="AG61" s="247">
        <f>N61/K61</f>
        <v>0.93760571321178687</v>
      </c>
      <c r="AH61" s="404"/>
    </row>
    <row r="62" spans="1:34" ht="15" customHeight="1">
      <c r="A62" s="465"/>
      <c r="B62" s="250" t="s">
        <v>125</v>
      </c>
      <c r="C62" s="251"/>
      <c r="D62" s="257" t="s">
        <v>126</v>
      </c>
      <c r="E62" s="253"/>
      <c r="F62" s="250">
        <f>VLOOKUP(D62,廠價表!$C$1:$E$43,3,0)</f>
        <v>28.26</v>
      </c>
      <c r="G62" s="38">
        <v>1494</v>
      </c>
      <c r="H62" s="254">
        <f t="shared" ref="H62:H64" si="27">F62*G62</f>
        <v>42220.44</v>
      </c>
      <c r="I62" s="182"/>
      <c r="J62" s="106">
        <f>VLOOKUP(D62,產線配置圖!$A$3:$C$40,2,0)</f>
        <v>11</v>
      </c>
      <c r="K62" s="107">
        <f>VLOOKUP(D62,產線配置圖!$A$3:$C$40,3,0)</f>
        <v>1565</v>
      </c>
      <c r="L62" s="238">
        <f t="shared" ref="L62:L64" si="28">K62/J62</f>
        <v>142.27272727272728</v>
      </c>
      <c r="M62" s="108">
        <v>12</v>
      </c>
      <c r="N62" s="80">
        <f t="shared" ref="N62:N64" si="29">G62/W62*60</f>
        <v>1494.000000000025</v>
      </c>
      <c r="O62" s="81">
        <f t="shared" ref="O62:O64" si="30">N62/M62</f>
        <v>124.50000000000209</v>
      </c>
      <c r="P62" s="74">
        <f t="shared" ref="P62:P64" si="31">M62-J62</f>
        <v>1</v>
      </c>
      <c r="Q62" s="83">
        <f t="shared" ref="Q62:Q64" si="32">O62-L62</f>
        <v>-17.772727272725191</v>
      </c>
      <c r="R62" s="72">
        <f t="shared" ref="R62:R64" si="33">O62/L62</f>
        <v>0.87507987220448746</v>
      </c>
      <c r="S62" s="440"/>
      <c r="T62" s="22">
        <v>0.44791666666666702</v>
      </c>
      <c r="U62" s="22">
        <v>0.48958333333333298</v>
      </c>
      <c r="V62" s="30">
        <f t="shared" ref="V62:V64" si="34">(T62-U61)*24*60</f>
        <v>6.9999999999998952</v>
      </c>
      <c r="W62" s="248">
        <f t="shared" si="4"/>
        <v>59.999999999998991</v>
      </c>
      <c r="X62" s="22">
        <v>0.50347222222222199</v>
      </c>
      <c r="Y62" s="84">
        <v>0.54513888888888895</v>
      </c>
      <c r="Z62" s="90"/>
      <c r="AA62" s="90"/>
      <c r="AB62" s="407"/>
      <c r="AC62" s="407"/>
      <c r="AD62" s="92"/>
      <c r="AE62" s="92"/>
      <c r="AF62" s="317">
        <f>N62-K62</f>
        <v>-70.999999999974989</v>
      </c>
      <c r="AG62" s="247">
        <f>N62/K62</f>
        <v>0.95463258785944094</v>
      </c>
      <c r="AH62" s="404"/>
    </row>
    <row r="63" spans="1:34" ht="15" customHeight="1">
      <c r="A63" s="465"/>
      <c r="B63" s="258" t="s">
        <v>125</v>
      </c>
      <c r="C63" s="58"/>
      <c r="D63" s="259" t="s">
        <v>126</v>
      </c>
      <c r="E63" s="60"/>
      <c r="F63" s="250">
        <f>VLOOKUP(D63,廠價表!$C$1:$E$43,3,0)</f>
        <v>28.26</v>
      </c>
      <c r="G63" s="260">
        <v>910</v>
      </c>
      <c r="H63" s="254">
        <f t="shared" si="27"/>
        <v>25716.600000000002</v>
      </c>
      <c r="I63" s="182"/>
      <c r="J63" s="106">
        <f>VLOOKUP(D63,產線配置圖!$A$3:$C$40,2,0)</f>
        <v>11</v>
      </c>
      <c r="K63" s="107">
        <f>VLOOKUP(D63,產線配置圖!$A$3:$C$40,3,0)</f>
        <v>1565</v>
      </c>
      <c r="L63" s="238">
        <f t="shared" si="28"/>
        <v>142.27272727272728</v>
      </c>
      <c r="M63" s="68">
        <v>12</v>
      </c>
      <c r="N63" s="107">
        <f t="shared" si="29"/>
        <v>1560.0000000000341</v>
      </c>
      <c r="O63" s="238">
        <f t="shared" si="30"/>
        <v>130.00000000000284</v>
      </c>
      <c r="P63" s="111">
        <f t="shared" si="31"/>
        <v>1</v>
      </c>
      <c r="Q63" s="255">
        <f t="shared" si="32"/>
        <v>-12.272727272724438</v>
      </c>
      <c r="R63" s="85">
        <f t="shared" si="33"/>
        <v>0.91373801916934905</v>
      </c>
      <c r="S63" s="440"/>
      <c r="T63" s="22">
        <v>0.54166666666666696</v>
      </c>
      <c r="U63" s="22">
        <v>0.56597222222222199</v>
      </c>
      <c r="V63" s="30">
        <f t="shared" si="34"/>
        <v>75.000000000000938</v>
      </c>
      <c r="W63" s="248">
        <f t="shared" si="4"/>
        <v>34.999999999999233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 t="s">
        <v>125</v>
      </c>
      <c r="C64" s="76"/>
      <c r="D64" s="175" t="s">
        <v>134</v>
      </c>
      <c r="E64" s="77"/>
      <c r="F64" s="250">
        <f>VLOOKUP(D64,廠價表!$C$1:$E$43,3,0)</f>
        <v>26.99</v>
      </c>
      <c r="G64" s="30">
        <v>1149</v>
      </c>
      <c r="H64" s="254">
        <f t="shared" si="27"/>
        <v>31011.51</v>
      </c>
      <c r="I64" s="182"/>
      <c r="J64" s="106">
        <f>VLOOKUP(D64,產線配置圖!$A$3:$C$40,2,0)</f>
        <v>15</v>
      </c>
      <c r="K64" s="107">
        <f>VLOOKUP(D64,產線配置圖!$A$3:$C$40,3,0)</f>
        <v>1565</v>
      </c>
      <c r="L64" s="238">
        <f t="shared" si="28"/>
        <v>104.33333333333333</v>
      </c>
      <c r="M64" s="82">
        <v>15</v>
      </c>
      <c r="N64" s="80">
        <f t="shared" si="29"/>
        <v>1532</v>
      </c>
      <c r="O64" s="81">
        <f t="shared" si="30"/>
        <v>102.13333333333334</v>
      </c>
      <c r="P64" s="74">
        <f t="shared" si="31"/>
        <v>0</v>
      </c>
      <c r="Q64" s="83">
        <f t="shared" si="32"/>
        <v>-2.1999999999999886</v>
      </c>
      <c r="R64" s="72">
        <f t="shared" si="33"/>
        <v>0.97891373801916948</v>
      </c>
      <c r="S64" s="440"/>
      <c r="T64" s="22">
        <v>0.57638888888888895</v>
      </c>
      <c r="U64" s="22">
        <v>0.60763888888888895</v>
      </c>
      <c r="V64" s="30">
        <f t="shared" si="34"/>
        <v>15.000000000000426</v>
      </c>
      <c r="W64" s="73">
        <f t="shared" si="4"/>
        <v>45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7" t="s">
        <v>179</v>
      </c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35">AVERAGE(J59:J68)</f>
        <v>12.833333333333334</v>
      </c>
      <c r="K69" s="240">
        <f t="shared" si="35"/>
        <v>1544.1666666666667</v>
      </c>
      <c r="L69" s="268">
        <f t="shared" si="35"/>
        <v>122.39966977466976</v>
      </c>
      <c r="M69" s="240">
        <f t="shared" si="35"/>
        <v>13.333333333333334</v>
      </c>
      <c r="N69" s="240">
        <f t="shared" si="35"/>
        <v>1508.8254901960879</v>
      </c>
      <c r="O69" s="268">
        <f t="shared" si="35"/>
        <v>114.51750879839189</v>
      </c>
      <c r="P69" s="269">
        <f>M69-J69</f>
        <v>0.5</v>
      </c>
      <c r="Q69" s="222">
        <f>N69-K69</f>
        <v>-35.34117647057883</v>
      </c>
      <c r="R69" s="123">
        <f>O69/L69</f>
        <v>0.93560308626004918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-35.34117647057883</v>
      </c>
      <c r="AG69" s="124">
        <f>N69/K69</f>
        <v>0.97711310752040226</v>
      </c>
      <c r="AH69" s="406"/>
    </row>
    <row r="70" spans="1:36" ht="15" customHeight="1">
      <c r="A70" s="471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39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 t="s">
        <v>56</v>
      </c>
      <c r="D79" s="430"/>
      <c r="E79" s="430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J1:L2"/>
    <mergeCell ref="M1:O2"/>
    <mergeCell ref="P1:S2"/>
    <mergeCell ref="T1:Y2"/>
    <mergeCell ref="S3:S4"/>
    <mergeCell ref="H3:H4"/>
    <mergeCell ref="I3:I4"/>
    <mergeCell ref="T3:U3"/>
    <mergeCell ref="P3:P4"/>
    <mergeCell ref="V3:V4"/>
    <mergeCell ref="W3:W4"/>
    <mergeCell ref="J3:J4"/>
    <mergeCell ref="K3:K4"/>
    <mergeCell ref="A2:B2"/>
    <mergeCell ref="A3:A4"/>
    <mergeCell ref="B3:B4"/>
    <mergeCell ref="D3:E4"/>
    <mergeCell ref="F3:F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L3:L4"/>
    <mergeCell ref="AF1:AH2"/>
    <mergeCell ref="AB1:AC2"/>
    <mergeCell ref="AH3:AH4"/>
    <mergeCell ref="N3:N4"/>
    <mergeCell ref="Z3:AA3"/>
    <mergeCell ref="M3:M4"/>
    <mergeCell ref="X3:Y3"/>
    <mergeCell ref="Q3:Q4"/>
    <mergeCell ref="R3:R4"/>
    <mergeCell ref="O3:O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G3:G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S49:S58"/>
    <mergeCell ref="AB49:AC49"/>
    <mergeCell ref="AB57:AC57"/>
    <mergeCell ref="D58:E58"/>
    <mergeCell ref="AB58:AC58"/>
    <mergeCell ref="AB52:AC52"/>
    <mergeCell ref="AB53:AC53"/>
    <mergeCell ref="AB54:AC54"/>
    <mergeCell ref="AB55:AC55"/>
    <mergeCell ref="AB56:AC56"/>
    <mergeCell ref="A38:A48"/>
    <mergeCell ref="S38:S48"/>
    <mergeCell ref="AB38:AC38"/>
    <mergeCell ref="D48:E48"/>
    <mergeCell ref="AB48:AC48"/>
    <mergeCell ref="AH49:AH58"/>
    <mergeCell ref="AB50:AC50"/>
    <mergeCell ref="AB51:AC51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59:A69"/>
    <mergeCell ref="S59:S69"/>
    <mergeCell ref="AB59:AC59"/>
    <mergeCell ref="D69:E69"/>
    <mergeCell ref="AB69:AC69"/>
    <mergeCell ref="A49:A58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</mergeCells>
  <phoneticPr fontId="0" type="noConversion"/>
  <conditionalFormatting sqref="P5:P79">
    <cfRule type="cellIs" dxfId="188" priority="1" operator="greaterThan">
      <formula>0</formula>
    </cfRule>
  </conditionalFormatting>
  <conditionalFormatting sqref="Q5:Q79 AF5:AF79">
    <cfRule type="cellIs" dxfId="187" priority="4" operator="lessThan">
      <formula>0</formula>
    </cfRule>
  </conditionalFormatting>
  <conditionalFormatting sqref="R5:R79 AG5:AG79">
    <cfRule type="cellIs" dxfId="186" priority="2" operator="greaterThan">
      <formula>1</formula>
    </cfRule>
    <cfRule type="cellIs" dxfId="185" priority="3" operator="lessThan">
      <formula>0.8</formula>
    </cfRule>
  </conditionalFormatting>
  <conditionalFormatting sqref="S5:S10 S37:S62 AH59:AH62 S69:S76 AH69:AH76">
    <cfRule type="cellIs" dxfId="184" priority="7" operator="lessThan">
      <formula>0.8</formula>
    </cfRule>
  </conditionalFormatting>
  <conditionalFormatting sqref="S19:S25 AH19:AH25">
    <cfRule type="cellIs" dxfId="183" priority="6" operator="lessThan">
      <formula>0.8</formula>
    </cfRule>
  </conditionalFormatting>
  <conditionalFormatting sqref="S79">
    <cfRule type="cellIs" dxfId="182" priority="5" operator="lessThan">
      <formula>0.8</formula>
    </cfRule>
  </conditionalFormatting>
  <conditionalFormatting sqref="AH5:AH8 S15:S16 AH15:AH16 AH49 AH79">
    <cfRule type="cellIs" dxfId="181" priority="9" operator="lessThan">
      <formula>0.8</formula>
    </cfRule>
  </conditionalFormatting>
  <conditionalFormatting sqref="AH27 S27:S28">
    <cfRule type="cellIs" dxfId="1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335FA9-385F-49BD-8C8F-67B5745848AF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6D77-E231-40E2-B696-7CFC48281172}">
  <dimension ref="B1:O26"/>
  <sheetViews>
    <sheetView zoomScale="70" zoomScaleNormal="70" workbookViewId="0">
      <selection activeCell="U52" sqref="U5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46186</v>
      </c>
      <c r="E3" s="510"/>
      <c r="F3" s="3" t="s">
        <v>72</v>
      </c>
      <c r="G3" s="511">
        <f>'0613'!E1</f>
        <v>56456</v>
      </c>
      <c r="H3" s="511"/>
      <c r="I3" s="3" t="s">
        <v>2</v>
      </c>
      <c r="J3" s="512">
        <f>'0613'!G1</f>
        <v>2729576.1499999994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120.98547310532604</v>
      </c>
      <c r="G6" s="507"/>
      <c r="H6" s="508">
        <f>AVERAGE(D13:H13)</f>
        <v>120.7026337714573</v>
      </c>
      <c r="I6" s="508"/>
      <c r="J6" s="508">
        <f>AVERAGE(I13)</f>
        <v>122.39966977466976</v>
      </c>
      <c r="K6" s="508"/>
      <c r="L6" s="516">
        <f>SUM(D18:J18)</f>
        <v>0</v>
      </c>
      <c r="M6" s="499">
        <f>SUM(D19:J19)</f>
        <v>0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111.86616787082609</v>
      </c>
      <c r="G7" s="496"/>
      <c r="H7" s="497">
        <f>AVERAGE(D14:H14)</f>
        <v>111.15052971768489</v>
      </c>
      <c r="I7" s="497"/>
      <c r="J7" s="497">
        <f>AVERAGE(I14)</f>
        <v>115.44435863653216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0.92462479171725864</v>
      </c>
      <c r="G8" s="502"/>
      <c r="H8" s="502">
        <f>H7/H6</f>
        <v>0.92086250518891988</v>
      </c>
      <c r="I8" s="502"/>
      <c r="J8" s="502">
        <f>J7/J6</f>
        <v>0.94317540928875132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VALUE('0613'!L15)</f>
        <v>150</v>
      </c>
      <c r="E13" s="13">
        <f>VALUE('0613'!L26)</f>
        <v>157.84421460892048</v>
      </c>
      <c r="F13" s="13">
        <f>VALUE('0613'!L37)</f>
        <v>91.252178649237479</v>
      </c>
      <c r="G13" s="13">
        <f>VALUE('0613'!L48)</f>
        <v>98.681481481481498</v>
      </c>
      <c r="H13" s="13">
        <f>VALUE('0613'!L58)</f>
        <v>105.73529411764706</v>
      </c>
      <c r="I13" s="13">
        <f>VALUE('0613'!L69)</f>
        <v>122.39966977466976</v>
      </c>
      <c r="J13" s="13" t="e">
        <f>'0613'!L79</f>
        <v>#DIV/0!</v>
      </c>
    </row>
    <row r="14" spans="2:15" ht="39.950000000000003" customHeight="1">
      <c r="B14" s="490"/>
      <c r="C14" s="12" t="s">
        <v>100</v>
      </c>
      <c r="D14" s="13">
        <f>VALUE('0613'!O15)</f>
        <v>136.896388888888</v>
      </c>
      <c r="E14" s="13">
        <f>VALUE('0613'!O26)</f>
        <v>148.43174988417769</v>
      </c>
      <c r="F14" s="13">
        <f>VALUE('0613'!O37)</f>
        <v>81.41205480548976</v>
      </c>
      <c r="G14" s="13">
        <f>VALUE('0613'!O48)</f>
        <v>88.215824915824442</v>
      </c>
      <c r="H14" s="13">
        <f>VALUE('0613'!O58)</f>
        <v>100.79663009404452</v>
      </c>
      <c r="I14" s="13">
        <f>VALUE('0613'!O69)</f>
        <v>115.44435863653216</v>
      </c>
      <c r="J14" s="13" t="e">
        <f>'0613'!O79</f>
        <v>#DIV/0!</v>
      </c>
    </row>
    <row r="15" spans="2:15" ht="39.950000000000003" customHeight="1">
      <c r="B15" s="491"/>
      <c r="C15" s="10" t="s">
        <v>26</v>
      </c>
      <c r="D15" s="14">
        <f t="shared" ref="D15:I15" si="1">D14/D13</f>
        <v>0.91264259259258662</v>
      </c>
      <c r="E15" s="14">
        <f t="shared" si="1"/>
        <v>0.94036864291755395</v>
      </c>
      <c r="F15" s="14">
        <f t="shared" si="1"/>
        <v>0.8921656009817367</v>
      </c>
      <c r="G15" s="14">
        <f t="shared" si="1"/>
        <v>0.89394508059122491</v>
      </c>
      <c r="H15" s="14">
        <f t="shared" si="1"/>
        <v>0.95329219004103294</v>
      </c>
      <c r="I15" s="14">
        <f t="shared" si="1"/>
        <v>0.94317540928875132</v>
      </c>
      <c r="J15" s="15" t="e">
        <f>'0613'!S70</f>
        <v>#DIV/0!</v>
      </c>
    </row>
    <row r="16" spans="2:15" ht="17.25" customHeight="1">
      <c r="B16" s="492" t="s">
        <v>101</v>
      </c>
      <c r="C16" s="10" t="s">
        <v>34</v>
      </c>
      <c r="D16" s="16">
        <f>'0613'!T5</f>
        <v>0.29375000000000001</v>
      </c>
      <c r="E16" s="16">
        <f>'0613'!T16</f>
        <v>0.29027777777777802</v>
      </c>
      <c r="F16" s="16">
        <f>'0613'!T27</f>
        <v>0.29166666666666702</v>
      </c>
      <c r="G16" s="16">
        <f>'0613'!T38</f>
        <v>0.33333333333333298</v>
      </c>
      <c r="H16" s="16">
        <f>'0613'!T49</f>
        <v>0.29166666666666702</v>
      </c>
      <c r="I16" s="16">
        <f>'0613'!T59</f>
        <v>0.29027777777777802</v>
      </c>
      <c r="J16" s="16">
        <f>'0613'!T70</f>
        <v>0</v>
      </c>
    </row>
    <row r="17" spans="2:10" ht="17.25" customHeight="1">
      <c r="B17" s="493"/>
      <c r="C17" s="10" t="s">
        <v>35</v>
      </c>
      <c r="D17" s="16">
        <v>0.58680555555555602</v>
      </c>
      <c r="E17" s="19">
        <v>0.58958333333333302</v>
      </c>
      <c r="F17" s="19">
        <v>0.625</v>
      </c>
      <c r="G17" s="210">
        <v>0.59027777777777801</v>
      </c>
      <c r="H17" s="21">
        <v>0.625</v>
      </c>
      <c r="I17" s="22">
        <v>0.63541666666666696</v>
      </c>
      <c r="J17" s="22">
        <v>0</v>
      </c>
    </row>
    <row r="18" spans="2:10" ht="17.25" customHeight="1">
      <c r="B18" s="494" t="s">
        <v>102</v>
      </c>
      <c r="C18" s="330" t="s">
        <v>36</v>
      </c>
      <c r="D18" s="358">
        <f>'0613'!Z15</f>
        <v>0</v>
      </c>
      <c r="E18" s="359">
        <f>'0613'!Z26</f>
        <v>0</v>
      </c>
      <c r="F18" s="359">
        <f>'0613'!Z37</f>
        <v>0</v>
      </c>
      <c r="G18" s="360">
        <f>'0613'!Z48</f>
        <v>0</v>
      </c>
      <c r="H18" s="360">
        <f>'0613'!Z58</f>
        <v>0</v>
      </c>
      <c r="I18" s="359">
        <f>'0613'!Z69</f>
        <v>0</v>
      </c>
      <c r="J18" s="359">
        <f>'0613'!AA79</f>
        <v>0</v>
      </c>
    </row>
    <row r="19" spans="2:10" ht="17.25" customHeight="1">
      <c r="B19" s="495"/>
      <c r="C19" s="330" t="s">
        <v>37</v>
      </c>
      <c r="D19" s="358">
        <f>'0613'!AA15</f>
        <v>0</v>
      </c>
      <c r="E19" s="359">
        <f>'0613'!AA26</f>
        <v>0</v>
      </c>
      <c r="F19" s="359">
        <f>'0613'!AA37</f>
        <v>0</v>
      </c>
      <c r="G19" s="360">
        <f>'0613'!AA48</f>
        <v>0</v>
      </c>
      <c r="H19" s="360">
        <f>'0613'!AA58</f>
        <v>0</v>
      </c>
      <c r="I19" s="359">
        <f>'0613'!AA69</f>
        <v>0</v>
      </c>
      <c r="J19" s="359">
        <f>'0613'!AB79</f>
        <v>0</v>
      </c>
    </row>
    <row r="20" spans="2:10" ht="17.25" customHeight="1">
      <c r="B20" s="494" t="s">
        <v>103</v>
      </c>
      <c r="C20" s="330" t="s">
        <v>36</v>
      </c>
      <c r="D20" s="358">
        <f>'0613'!AD15</f>
        <v>0</v>
      </c>
      <c r="E20" s="359">
        <f>'0613'!AD26</f>
        <v>0</v>
      </c>
      <c r="F20" s="359">
        <f>'0613'!AD37</f>
        <v>0</v>
      </c>
      <c r="G20" s="360">
        <f>'0613'!AD48</f>
        <v>0</v>
      </c>
      <c r="H20" s="360">
        <f>'0613'!AD58</f>
        <v>0</v>
      </c>
      <c r="I20" s="359">
        <f>'0613'!AD69</f>
        <v>0</v>
      </c>
      <c r="J20" s="359">
        <f>'0613'!AD79</f>
        <v>0</v>
      </c>
    </row>
    <row r="21" spans="2:10" ht="17.25" customHeight="1">
      <c r="B21" s="495"/>
      <c r="C21" s="330" t="s">
        <v>85</v>
      </c>
      <c r="D21" s="358">
        <f>'0613'!AE15</f>
        <v>0</v>
      </c>
      <c r="E21" s="359">
        <f>'0613'!AE26</f>
        <v>0</v>
      </c>
      <c r="F21" s="359">
        <f>'0613'!AE37</f>
        <v>0</v>
      </c>
      <c r="G21" s="360">
        <f>'0613'!AE48</f>
        <v>0</v>
      </c>
      <c r="H21" s="360">
        <f>'0613'!AE58</f>
        <v>0</v>
      </c>
      <c r="I21" s="359">
        <f>'0613'!AE69</f>
        <v>0</v>
      </c>
      <c r="J21" s="359">
        <f>'0613'!AE79</f>
        <v>0</v>
      </c>
    </row>
    <row r="22" spans="2:10" ht="17.25" customHeight="1">
      <c r="B22" s="477" t="s">
        <v>104</v>
      </c>
      <c r="C22" s="478"/>
      <c r="D22" s="23">
        <f>VALUE('0613'!M15)</f>
        <v>15</v>
      </c>
      <c r="E22" s="23">
        <f>VALUE('0613'!M26)</f>
        <v>14.4</v>
      </c>
      <c r="F22" s="23">
        <f>VALUE('0613'!M37)</f>
        <v>16.833333333333332</v>
      </c>
      <c r="G22" s="23">
        <f>VALUE('0613'!M48)</f>
        <v>17</v>
      </c>
      <c r="H22" s="23">
        <f>VALUE('0613'!M58)</f>
        <v>15.5</v>
      </c>
      <c r="I22" s="23">
        <f>VALUE('0613'!M69)</f>
        <v>12.833333333333334</v>
      </c>
      <c r="J22" s="23" t="e">
        <f>'0613'!M79</f>
        <v>#DIV/0!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F078-1EF1-4C3D-8CF8-D08297A8AC9B}">
  <sheetPr>
    <tabColor theme="9" tint="0.79998168889431442"/>
  </sheetPr>
  <dimension ref="A1:AJ92"/>
  <sheetViews>
    <sheetView zoomScale="69" zoomScaleNormal="69" workbookViewId="0">
      <pane xSplit="5" ySplit="4" topLeftCell="F44" activePane="bottomRight" state="frozen"/>
      <selection activeCell="U52" sqref="U52"/>
      <selection pane="topRight" activeCell="U52" sqref="U52"/>
      <selection pane="bottomLeft" activeCell="U52" sqref="U52"/>
      <selection pane="bottomRight" activeCell="U52" sqref="U5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56456</v>
      </c>
      <c r="F1" s="30" t="s">
        <v>2</v>
      </c>
      <c r="G1" s="31">
        <f>SUM(H5:H79)</f>
        <v>2729576.1499999994</v>
      </c>
      <c r="H1" s="32" t="s">
        <v>3</v>
      </c>
      <c r="I1" s="33" t="e">
        <f>M15+M26+M48+M58+M69+M79+M37</f>
        <v>#DIV/0!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184</v>
      </c>
      <c r="B2" s="381"/>
      <c r="C2" s="28"/>
      <c r="D2" s="28" t="s">
        <v>14</v>
      </c>
      <c r="E2" s="35" t="e">
        <f>AVERAGE(O15,O26,O37,O48,O58,O69,O79)</f>
        <v>#DIV/0!</v>
      </c>
      <c r="F2" s="36" t="s">
        <v>15</v>
      </c>
      <c r="G2" s="37">
        <f>G1/E1</f>
        <v>48.348734412639921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2467</v>
      </c>
      <c r="H5" s="43">
        <f>F5*G5</f>
        <v>140298.29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2055.8333333333335</v>
      </c>
      <c r="O5" s="47">
        <f>N5/M5</f>
        <v>137.05555555555557</v>
      </c>
      <c r="P5" s="49">
        <f>M5-J5</f>
        <v>0</v>
      </c>
      <c r="Q5" s="50">
        <f>O5-L5</f>
        <v>-12.944444444444429</v>
      </c>
      <c r="R5" s="51">
        <f>O5/L5</f>
        <v>0.9137037037037038</v>
      </c>
      <c r="S5" s="439">
        <f>R15</f>
        <v>0.91264259259258662</v>
      </c>
      <c r="T5" s="319">
        <v>0.29375000000000001</v>
      </c>
      <c r="U5" s="320">
        <v>0.34375</v>
      </c>
      <c r="V5" s="53"/>
      <c r="W5" s="54">
        <f t="shared" ref="W5:W14" si="0">(U5-T5)*24*60</f>
        <v>71.999999999999986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-194.16666666666652</v>
      </c>
      <c r="AG5" s="52">
        <f t="shared" ref="AG5:AG11" si="2">N5/K5</f>
        <v>0.9137037037037038</v>
      </c>
      <c r="AH5" s="403">
        <f>AG15</f>
        <v>0.91264259259258651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2737</v>
      </c>
      <c r="H6" s="63">
        <f>F6*G6</f>
        <v>159211.29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2052.7499999999823</v>
      </c>
      <c r="O6" s="67">
        <f>N6/M6</f>
        <v>136.84999999999883</v>
      </c>
      <c r="P6" s="69">
        <f>M6-J6</f>
        <v>0</v>
      </c>
      <c r="Q6" s="70">
        <f>O6-L6</f>
        <v>-13.150000000001171</v>
      </c>
      <c r="R6" s="71">
        <f>O6/L6</f>
        <v>0.91233333333332556</v>
      </c>
      <c r="S6" s="440"/>
      <c r="T6" s="16">
        <v>0.34861111111111098</v>
      </c>
      <c r="U6" s="16">
        <v>0.40416666666666701</v>
      </c>
      <c r="V6" s="30">
        <f>(T6-U5)*24*60</f>
        <v>6.9999999999998153</v>
      </c>
      <c r="W6" s="73">
        <f t="shared" si="0"/>
        <v>80.000000000000682</v>
      </c>
      <c r="X6" s="22"/>
      <c r="Y6" s="84"/>
      <c r="Z6" s="90"/>
      <c r="AA6" s="90"/>
      <c r="AB6" s="434"/>
      <c r="AC6" s="434"/>
      <c r="AD6" s="149"/>
      <c r="AE6" s="149"/>
      <c r="AF6" s="307">
        <f t="shared" si="1"/>
        <v>-197.25000000001774</v>
      </c>
      <c r="AG6" s="72">
        <f t="shared" si="2"/>
        <v>0.91233333333332545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3432</v>
      </c>
      <c r="H7" s="78">
        <f>F7*G7</f>
        <v>168648.48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2059.1999999999825</v>
      </c>
      <c r="O7" s="81">
        <f>N7/M7</f>
        <v>137.27999999999884</v>
      </c>
      <c r="P7" s="74">
        <f>M7-J7</f>
        <v>0</v>
      </c>
      <c r="Q7" s="83">
        <f>O7-L7</f>
        <v>-12.720000000001164</v>
      </c>
      <c r="R7" s="72">
        <f>O7/L7</f>
        <v>0.91519999999999224</v>
      </c>
      <c r="S7" s="440"/>
      <c r="T7" s="18">
        <v>0.40972222222222199</v>
      </c>
      <c r="U7" s="18">
        <v>0.47916666666666702</v>
      </c>
      <c r="V7" s="30">
        <f>(T7-U6)*24*60</f>
        <v>7.9999999999991722</v>
      </c>
      <c r="W7" s="73">
        <f t="shared" si="0"/>
        <v>100.00000000000084</v>
      </c>
      <c r="X7" s="22">
        <v>0.48263888888888901</v>
      </c>
      <c r="Y7" s="84">
        <v>0.53472222222222199</v>
      </c>
      <c r="Z7" s="90"/>
      <c r="AA7" s="90"/>
      <c r="AB7" s="407"/>
      <c r="AC7" s="407"/>
      <c r="AD7" s="92"/>
      <c r="AE7" s="92"/>
      <c r="AF7" s="307">
        <f t="shared" si="1"/>
        <v>-190.80000000001746</v>
      </c>
      <c r="AG7" s="72">
        <f t="shared" si="2"/>
        <v>0.91519999999999224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2046</v>
      </c>
      <c r="H8" s="78">
        <f>F8*G8</f>
        <v>100540.44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2045.99999999998</v>
      </c>
      <c r="O8" s="81">
        <f>N8/M8</f>
        <v>136.39999999999867</v>
      </c>
      <c r="P8" s="74">
        <f>M8-J8</f>
        <v>0</v>
      </c>
      <c r="Q8" s="83">
        <f>O8-L8</f>
        <v>-13.60000000000133</v>
      </c>
      <c r="R8" s="72">
        <f>O8/L8</f>
        <v>0.90933333333332445</v>
      </c>
      <c r="S8" s="440"/>
      <c r="T8" s="16">
        <v>0.54513888888888895</v>
      </c>
      <c r="U8" s="16">
        <v>0.58680555555555602</v>
      </c>
      <c r="V8" s="30">
        <f>(T8-U7)*24*60</f>
        <v>94.999999999999588</v>
      </c>
      <c r="W8" s="73">
        <f t="shared" si="0"/>
        <v>60.000000000000583</v>
      </c>
      <c r="X8" s="22"/>
      <c r="Y8" s="84"/>
      <c r="Z8" s="90"/>
      <c r="AA8" s="90"/>
      <c r="AB8" s="434"/>
      <c r="AC8" s="434"/>
      <c r="AD8" s="149"/>
      <c r="AE8" s="149"/>
      <c r="AF8" s="307">
        <f t="shared" si="1"/>
        <v>-204.00000000002001</v>
      </c>
      <c r="AG8" s="72">
        <f t="shared" si="2"/>
        <v>0.90933333333332445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0</v>
      </c>
      <c r="AG9" s="72" t="e">
        <f t="shared" si="2"/>
        <v>#DIV/0!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2053.4458333333196</v>
      </c>
      <c r="O15" s="117">
        <f t="shared" si="3"/>
        <v>136.896388888888</v>
      </c>
      <c r="P15" s="121">
        <f>M15-J15</f>
        <v>0</v>
      </c>
      <c r="Q15" s="122">
        <f>O15-L15</f>
        <v>-13.103611111112002</v>
      </c>
      <c r="R15" s="123">
        <f>O15/L15</f>
        <v>0.91264259259258662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-196.55416666668043</v>
      </c>
      <c r="AG15" s="124">
        <f>N15/K15</f>
        <v>0.91264259259258651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3230</v>
      </c>
      <c r="H16" s="134">
        <f>F16*G16</f>
        <v>163664.1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2177.5280898876599</v>
      </c>
      <c r="O16" s="141">
        <f>N16/M16</f>
        <v>155.53772070626141</v>
      </c>
      <c r="P16" s="142">
        <f>M16-J16</f>
        <v>0</v>
      </c>
      <c r="Q16" s="143">
        <f>O16-L16</f>
        <v>-5.176565008024312</v>
      </c>
      <c r="R16" s="144">
        <f>O16/L16</f>
        <v>0.96779026217229314</v>
      </c>
      <c r="S16" s="425">
        <f>R26</f>
        <v>0.94036864291755395</v>
      </c>
      <c r="T16" s="145">
        <v>0.29027777777777802</v>
      </c>
      <c r="U16" s="145">
        <v>0.35208333333333303</v>
      </c>
      <c r="V16" s="135"/>
      <c r="W16" s="146">
        <f t="shared" ref="W16:W78" si="4">(U16-T16)*24*60</f>
        <v>88.999999999999204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-72.471910112340083</v>
      </c>
      <c r="AG16" s="52">
        <f>N16/K16</f>
        <v>0.96779026217229325</v>
      </c>
      <c r="AH16" s="403">
        <f>AG26</f>
        <v>0.94130124534324289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1698</v>
      </c>
      <c r="H17" s="78">
        <f>F17*G17</f>
        <v>97142.58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2167.6595744680776</v>
      </c>
      <c r="O17" s="96">
        <f>N17/M17</f>
        <v>127.50938673341633</v>
      </c>
      <c r="P17" s="97">
        <f>M17-J17</f>
        <v>0</v>
      </c>
      <c r="Q17" s="98">
        <f>O17-L17</f>
        <v>-4.843554443054245</v>
      </c>
      <c r="R17" s="99">
        <f>O17/L17</f>
        <v>0.96340425531914575</v>
      </c>
      <c r="S17" s="426"/>
      <c r="T17" s="19">
        <v>0.359722222222222</v>
      </c>
      <c r="U17" s="19">
        <v>0.39236111111111099</v>
      </c>
      <c r="V17" s="30">
        <f>(T17-U16)*24*60</f>
        <v>11.000000000000121</v>
      </c>
      <c r="W17" s="149">
        <f t="shared" si="4"/>
        <v>47.000000000000156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-82.340425531922392</v>
      </c>
      <c r="AG17" s="72">
        <f>N17/K17</f>
        <v>0.96340425531914564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1104</v>
      </c>
      <c r="H18" s="78">
        <f>F18*G18</f>
        <v>62497.440000000002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2070.0000000000232</v>
      </c>
      <c r="O18" s="96">
        <f>N18/M18</f>
        <v>138.00000000000153</v>
      </c>
      <c r="P18" s="97">
        <f>M18-J18</f>
        <v>0</v>
      </c>
      <c r="Q18" s="98">
        <f>O18-L18</f>
        <v>-11.999999999998465</v>
      </c>
      <c r="R18" s="99">
        <f>O18/L18</f>
        <v>0.92000000000001025</v>
      </c>
      <c r="S18" s="426"/>
      <c r="T18" s="19">
        <v>0.405555555555556</v>
      </c>
      <c r="U18" s="19">
        <v>0.42777777777777798</v>
      </c>
      <c r="V18" s="30">
        <f>(T18-U17)*24*60</f>
        <v>19.00000000000081</v>
      </c>
      <c r="W18" s="149">
        <f t="shared" si="4"/>
        <v>31.999999999999645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-179.99999999997681</v>
      </c>
      <c r="AG18" s="72">
        <f>N18/K18</f>
        <v>0.92000000000001025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2159</v>
      </c>
      <c r="H19" s="78">
        <f t="shared" ref="H19:H20" si="5">F19*G19</f>
        <v>108792.01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0" si="6">K19/J19</f>
        <v>173.07692307692307</v>
      </c>
      <c r="M19" s="148">
        <v>13</v>
      </c>
      <c r="N19" s="95">
        <f t="shared" ref="N19:N20" si="7">G19/W19*60</f>
        <v>2056.1904761904761</v>
      </c>
      <c r="O19" s="96">
        <f t="shared" ref="O19:O20" si="8">N19/M19</f>
        <v>158.16849816849816</v>
      </c>
      <c r="P19" s="97">
        <f t="shared" ref="P19:P20" si="9">M19-J19</f>
        <v>0</v>
      </c>
      <c r="Q19" s="98">
        <f t="shared" ref="Q19:Q20" si="10">O19-L19</f>
        <v>-14.908424908424905</v>
      </c>
      <c r="R19" s="99">
        <f t="shared" ref="R19:R20" si="11">O19/L19</f>
        <v>0.91386243386243382</v>
      </c>
      <c r="S19" s="426"/>
      <c r="T19" s="19">
        <v>0.43541666666666701</v>
      </c>
      <c r="U19" s="19">
        <v>0.47916666666666702</v>
      </c>
      <c r="V19" s="30">
        <f>(T19-U18)*24*60</f>
        <v>11.000000000000201</v>
      </c>
      <c r="W19" s="149">
        <f t="shared" si="4"/>
        <v>63.000000000000014</v>
      </c>
      <c r="X19" s="22">
        <v>0.49305555555555602</v>
      </c>
      <c r="Y19" s="84">
        <v>0.53472222222222199</v>
      </c>
      <c r="Z19" s="90"/>
      <c r="AA19" s="90"/>
      <c r="AB19" s="434"/>
      <c r="AC19" s="434"/>
      <c r="AD19" s="149"/>
      <c r="AE19" s="149"/>
      <c r="AF19" s="307">
        <f>N19-K19</f>
        <v>-193.80952380952385</v>
      </c>
      <c r="AG19" s="72">
        <f>N19/K19</f>
        <v>0.91386243386243382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2436</v>
      </c>
      <c r="H20" s="78">
        <f t="shared" si="5"/>
        <v>122750.04000000001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2118.2608695652443</v>
      </c>
      <c r="O20" s="96">
        <f t="shared" si="8"/>
        <v>162.9431438127111</v>
      </c>
      <c r="P20" s="97">
        <f t="shared" si="9"/>
        <v>0</v>
      </c>
      <c r="Q20" s="98">
        <f t="shared" si="10"/>
        <v>-10.133779264211967</v>
      </c>
      <c r="R20" s="99">
        <f t="shared" si="11"/>
        <v>0.94144927536233081</v>
      </c>
      <c r="S20" s="426"/>
      <c r="T20" s="19">
        <v>0.54166666666666696</v>
      </c>
      <c r="U20" s="19">
        <v>0.58958333333333302</v>
      </c>
      <c r="V20" s="30">
        <f>(T20-U19)*24*60</f>
        <v>89.999999999999915</v>
      </c>
      <c r="W20" s="149">
        <f t="shared" si="4"/>
        <v>68.999999999999119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6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9"/>
      <c r="U22" s="19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4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2">AVERAGE(J16:J25)</f>
        <v>14.4</v>
      </c>
      <c r="K26" s="155">
        <f t="shared" si="12"/>
        <v>2250</v>
      </c>
      <c r="L26" s="158">
        <f t="shared" si="12"/>
        <v>157.84421460892048</v>
      </c>
      <c r="M26" s="155">
        <f t="shared" si="12"/>
        <v>14.4</v>
      </c>
      <c r="N26" s="155">
        <f t="shared" si="12"/>
        <v>2117.9278020222964</v>
      </c>
      <c r="O26" s="158">
        <f t="shared" si="12"/>
        <v>148.43174988417769</v>
      </c>
      <c r="P26" s="159">
        <f>M26-J26</f>
        <v>0</v>
      </c>
      <c r="Q26" s="160">
        <f>O26-L26</f>
        <v>-9.4124647247427902</v>
      </c>
      <c r="R26" s="161">
        <f>O26/L26</f>
        <v>0.94036864291755395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3">N26-K26</f>
        <v>-132.07219797770358</v>
      </c>
      <c r="AG26" s="124">
        <f t="shared" ref="AG26:AG31" si="14">N26/K26</f>
        <v>0.94130124534324289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124</v>
      </c>
      <c r="E27" s="132"/>
      <c r="F27" s="129">
        <f>VLOOKUP(D27,廠價表!$C$1:$E$43,3,0)</f>
        <v>57.21</v>
      </c>
      <c r="G27" s="169">
        <v>2004</v>
      </c>
      <c r="H27" s="134">
        <f>F27*G27</f>
        <v>114648.84</v>
      </c>
      <c r="I27" s="135"/>
      <c r="J27" s="136">
        <f>VLOOKUP(D27,產線配置圖!$A$3:$C$40,2,0)</f>
        <v>18</v>
      </c>
      <c r="K27" s="137">
        <v>1714</v>
      </c>
      <c r="L27" s="138">
        <f>K27/J27</f>
        <v>95.222222222222229</v>
      </c>
      <c r="M27" s="170">
        <v>17</v>
      </c>
      <c r="N27" s="140">
        <f>G27/W27*60</f>
        <v>1484.4444444444453</v>
      </c>
      <c r="O27" s="141">
        <f>N27/M27</f>
        <v>87.320261437908542</v>
      </c>
      <c r="P27" s="142">
        <f>M27-J27</f>
        <v>-1</v>
      </c>
      <c r="Q27" s="143">
        <f>O27-L27</f>
        <v>-7.9019607843136868</v>
      </c>
      <c r="R27" s="144">
        <f>O27/L27</f>
        <v>0.91701558102821101</v>
      </c>
      <c r="S27" s="425">
        <f>R37</f>
        <v>0.8921656009817367</v>
      </c>
      <c r="T27" s="171">
        <v>0.29166666666666702</v>
      </c>
      <c r="U27" s="171">
        <v>0.34791666666666698</v>
      </c>
      <c r="V27" s="135"/>
      <c r="W27" s="146">
        <f t="shared" si="4"/>
        <v>80.999999999999957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13"/>
        <v>-229.55555555555475</v>
      </c>
      <c r="AG27" s="172">
        <f t="shared" si="14"/>
        <v>0.86607027097108824</v>
      </c>
      <c r="AH27" s="403">
        <f>AG37</f>
        <v>0.84262191179616563</v>
      </c>
    </row>
    <row r="28" spans="1:34" ht="15" customHeight="1">
      <c r="A28" s="457"/>
      <c r="B28" s="75" t="s">
        <v>81</v>
      </c>
      <c r="C28" s="173"/>
      <c r="D28" s="59" t="s">
        <v>122</v>
      </c>
      <c r="E28" s="104"/>
      <c r="F28" s="75">
        <f>VLOOKUP(D28,廠價表!$C$1:$E$43,3,0)</f>
        <v>57.21</v>
      </c>
      <c r="G28" s="90">
        <v>723</v>
      </c>
      <c r="H28" s="91">
        <f>F28*G28</f>
        <v>41362.83</v>
      </c>
      <c r="I28" s="92"/>
      <c r="J28" s="79">
        <f>VLOOKUP(D28,產線配置圖!$A$3:$C$40,2,0)</f>
        <v>18</v>
      </c>
      <c r="K28" s="80">
        <f>VLOOKUP(D28,產線配置圖!$A$3:$C$40,3,0)</f>
        <v>1565</v>
      </c>
      <c r="L28" s="93">
        <f>K28/J28</f>
        <v>86.944444444444443</v>
      </c>
      <c r="M28" s="94">
        <v>17</v>
      </c>
      <c r="N28" s="95">
        <f>G28/W28*60</f>
        <v>1141.5789473684179</v>
      </c>
      <c r="O28" s="96">
        <f>N28/M28</f>
        <v>67.151702786377527</v>
      </c>
      <c r="P28" s="97">
        <f>M28-J28</f>
        <v>-1</v>
      </c>
      <c r="Q28" s="98">
        <f>O28-L28</f>
        <v>-19.792741658066916</v>
      </c>
      <c r="R28" s="99">
        <f>O28/L28</f>
        <v>0.77235185313405463</v>
      </c>
      <c r="S28" s="426"/>
      <c r="T28" s="19">
        <v>0.35277777777777802</v>
      </c>
      <c r="U28" s="19">
        <v>0.37916666666666698</v>
      </c>
      <c r="V28" s="92">
        <f>(T28-U27)*24*60</f>
        <v>6.9999999999998952</v>
      </c>
      <c r="W28" s="149">
        <f t="shared" si="4"/>
        <v>38.000000000000107</v>
      </c>
      <c r="X28" s="174"/>
      <c r="Y28" s="301"/>
      <c r="Z28" s="335"/>
      <c r="AA28" s="335"/>
      <c r="AB28" s="407" t="s">
        <v>140</v>
      </c>
      <c r="AC28" s="407"/>
      <c r="AD28" s="92"/>
      <c r="AE28" s="92"/>
      <c r="AF28" s="311">
        <f t="shared" si="13"/>
        <v>-423.42105263158214</v>
      </c>
      <c r="AG28" s="99">
        <f t="shared" si="14"/>
        <v>0.7294434168488293</v>
      </c>
      <c r="AH28" s="445"/>
    </row>
    <row r="29" spans="1:34" ht="15" customHeight="1">
      <c r="A29" s="457"/>
      <c r="B29" s="75" t="s">
        <v>81</v>
      </c>
      <c r="C29" s="173"/>
      <c r="D29" s="59" t="s">
        <v>168</v>
      </c>
      <c r="E29" s="104"/>
      <c r="F29" s="75">
        <f>VLOOKUP(D29,廠價表!$C$1:$E$43,3,0)</f>
        <v>57.21</v>
      </c>
      <c r="G29" s="90">
        <v>2831</v>
      </c>
      <c r="H29" s="91">
        <f>F29*G29</f>
        <v>161961.51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1403.8016528925586</v>
      </c>
      <c r="O29" s="96">
        <f>N29/M29</f>
        <v>82.576567817209337</v>
      </c>
      <c r="P29" s="97">
        <f>M29-J29</f>
        <v>-1</v>
      </c>
      <c r="Q29" s="98">
        <f>O29-L29</f>
        <v>-4.3678766272351055</v>
      </c>
      <c r="R29" s="99">
        <f>O29/L29</f>
        <v>0.94976244134809462</v>
      </c>
      <c r="S29" s="426"/>
      <c r="T29" s="19">
        <v>0.38472222222222202</v>
      </c>
      <c r="U29" s="19">
        <v>0.46875</v>
      </c>
      <c r="V29" s="92">
        <f>(T29-U28)*24*60</f>
        <v>7.9999999999992522</v>
      </c>
      <c r="W29" s="149">
        <f t="shared" si="4"/>
        <v>121.00000000000028</v>
      </c>
      <c r="X29" s="22">
        <v>0.47222222222222199</v>
      </c>
      <c r="Y29" s="84">
        <v>0.51388888888888895</v>
      </c>
      <c r="Z29" s="90"/>
      <c r="AA29" s="90"/>
      <c r="AB29" s="407"/>
      <c r="AC29" s="407"/>
      <c r="AD29" s="92"/>
      <c r="AE29" s="92"/>
      <c r="AF29" s="312">
        <f t="shared" si="13"/>
        <v>-161.19834710744135</v>
      </c>
      <c r="AG29" s="99">
        <f t="shared" si="14"/>
        <v>0.89699786127320047</v>
      </c>
      <c r="AH29" s="445"/>
    </row>
    <row r="30" spans="1:34" ht="15" customHeight="1">
      <c r="A30" s="457"/>
      <c r="B30" s="75" t="s">
        <v>81</v>
      </c>
      <c r="C30" s="88"/>
      <c r="D30" s="59" t="s">
        <v>168</v>
      </c>
      <c r="E30" s="89"/>
      <c r="F30" s="75">
        <f>VLOOKUP(D30,廠價表!$C$1:$E$43,3,0)</f>
        <v>57.21</v>
      </c>
      <c r="G30" s="90">
        <v>1005</v>
      </c>
      <c r="H30" s="91">
        <f t="shared" ref="H30:H32" si="15">F30*G30</f>
        <v>57496.05</v>
      </c>
      <c r="I30" s="92"/>
      <c r="J30" s="79">
        <f>VLOOKUP(D30,產線配置圖!$A$3:$C$40,2,0)</f>
        <v>18</v>
      </c>
      <c r="K30" s="80">
        <f>VLOOKUP(D30,產線配置圖!$A$3:$C$40,3,0)</f>
        <v>1565</v>
      </c>
      <c r="L30" s="93">
        <f t="shared" ref="L30:L32" si="16">K30/J30</f>
        <v>86.944444444444443</v>
      </c>
      <c r="M30" s="94">
        <v>17</v>
      </c>
      <c r="N30" s="95">
        <f t="shared" ref="N30:N32" si="17">G30/W30*60</f>
        <v>1370.4545454545305</v>
      </c>
      <c r="O30" s="96">
        <f t="shared" ref="O30:O32" si="18">N30/M30</f>
        <v>80.614973262031199</v>
      </c>
      <c r="P30" s="97">
        <f t="shared" ref="P30:P32" si="19">M30-J30</f>
        <v>-1</v>
      </c>
      <c r="Q30" s="98">
        <f t="shared" ref="Q30:Q32" si="20">O30-L30</f>
        <v>-6.3294711824132435</v>
      </c>
      <c r="R30" s="99">
        <f t="shared" ref="R30:R32" si="21">O30/L30</f>
        <v>0.92720097042591798</v>
      </c>
      <c r="S30" s="426"/>
      <c r="T30" s="19">
        <v>0.51597222222222205</v>
      </c>
      <c r="U30" s="19">
        <v>0.54652777777777795</v>
      </c>
      <c r="V30" s="92">
        <f>(T30-U29)*24*60</f>
        <v>67.999999999999758</v>
      </c>
      <c r="W30" s="149">
        <f t="shared" si="4"/>
        <v>44.000000000000483</v>
      </c>
      <c r="X30" s="174"/>
      <c r="Y30" s="301"/>
      <c r="Z30" s="335"/>
      <c r="AA30" s="335"/>
      <c r="AB30" s="407"/>
      <c r="AC30" s="407"/>
      <c r="AD30" s="92"/>
      <c r="AE30" s="92"/>
      <c r="AF30" s="312">
        <f t="shared" si="13"/>
        <v>-194.54545454546951</v>
      </c>
      <c r="AG30" s="99">
        <f t="shared" si="14"/>
        <v>0.87568980540225594</v>
      </c>
      <c r="AH30" s="446"/>
    </row>
    <row r="31" spans="1:34" ht="15" customHeight="1">
      <c r="A31" s="457"/>
      <c r="B31" s="75" t="s">
        <v>81</v>
      </c>
      <c r="C31" s="88"/>
      <c r="D31" s="59" t="s">
        <v>124</v>
      </c>
      <c r="E31" s="89"/>
      <c r="F31" s="75">
        <f>VLOOKUP(D31,廠價表!$C$1:$E$43,3,0)</f>
        <v>57.21</v>
      </c>
      <c r="G31" s="90">
        <v>1100</v>
      </c>
      <c r="H31" s="91">
        <f t="shared" si="15"/>
        <v>62931</v>
      </c>
      <c r="I31" s="92"/>
      <c r="J31" s="79">
        <f>VLOOKUP(D31,產線配置圖!$A$3:$C$40,2,0)</f>
        <v>18</v>
      </c>
      <c r="K31" s="80">
        <v>1714</v>
      </c>
      <c r="L31" s="93">
        <f t="shared" si="16"/>
        <v>95.222222222222229</v>
      </c>
      <c r="M31" s="94">
        <v>16</v>
      </c>
      <c r="N31" s="95">
        <f t="shared" si="17"/>
        <v>1294.1176470588118</v>
      </c>
      <c r="O31" s="96">
        <f t="shared" si="18"/>
        <v>80.882352941175739</v>
      </c>
      <c r="P31" s="97">
        <f t="shared" si="19"/>
        <v>-2</v>
      </c>
      <c r="Q31" s="98">
        <f t="shared" si="20"/>
        <v>-14.339869281046489</v>
      </c>
      <c r="R31" s="99">
        <f t="shared" si="21"/>
        <v>0.84940627359461096</v>
      </c>
      <c r="S31" s="426"/>
      <c r="T31" s="19">
        <v>0.55138888888888904</v>
      </c>
      <c r="U31" s="19">
        <v>0.58680555555555602</v>
      </c>
      <c r="V31" s="92">
        <f t="shared" ref="V31:V32" si="22">(T31-U30)*24*60</f>
        <v>6.9999999999999751</v>
      </c>
      <c r="W31" s="149">
        <f t="shared" si="4"/>
        <v>51.000000000000455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3"/>
        <v>-419.88235294118817</v>
      </c>
      <c r="AG31" s="99">
        <f t="shared" si="14"/>
        <v>0.75502779875076531</v>
      </c>
      <c r="AH31" s="405"/>
    </row>
    <row r="32" spans="1:34" ht="15" customHeight="1">
      <c r="A32" s="457"/>
      <c r="B32" s="75" t="s">
        <v>128</v>
      </c>
      <c r="C32" s="102"/>
      <c r="D32" s="175" t="s">
        <v>130</v>
      </c>
      <c r="E32" s="176"/>
      <c r="F32" s="75">
        <f>VLOOKUP(D32,廠價表!$C$1:$E$43,3,0)</f>
        <v>44.3</v>
      </c>
      <c r="G32" s="90">
        <v>1223</v>
      </c>
      <c r="H32" s="91">
        <f t="shared" si="15"/>
        <v>54178.899999999994</v>
      </c>
      <c r="I32" s="92"/>
      <c r="J32" s="79">
        <f>VLOOKUP(D32,產線配置圖!$A$3:$C$40,2,0)</f>
        <v>17</v>
      </c>
      <c r="K32" s="80">
        <f>VLOOKUP(D32,產線配置圖!$A$3:$C$40,3,0)</f>
        <v>1636</v>
      </c>
      <c r="L32" s="93">
        <f t="shared" si="16"/>
        <v>96.235294117647058</v>
      </c>
      <c r="M32" s="94">
        <v>17</v>
      </c>
      <c r="N32" s="95">
        <f t="shared" si="17"/>
        <v>1528.7500000000157</v>
      </c>
      <c r="O32" s="96">
        <f t="shared" si="18"/>
        <v>89.926470588236214</v>
      </c>
      <c r="P32" s="97">
        <f t="shared" si="19"/>
        <v>0</v>
      </c>
      <c r="Q32" s="98">
        <f t="shared" si="20"/>
        <v>-6.3088235294108443</v>
      </c>
      <c r="R32" s="99">
        <f t="shared" si="21"/>
        <v>0.93444376528118311</v>
      </c>
      <c r="S32" s="426"/>
      <c r="T32" s="19">
        <v>0.59166666666666701</v>
      </c>
      <c r="U32" s="19">
        <v>0.625</v>
      </c>
      <c r="V32" s="92">
        <f t="shared" si="22"/>
        <v>6.9999999999998153</v>
      </c>
      <c r="W32" s="149">
        <f t="shared" si="4"/>
        <v>47.99999999999951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3"/>
      <c r="D33" s="59"/>
      <c r="E33" s="104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3">AVERAGE(J27:J36)</f>
        <v>17.833333333333332</v>
      </c>
      <c r="K37" s="155">
        <f t="shared" si="23"/>
        <v>1626.5</v>
      </c>
      <c r="L37" s="158">
        <f t="shared" si="23"/>
        <v>91.252178649237479</v>
      </c>
      <c r="M37" s="155">
        <f t="shared" si="23"/>
        <v>16.833333333333332</v>
      </c>
      <c r="N37" s="155">
        <f t="shared" si="23"/>
        <v>1370.5245395364634</v>
      </c>
      <c r="O37" s="158">
        <f t="shared" si="23"/>
        <v>81.41205480548976</v>
      </c>
      <c r="P37" s="159">
        <f>M37-J37</f>
        <v>-1</v>
      </c>
      <c r="Q37" s="160">
        <f>N37-K37</f>
        <v>-255.97546046353659</v>
      </c>
      <c r="R37" s="161">
        <f>O37/L37</f>
        <v>0.8921656009817367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-255.97546046353659</v>
      </c>
      <c r="AG37" s="124">
        <f>N37/K37</f>
        <v>0.84262191179616563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3015</v>
      </c>
      <c r="H38" s="134">
        <f>F38*G38</f>
        <v>150478.65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1644.545454545452</v>
      </c>
      <c r="O38" s="141">
        <f>N38/M38</f>
        <v>109.63636363636347</v>
      </c>
      <c r="P38" s="142">
        <f>M38-J38</f>
        <v>0</v>
      </c>
      <c r="Q38" s="143">
        <f>O38-L38</f>
        <v>-4.630303030303196</v>
      </c>
      <c r="R38" s="144">
        <f>O38/L38</f>
        <v>0.95947809483398605</v>
      </c>
      <c r="S38" s="453">
        <f>R48</f>
        <v>0.89394508059122491</v>
      </c>
      <c r="T38" s="191">
        <v>0.33333333333333298</v>
      </c>
      <c r="U38" s="191">
        <v>0.40972222222222199</v>
      </c>
      <c r="V38" s="192"/>
      <c r="W38" s="193">
        <f t="shared" si="4"/>
        <v>110.00000000000017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-69.454545454547997</v>
      </c>
      <c r="AG38" s="195">
        <f>N38/K38</f>
        <v>0.95947809483398605</v>
      </c>
      <c r="AH38" s="459">
        <f>AG48</f>
        <v>0.88943952156948058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2377</v>
      </c>
      <c r="H39" s="91">
        <f>F39*G39</f>
        <v>105301.09999999999</v>
      </c>
      <c r="I39" s="200"/>
      <c r="J39" s="148"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1426.199999999988</v>
      </c>
      <c r="O39" s="203">
        <f>N39/M39</f>
        <v>79.233333333332666</v>
      </c>
      <c r="P39" s="97">
        <f>M39-J39</f>
        <v>0</v>
      </c>
      <c r="Q39" s="98">
        <f>O39-L39</f>
        <v>-11.655555555556219</v>
      </c>
      <c r="R39" s="99">
        <f>O39/L39</f>
        <v>0.87176039119803672</v>
      </c>
      <c r="S39" s="454"/>
      <c r="T39" s="20">
        <v>0.42361111111111099</v>
      </c>
      <c r="U39" s="20">
        <v>0.49305555555555602</v>
      </c>
      <c r="V39" s="92">
        <f>(T39-U38)*24*60</f>
        <v>20.000000000000171</v>
      </c>
      <c r="W39" s="205">
        <f t="shared" si="4"/>
        <v>100.00000000000084</v>
      </c>
      <c r="X39" s="22">
        <v>0.5</v>
      </c>
      <c r="Y39" s="84">
        <v>0.54166666666666696</v>
      </c>
      <c r="Z39" s="90"/>
      <c r="AA39" s="90"/>
      <c r="AB39" s="462"/>
      <c r="AC39" s="462"/>
      <c r="AD39" s="200"/>
      <c r="AE39" s="200"/>
      <c r="AF39" s="314">
        <f>N39-K39</f>
        <v>-209.80000000001201</v>
      </c>
      <c r="AG39" s="206">
        <f>N39/K39</f>
        <v>0.87176039119803672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1364</v>
      </c>
      <c r="H40" s="91">
        <f>F40*G40</f>
        <v>60425.2</v>
      </c>
      <c r="I40" s="200"/>
      <c r="J40" s="148"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1363.9999999999902</v>
      </c>
      <c r="O40" s="203">
        <f>N40/M40</f>
        <v>75.777777777777231</v>
      </c>
      <c r="P40" s="97">
        <f>M40-J40</f>
        <v>0</v>
      </c>
      <c r="Q40" s="98">
        <f>O40-L40</f>
        <v>-15.111111111111654</v>
      </c>
      <c r="R40" s="99">
        <f>O40/L40</f>
        <v>0.83374083129583754</v>
      </c>
      <c r="S40" s="440"/>
      <c r="T40" s="20">
        <v>0.54861111111111105</v>
      </c>
      <c r="U40" s="20">
        <v>0.59027777777777801</v>
      </c>
      <c r="V40" s="92">
        <f>(T40-U39)*24*60</f>
        <v>79.999999999999233</v>
      </c>
      <c r="W40" s="205">
        <f t="shared" si="4"/>
        <v>60.000000000000426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-272.00000000000978</v>
      </c>
      <c r="AG40" s="206">
        <f>N40/K40</f>
        <v>0.83374083129583754</v>
      </c>
      <c r="AH40" s="460"/>
    </row>
    <row r="41" spans="1:34" ht="15" customHeight="1">
      <c r="A41" s="45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40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0</v>
      </c>
      <c r="AG41" s="206" t="e">
        <f>N41/K41</f>
        <v>#DIV/0!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1478.2484848484767</v>
      </c>
      <c r="O48" s="158">
        <f t="shared" si="24"/>
        <v>88.215824915824442</v>
      </c>
      <c r="P48" s="221">
        <f>M48-J48</f>
        <v>0</v>
      </c>
      <c r="Q48" s="222">
        <f>N48-K48</f>
        <v>-183.75151515152334</v>
      </c>
      <c r="R48" s="223">
        <f>O48/L48</f>
        <v>0.89394508059122491</v>
      </c>
      <c r="S48" s="443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25">N48-K48</f>
        <v>-183.75151515152334</v>
      </c>
      <c r="AG48" s="162">
        <f t="shared" ref="AG48:AG53" si="26">N48/K48</f>
        <v>0.88943952156948058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2016</v>
      </c>
      <c r="H49" s="134">
        <f>F49*G49</f>
        <v>99832.320000000007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16</v>
      </c>
      <c r="N49" s="140">
        <f>G49/W49*60</f>
        <v>1612.8000000000111</v>
      </c>
      <c r="O49" s="141">
        <f>N49/M49</f>
        <v>100.80000000000069</v>
      </c>
      <c r="P49" s="229">
        <f>M49-J49</f>
        <v>-1</v>
      </c>
      <c r="Q49" s="230">
        <f>O49-L49</f>
        <v>-5.0823529411757704</v>
      </c>
      <c r="R49" s="52">
        <f>O49/L49</f>
        <v>0.95200000000000662</v>
      </c>
      <c r="S49" s="439">
        <f>R58</f>
        <v>0.95329219004103294</v>
      </c>
      <c r="T49" s="191">
        <v>0.29166666666666702</v>
      </c>
      <c r="U49" s="191">
        <v>0.34375</v>
      </c>
      <c r="V49" s="55"/>
      <c r="W49" s="193">
        <f t="shared" si="4"/>
        <v>74.999999999999488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25"/>
        <v>-187.1999999999889</v>
      </c>
      <c r="AG49" s="52">
        <f t="shared" si="26"/>
        <v>0.89600000000000612</v>
      </c>
      <c r="AH49" s="403">
        <f>AG58</f>
        <v>0.89534785436362829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2730</v>
      </c>
      <c r="H50" s="231">
        <f>F50*G50</f>
        <v>137288.97</v>
      </c>
      <c r="I50" s="232"/>
      <c r="J50" s="79">
        <v>17</v>
      </c>
      <c r="K50" s="80">
        <f>VLOOKUP(D50,產線配置圖!$A$3:$C$40,3,0)</f>
        <v>1565</v>
      </c>
      <c r="L50" s="81">
        <f>K50/J50</f>
        <v>92.058823529411768</v>
      </c>
      <c r="M50" s="233">
        <v>16</v>
      </c>
      <c r="N50" s="234">
        <f>G50/W50*60</f>
        <v>1399.9999999999993</v>
      </c>
      <c r="O50" s="235">
        <f>N50/M50</f>
        <v>87.499999999999957</v>
      </c>
      <c r="P50" s="74">
        <f>M50-J50</f>
        <v>-1</v>
      </c>
      <c r="Q50" s="83">
        <f>O50-L50</f>
        <v>-4.5588235294118107</v>
      </c>
      <c r="R50" s="72">
        <f>O50/L50</f>
        <v>0.95047923322683658</v>
      </c>
      <c r="S50" s="440"/>
      <c r="T50" s="21">
        <v>0.34930555555555598</v>
      </c>
      <c r="U50" s="21">
        <v>0.43055555555555602</v>
      </c>
      <c r="V50" s="30">
        <f>(T50-U49)*24*60</f>
        <v>8.0000000000006111</v>
      </c>
      <c r="W50" s="236">
        <f t="shared" si="4"/>
        <v>117.00000000000006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25"/>
        <v>-165.00000000000068</v>
      </c>
      <c r="AG50" s="72">
        <f t="shared" si="26"/>
        <v>0.89456869009584616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f>VLOOKUP(D51,廠價表!$C$1:$E$43,3,0)</f>
        <v>49.97</v>
      </c>
      <c r="G51" s="202">
        <v>1497</v>
      </c>
      <c r="H51" s="231">
        <f>F51*G51</f>
        <v>74805.09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1633.0909090909292</v>
      </c>
      <c r="O51" s="235">
        <f>N51/M51</f>
        <v>108.87272727272861</v>
      </c>
      <c r="P51" s="74">
        <f>M51-J51</f>
        <v>-1</v>
      </c>
      <c r="Q51" s="83">
        <f>O51-L51</f>
        <v>-3.6272727272713894</v>
      </c>
      <c r="R51" s="72">
        <f>O51/L51</f>
        <v>0.9677575757575877</v>
      </c>
      <c r="S51" s="440"/>
      <c r="T51" s="21">
        <v>0.43541666666666701</v>
      </c>
      <c r="U51" s="19">
        <v>0.47361111111111098</v>
      </c>
      <c r="V51" s="30">
        <f>(T51-U50)*24*60</f>
        <v>6.9999999999998153</v>
      </c>
      <c r="W51" s="236">
        <f t="shared" si="4"/>
        <v>54.999999999999325</v>
      </c>
      <c r="X51" s="22">
        <v>0.47916666666666702</v>
      </c>
      <c r="Y51" s="84">
        <v>0.52083333333333304</v>
      </c>
      <c r="Z51" s="90"/>
      <c r="AA51" s="90"/>
      <c r="AB51" s="407"/>
      <c r="AC51" s="407"/>
      <c r="AD51" s="92"/>
      <c r="AE51" s="92"/>
      <c r="AF51" s="307">
        <f t="shared" si="25"/>
        <v>-166.90909090907076</v>
      </c>
      <c r="AG51" s="72">
        <f t="shared" si="26"/>
        <v>0.90727272727273844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f>VLOOKUP(D52,廠價表!$C$1:$E$43,3,0)</f>
        <v>49.97</v>
      </c>
      <c r="G52" s="202">
        <v>3843</v>
      </c>
      <c r="H52" s="231">
        <f>F52*G52</f>
        <v>192034.71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>G52/W52*60</f>
        <v>1590.2068965517317</v>
      </c>
      <c r="O52" s="235">
        <f>N52/M52</f>
        <v>106.01379310344878</v>
      </c>
      <c r="P52" s="74">
        <f>M52-J52</f>
        <v>-1</v>
      </c>
      <c r="Q52" s="83">
        <f>O52-L52</f>
        <v>-6.4862068965512236</v>
      </c>
      <c r="R52" s="72">
        <f>O52/L52</f>
        <v>0.9423448275862113</v>
      </c>
      <c r="S52" s="440"/>
      <c r="T52" s="21">
        <v>0.52430555555555602</v>
      </c>
      <c r="U52" s="21">
        <v>0.625</v>
      </c>
      <c r="V52" s="30">
        <f>(T52-U51)*24*60</f>
        <v>73.000000000000853</v>
      </c>
      <c r="W52" s="236">
        <f t="shared" si="4"/>
        <v>144.99999999999932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25"/>
        <v>-209.79310344826831</v>
      </c>
      <c r="AG52" s="72">
        <f t="shared" si="26"/>
        <v>0.8834482758620732</v>
      </c>
      <c r="AH52" s="404"/>
    </row>
    <row r="53" spans="1:34" ht="15" customHeight="1">
      <c r="A53" s="46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40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25"/>
        <v>0</v>
      </c>
      <c r="AG53" s="72" t="e">
        <f t="shared" si="26"/>
        <v>#DIV/0!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1741.25</v>
      </c>
      <c r="L58" s="117">
        <f t="shared" si="27"/>
        <v>105.73529411764706</v>
      </c>
      <c r="M58" s="120">
        <f t="shared" si="27"/>
        <v>15.5</v>
      </c>
      <c r="N58" s="120">
        <f t="shared" si="27"/>
        <v>1559.0244514106678</v>
      </c>
      <c r="O58" s="117">
        <f t="shared" si="27"/>
        <v>100.79663009404452</v>
      </c>
      <c r="P58" s="121">
        <f>M58-J58</f>
        <v>-1</v>
      </c>
      <c r="Q58" s="122">
        <f>N58-K58</f>
        <v>-182.22554858933222</v>
      </c>
      <c r="R58" s="123">
        <f>O58/L58</f>
        <v>0.95329219004103294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-182.22554858933222</v>
      </c>
      <c r="AG58" s="124">
        <f>N58/K58</f>
        <v>0.89534785436362829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2295</v>
      </c>
      <c r="H59" s="243">
        <f>F59*G59</f>
        <v>61942.049999999996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1496.73913043478</v>
      </c>
      <c r="O59" s="138">
        <f>N59/M59</f>
        <v>99.782608695652002</v>
      </c>
      <c r="P59" s="56">
        <f>M59-J59</f>
        <v>0</v>
      </c>
      <c r="Q59" s="230">
        <f>O59-L59</f>
        <v>-4.5507246376813271</v>
      </c>
      <c r="R59" s="52">
        <f>O59/L59</f>
        <v>0.95638283094874132</v>
      </c>
      <c r="S59" s="439">
        <f>R69</f>
        <v>0.94317540928875132</v>
      </c>
      <c r="T59" s="245">
        <v>0.29027777777777802</v>
      </c>
      <c r="U59" s="245">
        <v>0.35416666666666702</v>
      </c>
      <c r="V59" s="55"/>
      <c r="W59" s="54">
        <f t="shared" si="4"/>
        <v>92.000000000000156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-68.260869565219991</v>
      </c>
      <c r="AG59" s="246">
        <f>N59/K59</f>
        <v>0.95638283094874121</v>
      </c>
      <c r="AH59" s="403">
        <f>AG69</f>
        <v>0.94250827095895806</v>
      </c>
    </row>
    <row r="60" spans="1:34" ht="15" customHeight="1">
      <c r="A60" s="464"/>
      <c r="B60" s="75" t="s">
        <v>81</v>
      </c>
      <c r="C60" s="86"/>
      <c r="D60" s="175" t="s">
        <v>123</v>
      </c>
      <c r="E60" s="87"/>
      <c r="F60" s="75">
        <f>VLOOKUP(D60,廠價表!$C$1:$E$43,3,0)</f>
        <v>50.67</v>
      </c>
      <c r="G60" s="30">
        <v>1406</v>
      </c>
      <c r="H60" s="78">
        <f>F60*G60</f>
        <v>71242.02</v>
      </c>
      <c r="I60" s="30"/>
      <c r="J60" s="79">
        <f>VLOOKUP(D60,產線配置圖!$A$3:$C$40,2,0)</f>
        <v>13</v>
      </c>
      <c r="K60" s="80">
        <f>VLOOKUP(D60,產線配置圖!$A$3:$C$40,3,0)</f>
        <v>1440</v>
      </c>
      <c r="L60" s="81">
        <f>K60/J60</f>
        <v>110.76923076923077</v>
      </c>
      <c r="M60" s="82">
        <v>13</v>
      </c>
      <c r="N60" s="80">
        <f>G60/W60*60</f>
        <v>1405.9999999999882</v>
      </c>
      <c r="O60" s="81">
        <f>N60/M60</f>
        <v>108.15384615384525</v>
      </c>
      <c r="P60" s="74">
        <f>M60-J60</f>
        <v>0</v>
      </c>
      <c r="Q60" s="83">
        <f>O60-L60</f>
        <v>-2.6153846153855227</v>
      </c>
      <c r="R60" s="72">
        <f>O60/L60</f>
        <v>0.97638888888888065</v>
      </c>
      <c r="S60" s="467"/>
      <c r="T60" s="22">
        <v>0.359722222222222</v>
      </c>
      <c r="U60" s="22">
        <v>0.40138888888888902</v>
      </c>
      <c r="V60" s="30">
        <f>(T60-U59)*24*60</f>
        <v>7.9999999999991722</v>
      </c>
      <c r="W60" s="248">
        <f t="shared" si="4"/>
        <v>60.000000000000504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-34.000000000011823</v>
      </c>
      <c r="AG60" s="249">
        <f>N60/K60</f>
        <v>0.97638888888888065</v>
      </c>
      <c r="AH60" s="475"/>
    </row>
    <row r="61" spans="1:34" ht="15" customHeight="1">
      <c r="A61" s="465"/>
      <c r="B61" s="250" t="s">
        <v>125</v>
      </c>
      <c r="C61" s="251"/>
      <c r="D61" s="252" t="s">
        <v>135</v>
      </c>
      <c r="E61" s="253"/>
      <c r="F61" s="250">
        <f>VLOOKUP(D61,廠價表!$C$1:$E$43,3,0)</f>
        <v>28.26</v>
      </c>
      <c r="G61" s="38">
        <v>1838</v>
      </c>
      <c r="H61" s="254">
        <f>F61*G61</f>
        <v>51941.880000000005</v>
      </c>
      <c r="I61" s="182"/>
      <c r="J61" s="106">
        <f>VLOOKUP(D61,產線配置圖!$A$3:$C$40,2,0)</f>
        <v>12</v>
      </c>
      <c r="K61" s="107">
        <f>VLOOKUP(D61,產線配置圖!$A$3:$C$40,3,0)</f>
        <v>1565</v>
      </c>
      <c r="L61" s="238">
        <f>K61/J61</f>
        <v>130.41666666666666</v>
      </c>
      <c r="M61" s="108">
        <v>12</v>
      </c>
      <c r="N61" s="107">
        <f>G61/W61*60</f>
        <v>1470.4000000000101</v>
      </c>
      <c r="O61" s="238">
        <f>N61/M61</f>
        <v>122.53333333333417</v>
      </c>
      <c r="P61" s="111">
        <f>M61-J61</f>
        <v>0</v>
      </c>
      <c r="Q61" s="255">
        <f>O61-L61</f>
        <v>-7.8833333333324873</v>
      </c>
      <c r="R61" s="85">
        <f>O61/L61</f>
        <v>0.93955271565495857</v>
      </c>
      <c r="S61" s="440"/>
      <c r="T61" s="22">
        <v>0.40625</v>
      </c>
      <c r="U61" s="22">
        <v>0.45833333333333298</v>
      </c>
      <c r="V61" s="30">
        <f>(T61-U60)*24*60</f>
        <v>6.9999999999998153</v>
      </c>
      <c r="W61" s="256">
        <f t="shared" si="4"/>
        <v>74.999999999999488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-94.599999999989905</v>
      </c>
      <c r="AG61" s="247">
        <f>N61/K61</f>
        <v>0.93955271565495857</v>
      </c>
      <c r="AH61" s="404"/>
    </row>
    <row r="62" spans="1:34" ht="15" customHeight="1">
      <c r="A62" s="465"/>
      <c r="B62" s="250" t="s">
        <v>125</v>
      </c>
      <c r="C62" s="251"/>
      <c r="D62" s="257" t="s">
        <v>126</v>
      </c>
      <c r="E62" s="253"/>
      <c r="F62" s="250">
        <f>VLOOKUP(D62,廠價表!$C$1:$E$43,3,0)</f>
        <v>28.26</v>
      </c>
      <c r="G62" s="38">
        <v>1224</v>
      </c>
      <c r="H62" s="254">
        <f t="shared" ref="H62:H64" si="28">F62*G62</f>
        <v>34590.240000000005</v>
      </c>
      <c r="I62" s="182"/>
      <c r="J62" s="106">
        <f>VLOOKUP(D62,產線配置圖!$A$3:$C$40,2,0)</f>
        <v>11</v>
      </c>
      <c r="K62" s="107">
        <f>VLOOKUP(D62,產線配置圖!$A$3:$C$40,3,0)</f>
        <v>1565</v>
      </c>
      <c r="L62" s="238">
        <f t="shared" ref="L62:L64" si="29">K62/J62</f>
        <v>142.27272727272728</v>
      </c>
      <c r="M62" s="108">
        <v>11</v>
      </c>
      <c r="N62" s="107">
        <f t="shared" ref="N62:N64" si="30">G62/W62*60</f>
        <v>1468.80000000001</v>
      </c>
      <c r="O62" s="238">
        <f t="shared" ref="O62:O64" si="31">N62/M62</f>
        <v>133.52727272727364</v>
      </c>
      <c r="P62" s="111">
        <f t="shared" ref="P62:P64" si="32">M62-J62</f>
        <v>0</v>
      </c>
      <c r="Q62" s="255">
        <f t="shared" ref="Q62:Q64" si="33">O62-L62</f>
        <v>-8.7454545454536401</v>
      </c>
      <c r="R62" s="85">
        <f t="shared" ref="R62:R64" si="34">O62/L62</f>
        <v>0.93853035143770602</v>
      </c>
      <c r="S62" s="440"/>
      <c r="T62" s="22">
        <v>0.46527777777777801</v>
      </c>
      <c r="U62" s="22">
        <v>0.5</v>
      </c>
      <c r="V62" s="30">
        <f t="shared" ref="V62:V64" si="35">(T62-U61)*24*60</f>
        <v>10.000000000000844</v>
      </c>
      <c r="W62" s="248">
        <f t="shared" si="4"/>
        <v>49.999999999999659</v>
      </c>
      <c r="X62" s="22">
        <v>0.50694444444444398</v>
      </c>
      <c r="Y62" s="84">
        <v>0.54861111111111105</v>
      </c>
      <c r="Z62" s="90"/>
      <c r="AA62" s="90"/>
      <c r="AB62" s="407"/>
      <c r="AC62" s="407"/>
      <c r="AD62" s="92"/>
      <c r="AE62" s="92"/>
      <c r="AF62" s="317">
        <f>N62-K62</f>
        <v>-96.199999999990041</v>
      </c>
      <c r="AG62" s="247">
        <f>N62/K62</f>
        <v>0.93853035143770602</v>
      </c>
      <c r="AH62" s="404"/>
    </row>
    <row r="63" spans="1:34" ht="15" customHeight="1">
      <c r="A63" s="465"/>
      <c r="B63" s="258" t="s">
        <v>125</v>
      </c>
      <c r="C63" s="58"/>
      <c r="D63" s="259" t="s">
        <v>126</v>
      </c>
      <c r="E63" s="60"/>
      <c r="F63" s="250">
        <f>VLOOKUP(D63,廠價表!$C$1:$E$43,3,0)</f>
        <v>28.26</v>
      </c>
      <c r="G63" s="260">
        <v>1484</v>
      </c>
      <c r="H63" s="254">
        <f t="shared" si="28"/>
        <v>41937.840000000004</v>
      </c>
      <c r="I63" s="182"/>
      <c r="J63" s="106">
        <f>VLOOKUP(D63,產線配置圖!$A$3:$C$40,2,0)</f>
        <v>11</v>
      </c>
      <c r="K63" s="107">
        <f>VLOOKUP(D63,產線配置圖!$A$3:$C$40,3,0)</f>
        <v>1565</v>
      </c>
      <c r="L63" s="238">
        <f t="shared" si="29"/>
        <v>142.27272727272728</v>
      </c>
      <c r="M63" s="68">
        <v>11</v>
      </c>
      <c r="N63" s="107">
        <f t="shared" si="30"/>
        <v>1483.9999999999893</v>
      </c>
      <c r="O63" s="238">
        <f t="shared" si="31"/>
        <v>134.90909090908994</v>
      </c>
      <c r="P63" s="111">
        <f t="shared" si="32"/>
        <v>0</v>
      </c>
      <c r="Q63" s="255">
        <f t="shared" si="33"/>
        <v>-7.3636363636373403</v>
      </c>
      <c r="R63" s="85">
        <f t="shared" si="34"/>
        <v>0.94824281150159062</v>
      </c>
      <c r="S63" s="440"/>
      <c r="T63" s="22">
        <v>0.54861111111111105</v>
      </c>
      <c r="U63" s="22">
        <v>0.59027777777777801</v>
      </c>
      <c r="V63" s="30">
        <f t="shared" si="35"/>
        <v>69.999999999999915</v>
      </c>
      <c r="W63" s="248">
        <f t="shared" si="4"/>
        <v>60.000000000000426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 t="s">
        <v>125</v>
      </c>
      <c r="C64" s="76"/>
      <c r="D64" s="175" t="s">
        <v>134</v>
      </c>
      <c r="E64" s="77"/>
      <c r="F64" s="250">
        <f>VLOOKUP(D64,廠價表!$C$1:$E$43,3,0)</f>
        <v>26.99</v>
      </c>
      <c r="G64" s="30">
        <v>1172</v>
      </c>
      <c r="H64" s="254">
        <f t="shared" si="28"/>
        <v>31632.28</v>
      </c>
      <c r="I64" s="182"/>
      <c r="J64" s="106">
        <f>VLOOKUP(D64,產線配置圖!$A$3:$C$40,2,0)</f>
        <v>15</v>
      </c>
      <c r="K64" s="107">
        <f>VLOOKUP(D64,產線配置圖!$A$3:$C$40,3,0)</f>
        <v>1565</v>
      </c>
      <c r="L64" s="238">
        <f t="shared" si="29"/>
        <v>104.33333333333333</v>
      </c>
      <c r="M64" s="82">
        <v>15</v>
      </c>
      <c r="N64" s="107">
        <f t="shared" si="30"/>
        <v>1406.3999999999689</v>
      </c>
      <c r="O64" s="238">
        <f t="shared" si="31"/>
        <v>93.75999999999793</v>
      </c>
      <c r="P64" s="111">
        <f t="shared" si="32"/>
        <v>0</v>
      </c>
      <c r="Q64" s="255">
        <f t="shared" si="33"/>
        <v>-10.573333333335398</v>
      </c>
      <c r="R64" s="85">
        <f t="shared" si="34"/>
        <v>0.89865814696483648</v>
      </c>
      <c r="S64" s="440"/>
      <c r="T64" s="22">
        <v>0.60069444444444398</v>
      </c>
      <c r="U64" s="22">
        <v>0.63541666666666696</v>
      </c>
      <c r="V64" s="30">
        <f t="shared" si="35"/>
        <v>14.999999999998987</v>
      </c>
      <c r="W64" s="73">
        <f t="shared" si="4"/>
        <v>50.000000000001101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36">AVERAGE(J59:J68)</f>
        <v>12.833333333333334</v>
      </c>
      <c r="K69" s="240">
        <f t="shared" si="36"/>
        <v>1544.1666666666667</v>
      </c>
      <c r="L69" s="268">
        <f t="shared" si="36"/>
        <v>122.39966977466976</v>
      </c>
      <c r="M69" s="240">
        <f t="shared" si="36"/>
        <v>12.833333333333334</v>
      </c>
      <c r="N69" s="240">
        <f t="shared" si="36"/>
        <v>1455.3898550724577</v>
      </c>
      <c r="O69" s="268">
        <f t="shared" si="36"/>
        <v>115.44435863653216</v>
      </c>
      <c r="P69" s="269">
        <f>M69-J69</f>
        <v>0</v>
      </c>
      <c r="Q69" s="222">
        <f>N69-K69</f>
        <v>-88.776811594208993</v>
      </c>
      <c r="R69" s="123">
        <f>O69/L69</f>
        <v>0.94317540928875132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-88.776811594208993</v>
      </c>
      <c r="AG69" s="124">
        <f>N69/K69</f>
        <v>0.94250827095895806</v>
      </c>
      <c r="AH69" s="406"/>
    </row>
    <row r="70" spans="1:36" ht="15" customHeight="1">
      <c r="A70" s="471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39" t="e">
        <f>R79</f>
        <v>#DIV/0!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 t="s">
        <v>56</v>
      </c>
      <c r="D79" s="430" t="s">
        <v>42</v>
      </c>
      <c r="E79" s="430"/>
      <c r="F79" s="116"/>
      <c r="G79" s="117"/>
      <c r="H79" s="282"/>
      <c r="I79" s="268"/>
      <c r="J79" s="240" t="e">
        <f t="shared" ref="J79:O79" si="37">AVERAGE(J70:J78)</f>
        <v>#DIV/0!</v>
      </c>
      <c r="K79" s="240" t="e">
        <f t="shared" si="37"/>
        <v>#DIV/0!</v>
      </c>
      <c r="L79" s="268" t="e">
        <f t="shared" si="37"/>
        <v>#DIV/0!</v>
      </c>
      <c r="M79" s="240" t="e">
        <f t="shared" si="37"/>
        <v>#DIV/0!</v>
      </c>
      <c r="N79" s="240" t="e">
        <f t="shared" si="37"/>
        <v>#DIV/0!</v>
      </c>
      <c r="O79" s="268" t="e">
        <f t="shared" si="37"/>
        <v>#DIV/0!</v>
      </c>
      <c r="P79" s="269" t="e">
        <f>M79-J79</f>
        <v>#DIV/0!</v>
      </c>
      <c r="Q79" s="222" t="e">
        <f>N79-K79</f>
        <v>#DIV/0!</v>
      </c>
      <c r="R79" s="223" t="e">
        <f>O79/L79</f>
        <v>#DIV/0!</v>
      </c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 t="e">
        <f>N79-K79</f>
        <v>#DIV/0!</v>
      </c>
      <c r="AG79" s="124" t="e">
        <f>N79/K79</f>
        <v>#DIV/0!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J1:L2"/>
    <mergeCell ref="M1:O2"/>
    <mergeCell ref="P1:S2"/>
    <mergeCell ref="T1:Y2"/>
    <mergeCell ref="S3:S4"/>
    <mergeCell ref="H3:H4"/>
    <mergeCell ref="I3:I4"/>
    <mergeCell ref="T3:U3"/>
    <mergeCell ref="P3:P4"/>
    <mergeCell ref="V3:V4"/>
    <mergeCell ref="W3:W4"/>
    <mergeCell ref="J3:J4"/>
    <mergeCell ref="K3:K4"/>
    <mergeCell ref="A2:B2"/>
    <mergeCell ref="A3:A4"/>
    <mergeCell ref="B3:B4"/>
    <mergeCell ref="D3:E4"/>
    <mergeCell ref="F3:F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L3:L4"/>
    <mergeCell ref="AF1:AH2"/>
    <mergeCell ref="AB1:AC2"/>
    <mergeCell ref="AH3:AH4"/>
    <mergeCell ref="N3:N4"/>
    <mergeCell ref="Z3:AA3"/>
    <mergeCell ref="M3:M4"/>
    <mergeCell ref="X3:Y3"/>
    <mergeCell ref="Q3:Q4"/>
    <mergeCell ref="R3:R4"/>
    <mergeCell ref="O3:O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G3:G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S49:S58"/>
    <mergeCell ref="AB49:AC49"/>
    <mergeCell ref="AB57:AC57"/>
    <mergeCell ref="D58:E58"/>
    <mergeCell ref="AB58:AC58"/>
    <mergeCell ref="AB52:AC52"/>
    <mergeCell ref="AB53:AC53"/>
    <mergeCell ref="AB54:AC54"/>
    <mergeCell ref="AB55:AC55"/>
    <mergeCell ref="AB56:AC56"/>
    <mergeCell ref="A38:A48"/>
    <mergeCell ref="S38:S48"/>
    <mergeCell ref="AB38:AC38"/>
    <mergeCell ref="D48:E48"/>
    <mergeCell ref="AB48:AC48"/>
    <mergeCell ref="AH49:AH58"/>
    <mergeCell ref="AB50:AC50"/>
    <mergeCell ref="AB51:AC51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59:A69"/>
    <mergeCell ref="S59:S69"/>
    <mergeCell ref="AB59:AC59"/>
    <mergeCell ref="D69:E69"/>
    <mergeCell ref="AB69:AC69"/>
    <mergeCell ref="A49:A58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</mergeCells>
  <phoneticPr fontId="0" type="noConversion"/>
  <conditionalFormatting sqref="P5:P79">
    <cfRule type="cellIs" dxfId="178" priority="1" operator="greaterThan">
      <formula>0</formula>
    </cfRule>
  </conditionalFormatting>
  <conditionalFormatting sqref="Q5:Q79 AF5:AF79">
    <cfRule type="cellIs" dxfId="177" priority="4" operator="lessThan">
      <formula>0</formula>
    </cfRule>
  </conditionalFormatting>
  <conditionalFormatting sqref="R5:R79 AG5:AG79">
    <cfRule type="cellIs" dxfId="176" priority="2" operator="greaterThan">
      <formula>1</formula>
    </cfRule>
    <cfRule type="cellIs" dxfId="175" priority="3" operator="lessThan">
      <formula>0.8</formula>
    </cfRule>
  </conditionalFormatting>
  <conditionalFormatting sqref="S5:S10 S37:S62 AH59:AH62 S69:S76 AH69:AH76">
    <cfRule type="cellIs" dxfId="174" priority="7" operator="lessThan">
      <formula>0.8</formula>
    </cfRule>
  </conditionalFormatting>
  <conditionalFormatting sqref="S19:S25 AH19:AH25">
    <cfRule type="cellIs" dxfId="173" priority="6" operator="lessThan">
      <formula>0.8</formula>
    </cfRule>
  </conditionalFormatting>
  <conditionalFormatting sqref="S79">
    <cfRule type="cellIs" dxfId="172" priority="5" operator="lessThan">
      <formula>0.8</formula>
    </cfRule>
  </conditionalFormatting>
  <conditionalFormatting sqref="AH5:AH8 S15:S16 AH15:AH16 AH49 AH79">
    <cfRule type="cellIs" dxfId="171" priority="9" operator="lessThan">
      <formula>0.8</formula>
    </cfRule>
  </conditionalFormatting>
  <conditionalFormatting sqref="AH27 S27:S28">
    <cfRule type="cellIs" dxfId="1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87A3B8-40D4-42BA-82DE-A91310A9C29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D464-0B9A-4BB0-8C60-CA6CEC5B71C8}">
  <dimension ref="B1:O26"/>
  <sheetViews>
    <sheetView zoomScale="70" zoomScaleNormal="70" workbookViewId="0">
      <selection activeCell="H8" sqref="H8:I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46187</v>
      </c>
      <c r="E3" s="510"/>
      <c r="F3" s="3" t="s">
        <v>72</v>
      </c>
      <c r="G3" s="511">
        <f>'0614'!E1</f>
        <v>70645</v>
      </c>
      <c r="H3" s="511"/>
      <c r="I3" s="3" t="s">
        <v>2</v>
      </c>
      <c r="J3" s="512">
        <f>'0614'!G1</f>
        <v>3431047.73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121.66023154405508</v>
      </c>
      <c r="G6" s="507"/>
      <c r="H6" s="508">
        <f>AVERAGE(D13:H13,J13)</f>
        <v>117.34874488256843</v>
      </c>
      <c r="I6" s="508"/>
      <c r="J6" s="508">
        <f>AVERAGE(I13)</f>
        <v>124.72575757575757</v>
      </c>
      <c r="K6" s="508"/>
      <c r="L6" s="516">
        <f>SUM(D18:J18)</f>
        <v>4</v>
      </c>
      <c r="M6" s="499">
        <f>SUM(D19:J19)</f>
        <v>58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111.41905965913772</v>
      </c>
      <c r="G7" s="496"/>
      <c r="H7" s="497">
        <f>AVERAGE(D14:H14,J14)</f>
        <v>103.39867266078043</v>
      </c>
      <c r="I7" s="497"/>
      <c r="J7" s="497">
        <f>AVERAGE(I14)</f>
        <v>112.07932564102505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0.91582153218893991</v>
      </c>
      <c r="G8" s="502"/>
      <c r="H8" s="502">
        <f>H7/H6</f>
        <v>0.88112295333241175</v>
      </c>
      <c r="I8" s="502"/>
      <c r="J8" s="502">
        <f>J7/J6</f>
        <v>0.89860609243402545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VALUE('0614'!L15)</f>
        <v>150</v>
      </c>
      <c r="E13" s="13">
        <f>VALUE('0614'!L26)</f>
        <v>158.32255979314803</v>
      </c>
      <c r="F13" s="13">
        <f>VALUE('0614'!L37)</f>
        <v>88.600000000000009</v>
      </c>
      <c r="G13" s="13">
        <f>VALUE('0614'!L48)</f>
        <v>102.57777777777778</v>
      </c>
      <c r="H13" s="13">
        <f>VALUE('0614'!L58)</f>
        <v>105.73529411764706</v>
      </c>
      <c r="I13" s="13">
        <f>VALUE('0614'!L69)</f>
        <v>124.72575757575757</v>
      </c>
      <c r="J13" s="13">
        <f>'0614'!L79</f>
        <v>98.856837606837615</v>
      </c>
    </row>
    <row r="14" spans="2:15" ht="39.950000000000003" customHeight="1">
      <c r="B14" s="490"/>
      <c r="C14" s="12" t="s">
        <v>100</v>
      </c>
      <c r="D14" s="13">
        <f>VALUE('0614'!O15)</f>
        <v>142.28894396412039</v>
      </c>
      <c r="E14" s="13">
        <f>VALUE('0614'!O26)</f>
        <v>142.64889100626377</v>
      </c>
      <c r="F14" s="13">
        <f>VALUE('0614'!O37)</f>
        <v>82.219647029081472</v>
      </c>
      <c r="G14" s="13">
        <f>VALUE('0614'!O48)</f>
        <v>93.580979736376349</v>
      </c>
      <c r="H14" s="13">
        <f>VALUE('0614'!O58)</f>
        <v>95.696570577959264</v>
      </c>
      <c r="I14" s="13">
        <f>VALUE('0614'!O69)</f>
        <v>112.07932564102505</v>
      </c>
      <c r="J14" s="13">
        <f>'0614'!O79</f>
        <v>63.957003650881298</v>
      </c>
    </row>
    <row r="15" spans="2:15" ht="39.950000000000003" customHeight="1">
      <c r="B15" s="491"/>
      <c r="C15" s="10" t="s">
        <v>26</v>
      </c>
      <c r="D15" s="14">
        <f t="shared" ref="D15:I15" si="1">D14/D13</f>
        <v>0.9485929597608026</v>
      </c>
      <c r="E15" s="14">
        <f t="shared" si="1"/>
        <v>0.90100167147775867</v>
      </c>
      <c r="F15" s="14">
        <f t="shared" si="1"/>
        <v>0.92798698678421521</v>
      </c>
      <c r="G15" s="14">
        <f t="shared" si="1"/>
        <v>0.91229291337455276</v>
      </c>
      <c r="H15" s="14">
        <f t="shared" si="1"/>
        <v>0.90505796930476079</v>
      </c>
      <c r="I15" s="14">
        <f t="shared" si="1"/>
        <v>0.89860609243402545</v>
      </c>
      <c r="J15" s="15">
        <f>'0614'!S70</f>
        <v>0.64696590745947136</v>
      </c>
    </row>
    <row r="16" spans="2:15" ht="17.25" customHeight="1">
      <c r="B16" s="492" t="s">
        <v>101</v>
      </c>
      <c r="C16" s="10" t="s">
        <v>34</v>
      </c>
      <c r="D16" s="16">
        <f>'0614'!T5</f>
        <v>0.29861111111111099</v>
      </c>
      <c r="E16" s="16">
        <f>'0614'!T16</f>
        <v>0.29861111111111099</v>
      </c>
      <c r="F16" s="16">
        <f>'0614'!T27</f>
        <v>0.29166666666666702</v>
      </c>
      <c r="G16" s="16">
        <f>'0614'!T38</f>
        <v>0.33333333333333298</v>
      </c>
      <c r="H16" s="16">
        <f>'0614'!T49</f>
        <v>0.29027777777777802</v>
      </c>
      <c r="I16" s="16">
        <f>'0614'!T59</f>
        <v>0.29513888888888901</v>
      </c>
      <c r="J16" s="16">
        <f>'0614'!T70</f>
        <v>0.34166666666666701</v>
      </c>
    </row>
    <row r="17" spans="2:10" ht="17.25" customHeight="1">
      <c r="B17" s="493"/>
      <c r="C17" s="10" t="s">
        <v>35</v>
      </c>
      <c r="D17" s="16">
        <v>0.63611111111111096</v>
      </c>
      <c r="E17" s="19">
        <v>0.69583333333333297</v>
      </c>
      <c r="F17" s="19">
        <v>0.68958333333333299</v>
      </c>
      <c r="G17" s="210">
        <v>0.71875</v>
      </c>
      <c r="H17" s="21">
        <v>0.63888888888888895</v>
      </c>
      <c r="I17" s="21">
        <v>0.63888888888888895</v>
      </c>
      <c r="J17" s="22">
        <v>0.484027777777778</v>
      </c>
    </row>
    <row r="18" spans="2:10" ht="17.25" customHeight="1">
      <c r="B18" s="494" t="s">
        <v>102</v>
      </c>
      <c r="C18" s="330" t="s">
        <v>36</v>
      </c>
      <c r="D18" s="358">
        <f>'0614'!Z15</f>
        <v>0</v>
      </c>
      <c r="E18" s="359">
        <f>'0614'!Z26</f>
        <v>1</v>
      </c>
      <c r="F18" s="359">
        <f>'0614'!Z37</f>
        <v>0</v>
      </c>
      <c r="G18" s="360">
        <f>'0614'!Z48</f>
        <v>3</v>
      </c>
      <c r="H18" s="360">
        <f>'0614'!Z58</f>
        <v>0</v>
      </c>
      <c r="I18" s="359">
        <f>'0614'!Z69</f>
        <v>0</v>
      </c>
      <c r="J18" s="359">
        <f>'0614'!AA79</f>
        <v>0</v>
      </c>
    </row>
    <row r="19" spans="2:10" ht="17.25" customHeight="1">
      <c r="B19" s="495"/>
      <c r="C19" s="330" t="s">
        <v>37</v>
      </c>
      <c r="D19" s="358">
        <f>'0614'!AA15</f>
        <v>0</v>
      </c>
      <c r="E19" s="359">
        <f>'0614'!AA26</f>
        <v>29</v>
      </c>
      <c r="F19" s="359">
        <f>'0614'!AA37</f>
        <v>0</v>
      </c>
      <c r="G19" s="360">
        <f>'0614'!AA48</f>
        <v>29</v>
      </c>
      <c r="H19" s="360">
        <f>'0614'!AA58</f>
        <v>0</v>
      </c>
      <c r="I19" s="359">
        <f>'0614'!AA69</f>
        <v>0</v>
      </c>
      <c r="J19" s="359">
        <f>'0614'!AB79</f>
        <v>0</v>
      </c>
    </row>
    <row r="20" spans="2:10" ht="17.25" customHeight="1">
      <c r="B20" s="494" t="s">
        <v>103</v>
      </c>
      <c r="C20" s="330" t="s">
        <v>36</v>
      </c>
      <c r="D20" s="358">
        <f>'0614'!AD15</f>
        <v>0</v>
      </c>
      <c r="E20" s="359">
        <f>'0614'!AD26</f>
        <v>0</v>
      </c>
      <c r="F20" s="359">
        <f>'0614'!AD37</f>
        <v>0</v>
      </c>
      <c r="G20" s="360">
        <f>'0614'!AD48</f>
        <v>0</v>
      </c>
      <c r="H20" s="360">
        <f>'0614'!AD58</f>
        <v>0</v>
      </c>
      <c r="I20" s="359">
        <f>'0614'!AD69</f>
        <v>0</v>
      </c>
      <c r="J20" s="359">
        <f>'0614'!AD79</f>
        <v>0</v>
      </c>
    </row>
    <row r="21" spans="2:10" ht="17.25" customHeight="1">
      <c r="B21" s="495"/>
      <c r="C21" s="330" t="s">
        <v>85</v>
      </c>
      <c r="D21" s="358">
        <f>'0614'!AE15</f>
        <v>0</v>
      </c>
      <c r="E21" s="359">
        <f>'0614'!AE26</f>
        <v>0</v>
      </c>
      <c r="F21" s="359">
        <f>'0614'!AE37</f>
        <v>0</v>
      </c>
      <c r="G21" s="360">
        <f>'0614'!AE48</f>
        <v>0</v>
      </c>
      <c r="H21" s="360">
        <f>'0614'!AE58</f>
        <v>0</v>
      </c>
      <c r="I21" s="359">
        <f>'0614'!AE69</f>
        <v>0</v>
      </c>
      <c r="J21" s="359">
        <f>'0614'!AE79</f>
        <v>0</v>
      </c>
    </row>
    <row r="22" spans="2:10" ht="17.25" customHeight="1">
      <c r="B22" s="477" t="s">
        <v>104</v>
      </c>
      <c r="C22" s="478"/>
      <c r="D22" s="23">
        <f>VALUE('0614'!M15)</f>
        <v>15</v>
      </c>
      <c r="E22" s="23">
        <f>VALUE('0614'!M26)</f>
        <v>14.333333333333334</v>
      </c>
      <c r="F22" s="23">
        <f>VALUE('0614'!M37)</f>
        <v>16.2</v>
      </c>
      <c r="G22" s="23">
        <f>VALUE('0614'!M48)</f>
        <v>16</v>
      </c>
      <c r="H22" s="23">
        <f>VALUE('0614'!M58)</f>
        <v>16.5</v>
      </c>
      <c r="I22" s="23">
        <f>VALUE('0614'!M69)</f>
        <v>13.6</v>
      </c>
      <c r="J22" s="23">
        <f>'0614'!M79</f>
        <v>11.5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E1A4-3C8E-42C9-B99A-6A413656880D}">
  <sheetPr>
    <tabColor theme="9" tint="0.79998168889431442"/>
  </sheetPr>
  <dimension ref="A1:AJ92"/>
  <sheetViews>
    <sheetView zoomScale="69" zoomScaleNormal="69" workbookViewId="0">
      <pane xSplit="5" ySplit="4" topLeftCell="F35" activePane="bottomRight" state="frozen"/>
      <selection activeCell="U71" sqref="U71"/>
      <selection pane="topRight" activeCell="U71" sqref="U71"/>
      <selection pane="bottomLeft" activeCell="U71" sqref="U71"/>
      <selection pane="bottomRight" activeCell="U71" sqref="U7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70645</v>
      </c>
      <c r="F1" s="30" t="s">
        <v>2</v>
      </c>
      <c r="G1" s="31">
        <f>SUM(H5:H79)</f>
        <v>3431047.73</v>
      </c>
      <c r="H1" s="32" t="s">
        <v>3</v>
      </c>
      <c r="I1" s="33">
        <f>M15+M26+M48+M58+M69+M79+M37</f>
        <v>103.13333333333334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185</v>
      </c>
      <c r="B2" s="381"/>
      <c r="C2" s="28"/>
      <c r="D2" s="28" t="s">
        <v>14</v>
      </c>
      <c r="E2" s="35">
        <f>AVERAGE(O15,O26,O37,O48,O58,O69,O79)</f>
        <v>104.63876594367252</v>
      </c>
      <c r="F2" s="36" t="s">
        <v>15</v>
      </c>
      <c r="G2" s="37">
        <f>G1/E1</f>
        <v>48.567453181399955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4</v>
      </c>
      <c r="AA2" s="339">
        <f>AA15+AA26+AA37+AA48+AA58+AA69+AA79</f>
        <v>58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3237</v>
      </c>
      <c r="H5" s="43">
        <f>F5*G5</f>
        <v>184088.19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2158</v>
      </c>
      <c r="O5" s="47">
        <f>N5/M5</f>
        <v>143.86666666666667</v>
      </c>
      <c r="P5" s="49">
        <f>M5-J5</f>
        <v>0</v>
      </c>
      <c r="Q5" s="50">
        <f>O5-L5</f>
        <v>-6.1333333333333258</v>
      </c>
      <c r="R5" s="51">
        <f>O5/L5</f>
        <v>0.95911111111111114</v>
      </c>
      <c r="S5" s="439">
        <f>R15</f>
        <v>0.9485929597608026</v>
      </c>
      <c r="T5" s="319">
        <v>0.29861111111111099</v>
      </c>
      <c r="U5" s="320">
        <v>0.36111111111111099</v>
      </c>
      <c r="V5" s="53"/>
      <c r="W5" s="54">
        <f t="shared" ref="W5:W14" si="0">(U5-T5)*24*60</f>
        <v>90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-92</v>
      </c>
      <c r="AG5" s="52">
        <f t="shared" ref="AG5:AG11" si="2">N5/K5</f>
        <v>0.95911111111111114</v>
      </c>
      <c r="AH5" s="403">
        <f>AG15</f>
        <v>0.9485929597608026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3451</v>
      </c>
      <c r="H6" s="63">
        <f>F6*G6</f>
        <v>200744.67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2134.639175257736</v>
      </c>
      <c r="O6" s="67">
        <f>N6/M6</f>
        <v>142.30927835051574</v>
      </c>
      <c r="P6" s="69">
        <f>M6-J6</f>
        <v>0</v>
      </c>
      <c r="Q6" s="70">
        <f>O6-L6</f>
        <v>-7.6907216494842601</v>
      </c>
      <c r="R6" s="71">
        <f>O6/L6</f>
        <v>0.94872852233677163</v>
      </c>
      <c r="S6" s="440"/>
      <c r="T6" s="16">
        <v>0.36875000000000002</v>
      </c>
      <c r="U6" s="16">
        <v>0.43611111111111101</v>
      </c>
      <c r="V6" s="30">
        <f>(T6-U5)*24*60</f>
        <v>11.000000000000201</v>
      </c>
      <c r="W6" s="73">
        <f t="shared" si="0"/>
        <v>96.999999999999815</v>
      </c>
      <c r="X6" s="22"/>
      <c r="Y6" s="84"/>
      <c r="Z6" s="90"/>
      <c r="AA6" s="90"/>
      <c r="AB6" s="434"/>
      <c r="AC6" s="434"/>
      <c r="AD6" s="149"/>
      <c r="AE6" s="149"/>
      <c r="AF6" s="307">
        <f t="shared" si="1"/>
        <v>-115.36082474226396</v>
      </c>
      <c r="AG6" s="72">
        <f t="shared" si="2"/>
        <v>0.94872852233677163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2967</v>
      </c>
      <c r="H7" s="78">
        <f>F7*G7</f>
        <v>145798.38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2046.2068965517465</v>
      </c>
      <c r="O7" s="81">
        <f>N7/M7</f>
        <v>136.41379310344976</v>
      </c>
      <c r="P7" s="74">
        <f>M7-J7</f>
        <v>0</v>
      </c>
      <c r="Q7" s="83">
        <f>O7-L7</f>
        <v>-13.586206896550237</v>
      </c>
      <c r="R7" s="72">
        <f>O7/L7</f>
        <v>0.90942528735633177</v>
      </c>
      <c r="S7" s="440"/>
      <c r="T7" s="18">
        <v>0.44305555555555598</v>
      </c>
      <c r="U7" s="18">
        <v>0.50347222222222199</v>
      </c>
      <c r="V7" s="30">
        <f>(T7-U6)*24*60</f>
        <v>10.000000000000764</v>
      </c>
      <c r="W7" s="73">
        <f t="shared" si="0"/>
        <v>86.999999999999048</v>
      </c>
      <c r="X7" s="22"/>
      <c r="Y7" s="84"/>
      <c r="Z7" s="90"/>
      <c r="AA7" s="90"/>
      <c r="AB7" s="407"/>
      <c r="AC7" s="407"/>
      <c r="AD7" s="92"/>
      <c r="AE7" s="92"/>
      <c r="AF7" s="307">
        <f t="shared" si="1"/>
        <v>-203.79310344825353</v>
      </c>
      <c r="AG7" s="72">
        <f t="shared" si="2"/>
        <v>0.90942528735633177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3884</v>
      </c>
      <c r="H8" s="78">
        <f>F8*G8</f>
        <v>190859.76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2198.4905660377403</v>
      </c>
      <c r="O8" s="81">
        <f>N8/M8</f>
        <v>146.56603773584936</v>
      </c>
      <c r="P8" s="74">
        <f>M8-J8</f>
        <v>0</v>
      </c>
      <c r="Q8" s="83">
        <f>O8-L8</f>
        <v>-3.4339622641506367</v>
      </c>
      <c r="R8" s="72">
        <f>O8/L8</f>
        <v>0.97710691823899576</v>
      </c>
      <c r="S8" s="440"/>
      <c r="T8" s="16">
        <v>0.5625</v>
      </c>
      <c r="U8" s="16">
        <v>0.63611111111111096</v>
      </c>
      <c r="V8" s="30">
        <f>(T8-U7)*24*60</f>
        <v>85.000000000000341</v>
      </c>
      <c r="W8" s="73">
        <f t="shared" si="0"/>
        <v>105.99999999999979</v>
      </c>
      <c r="X8" s="22"/>
      <c r="Y8" s="84"/>
      <c r="Z8" s="90"/>
      <c r="AA8" s="90"/>
      <c r="AB8" s="434"/>
      <c r="AC8" s="434"/>
      <c r="AD8" s="149"/>
      <c r="AE8" s="149"/>
      <c r="AF8" s="307">
        <f t="shared" si="1"/>
        <v>-51.509433962259664</v>
      </c>
      <c r="AG8" s="72">
        <f t="shared" si="2"/>
        <v>0.97710691823899576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0</v>
      </c>
      <c r="AG9" s="72" t="e">
        <f t="shared" si="2"/>
        <v>#DIV/0!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2134.3341594618059</v>
      </c>
      <c r="O15" s="117">
        <f t="shared" si="3"/>
        <v>142.28894396412039</v>
      </c>
      <c r="P15" s="121">
        <f>M15-J15</f>
        <v>0</v>
      </c>
      <c r="Q15" s="122">
        <f>O15-L15</f>
        <v>-7.7110560358796079</v>
      </c>
      <c r="R15" s="123">
        <f>O15/L15</f>
        <v>0.9485929597608026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-115.66584053819406</v>
      </c>
      <c r="AG15" s="124">
        <f>N15/K15</f>
        <v>0.9485929597608026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2506</v>
      </c>
      <c r="H16" s="134">
        <f>F16*G16</f>
        <v>126979.02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2148.0000000000055</v>
      </c>
      <c r="O16" s="141">
        <f>N16/M16</f>
        <v>153.42857142857181</v>
      </c>
      <c r="P16" s="142">
        <f>M16-J16</f>
        <v>0</v>
      </c>
      <c r="Q16" s="143">
        <f>O16-L16</f>
        <v>-7.2857142857139081</v>
      </c>
      <c r="R16" s="144">
        <f>O16/L16</f>
        <v>0.95466666666666899</v>
      </c>
      <c r="S16" s="425">
        <f>R26</f>
        <v>0.90100167147775867</v>
      </c>
      <c r="T16" s="145">
        <v>0.29861111111111099</v>
      </c>
      <c r="U16" s="145">
        <v>0.34722222222222199</v>
      </c>
      <c r="V16" s="135"/>
      <c r="W16" s="146">
        <f t="shared" ref="W16:W78" si="4">(U16-T16)*24*60</f>
        <v>69.999999999999829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-101.99999999999454</v>
      </c>
      <c r="AG16" s="52">
        <f>N16/K16</f>
        <v>0.95466666666666911</v>
      </c>
      <c r="AH16" s="403">
        <f>AG26</f>
        <v>0.90375669472053366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2027</v>
      </c>
      <c r="H17" s="78">
        <f>F17*G17</f>
        <v>115964.67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2133.6842105263354</v>
      </c>
      <c r="O17" s="96">
        <f>N17/M17</f>
        <v>125.51083591331384</v>
      </c>
      <c r="P17" s="97">
        <f>M17-J17</f>
        <v>0</v>
      </c>
      <c r="Q17" s="98">
        <f>O17-L17</f>
        <v>-6.8421052631567392</v>
      </c>
      <c r="R17" s="99">
        <f>O17/L17</f>
        <v>0.9483040935672602</v>
      </c>
      <c r="S17" s="426"/>
      <c r="T17" s="19">
        <v>0.35486111111111102</v>
      </c>
      <c r="U17" s="19">
        <v>0.39444444444444399</v>
      </c>
      <c r="V17" s="30">
        <f>(T17-U16)*24*60</f>
        <v>11.000000000000201</v>
      </c>
      <c r="W17" s="149">
        <f t="shared" si="4"/>
        <v>56.999999999999474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-116.31578947366461</v>
      </c>
      <c r="AG17" s="72">
        <f>N17/K17</f>
        <v>0.9483040935672602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1178</v>
      </c>
      <c r="H18" s="78">
        <f>F18*G18</f>
        <v>66686.58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2019.4285714286202</v>
      </c>
      <c r="O18" s="96">
        <f>N18/M18</f>
        <v>134.62857142857467</v>
      </c>
      <c r="P18" s="97">
        <f>M18-J18</f>
        <v>0</v>
      </c>
      <c r="Q18" s="98">
        <f>O18-L18</f>
        <v>-15.371428571425326</v>
      </c>
      <c r="R18" s="99">
        <f>O18/L18</f>
        <v>0.89752380952383115</v>
      </c>
      <c r="S18" s="426"/>
      <c r="T18" s="19">
        <v>0.40138888888888902</v>
      </c>
      <c r="U18" s="19">
        <v>0.42569444444444399</v>
      </c>
      <c r="V18" s="30">
        <f>(T18-U17)*24*60</f>
        <v>10.000000000000844</v>
      </c>
      <c r="W18" s="149">
        <f t="shared" si="4"/>
        <v>34.999999999999154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-230.57142857137978</v>
      </c>
      <c r="AG18" s="72">
        <f>N18/K18</f>
        <v>0.89752380952383126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2386</v>
      </c>
      <c r="H19" s="78">
        <f t="shared" ref="H19:H21" si="5">F19*G19</f>
        <v>120230.54000000001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2136.7164179104375</v>
      </c>
      <c r="O19" s="96">
        <f t="shared" ref="O19:O21" si="8">N19/M19</f>
        <v>164.36280137772596</v>
      </c>
      <c r="P19" s="97">
        <f t="shared" ref="P19:P21" si="9">M19-J19</f>
        <v>0</v>
      </c>
      <c r="Q19" s="98">
        <f t="shared" ref="Q19:Q21" si="10">O19-L19</f>
        <v>-8.7141216991971078</v>
      </c>
      <c r="R19" s="99">
        <f t="shared" ref="R19:R21" si="11">O19/L19</f>
        <v>0.94965174129352781</v>
      </c>
      <c r="S19" s="426"/>
      <c r="T19" s="19">
        <v>0.43263888888888902</v>
      </c>
      <c r="U19" s="19">
        <v>0.47916666666666702</v>
      </c>
      <c r="V19" s="30">
        <f>(T19-U18)*24*60</f>
        <v>10.000000000000844</v>
      </c>
      <c r="W19" s="149">
        <f t="shared" si="4"/>
        <v>67.000000000000327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-113.28358208956251</v>
      </c>
      <c r="AG19" s="72">
        <f>N19/K19</f>
        <v>0.94965174129352781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4012</v>
      </c>
      <c r="H20" s="78">
        <f t="shared" si="5"/>
        <v>202164.68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1671.666666666667</v>
      </c>
      <c r="O20" s="96">
        <f t="shared" si="8"/>
        <v>128.58974358974362</v>
      </c>
      <c r="P20" s="97">
        <f t="shared" si="9"/>
        <v>0</v>
      </c>
      <c r="Q20" s="98">
        <f t="shared" si="10"/>
        <v>-44.487179487179446</v>
      </c>
      <c r="R20" s="99">
        <f t="shared" si="11"/>
        <v>0.74296296296296316</v>
      </c>
      <c r="S20" s="426"/>
      <c r="T20" s="19">
        <v>0.5625</v>
      </c>
      <c r="U20" s="19">
        <v>0.66249999999999998</v>
      </c>
      <c r="V20" s="30">
        <f>(T20-U19)*24*60</f>
        <v>119.99999999999949</v>
      </c>
      <c r="W20" s="149">
        <f t="shared" si="4"/>
        <v>143.99999999999997</v>
      </c>
      <c r="X20" s="19"/>
      <c r="Y20" s="297"/>
      <c r="Z20" s="90">
        <v>1</v>
      </c>
      <c r="AA20" s="90">
        <v>29</v>
      </c>
      <c r="AB20" s="407" t="s">
        <v>186</v>
      </c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v>1429</v>
      </c>
      <c r="H21" s="78">
        <f t="shared" si="5"/>
        <v>72407.430000000008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2091.2195121951377</v>
      </c>
      <c r="O21" s="96">
        <f t="shared" si="8"/>
        <v>149.37282229965268</v>
      </c>
      <c r="P21" s="97">
        <f t="shared" si="9"/>
        <v>0</v>
      </c>
      <c r="Q21" s="98">
        <f t="shared" si="10"/>
        <v>-11.34146341463304</v>
      </c>
      <c r="R21" s="99">
        <f t="shared" si="11"/>
        <v>0.92943089430894998</v>
      </c>
      <c r="S21" s="426"/>
      <c r="T21" s="19">
        <v>0.66736111111111096</v>
      </c>
      <c r="U21" s="19">
        <v>0.69583333333333297</v>
      </c>
      <c r="V21" s="30">
        <f>(T21-U20)*24*60</f>
        <v>6.9999999999998153</v>
      </c>
      <c r="W21" s="149">
        <f t="shared" si="4"/>
        <v>40.999999999999694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50"/>
      <c r="U22" s="150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4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2">AVERAGE(J16:J25)</f>
        <v>14.333333333333334</v>
      </c>
      <c r="K26" s="155">
        <f t="shared" si="12"/>
        <v>2250</v>
      </c>
      <c r="L26" s="158">
        <f t="shared" si="12"/>
        <v>158.32255979314803</v>
      </c>
      <c r="M26" s="155">
        <f t="shared" si="12"/>
        <v>14.333333333333334</v>
      </c>
      <c r="N26" s="155">
        <f t="shared" si="12"/>
        <v>2033.4525631212007</v>
      </c>
      <c r="O26" s="158">
        <f t="shared" si="12"/>
        <v>142.64889100626377</v>
      </c>
      <c r="P26" s="159">
        <f>M26-J26</f>
        <v>0</v>
      </c>
      <c r="Q26" s="160">
        <f>O26-L26</f>
        <v>-15.673668786884264</v>
      </c>
      <c r="R26" s="161">
        <f>O26/L26</f>
        <v>0.90100167147775867</v>
      </c>
      <c r="S26" s="427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29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3">N26-K26</f>
        <v>-216.54743687879932</v>
      </c>
      <c r="AG26" s="124">
        <f t="shared" ref="AG26:AG31" si="14">N26/K26</f>
        <v>0.90375669472053366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124</v>
      </c>
      <c r="E27" s="132"/>
      <c r="F27" s="129">
        <f>VLOOKUP(D27,廠價表!$C$1:$E$43,3,0)</f>
        <v>57.21</v>
      </c>
      <c r="G27" s="169">
        <v>3693</v>
      </c>
      <c r="H27" s="134">
        <f>F27*G27</f>
        <v>211276.53</v>
      </c>
      <c r="I27" s="135"/>
      <c r="J27" s="136">
        <f>VLOOKUP(D27,產線配置圖!$A$3:$C$40,2,0)</f>
        <v>18</v>
      </c>
      <c r="K27" s="137">
        <v>1714</v>
      </c>
      <c r="L27" s="138">
        <f>K27/J27</f>
        <v>95.222222222222229</v>
      </c>
      <c r="M27" s="170">
        <v>17</v>
      </c>
      <c r="N27" s="140">
        <f>G27/W27*60</f>
        <v>1507.3469387755154</v>
      </c>
      <c r="O27" s="141">
        <f>N27/M27</f>
        <v>88.66746698679502</v>
      </c>
      <c r="P27" s="142">
        <f>M27-J27</f>
        <v>-1</v>
      </c>
      <c r="Q27" s="143">
        <f>O27-L27</f>
        <v>-6.5547552354272085</v>
      </c>
      <c r="R27" s="144">
        <f>O27/L27</f>
        <v>0.93116359729423004</v>
      </c>
      <c r="S27" s="425">
        <f>R37</f>
        <v>0.92798698678421521</v>
      </c>
      <c r="T27" s="171">
        <v>0.29166666666666702</v>
      </c>
      <c r="U27" s="171">
        <v>0.39374999999999999</v>
      </c>
      <c r="V27" s="135"/>
      <c r="W27" s="146">
        <f t="shared" si="4"/>
        <v>146.99999999999949</v>
      </c>
      <c r="X27" s="135"/>
      <c r="Y27" s="300"/>
      <c r="Z27" s="169"/>
      <c r="AA27" s="169"/>
      <c r="AB27" s="429"/>
      <c r="AC27" s="429"/>
      <c r="AD27" s="135"/>
      <c r="AE27" s="135"/>
      <c r="AF27" s="310">
        <f t="shared" si="13"/>
        <v>-206.65306122448465</v>
      </c>
      <c r="AG27" s="172">
        <f t="shared" si="14"/>
        <v>0.87943228633343951</v>
      </c>
      <c r="AH27" s="403">
        <f>AG37</f>
        <v>0.83599689356826079</v>
      </c>
    </row>
    <row r="28" spans="1:34" ht="15" customHeight="1">
      <c r="A28" s="457"/>
      <c r="B28" s="75" t="s">
        <v>81</v>
      </c>
      <c r="C28" s="173"/>
      <c r="D28" s="59" t="s">
        <v>168</v>
      </c>
      <c r="E28" s="104"/>
      <c r="F28" s="75">
        <f>VLOOKUP(D28,廠價表!$C$1:$E$43,3,0)</f>
        <v>57.21</v>
      </c>
      <c r="G28" s="90">
        <v>2171</v>
      </c>
      <c r="H28" s="91">
        <f>F28*G28</f>
        <v>124202.91</v>
      </c>
      <c r="I28" s="92"/>
      <c r="J28" s="79">
        <f>VLOOKUP(D28,產線配置圖!$A$3:$C$40,2,0)</f>
        <v>18</v>
      </c>
      <c r="K28" s="80">
        <f>VLOOKUP(D28,產線配置圖!$A$3:$C$40,3,0)</f>
        <v>1565</v>
      </c>
      <c r="L28" s="93">
        <f>K28/J28</f>
        <v>86.944444444444443</v>
      </c>
      <c r="M28" s="94">
        <v>16</v>
      </c>
      <c r="N28" s="95">
        <f>G28/W28*60</f>
        <v>1342.8865979381469</v>
      </c>
      <c r="O28" s="96">
        <f>N28/M28</f>
        <v>83.930412371134182</v>
      </c>
      <c r="P28" s="97">
        <f>M28-J28</f>
        <v>-2</v>
      </c>
      <c r="Q28" s="98">
        <f>O28-L28</f>
        <v>-3.0140320733102612</v>
      </c>
      <c r="R28" s="99">
        <f>O28/L28</f>
        <v>0.96533381640921101</v>
      </c>
      <c r="S28" s="426"/>
      <c r="T28" s="19">
        <v>0.39930555555555602</v>
      </c>
      <c r="U28" s="19">
        <v>0.46666666666666701</v>
      </c>
      <c r="V28" s="92">
        <f>(T28-U27)*24*60</f>
        <v>8.000000000000691</v>
      </c>
      <c r="W28" s="149">
        <f t="shared" si="4"/>
        <v>96.999999999999815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13"/>
        <v>-222.11340206185309</v>
      </c>
      <c r="AG28" s="99">
        <f t="shared" si="14"/>
        <v>0.85807450347485426</v>
      </c>
      <c r="AH28" s="445"/>
    </row>
    <row r="29" spans="1:34" ht="15" customHeight="1">
      <c r="A29" s="457"/>
      <c r="B29" s="75" t="s">
        <v>81</v>
      </c>
      <c r="C29" s="173"/>
      <c r="D29" s="59" t="s">
        <v>168</v>
      </c>
      <c r="E29" s="104"/>
      <c r="F29" s="75">
        <f>VLOOKUP(D29,廠價表!$C$1:$E$43,3,0)</f>
        <v>57.21</v>
      </c>
      <c r="G29" s="90">
        <v>3010</v>
      </c>
      <c r="H29" s="91">
        <f>F29*G29</f>
        <v>172202.1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16</v>
      </c>
      <c r="N29" s="95">
        <f>G29/W29*60</f>
        <v>1327.9411764705947</v>
      </c>
      <c r="O29" s="96">
        <f>N29/M29</f>
        <v>82.996323529412166</v>
      </c>
      <c r="P29" s="97">
        <f>M29-J29</f>
        <v>-2</v>
      </c>
      <c r="Q29" s="98">
        <f>O29-L29</f>
        <v>-3.9481209150322769</v>
      </c>
      <c r="R29" s="99">
        <f>O29/L29</f>
        <v>0.95459030257470867</v>
      </c>
      <c r="S29" s="426"/>
      <c r="T29" s="19">
        <v>0.51875000000000004</v>
      </c>
      <c r="U29" s="19">
        <v>0.61319444444444404</v>
      </c>
      <c r="V29" s="92">
        <f>(T29-U28)*24*60</f>
        <v>74.999999999999574</v>
      </c>
      <c r="W29" s="149">
        <f t="shared" si="4"/>
        <v>135.99999999999935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13"/>
        <v>-237.05882352940534</v>
      </c>
      <c r="AG29" s="99">
        <f t="shared" si="14"/>
        <v>0.848524713399741</v>
      </c>
      <c r="AH29" s="445"/>
    </row>
    <row r="30" spans="1:34" ht="15" customHeight="1">
      <c r="A30" s="457"/>
      <c r="B30" s="75" t="s">
        <v>81</v>
      </c>
      <c r="C30" s="88"/>
      <c r="D30" s="59" t="s">
        <v>133</v>
      </c>
      <c r="E30" s="89"/>
      <c r="F30" s="75">
        <f>VLOOKUP(D30,廠價表!$C$1:$E$43,3,0)</f>
        <v>50.289000000000001</v>
      </c>
      <c r="G30" s="90">
        <v>1393</v>
      </c>
      <c r="H30" s="91">
        <f t="shared" ref="H30:H31" si="15">F30*G30</f>
        <v>70052.577000000005</v>
      </c>
      <c r="I30" s="92"/>
      <c r="J30" s="79">
        <f>VLOOKUP(D30,產線配置圖!$A$3:$C$40,2,0)</f>
        <v>18</v>
      </c>
      <c r="K30" s="80">
        <f>VLOOKUP(D30,產線配置圖!$A$3:$C$40,3,0)</f>
        <v>1565</v>
      </c>
      <c r="L30" s="93">
        <f t="shared" ref="L30:L31" si="16">K30/J30</f>
        <v>86.944444444444443</v>
      </c>
      <c r="M30" s="94">
        <v>16</v>
      </c>
      <c r="N30" s="95">
        <f t="shared" ref="N30:N31" si="17">G30/W30*60</f>
        <v>1348.0645161290508</v>
      </c>
      <c r="O30" s="96">
        <f t="shared" ref="O30:O31" si="18">N30/M30</f>
        <v>84.254032258065678</v>
      </c>
      <c r="P30" s="97">
        <f t="shared" ref="P30:P31" si="19">M30-J30</f>
        <v>-2</v>
      </c>
      <c r="Q30" s="98">
        <f t="shared" ref="Q30:Q31" si="20">O30-L30</f>
        <v>-2.6904121863787651</v>
      </c>
      <c r="R30" s="99">
        <f t="shared" ref="R30:R31" si="21">O30/L30</f>
        <v>0.9690559620735989</v>
      </c>
      <c r="S30" s="426"/>
      <c r="T30" s="19">
        <v>0.61805555555555602</v>
      </c>
      <c r="U30" s="19">
        <v>0.66111111111111098</v>
      </c>
      <c r="V30" s="92">
        <f>(T30-U29)*24*60</f>
        <v>7.0000000000012541</v>
      </c>
      <c r="W30" s="149">
        <f t="shared" si="4"/>
        <v>61.99999999999914</v>
      </c>
      <c r="X30" s="174"/>
      <c r="Y30" s="301"/>
      <c r="Z30" s="335"/>
      <c r="AA30" s="335"/>
      <c r="AB30" s="407"/>
      <c r="AC30" s="407"/>
      <c r="AD30" s="92"/>
      <c r="AE30" s="92"/>
      <c r="AF30" s="312">
        <f t="shared" si="13"/>
        <v>-216.93548387094916</v>
      </c>
      <c r="AG30" s="99">
        <f t="shared" si="14"/>
        <v>0.86138307739875453</v>
      </c>
      <c r="AH30" s="446"/>
    </row>
    <row r="31" spans="1:34" ht="15" customHeight="1">
      <c r="A31" s="457"/>
      <c r="B31" s="75" t="s">
        <v>81</v>
      </c>
      <c r="C31" s="102"/>
      <c r="D31" s="175" t="s">
        <v>168</v>
      </c>
      <c r="E31" s="176"/>
      <c r="F31" s="75">
        <f>VLOOKUP(D31,廠價表!$C$1:$E$43,3,0)</f>
        <v>57.21</v>
      </c>
      <c r="G31" s="90">
        <v>646</v>
      </c>
      <c r="H31" s="91">
        <f t="shared" si="15"/>
        <v>36957.660000000003</v>
      </c>
      <c r="I31" s="92"/>
      <c r="J31" s="79">
        <f>VLOOKUP(D31,產線配置圖!$A$3:$C$40,2,0)</f>
        <v>18</v>
      </c>
      <c r="K31" s="80">
        <f>VLOOKUP(D31,產線配置圖!$A$3:$C$40,3,0)</f>
        <v>1565</v>
      </c>
      <c r="L31" s="93">
        <f t="shared" si="16"/>
        <v>86.944444444444443</v>
      </c>
      <c r="M31" s="94">
        <v>16</v>
      </c>
      <c r="N31" s="95">
        <f t="shared" si="17"/>
        <v>1140.0000000000041</v>
      </c>
      <c r="O31" s="96">
        <f t="shared" si="18"/>
        <v>71.250000000000256</v>
      </c>
      <c r="P31" s="97">
        <f t="shared" si="19"/>
        <v>-2</v>
      </c>
      <c r="Q31" s="98">
        <f t="shared" si="20"/>
        <v>-15.694444444444187</v>
      </c>
      <c r="R31" s="99">
        <f t="shared" si="21"/>
        <v>0.81948881789137673</v>
      </c>
      <c r="S31" s="426"/>
      <c r="T31" s="19">
        <v>0.66597222222222197</v>
      </c>
      <c r="U31" s="19">
        <v>0.68958333333333299</v>
      </c>
      <c r="V31" s="92">
        <f>(T31-U30)*24*60</f>
        <v>6.9999999999998153</v>
      </c>
      <c r="W31" s="149">
        <f t="shared" si="4"/>
        <v>33.999999999999879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3"/>
        <v>-424.99999999999591</v>
      </c>
      <c r="AG31" s="99">
        <f t="shared" si="14"/>
        <v>0.72843450479233485</v>
      </c>
      <c r="AH31" s="405"/>
    </row>
    <row r="32" spans="1:34" ht="15" customHeight="1">
      <c r="A32" s="457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2">AVERAGE(J27:J36)</f>
        <v>18</v>
      </c>
      <c r="K37" s="155">
        <f t="shared" si="22"/>
        <v>1594.8</v>
      </c>
      <c r="L37" s="158">
        <f t="shared" si="22"/>
        <v>88.600000000000009</v>
      </c>
      <c r="M37" s="155">
        <f t="shared" si="22"/>
        <v>16.2</v>
      </c>
      <c r="N37" s="155">
        <f t="shared" si="22"/>
        <v>1333.2478458626622</v>
      </c>
      <c r="O37" s="158">
        <f t="shared" si="22"/>
        <v>82.219647029081472</v>
      </c>
      <c r="P37" s="159">
        <f>M37-J37</f>
        <v>-1.8000000000000007</v>
      </c>
      <c r="Q37" s="160">
        <f>N37-K37</f>
        <v>-261.55215413733777</v>
      </c>
      <c r="R37" s="161">
        <f>O37/L37</f>
        <v>0.92798698678421521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-261.55215413733777</v>
      </c>
      <c r="AG37" s="124">
        <f>N37/K37</f>
        <v>0.83599689356826079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2859</v>
      </c>
      <c r="H38" s="134">
        <f>F38*G38</f>
        <v>142692.69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1491.6521739130458</v>
      </c>
      <c r="O38" s="141">
        <f>N38/M38</f>
        <v>99.443478260869725</v>
      </c>
      <c r="P38" s="142">
        <f>M38-J38</f>
        <v>0</v>
      </c>
      <c r="Q38" s="143">
        <f>O38-L38</f>
        <v>-14.823188405796941</v>
      </c>
      <c r="R38" s="144">
        <f>O38/L38</f>
        <v>0.87027548069605942</v>
      </c>
      <c r="S38" s="453">
        <f>R48</f>
        <v>0.91229291337455276</v>
      </c>
      <c r="T38" s="191">
        <v>0.33333333333333298</v>
      </c>
      <c r="U38" s="191">
        <v>0.41319444444444398</v>
      </c>
      <c r="V38" s="192"/>
      <c r="W38" s="193">
        <f t="shared" si="4"/>
        <v>114.99999999999983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-222.34782608695423</v>
      </c>
      <c r="AG38" s="195">
        <f>N38/K38</f>
        <v>0.87027548069605942</v>
      </c>
      <c r="AH38" s="459">
        <f>AG48</f>
        <v>0.88959696500773899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3139</v>
      </c>
      <c r="H39" s="91">
        <f>F39*G39</f>
        <v>139057.69999999998</v>
      </c>
      <c r="I39" s="200"/>
      <c r="J39" s="148"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1448.7692307692278</v>
      </c>
      <c r="O39" s="203">
        <f>N39/M39</f>
        <v>85.221719457013393</v>
      </c>
      <c r="P39" s="97">
        <f>M39-J39</f>
        <v>-1</v>
      </c>
      <c r="Q39" s="98">
        <f>O39-L39</f>
        <v>-5.667169431875493</v>
      </c>
      <c r="R39" s="99">
        <f>O39/L39</f>
        <v>0.93764728008938947</v>
      </c>
      <c r="S39" s="454"/>
      <c r="T39" s="20">
        <v>0.42361111111111099</v>
      </c>
      <c r="U39" s="20">
        <v>0.51388888888888895</v>
      </c>
      <c r="V39" s="92">
        <f>(T39-U38)*24*60</f>
        <v>15.000000000000506</v>
      </c>
      <c r="W39" s="205">
        <f t="shared" si="4"/>
        <v>130.00000000000026</v>
      </c>
      <c r="X39" s="22"/>
      <c r="Y39" s="84"/>
      <c r="Z39" s="90">
        <v>3</v>
      </c>
      <c r="AA39" s="90">
        <v>29</v>
      </c>
      <c r="AB39" s="462" t="s">
        <v>187</v>
      </c>
      <c r="AC39" s="462"/>
      <c r="AD39" s="200"/>
      <c r="AE39" s="200"/>
      <c r="AF39" s="314">
        <f>N39-K39</f>
        <v>-187.23076923077224</v>
      </c>
      <c r="AG39" s="206">
        <f>N39/K39</f>
        <v>0.88555576452886786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2851</v>
      </c>
      <c r="H40" s="91">
        <f>F40*G40</f>
        <v>126299.29999999999</v>
      </c>
      <c r="I40" s="200"/>
      <c r="J40" s="148"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1487.4782608695664</v>
      </c>
      <c r="O40" s="203">
        <f>N40/M40</f>
        <v>87.498721227621559</v>
      </c>
      <c r="P40" s="97">
        <f>M40-J40</f>
        <v>-1</v>
      </c>
      <c r="Q40" s="98">
        <f>O40-L40</f>
        <v>-3.390167661267327</v>
      </c>
      <c r="R40" s="99">
        <f>O40/L40</f>
        <v>0.96269986680757225</v>
      </c>
      <c r="S40" s="440"/>
      <c r="T40" s="20">
        <v>0.59722222222222199</v>
      </c>
      <c r="U40" s="210">
        <v>0.67708333333333304</v>
      </c>
      <c r="V40" s="92">
        <f>(T40-U39)*24*60</f>
        <v>119.99999999999957</v>
      </c>
      <c r="W40" s="205">
        <f t="shared" si="4"/>
        <v>114.99999999999991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-148.52173913043362</v>
      </c>
      <c r="AG40" s="206">
        <f>N40/K40</f>
        <v>0.90921654087381809</v>
      </c>
      <c r="AH40" s="460"/>
    </row>
    <row r="41" spans="1:34" ht="15" customHeight="1">
      <c r="A41" s="451"/>
      <c r="B41" s="75" t="s">
        <v>128</v>
      </c>
      <c r="C41" s="86"/>
      <c r="D41" s="198" t="s">
        <v>129</v>
      </c>
      <c r="E41" s="87"/>
      <c r="F41" s="75">
        <f>VLOOKUP(D41,廠價表!$C$1:$E$43,3,0)</f>
        <v>49.91</v>
      </c>
      <c r="G41" s="199">
        <v>1277</v>
      </c>
      <c r="H41" s="91">
        <f>F41*G41</f>
        <v>63735.069999999992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15</v>
      </c>
      <c r="N41" s="202">
        <f>G41/W41*60</f>
        <v>1532.4000000000103</v>
      </c>
      <c r="O41" s="203">
        <f>N41/M41</f>
        <v>102.16000000000069</v>
      </c>
      <c r="P41" s="97">
        <f>M41-J41</f>
        <v>0</v>
      </c>
      <c r="Q41" s="98">
        <f>O41-L41</f>
        <v>-12.106666666665973</v>
      </c>
      <c r="R41" s="99">
        <f>O41/L41</f>
        <v>0.89404900816803412</v>
      </c>
      <c r="S41" s="440"/>
      <c r="T41" s="210">
        <v>0.68402777777777801</v>
      </c>
      <c r="U41" s="210">
        <v>0.71875</v>
      </c>
      <c r="V41" s="92">
        <f>(T41-U40)*24*60</f>
        <v>10.000000000000764</v>
      </c>
      <c r="W41" s="205">
        <f t="shared" si="4"/>
        <v>49.999999999999659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-181.59999999998968</v>
      </c>
      <c r="AG41" s="206">
        <f>N41/K41</f>
        <v>0.89404900816803401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3">AVERAGE(J38:J47)</f>
        <v>16.5</v>
      </c>
      <c r="K48" s="155">
        <f t="shared" si="23"/>
        <v>1675</v>
      </c>
      <c r="L48" s="158">
        <f t="shared" si="23"/>
        <v>102.57777777777778</v>
      </c>
      <c r="M48" s="155">
        <f t="shared" si="23"/>
        <v>16</v>
      </c>
      <c r="N48" s="155">
        <f t="shared" si="23"/>
        <v>1490.0749163879627</v>
      </c>
      <c r="O48" s="158">
        <f t="shared" si="23"/>
        <v>93.580979736376349</v>
      </c>
      <c r="P48" s="221">
        <f>M48-J48</f>
        <v>-0.5</v>
      </c>
      <c r="Q48" s="222">
        <f>N48-K48</f>
        <v>-184.92508361203727</v>
      </c>
      <c r="R48" s="223">
        <f>O48/L48</f>
        <v>0.91229291337455276</v>
      </c>
      <c r="S48" s="443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3</v>
      </c>
      <c r="AA48" s="334">
        <f>SUM(AA38:AA47)</f>
        <v>29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24">N48-K48</f>
        <v>-184.92508361203727</v>
      </c>
      <c r="AG48" s="162">
        <f t="shared" ref="AG48:AG53" si="25">N48/K48</f>
        <v>0.88959696500773899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2414</v>
      </c>
      <c r="H49" s="134">
        <f>F49*G49</f>
        <v>119541.28000000001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1574.3478260869538</v>
      </c>
      <c r="O49" s="141">
        <f>N49/M49</f>
        <v>92.608695652173751</v>
      </c>
      <c r="P49" s="229">
        <f>M49-J49</f>
        <v>0</v>
      </c>
      <c r="Q49" s="230">
        <f>O49-L49</f>
        <v>-13.273657289002713</v>
      </c>
      <c r="R49" s="52">
        <f>O49/L49</f>
        <v>0.87463768115941876</v>
      </c>
      <c r="S49" s="439">
        <f>R58</f>
        <v>0.90505796930476079</v>
      </c>
      <c r="T49" s="191">
        <v>0.29027777777777802</v>
      </c>
      <c r="U49" s="191">
        <v>0.35416666666666702</v>
      </c>
      <c r="V49" s="55"/>
      <c r="W49" s="193">
        <f t="shared" si="4"/>
        <v>92.000000000000156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24"/>
        <v>-225.65217391304623</v>
      </c>
      <c r="AG49" s="52">
        <f t="shared" si="25"/>
        <v>0.87463768115941876</v>
      </c>
      <c r="AH49" s="403">
        <f>AG58</f>
        <v>0.90480073392695326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2017</v>
      </c>
      <c r="H50" s="231">
        <f>F50*G50</f>
        <v>101432.913</v>
      </c>
      <c r="I50" s="232"/>
      <c r="J50" s="79">
        <v>17</v>
      </c>
      <c r="K50" s="80">
        <f>VLOOKUP(D50,產線配置圖!$A$3:$C$40,3,0)</f>
        <v>1565</v>
      </c>
      <c r="L50" s="81">
        <f>K50/J50</f>
        <v>92.058823529411768</v>
      </c>
      <c r="M50" s="233">
        <v>17</v>
      </c>
      <c r="N50" s="234">
        <f>G50/W50*60</f>
        <v>1440.714285714269</v>
      </c>
      <c r="O50" s="235">
        <f>N50/M50</f>
        <v>84.747899159662879</v>
      </c>
      <c r="P50" s="74">
        <f>M50-J50</f>
        <v>0</v>
      </c>
      <c r="Q50" s="83">
        <f>O50-L50</f>
        <v>-7.3109243697488893</v>
      </c>
      <c r="R50" s="72">
        <f>O50/L50</f>
        <v>0.92058420812413344</v>
      </c>
      <c r="S50" s="440"/>
      <c r="T50" s="21">
        <v>0.359722222222222</v>
      </c>
      <c r="U50" s="21">
        <v>0.41805555555555601</v>
      </c>
      <c r="V50" s="30">
        <f>(T50-U49)*24*60</f>
        <v>7.9999999999991722</v>
      </c>
      <c r="W50" s="236">
        <f t="shared" si="4"/>
        <v>84.000000000000981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24"/>
        <v>-124.28571428573105</v>
      </c>
      <c r="AG50" s="72">
        <f t="shared" si="25"/>
        <v>0.92058420812413355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f>VLOOKUP(D51,廠價表!$C$1:$E$43,3,0)</f>
        <v>49.97</v>
      </c>
      <c r="G51" s="202">
        <v>1883</v>
      </c>
      <c r="H51" s="231">
        <f>F51*G51</f>
        <v>94093.51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1614.0000000000039</v>
      </c>
      <c r="O51" s="235">
        <f>N51/M51</f>
        <v>100.87500000000024</v>
      </c>
      <c r="P51" s="74">
        <f>M51-J51</f>
        <v>0</v>
      </c>
      <c r="Q51" s="83">
        <f>O51-L51</f>
        <v>-11.624999999999758</v>
      </c>
      <c r="R51" s="72">
        <f>O51/L51</f>
        <v>0.89666666666666883</v>
      </c>
      <c r="S51" s="440"/>
      <c r="T51" s="21">
        <v>0.42361111111111099</v>
      </c>
      <c r="U51" s="19">
        <v>0.47222222222222199</v>
      </c>
      <c r="V51" s="30">
        <f>(T51-U50)*24*60</f>
        <v>7.9999999999991722</v>
      </c>
      <c r="W51" s="236">
        <f t="shared" si="4"/>
        <v>69.999999999999829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24"/>
        <v>-185.99999999999613</v>
      </c>
      <c r="AG51" s="72">
        <f t="shared" si="25"/>
        <v>0.89666666666666883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f>VLOOKUP(D52,廠價表!$C$1:$E$43,3,0)</f>
        <v>49.97</v>
      </c>
      <c r="G52" s="202">
        <v>4461</v>
      </c>
      <c r="H52" s="231">
        <f>F52*G52</f>
        <v>222916.16999999998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1672.8750000000027</v>
      </c>
      <c r="O52" s="235">
        <f>N52/M52</f>
        <v>104.55468750000017</v>
      </c>
      <c r="P52" s="74">
        <f>M52-J52</f>
        <v>0</v>
      </c>
      <c r="Q52" s="83">
        <f>O52-L52</f>
        <v>-7.9453124999998295</v>
      </c>
      <c r="R52" s="72">
        <f>O52/L52</f>
        <v>0.92937500000000151</v>
      </c>
      <c r="S52" s="440"/>
      <c r="T52" s="21">
        <v>0.52777777777777801</v>
      </c>
      <c r="U52" s="21">
        <v>0.63888888888888895</v>
      </c>
      <c r="V52" s="30">
        <f>(T52-U51)*24*60</f>
        <v>80.000000000000682</v>
      </c>
      <c r="W52" s="236">
        <f t="shared" si="4"/>
        <v>159.99999999999974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24"/>
        <v>-127.12499999999727</v>
      </c>
      <c r="AG52" s="72">
        <f t="shared" si="25"/>
        <v>0.92937500000000151</v>
      </c>
      <c r="AH52" s="404"/>
    </row>
    <row r="53" spans="1:34" ht="15" customHeight="1">
      <c r="A53" s="46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40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24"/>
        <v>0</v>
      </c>
      <c r="AG53" s="72" t="e">
        <f t="shared" si="25"/>
        <v>#DIV/0!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26">AVERAGE(J49:J57)</f>
        <v>16.5</v>
      </c>
      <c r="K58" s="120">
        <f t="shared" si="26"/>
        <v>1741.25</v>
      </c>
      <c r="L58" s="117">
        <f t="shared" si="26"/>
        <v>105.73529411764706</v>
      </c>
      <c r="M58" s="120">
        <f t="shared" si="26"/>
        <v>16.5</v>
      </c>
      <c r="N58" s="120">
        <f t="shared" si="26"/>
        <v>1575.4842779503074</v>
      </c>
      <c r="O58" s="117">
        <f t="shared" si="26"/>
        <v>95.696570577959264</v>
      </c>
      <c r="P58" s="121">
        <f>M58-J58</f>
        <v>0</v>
      </c>
      <c r="Q58" s="122">
        <f>N58-K58</f>
        <v>-165.76572204969261</v>
      </c>
      <c r="R58" s="123">
        <f>O58/L58</f>
        <v>0.90505796930476079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-165.76572204969261</v>
      </c>
      <c r="AG58" s="124">
        <f>N58/K58</f>
        <v>0.90480073392695326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2922</v>
      </c>
      <c r="H59" s="243">
        <f>F59*G59</f>
        <v>78864.78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1402.5600000000095</v>
      </c>
      <c r="O59" s="138">
        <f>N59/M59</f>
        <v>93.50400000000063</v>
      </c>
      <c r="P59" s="56">
        <f>M59-J59</f>
        <v>0</v>
      </c>
      <c r="Q59" s="230">
        <f>O59-L59</f>
        <v>-10.829333333332698</v>
      </c>
      <c r="R59" s="52">
        <f>O59/L59</f>
        <v>0.89620447284345661</v>
      </c>
      <c r="S59" s="439">
        <f>R69</f>
        <v>0.89860609243402545</v>
      </c>
      <c r="T59" s="245">
        <v>0.29513888888888901</v>
      </c>
      <c r="U59" s="245">
        <v>0.38194444444444398</v>
      </c>
      <c r="V59" s="55"/>
      <c r="W59" s="54">
        <f t="shared" si="4"/>
        <v>124.99999999999916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-162.4399999999905</v>
      </c>
      <c r="AG59" s="246">
        <f>N59/K59</f>
        <v>0.8962044728434565</v>
      </c>
      <c r="AH59" s="403">
        <f>AG69</f>
        <v>0.95748370607028255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2085</v>
      </c>
      <c r="H60" s="78">
        <f>F60*G60</f>
        <v>58922.100000000006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13</v>
      </c>
      <c r="N60" s="80">
        <f>G60/W60*60</f>
        <v>1563.7499999999866</v>
      </c>
      <c r="O60" s="81">
        <f>N60/M60</f>
        <v>120.28846153846051</v>
      </c>
      <c r="P60" s="74">
        <f>M60-J60</f>
        <v>1</v>
      </c>
      <c r="Q60" s="83">
        <f>O60-L60</f>
        <v>-10.128205128206147</v>
      </c>
      <c r="R60" s="72">
        <f>O60/L60</f>
        <v>0.92233964118947365</v>
      </c>
      <c r="S60" s="467"/>
      <c r="T60" s="22">
        <v>0.39236111111111099</v>
      </c>
      <c r="U60" s="22">
        <v>0.44791666666666702</v>
      </c>
      <c r="V60" s="30">
        <f>(T60-U59)*24*60</f>
        <v>15.000000000000506</v>
      </c>
      <c r="W60" s="248">
        <f t="shared" si="4"/>
        <v>80.000000000000682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-1.250000000013415</v>
      </c>
      <c r="AG60" s="249">
        <f>N60/K60</f>
        <v>0.99920127795526303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1472</v>
      </c>
      <c r="H61" s="254">
        <f>F61*G61</f>
        <v>41598.720000000001</v>
      </c>
      <c r="I61" s="182"/>
      <c r="J61" s="106">
        <f>VLOOKUP(D61,產線配置圖!$A$3:$C$40,2,0)</f>
        <v>11</v>
      </c>
      <c r="K61" s="107">
        <f>VLOOKUP(D61,產線配置圖!$A$3:$C$40,3,0)</f>
        <v>1565</v>
      </c>
      <c r="L61" s="238">
        <f>K61/J61</f>
        <v>142.27272727272728</v>
      </c>
      <c r="M61" s="108">
        <v>12</v>
      </c>
      <c r="N61" s="107">
        <f>G61/W61*60</f>
        <v>1471.9999999999875</v>
      </c>
      <c r="O61" s="238">
        <f>N61/M61</f>
        <v>122.66666666666562</v>
      </c>
      <c r="P61" s="111">
        <f>M61-J61</f>
        <v>1</v>
      </c>
      <c r="Q61" s="255">
        <f>O61-L61</f>
        <v>-19.606060606061661</v>
      </c>
      <c r="R61" s="85">
        <f>O61/L61</f>
        <v>0.86219382321617999</v>
      </c>
      <c r="S61" s="440"/>
      <c r="T61" s="22">
        <v>0.45486111111111099</v>
      </c>
      <c r="U61" s="22">
        <v>0.49652777777777801</v>
      </c>
      <c r="V61" s="30">
        <f>(T61-U60)*24*60</f>
        <v>9.999999999999325</v>
      </c>
      <c r="W61" s="256">
        <f t="shared" si="4"/>
        <v>60.000000000000504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-93.000000000012506</v>
      </c>
      <c r="AG61" s="247">
        <f>N61/K61</f>
        <v>0.94057507987219646</v>
      </c>
      <c r="AH61" s="404"/>
    </row>
    <row r="62" spans="1:34" ht="15" customHeight="1">
      <c r="A62" s="465"/>
      <c r="B62" s="258" t="s">
        <v>125</v>
      </c>
      <c r="C62" s="58"/>
      <c r="D62" s="259" t="s">
        <v>134</v>
      </c>
      <c r="E62" s="60"/>
      <c r="F62" s="250">
        <f>VLOOKUP(D62,廠價表!$C$1:$E$43,3,0)</f>
        <v>26.99</v>
      </c>
      <c r="G62" s="260">
        <v>1467</v>
      </c>
      <c r="H62" s="254">
        <f t="shared" ref="H62:H63" si="27">F62*G62</f>
        <v>39594.329999999994</v>
      </c>
      <c r="I62" s="182"/>
      <c r="J62" s="106">
        <f>VLOOKUP(D62,產線配置圖!$A$3:$C$40,2,0)</f>
        <v>15</v>
      </c>
      <c r="K62" s="107">
        <f>VLOOKUP(D62,產線配置圖!$A$3:$C$40,3,0)</f>
        <v>1565</v>
      </c>
      <c r="L62" s="238">
        <f t="shared" ref="L62:L63" si="28">K62/J62</f>
        <v>104.33333333333333</v>
      </c>
      <c r="M62" s="68">
        <v>16</v>
      </c>
      <c r="N62" s="107">
        <f t="shared" ref="N62:N63" si="29">G62/W62*60</f>
        <v>1466.9999999999895</v>
      </c>
      <c r="O62" s="238">
        <f t="shared" ref="O62:O63" si="30">N62/M62</f>
        <v>91.687499999999346</v>
      </c>
      <c r="P62" s="111">
        <f t="shared" ref="P62:P63" si="31">M62-J62</f>
        <v>1</v>
      </c>
      <c r="Q62" s="255">
        <f t="shared" ref="Q62:Q63" si="32">O62-L62</f>
        <v>-12.645833333333982</v>
      </c>
      <c r="R62" s="85">
        <f t="shared" ref="R62:R63" si="33">O62/L62</f>
        <v>0.87879392971245385</v>
      </c>
      <c r="S62" s="440"/>
      <c r="T62" s="22">
        <v>0.54861111111111105</v>
      </c>
      <c r="U62" s="22">
        <v>0.59027777777777801</v>
      </c>
      <c r="V62" s="30">
        <f>(T62-U61)*24*60</f>
        <v>74.999999999999574</v>
      </c>
      <c r="W62" s="248">
        <f t="shared" si="4"/>
        <v>60.000000000000426</v>
      </c>
      <c r="X62" s="22"/>
      <c r="Y62" s="84"/>
      <c r="Z62" s="90"/>
      <c r="AA62" s="90"/>
      <c r="AB62" s="407"/>
      <c r="AC62" s="407"/>
      <c r="AD62" s="92"/>
      <c r="AE62" s="92"/>
      <c r="AF62" s="317">
        <f>N62-K62</f>
        <v>-98.000000000010459</v>
      </c>
      <c r="AG62" s="247">
        <f>N62/K62</f>
        <v>0.93738019169328402</v>
      </c>
      <c r="AH62" s="404"/>
    </row>
    <row r="63" spans="1:34" ht="15" customHeight="1">
      <c r="A63" s="465"/>
      <c r="B63" s="75" t="s">
        <v>125</v>
      </c>
      <c r="C63" s="76"/>
      <c r="D63" s="175" t="s">
        <v>126</v>
      </c>
      <c r="E63" s="77"/>
      <c r="F63" s="250">
        <f>VLOOKUP(D63,廠價表!$C$1:$E$43,3,0)</f>
        <v>28.26</v>
      </c>
      <c r="G63" s="30">
        <v>1587</v>
      </c>
      <c r="H63" s="254">
        <f t="shared" si="27"/>
        <v>44848.62</v>
      </c>
      <c r="I63" s="182"/>
      <c r="J63" s="106">
        <f>VLOOKUP(D63,產線配置圖!$A$3:$C$40,2,0)</f>
        <v>11</v>
      </c>
      <c r="K63" s="107">
        <f>VLOOKUP(D63,產線配置圖!$A$3:$C$40,3,0)</f>
        <v>1565</v>
      </c>
      <c r="L63" s="238">
        <f t="shared" si="28"/>
        <v>142.27272727272728</v>
      </c>
      <c r="M63" s="82">
        <v>12</v>
      </c>
      <c r="N63" s="107">
        <f t="shared" si="29"/>
        <v>1586.9999999999886</v>
      </c>
      <c r="O63" s="238">
        <f t="shared" si="30"/>
        <v>132.24999999999906</v>
      </c>
      <c r="P63" s="111">
        <f t="shared" si="31"/>
        <v>1</v>
      </c>
      <c r="Q63" s="255">
        <f t="shared" si="32"/>
        <v>-10.022727272728218</v>
      </c>
      <c r="R63" s="85">
        <f t="shared" si="33"/>
        <v>0.92955271565494546</v>
      </c>
      <c r="S63" s="440"/>
      <c r="T63" s="22">
        <v>0.59722222222222199</v>
      </c>
      <c r="U63" s="22">
        <v>0.63888888888888895</v>
      </c>
      <c r="V63" s="30">
        <f>(T63-U62)*24*60</f>
        <v>9.999999999999325</v>
      </c>
      <c r="W63" s="248">
        <f t="shared" si="4"/>
        <v>60.000000000000426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7" t="s">
        <v>179</v>
      </c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34">AVERAGE(J59:J68)</f>
        <v>12.8</v>
      </c>
      <c r="K69" s="240">
        <f t="shared" si="34"/>
        <v>1565</v>
      </c>
      <c r="L69" s="268">
        <f t="shared" si="34"/>
        <v>124.72575757575757</v>
      </c>
      <c r="M69" s="240">
        <f t="shared" si="34"/>
        <v>13.6</v>
      </c>
      <c r="N69" s="240">
        <f t="shared" si="34"/>
        <v>1498.4619999999923</v>
      </c>
      <c r="O69" s="268">
        <f t="shared" si="34"/>
        <v>112.07932564102505</v>
      </c>
      <c r="P69" s="269">
        <f>M69-J69</f>
        <v>0.79999999999999893</v>
      </c>
      <c r="Q69" s="222">
        <f>N69-K69</f>
        <v>-66.538000000007742</v>
      </c>
      <c r="R69" s="123">
        <f>O69/L69</f>
        <v>0.89860609243402545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-66.538000000007742</v>
      </c>
      <c r="AG69" s="124">
        <f>N69/K69</f>
        <v>0.95748370607028255</v>
      </c>
      <c r="AH69" s="406"/>
    </row>
    <row r="70" spans="1:36" ht="15" customHeight="1">
      <c r="A70" s="471" t="s">
        <v>55</v>
      </c>
      <c r="B70" s="129" t="s">
        <v>81</v>
      </c>
      <c r="C70" s="129"/>
      <c r="D70" s="131" t="s">
        <v>123</v>
      </c>
      <c r="E70" s="132"/>
      <c r="F70" s="129">
        <f>VLOOKUP(D70,廠價表!$C$1:$E$43,3,0)</f>
        <v>50.67</v>
      </c>
      <c r="G70" s="55">
        <v>1564</v>
      </c>
      <c r="H70" s="243">
        <f>F70*G70</f>
        <v>79247.88</v>
      </c>
      <c r="I70" s="55"/>
      <c r="J70" s="136">
        <f>VLOOKUP(D70,產線配置圖!$A$3:$C$40,2,0)</f>
        <v>13</v>
      </c>
      <c r="K70" s="137">
        <f>VLOOKUP(D70,產線配置圖!$A$3:$C$40,3,0)</f>
        <v>1440</v>
      </c>
      <c r="L70" s="138">
        <f>K70/J70</f>
        <v>110.76923076923077</v>
      </c>
      <c r="M70" s="244">
        <v>9</v>
      </c>
      <c r="N70" s="137">
        <f>G70/W70*60</f>
        <v>634.05405405405895</v>
      </c>
      <c r="O70" s="138">
        <f>N70/M70</f>
        <v>70.450450450451001</v>
      </c>
      <c r="P70" s="56">
        <f>M70-J70</f>
        <v>-4</v>
      </c>
      <c r="Q70" s="230">
        <f>O70-L70</f>
        <v>-40.318780318779773</v>
      </c>
      <c r="R70" s="52">
        <f>O70/L70</f>
        <v>0.63601101101101598</v>
      </c>
      <c r="S70" s="439">
        <f>R79</f>
        <v>0.64696590745947136</v>
      </c>
      <c r="T70" s="245">
        <v>0.34166666666666701</v>
      </c>
      <c r="U70" s="245">
        <v>0.44444444444444398</v>
      </c>
      <c r="V70" s="55"/>
      <c r="W70" s="54">
        <f t="shared" si="4"/>
        <v>147.99999999999883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-805.94594594594105</v>
      </c>
      <c r="AG70" s="246">
        <f>N70/K70</f>
        <v>0.4403153153153187</v>
      </c>
      <c r="AH70" s="403">
        <f>AG79</f>
        <v>0.47871675539847636</v>
      </c>
    </row>
    <row r="71" spans="1:36" ht="15" customHeight="1">
      <c r="A71" s="472"/>
      <c r="B71" s="75" t="s">
        <v>81</v>
      </c>
      <c r="C71" s="76"/>
      <c r="D71" s="59" t="s">
        <v>122</v>
      </c>
      <c r="E71" s="77"/>
      <c r="F71" s="250">
        <f>VLOOKUP(D71,廠價表!$C$1:$E$43,3,0)</f>
        <v>57.21</v>
      </c>
      <c r="G71" s="30">
        <v>657</v>
      </c>
      <c r="H71" s="254">
        <f>F71*G71</f>
        <v>37586.97</v>
      </c>
      <c r="I71" s="182"/>
      <c r="J71" s="106">
        <f>VLOOKUP(D71,產線配置圖!$A$3:$C$40,2,0)</f>
        <v>18</v>
      </c>
      <c r="K71" s="107">
        <f>VLOOKUP(D71,產線配置圖!$A$3:$C$40,3,0)</f>
        <v>1565</v>
      </c>
      <c r="L71" s="238">
        <f>K71/J71</f>
        <v>86.944444444444443</v>
      </c>
      <c r="M71" s="82">
        <v>14</v>
      </c>
      <c r="N71" s="107">
        <f>G71/W71*60</f>
        <v>804.48979591836235</v>
      </c>
      <c r="O71" s="238">
        <f>N71/M71</f>
        <v>57.463556851311594</v>
      </c>
      <c r="P71" s="111">
        <f>M71-J71</f>
        <v>-4</v>
      </c>
      <c r="Q71" s="255">
        <f>O71-L71</f>
        <v>-29.480887593132849</v>
      </c>
      <c r="R71" s="85">
        <f>O71/L71</f>
        <v>0.66092269860933461</v>
      </c>
      <c r="S71" s="440"/>
      <c r="T71" s="22">
        <v>0.45</v>
      </c>
      <c r="U71" s="22">
        <v>0.484027777777778</v>
      </c>
      <c r="V71" s="30">
        <f>(T71-U70)*24*60</f>
        <v>8.000000000000691</v>
      </c>
      <c r="W71" s="73">
        <f t="shared" si="4"/>
        <v>49.000000000000306</v>
      </c>
      <c r="X71" s="271"/>
      <c r="Y71" s="293"/>
      <c r="Z71" s="90"/>
      <c r="AA71" s="90"/>
      <c r="AB71" s="462" t="s">
        <v>140</v>
      </c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91"/>
      <c r="I72" s="92"/>
      <c r="J72" s="365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 t="s">
        <v>56</v>
      </c>
      <c r="D79" s="430" t="s">
        <v>42</v>
      </c>
      <c r="E79" s="430"/>
      <c r="F79" s="116"/>
      <c r="G79" s="117"/>
      <c r="H79" s="282"/>
      <c r="I79" s="268"/>
      <c r="J79" s="240">
        <f t="shared" ref="J79:O79" si="35">AVERAGE(J70:J78)</f>
        <v>15.5</v>
      </c>
      <c r="K79" s="240">
        <f t="shared" si="35"/>
        <v>1502.5</v>
      </c>
      <c r="L79" s="268">
        <f t="shared" si="35"/>
        <v>98.856837606837615</v>
      </c>
      <c r="M79" s="240">
        <f t="shared" si="35"/>
        <v>11.5</v>
      </c>
      <c r="N79" s="240">
        <f t="shared" si="35"/>
        <v>719.27192498621071</v>
      </c>
      <c r="O79" s="268">
        <f t="shared" si="35"/>
        <v>63.957003650881298</v>
      </c>
      <c r="P79" s="269">
        <f>M79-J79</f>
        <v>-4</v>
      </c>
      <c r="Q79" s="222">
        <f>N79-K79</f>
        <v>-783.22807501378929</v>
      </c>
      <c r="R79" s="223">
        <f>O79/L79</f>
        <v>0.64696590745947136</v>
      </c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-783.22807501378929</v>
      </c>
      <c r="AG79" s="124">
        <f>N79/K79</f>
        <v>0.47871675539847636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59:A69"/>
    <mergeCell ref="S59:S69"/>
    <mergeCell ref="AB59:AC59"/>
    <mergeCell ref="D69:E69"/>
    <mergeCell ref="AB69:AC69"/>
    <mergeCell ref="D79:E79"/>
    <mergeCell ref="AB79:AC79"/>
    <mergeCell ref="A70:A79"/>
    <mergeCell ref="S70:S79"/>
    <mergeCell ref="AB70:AC70"/>
    <mergeCell ref="A49:A58"/>
    <mergeCell ref="S49:S58"/>
    <mergeCell ref="AB49:AC49"/>
    <mergeCell ref="D58:E58"/>
    <mergeCell ref="A27:A37"/>
    <mergeCell ref="S27:S37"/>
    <mergeCell ref="AB28:AC2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38:AH48"/>
    <mergeCell ref="AH27:AH37"/>
    <mergeCell ref="AB34:AC34"/>
    <mergeCell ref="AB35:AC35"/>
    <mergeCell ref="AB29:AC29"/>
    <mergeCell ref="AB30:AC30"/>
    <mergeCell ref="AB31:AC31"/>
    <mergeCell ref="A16:A26"/>
    <mergeCell ref="S16:S26"/>
    <mergeCell ref="AB16:AC16"/>
    <mergeCell ref="D26:E26"/>
    <mergeCell ref="A38:A48"/>
    <mergeCell ref="S38:S48"/>
    <mergeCell ref="AB38:AC38"/>
    <mergeCell ref="D48:E48"/>
    <mergeCell ref="AB48:AC48"/>
    <mergeCell ref="AB43:AC43"/>
    <mergeCell ref="AB44:AC44"/>
    <mergeCell ref="AB45:AC45"/>
    <mergeCell ref="AB46:AC46"/>
    <mergeCell ref="AB47:AC47"/>
    <mergeCell ref="AB27:AC27"/>
    <mergeCell ref="AB32:AC32"/>
    <mergeCell ref="AB39:AC39"/>
    <mergeCell ref="AB40:AC40"/>
    <mergeCell ref="AB41:AC41"/>
    <mergeCell ref="AB42:AC42"/>
    <mergeCell ref="AB36:AC36"/>
    <mergeCell ref="D37:E37"/>
    <mergeCell ref="AB37:AC37"/>
    <mergeCell ref="AB33:AC33"/>
    <mergeCell ref="H3:H4"/>
    <mergeCell ref="I3:I4"/>
    <mergeCell ref="A5:A15"/>
    <mergeCell ref="S5:S15"/>
    <mergeCell ref="AB5:AC5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V3:V4"/>
    <mergeCell ref="W3:W4"/>
    <mergeCell ref="X3:Y3"/>
    <mergeCell ref="Z3:AA3"/>
    <mergeCell ref="AB3:AC4"/>
    <mergeCell ref="J3:J4"/>
    <mergeCell ref="K3:K4"/>
    <mergeCell ref="L3:L4"/>
    <mergeCell ref="P1:S2"/>
    <mergeCell ref="T1:Y2"/>
    <mergeCell ref="AB1:AC2"/>
    <mergeCell ref="AH16:AH26"/>
    <mergeCell ref="AB17:AC17"/>
    <mergeCell ref="AB18:AC18"/>
    <mergeCell ref="AB22:AC22"/>
    <mergeCell ref="AB26:AC26"/>
    <mergeCell ref="AB19:AC19"/>
    <mergeCell ref="AB20:AC20"/>
    <mergeCell ref="AB21:AC21"/>
    <mergeCell ref="AB23:AC23"/>
    <mergeCell ref="AB24:AC24"/>
    <mergeCell ref="AB25:AC25"/>
    <mergeCell ref="A2:B2"/>
    <mergeCell ref="A3:A4"/>
    <mergeCell ref="B3:B4"/>
    <mergeCell ref="D3:E4"/>
    <mergeCell ref="F3:F4"/>
    <mergeCell ref="AH5:AH15"/>
    <mergeCell ref="AB6:AC6"/>
    <mergeCell ref="AB7:AC7"/>
    <mergeCell ref="M3:M4"/>
    <mergeCell ref="M1:O2"/>
    <mergeCell ref="N3:N4"/>
    <mergeCell ref="O3:O4"/>
    <mergeCell ref="AG3:AG4"/>
    <mergeCell ref="AF1:AH2"/>
    <mergeCell ref="AH3:AH4"/>
    <mergeCell ref="S3:S4"/>
    <mergeCell ref="P3:P4"/>
    <mergeCell ref="Q3:Q4"/>
    <mergeCell ref="R3:R4"/>
    <mergeCell ref="G3:G4"/>
    <mergeCell ref="J1:L2"/>
    <mergeCell ref="AD3:AE3"/>
    <mergeCell ref="AF3:AF4"/>
    <mergeCell ref="T3:U3"/>
  </mergeCells>
  <phoneticPr fontId="0" type="noConversion"/>
  <conditionalFormatting sqref="P5:P79">
    <cfRule type="cellIs" dxfId="168" priority="1" operator="greaterThan">
      <formula>0</formula>
    </cfRule>
  </conditionalFormatting>
  <conditionalFormatting sqref="Q5:Q79 AF5:AF79">
    <cfRule type="cellIs" dxfId="167" priority="4" operator="lessThan">
      <formula>0</formula>
    </cfRule>
  </conditionalFormatting>
  <conditionalFormatting sqref="R5:R79 AG5:AG79">
    <cfRule type="cellIs" dxfId="166" priority="2" operator="greaterThan">
      <formula>1</formula>
    </cfRule>
    <cfRule type="cellIs" dxfId="165" priority="3" operator="lessThan">
      <formula>0.8</formula>
    </cfRule>
  </conditionalFormatting>
  <conditionalFormatting sqref="S5:S10 S37:S62 AH59:AH62 S69:S76 AH69:AH76">
    <cfRule type="cellIs" dxfId="164" priority="7" operator="lessThan">
      <formula>0.8</formula>
    </cfRule>
  </conditionalFormatting>
  <conditionalFormatting sqref="S19:S25 AH19:AH25">
    <cfRule type="cellIs" dxfId="163" priority="6" operator="lessThan">
      <formula>0.8</formula>
    </cfRule>
  </conditionalFormatting>
  <conditionalFormatting sqref="S79">
    <cfRule type="cellIs" dxfId="162" priority="5" operator="lessThan">
      <formula>0.8</formula>
    </cfRule>
  </conditionalFormatting>
  <conditionalFormatting sqref="AH5:AH8 S15:S16 AH15:AH16 AH49 AH79">
    <cfRule type="cellIs" dxfId="161" priority="9" operator="lessThan">
      <formula>0.8</formula>
    </cfRule>
  </conditionalFormatting>
  <conditionalFormatting sqref="AH27 S27:S28">
    <cfRule type="cellIs" dxfId="1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A80A5F-B48F-46F9-913D-0E789D2EE05F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18A4-24B6-4671-B2FE-34C0901B40BF}">
  <dimension ref="B1:O26"/>
  <sheetViews>
    <sheetView zoomScale="70" zoomScaleNormal="70" workbookViewId="0">
      <selection activeCell="U63" sqref="U6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46188</v>
      </c>
      <c r="E3" s="510"/>
      <c r="F3" s="3" t="s">
        <v>72</v>
      </c>
      <c r="G3" s="511">
        <f>'0615'!E1</f>
        <v>67678</v>
      </c>
      <c r="H3" s="511"/>
      <c r="I3" s="3" t="s">
        <v>2</v>
      </c>
      <c r="J3" s="512">
        <f>'0615'!G1</f>
        <v>3274536.915000001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121.90135773812244</v>
      </c>
      <c r="G6" s="507"/>
      <c r="H6" s="508">
        <f>AVERAGE(D13:H13)</f>
        <v>121.33647777059541</v>
      </c>
      <c r="I6" s="508"/>
      <c r="J6" s="508">
        <f>AVERAGE(I13)</f>
        <v>124.72575757575757</v>
      </c>
      <c r="K6" s="508"/>
      <c r="L6" s="516">
        <f>SUM(D18:J18)</f>
        <v>0</v>
      </c>
      <c r="M6" s="499">
        <f>SUM(D19:J19)</f>
        <v>0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115.79209020901908</v>
      </c>
      <c r="G7" s="496"/>
      <c r="H7" s="497">
        <f>AVERAGE(D14:H14)</f>
        <v>115.23433784084094</v>
      </c>
      <c r="I7" s="497"/>
      <c r="J7" s="497">
        <f>AVERAGE(I14)</f>
        <v>118.58085204990985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0.94988351530728854</v>
      </c>
      <c r="G8" s="502"/>
      <c r="H8" s="502">
        <f>H7/H6</f>
        <v>0.94970894126915839</v>
      </c>
      <c r="I8" s="502"/>
      <c r="J8" s="502">
        <f>J7/J6</f>
        <v>0.95073266624886732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VALUE('0615'!L15)</f>
        <v>150</v>
      </c>
      <c r="E13" s="13">
        <f>VALUE('0615'!L26)</f>
        <v>158.32255979314803</v>
      </c>
      <c r="F13" s="13">
        <f>VALUE('0615'!L37)</f>
        <v>93.364957264957269</v>
      </c>
      <c r="G13" s="13">
        <f>VALUE('0615'!L48)</f>
        <v>101.9948717948718</v>
      </c>
      <c r="H13" s="13">
        <f>VALUE('0615'!L58)</f>
        <v>103</v>
      </c>
      <c r="I13" s="13">
        <f>VALUE('0615'!L69)</f>
        <v>124.72575757575757</v>
      </c>
      <c r="J13" s="13">
        <f>'0615'!L79</f>
        <v>0</v>
      </c>
    </row>
    <row r="14" spans="2:15" ht="39.950000000000003" customHeight="1">
      <c r="B14" s="490"/>
      <c r="C14" s="12" t="s">
        <v>100</v>
      </c>
      <c r="D14" s="13">
        <f>VALUE('0615'!O15)</f>
        <v>143.73522818631608</v>
      </c>
      <c r="E14" s="13">
        <f>VALUE('0615'!O26)</f>
        <v>151.74589877211022</v>
      </c>
      <c r="F14" s="13">
        <f>VALUE('0615'!O37)</f>
        <v>88.094262889102509</v>
      </c>
      <c r="G14" s="13">
        <f>VALUE('0615'!O48)</f>
        <v>94.92049179578548</v>
      </c>
      <c r="H14" s="13">
        <f>VALUE('0615'!O58)</f>
        <v>97.675807560890249</v>
      </c>
      <c r="I14" s="13">
        <f>VALUE('0615'!O69)</f>
        <v>118.58085204990985</v>
      </c>
      <c r="J14" s="13">
        <f>'0615'!O79</f>
        <v>0</v>
      </c>
    </row>
    <row r="15" spans="2:15" ht="39.950000000000003" customHeight="1">
      <c r="B15" s="491"/>
      <c r="C15" s="10" t="s">
        <v>26</v>
      </c>
      <c r="D15" s="14">
        <f t="shared" ref="D15:I15" si="1">D14/D13</f>
        <v>0.95823485457544055</v>
      </c>
      <c r="E15" s="14">
        <f t="shared" si="1"/>
        <v>0.95846036705299387</v>
      </c>
      <c r="F15" s="14">
        <f t="shared" si="1"/>
        <v>0.94354740225610312</v>
      </c>
      <c r="G15" s="14">
        <f t="shared" si="1"/>
        <v>0.93063984615506901</v>
      </c>
      <c r="H15" s="14">
        <f t="shared" si="1"/>
        <v>0.94830881127077915</v>
      </c>
      <c r="I15" s="14">
        <f t="shared" si="1"/>
        <v>0.95073266624886732</v>
      </c>
      <c r="J15" s="15">
        <f>'0615'!S70</f>
        <v>0</v>
      </c>
    </row>
    <row r="16" spans="2:15" ht="17.25" customHeight="1">
      <c r="B16" s="492" t="s">
        <v>101</v>
      </c>
      <c r="C16" s="10" t="s">
        <v>34</v>
      </c>
      <c r="D16" s="16">
        <f>'0615'!T5</f>
        <v>0.29930555555555599</v>
      </c>
      <c r="E16" s="16">
        <f>'0615'!T16</f>
        <v>0.29930555555555599</v>
      </c>
      <c r="F16" s="16">
        <f>'0615'!T27</f>
        <v>0.29166666666666702</v>
      </c>
      <c r="G16" s="16">
        <f>'0615'!T38</f>
        <v>0.33333333333333298</v>
      </c>
      <c r="H16" s="16">
        <f>'0615'!T49</f>
        <v>0.29166666666666702</v>
      </c>
      <c r="I16" s="16">
        <f>'0615'!T59</f>
        <v>0.28819444444444398</v>
      </c>
      <c r="J16" s="16">
        <f>'0615'!T70</f>
        <v>0</v>
      </c>
    </row>
    <row r="17" spans="2:10" ht="17.25" customHeight="1">
      <c r="B17" s="493"/>
      <c r="C17" s="10" t="s">
        <v>35</v>
      </c>
      <c r="D17" s="16">
        <v>0.63402777777777797</v>
      </c>
      <c r="E17" s="19">
        <v>0.65486111111111101</v>
      </c>
      <c r="F17" s="19">
        <v>0.61944444444444402</v>
      </c>
      <c r="G17" s="210">
        <v>0.71180555555555602</v>
      </c>
      <c r="H17" s="21">
        <v>0.68055555555555602</v>
      </c>
      <c r="I17" s="22">
        <v>0.61805555555555602</v>
      </c>
      <c r="J17" s="22">
        <v>0</v>
      </c>
    </row>
    <row r="18" spans="2:10" ht="17.25" customHeight="1">
      <c r="B18" s="494" t="s">
        <v>102</v>
      </c>
      <c r="C18" s="330" t="s">
        <v>36</v>
      </c>
      <c r="D18" s="358">
        <f>'0615'!Z15</f>
        <v>0</v>
      </c>
      <c r="E18" s="359">
        <f>'0615'!Z26</f>
        <v>0</v>
      </c>
      <c r="F18" s="359">
        <f>'0615'!Z37</f>
        <v>0</v>
      </c>
      <c r="G18" s="360">
        <f>'0615'!Z48</f>
        <v>0</v>
      </c>
      <c r="H18" s="360">
        <f>'0615'!Z58</f>
        <v>0</v>
      </c>
      <c r="I18" s="359">
        <f>'0615'!Z69</f>
        <v>0</v>
      </c>
      <c r="J18" s="359">
        <f>'0615'!AA79</f>
        <v>0</v>
      </c>
    </row>
    <row r="19" spans="2:10" ht="17.25" customHeight="1">
      <c r="B19" s="495"/>
      <c r="C19" s="330" t="s">
        <v>37</v>
      </c>
      <c r="D19" s="358">
        <f>'0615'!AA15</f>
        <v>0</v>
      </c>
      <c r="E19" s="359">
        <f>'0615'!AA26</f>
        <v>0</v>
      </c>
      <c r="F19" s="359">
        <f>'0615'!AA37</f>
        <v>0</v>
      </c>
      <c r="G19" s="360">
        <f>'0615'!AA48</f>
        <v>0</v>
      </c>
      <c r="H19" s="360">
        <f>'0615'!AA58</f>
        <v>0</v>
      </c>
      <c r="I19" s="359">
        <f>'0615'!AA69</f>
        <v>0</v>
      </c>
      <c r="J19" s="359">
        <f>'0615'!AB79</f>
        <v>0</v>
      </c>
    </row>
    <row r="20" spans="2:10" ht="17.25" customHeight="1">
      <c r="B20" s="494" t="s">
        <v>103</v>
      </c>
      <c r="C20" s="330" t="s">
        <v>36</v>
      </c>
      <c r="D20" s="358">
        <f>'0615'!AD15</f>
        <v>0</v>
      </c>
      <c r="E20" s="359">
        <f>'0615'!AD26</f>
        <v>0</v>
      </c>
      <c r="F20" s="359">
        <f>'0615'!AD37</f>
        <v>0</v>
      </c>
      <c r="G20" s="360">
        <f>'0615'!AD48</f>
        <v>0</v>
      </c>
      <c r="H20" s="360">
        <f>'0615'!AD58</f>
        <v>0</v>
      </c>
      <c r="I20" s="359">
        <f>'0615'!AD69</f>
        <v>0</v>
      </c>
      <c r="J20" s="359">
        <f>'0615'!AD79</f>
        <v>0</v>
      </c>
    </row>
    <row r="21" spans="2:10" ht="17.25" customHeight="1">
      <c r="B21" s="495"/>
      <c r="C21" s="330" t="s">
        <v>85</v>
      </c>
      <c r="D21" s="358">
        <f>'0615'!AE15</f>
        <v>0</v>
      </c>
      <c r="E21" s="359">
        <f>'0615'!AE26</f>
        <v>0</v>
      </c>
      <c r="F21" s="359">
        <f>'0615'!AE37</f>
        <v>0</v>
      </c>
      <c r="G21" s="360">
        <f>'0615'!AE48</f>
        <v>0</v>
      </c>
      <c r="H21" s="360">
        <f>'0615'!AE58</f>
        <v>0</v>
      </c>
      <c r="I21" s="359">
        <f>'0615'!AE69</f>
        <v>0</v>
      </c>
      <c r="J21" s="359">
        <f>'0615'!AE79</f>
        <v>0</v>
      </c>
    </row>
    <row r="22" spans="2:10" ht="17.25" customHeight="1">
      <c r="B22" s="477" t="s">
        <v>104</v>
      </c>
      <c r="C22" s="478"/>
      <c r="D22" s="23">
        <f>VALUE('0615'!M15)</f>
        <v>15</v>
      </c>
      <c r="E22" s="23">
        <f>VALUE('0615'!M26)</f>
        <v>14.333333333333334</v>
      </c>
      <c r="F22" s="23">
        <f>VALUE('0615'!M37)</f>
        <v>16</v>
      </c>
      <c r="G22" s="23">
        <f>VALUE('0615'!M48)</f>
        <v>15.333333333333334</v>
      </c>
      <c r="H22" s="23">
        <f>VALUE('0615'!M58)</f>
        <v>16.2</v>
      </c>
      <c r="I22" s="23">
        <f>VALUE('0615'!M69)</f>
        <v>12.8</v>
      </c>
      <c r="J22" s="23">
        <f>'0615'!M79</f>
        <v>0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941E7-0076-4521-A778-F328E125C6DB}">
  <sheetPr>
    <tabColor theme="9" tint="0.79998168889431442"/>
  </sheetPr>
  <dimension ref="A1:AJ92"/>
  <sheetViews>
    <sheetView zoomScale="69" zoomScaleNormal="69" workbookViewId="0">
      <pane xSplit="5" ySplit="4" topLeftCell="F23" activePane="bottomRight" state="frozen"/>
      <selection activeCell="U63" sqref="U63"/>
      <selection pane="topRight" activeCell="U63" sqref="U63"/>
      <selection pane="bottomLeft" activeCell="U63" sqref="U63"/>
      <selection pane="bottomRight" activeCell="G44" sqref="G4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67678</v>
      </c>
      <c r="F1" s="30" t="s">
        <v>2</v>
      </c>
      <c r="G1" s="31">
        <f>SUM(H5:H79)</f>
        <v>3274536.915000001</v>
      </c>
      <c r="H1" s="32" t="s">
        <v>3</v>
      </c>
      <c r="I1" s="33">
        <f>M15+M26+M48+M58+M69+M79+M37</f>
        <v>89.666666666666671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188</v>
      </c>
      <c r="B2" s="381"/>
      <c r="C2" s="28"/>
      <c r="D2" s="28" t="s">
        <v>14</v>
      </c>
      <c r="E2" s="35">
        <f>AVERAGE(O15,O26,O37,O48,O58,O69,O79)</f>
        <v>115.79209020901908</v>
      </c>
      <c r="F2" s="36" t="s">
        <v>15</v>
      </c>
      <c r="G2" s="37">
        <f>G1/E1</f>
        <v>48.384067422205163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3362</v>
      </c>
      <c r="H5" s="43">
        <f>F5*G5</f>
        <v>191196.94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2145.9574468085366</v>
      </c>
      <c r="O5" s="47">
        <f>N5/M5</f>
        <v>143.06382978723576</v>
      </c>
      <c r="P5" s="49">
        <f>M5-J5</f>
        <v>0</v>
      </c>
      <c r="Q5" s="50">
        <f>O5-L5</f>
        <v>-6.9361702127642388</v>
      </c>
      <c r="R5" s="51">
        <f>O5/L5</f>
        <v>0.95375886524823839</v>
      </c>
      <c r="S5" s="439">
        <f>R15</f>
        <v>0.95823485457544055</v>
      </c>
      <c r="T5" s="319">
        <v>0.29930555555555599</v>
      </c>
      <c r="U5" s="320">
        <v>0.36458333333333298</v>
      </c>
      <c r="V5" s="53"/>
      <c r="W5" s="54">
        <f t="shared" ref="W5:W14" si="0">(U5-T5)*24*60</f>
        <v>93.999999999998863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-104.04255319146341</v>
      </c>
      <c r="AG5" s="52">
        <f t="shared" ref="AG5:AG11" si="2">N5/K5</f>
        <v>0.9537588652482385</v>
      </c>
      <c r="AH5" s="403">
        <f>AG15</f>
        <v>0.95823485457544044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3397</v>
      </c>
      <c r="H6" s="63">
        <f>F6*G6</f>
        <v>197603.49000000002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2239.7802197802357</v>
      </c>
      <c r="O6" s="67">
        <f>N6/M6</f>
        <v>149.31868131868239</v>
      </c>
      <c r="P6" s="69">
        <f>M6-J6</f>
        <v>0</v>
      </c>
      <c r="Q6" s="70">
        <f>O6-L6</f>
        <v>-0.68131868131760598</v>
      </c>
      <c r="R6" s="71">
        <f>O6/L6</f>
        <v>0.99545787545788267</v>
      </c>
      <c r="S6" s="440"/>
      <c r="T6" s="16">
        <v>0.37152777777777801</v>
      </c>
      <c r="U6" s="16">
        <v>0.43472222222222201</v>
      </c>
      <c r="V6" s="30">
        <f>(T6-U5)*24*60</f>
        <v>10.000000000000844</v>
      </c>
      <c r="W6" s="73">
        <f t="shared" si="0"/>
        <v>90.999999999999361</v>
      </c>
      <c r="X6" s="22"/>
      <c r="Y6" s="84"/>
      <c r="Z6" s="90"/>
      <c r="AA6" s="90"/>
      <c r="AB6" s="434"/>
      <c r="AC6" s="434"/>
      <c r="AD6" s="149"/>
      <c r="AE6" s="149"/>
      <c r="AF6" s="307">
        <f t="shared" si="1"/>
        <v>-10.219780219764289</v>
      </c>
      <c r="AG6" s="72">
        <f t="shared" si="2"/>
        <v>0.99545787545788256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2197</v>
      </c>
      <c r="H7" s="78">
        <f>F7*G7</f>
        <v>107960.58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2059.68750000002</v>
      </c>
      <c r="O7" s="81">
        <f>N7/M7</f>
        <v>137.31250000000134</v>
      </c>
      <c r="P7" s="74">
        <f>M7-J7</f>
        <v>0</v>
      </c>
      <c r="Q7" s="83">
        <f>O7-L7</f>
        <v>-12.687499999998664</v>
      </c>
      <c r="R7" s="72">
        <f>O7/L7</f>
        <v>0.91541666666667554</v>
      </c>
      <c r="S7" s="440"/>
      <c r="T7" s="18">
        <v>0.44166666666666698</v>
      </c>
      <c r="U7" s="18">
        <v>0.48611111111111099</v>
      </c>
      <c r="V7" s="30">
        <f t="shared" ref="V7:V8" si="3">(T7-U6)*24*60</f>
        <v>10.000000000000764</v>
      </c>
      <c r="W7" s="73">
        <f t="shared" si="0"/>
        <v>63.999999999999375</v>
      </c>
      <c r="X7" s="22"/>
      <c r="Y7" s="84"/>
      <c r="Z7" s="90"/>
      <c r="AA7" s="90"/>
      <c r="AB7" s="407"/>
      <c r="AC7" s="407"/>
      <c r="AD7" s="92"/>
      <c r="AE7" s="92"/>
      <c r="AF7" s="307">
        <f t="shared" si="1"/>
        <v>-190.31249999997999</v>
      </c>
      <c r="AG7" s="72">
        <f t="shared" si="2"/>
        <v>0.91541666666667554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4430</v>
      </c>
      <c r="H8" s="78">
        <f>F8*G8</f>
        <v>217690.2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2178.6885245901713</v>
      </c>
      <c r="O8" s="81">
        <f>N8/M8</f>
        <v>145.24590163934474</v>
      </c>
      <c r="P8" s="74">
        <f>M8-J8</f>
        <v>0</v>
      </c>
      <c r="Q8" s="83">
        <f>O8-L8</f>
        <v>-4.7540983606552629</v>
      </c>
      <c r="R8" s="72">
        <f>O8/L8</f>
        <v>0.96830601092896496</v>
      </c>
      <c r="S8" s="440"/>
      <c r="T8" s="16">
        <v>0.54930555555555605</v>
      </c>
      <c r="U8" s="16">
        <v>0.63402777777777797</v>
      </c>
      <c r="V8" s="30">
        <f t="shared" si="3"/>
        <v>91.000000000000881</v>
      </c>
      <c r="W8" s="73">
        <f t="shared" si="0"/>
        <v>121.99999999999957</v>
      </c>
      <c r="X8" s="22"/>
      <c r="Y8" s="84"/>
      <c r="Z8" s="90"/>
      <c r="AA8" s="90"/>
      <c r="AB8" s="434"/>
      <c r="AC8" s="434"/>
      <c r="AD8" s="149"/>
      <c r="AE8" s="149"/>
      <c r="AF8" s="307">
        <f t="shared" si="1"/>
        <v>-71.311475409828745</v>
      </c>
      <c r="AG8" s="72">
        <f t="shared" si="2"/>
        <v>0.96830601092896496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0</v>
      </c>
      <c r="AG9" s="72" t="e">
        <f t="shared" si="2"/>
        <v>#DIV/0!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4">AVERAGE(J5:J14)</f>
        <v>15</v>
      </c>
      <c r="K15" s="120">
        <f t="shared" si="4"/>
        <v>2250</v>
      </c>
      <c r="L15" s="117">
        <f t="shared" si="4"/>
        <v>150</v>
      </c>
      <c r="M15" s="120">
        <f t="shared" si="4"/>
        <v>15</v>
      </c>
      <c r="N15" s="120">
        <f t="shared" si="4"/>
        <v>2156.0284227947409</v>
      </c>
      <c r="O15" s="117">
        <f t="shared" si="4"/>
        <v>143.73522818631608</v>
      </c>
      <c r="P15" s="121">
        <f>M15-J15</f>
        <v>0</v>
      </c>
      <c r="Q15" s="122">
        <f>O15-L15</f>
        <v>-6.2647718136839217</v>
      </c>
      <c r="R15" s="123">
        <f>O15/L15</f>
        <v>0.95823485457544055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-93.971577205259109</v>
      </c>
      <c r="AG15" s="124">
        <f>N15/K15</f>
        <v>0.95823485457544044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2691</v>
      </c>
      <c r="H16" s="134">
        <f>F16*G16</f>
        <v>136352.97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2152.8000000000147</v>
      </c>
      <c r="O16" s="141">
        <f>N16/M16</f>
        <v>153.77142857142962</v>
      </c>
      <c r="P16" s="142">
        <f>M16-J16</f>
        <v>0</v>
      </c>
      <c r="Q16" s="143">
        <f>O16-L16</f>
        <v>-6.9428571428560986</v>
      </c>
      <c r="R16" s="144">
        <f>O16/L16</f>
        <v>0.95680000000000653</v>
      </c>
      <c r="S16" s="425">
        <f>R26</f>
        <v>0.95846036705299387</v>
      </c>
      <c r="T16" s="145">
        <v>0.29930555555555599</v>
      </c>
      <c r="U16" s="145">
        <v>0.35138888888888897</v>
      </c>
      <c r="V16" s="135"/>
      <c r="W16" s="146">
        <f t="shared" ref="W16:W78" si="5">(U16-T16)*24*60</f>
        <v>74.999999999999488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-97.199999999985266</v>
      </c>
      <c r="AG16" s="52">
        <f>N16/K16</f>
        <v>0.95680000000000653</v>
      </c>
      <c r="AH16" s="403">
        <f>AG26</f>
        <v>0.95948305361706154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2191</v>
      </c>
      <c r="H17" s="78">
        <f>F17*G17</f>
        <v>125347.11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2190.9999999999818</v>
      </c>
      <c r="O17" s="96">
        <f>N17/M17</f>
        <v>128.88235294117541</v>
      </c>
      <c r="P17" s="97">
        <f>M17-J17</f>
        <v>0</v>
      </c>
      <c r="Q17" s="98">
        <f>O17-L17</f>
        <v>-3.4705882352951676</v>
      </c>
      <c r="R17" s="99">
        <f>O17/L17</f>
        <v>0.97377777777776986</v>
      </c>
      <c r="S17" s="426"/>
      <c r="T17" s="19">
        <v>0.35763888888888901</v>
      </c>
      <c r="U17" s="19">
        <v>0.39930555555555602</v>
      </c>
      <c r="V17" s="30">
        <f>(T17-U16)*24*60</f>
        <v>9.000000000000048</v>
      </c>
      <c r="W17" s="149">
        <f t="shared" si="5"/>
        <v>60.000000000000504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-59.00000000001819</v>
      </c>
      <c r="AG17" s="72">
        <f>N17/K17</f>
        <v>0.97377777777776975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1379</v>
      </c>
      <c r="H18" s="78">
        <f>F18*G18</f>
        <v>78065.19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2177.3684210526208</v>
      </c>
      <c r="O18" s="96">
        <f>N18/M18</f>
        <v>145.15789473684137</v>
      </c>
      <c r="P18" s="97">
        <f>M18-J18</f>
        <v>0</v>
      </c>
      <c r="Q18" s="98">
        <f>O18-L18</f>
        <v>-4.8421052631586292</v>
      </c>
      <c r="R18" s="99">
        <f>O18/L18</f>
        <v>0.96771929824560909</v>
      </c>
      <c r="S18" s="426"/>
      <c r="T18" s="19">
        <v>0.40763888888888899</v>
      </c>
      <c r="U18" s="19">
        <v>0.43402777777777801</v>
      </c>
      <c r="V18" s="30">
        <f>(T18-U17)*24*60</f>
        <v>11.999999999999478</v>
      </c>
      <c r="W18" s="149">
        <f t="shared" si="5"/>
        <v>38.000000000000185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-72.631578947379239</v>
      </c>
      <c r="AG18" s="72">
        <f>N18/K18</f>
        <v>0.96771929824560921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2049</v>
      </c>
      <c r="H19" s="78">
        <f t="shared" ref="H19:H21" si="6">F19*G19</f>
        <v>103249.11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7">K19/J19</f>
        <v>173.07692307692307</v>
      </c>
      <c r="M19" s="148">
        <v>13</v>
      </c>
      <c r="N19" s="95">
        <f t="shared" ref="N19:N21" si="8">G19/W19*60</f>
        <v>2083.7288135593321</v>
      </c>
      <c r="O19" s="96">
        <f t="shared" ref="O19:O21" si="9">N19/M19</f>
        <v>160.28683181225631</v>
      </c>
      <c r="P19" s="97">
        <f t="shared" ref="P19:P21" si="10">M19-J19</f>
        <v>0</v>
      </c>
      <c r="Q19" s="98">
        <f t="shared" ref="Q19:Q21" si="11">O19-L19</f>
        <v>-12.790091264666756</v>
      </c>
      <c r="R19" s="99">
        <f t="shared" ref="R19:R21" si="12">O19/L19</f>
        <v>0.92610169491525873</v>
      </c>
      <c r="S19" s="426"/>
      <c r="T19" s="19">
        <v>0.44236111111111098</v>
      </c>
      <c r="U19" s="19">
        <v>0.483333333333333</v>
      </c>
      <c r="V19" s="30">
        <f>(T19-U18)*24*60</f>
        <v>11.999999999999478</v>
      </c>
      <c r="W19" s="149">
        <f t="shared" si="5"/>
        <v>58.999999999999709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-166.27118644066786</v>
      </c>
      <c r="AG19" s="72">
        <f>N19/K19</f>
        <v>0.92610169491525873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3793</v>
      </c>
      <c r="H20" s="78">
        <f t="shared" si="6"/>
        <v>191129.27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7"/>
        <v>173.07692307692307</v>
      </c>
      <c r="M20" s="148">
        <v>13</v>
      </c>
      <c r="N20" s="95">
        <f t="shared" si="8"/>
        <v>2146.9811320754761</v>
      </c>
      <c r="O20" s="96">
        <f t="shared" si="9"/>
        <v>165.15239477503661</v>
      </c>
      <c r="P20" s="97">
        <f t="shared" si="10"/>
        <v>0</v>
      </c>
      <c r="Q20" s="98">
        <f t="shared" si="11"/>
        <v>-7.9245283018864541</v>
      </c>
      <c r="R20" s="99">
        <f t="shared" si="12"/>
        <v>0.95421383647798941</v>
      </c>
      <c r="S20" s="426"/>
      <c r="T20" s="19">
        <v>0.54861111111111105</v>
      </c>
      <c r="U20" s="19">
        <v>0.62222222222222201</v>
      </c>
      <c r="V20" s="30">
        <f>(T20-U19)*24*60</f>
        <v>94.000000000000384</v>
      </c>
      <c r="W20" s="149">
        <f t="shared" si="5"/>
        <v>105.99999999999979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v>1284</v>
      </c>
      <c r="H21" s="78">
        <f t="shared" si="6"/>
        <v>65060.28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7"/>
        <v>160.71428571428572</v>
      </c>
      <c r="M21" s="148">
        <v>14</v>
      </c>
      <c r="N21" s="95">
        <f t="shared" si="8"/>
        <v>2201.1428571429055</v>
      </c>
      <c r="O21" s="96">
        <f t="shared" si="9"/>
        <v>157.22448979592181</v>
      </c>
      <c r="P21" s="97">
        <f t="shared" si="10"/>
        <v>0</v>
      </c>
      <c r="Q21" s="98">
        <f t="shared" si="11"/>
        <v>-3.4897959183639102</v>
      </c>
      <c r="R21" s="99">
        <f t="shared" si="12"/>
        <v>0.97828571428573563</v>
      </c>
      <c r="S21" s="426"/>
      <c r="T21" s="19">
        <v>0.63055555555555598</v>
      </c>
      <c r="U21" s="19">
        <v>0.65486111111111101</v>
      </c>
      <c r="V21" s="30">
        <f>(T21-U20)*24*60</f>
        <v>12.000000000000917</v>
      </c>
      <c r="W21" s="149">
        <f t="shared" si="5"/>
        <v>34.999999999999233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9"/>
      <c r="U22" s="19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5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3">AVERAGE(J16:J25)</f>
        <v>14.333333333333334</v>
      </c>
      <c r="K26" s="155">
        <f t="shared" si="13"/>
        <v>2250</v>
      </c>
      <c r="L26" s="158">
        <f t="shared" si="13"/>
        <v>158.32255979314803</v>
      </c>
      <c r="M26" s="155">
        <f t="shared" si="13"/>
        <v>14.333333333333334</v>
      </c>
      <c r="N26" s="155">
        <f t="shared" si="13"/>
        <v>2158.8368706383885</v>
      </c>
      <c r="O26" s="158">
        <f t="shared" si="13"/>
        <v>151.74589877211022</v>
      </c>
      <c r="P26" s="159">
        <f>M26-J26</f>
        <v>0</v>
      </c>
      <c r="Q26" s="160">
        <f>O26-L26</f>
        <v>-6.5766610210378076</v>
      </c>
      <c r="R26" s="161">
        <f>O26/L26</f>
        <v>0.95846036705299387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4">N26-K26</f>
        <v>-91.163129361611482</v>
      </c>
      <c r="AG26" s="124">
        <f t="shared" ref="AG26:AG31" si="15">N26/K26</f>
        <v>0.95948305361706154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124</v>
      </c>
      <c r="E27" s="132"/>
      <c r="F27" s="129">
        <f>VLOOKUP(D27,廠價表!$C$1:$E$43,3,0)</f>
        <v>57.21</v>
      </c>
      <c r="G27" s="169">
        <v>3571</v>
      </c>
      <c r="H27" s="134">
        <f>F27*G27</f>
        <v>204296.91</v>
      </c>
      <c r="I27" s="135"/>
      <c r="J27" s="136">
        <f>VLOOKUP(D27,產線配置圖!$A$3:$C$40,2,0)</f>
        <v>18</v>
      </c>
      <c r="K27" s="137">
        <v>1714</v>
      </c>
      <c r="L27" s="138">
        <f>K27/J27</f>
        <v>95.222222222222229</v>
      </c>
      <c r="M27" s="170">
        <v>17</v>
      </c>
      <c r="N27" s="140">
        <f>G27/W27*60</f>
        <v>1552.6086956521794</v>
      </c>
      <c r="O27" s="141">
        <f>N27/M27</f>
        <v>91.329923273657613</v>
      </c>
      <c r="P27" s="142">
        <f>M27-J27</f>
        <v>-1</v>
      </c>
      <c r="Q27" s="143">
        <f>O27-L27</f>
        <v>-3.8922989485646156</v>
      </c>
      <c r="R27" s="144">
        <f>O27/L27</f>
        <v>0.95912404838146847</v>
      </c>
      <c r="S27" s="425">
        <f>R37</f>
        <v>0.94354740225610312</v>
      </c>
      <c r="T27" s="171">
        <v>0.29166666666666702</v>
      </c>
      <c r="U27" s="171">
        <v>0.38750000000000001</v>
      </c>
      <c r="V27" s="135"/>
      <c r="W27" s="146">
        <f t="shared" si="5"/>
        <v>137.99999999999952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14"/>
        <v>-161.39130434782055</v>
      </c>
      <c r="AG27" s="172">
        <f t="shared" si="15"/>
        <v>0.90583937902694245</v>
      </c>
      <c r="AH27" s="403">
        <f>AG37</f>
        <v>0.89131288292791255</v>
      </c>
    </row>
    <row r="28" spans="1:34" ht="15" customHeight="1">
      <c r="A28" s="457"/>
      <c r="B28" s="75" t="s">
        <v>81</v>
      </c>
      <c r="C28" s="173"/>
      <c r="D28" s="59" t="s">
        <v>122</v>
      </c>
      <c r="E28" s="104"/>
      <c r="F28" s="75">
        <f>VLOOKUP(D28,廠價表!$C$1:$E$43,3,0)</f>
        <v>57.21</v>
      </c>
      <c r="G28" s="90">
        <v>935</v>
      </c>
      <c r="H28" s="91">
        <f>F28*G28</f>
        <v>53491.35</v>
      </c>
      <c r="I28" s="92"/>
      <c r="J28" s="79">
        <f>VLOOKUP(D28,產線配置圖!$A$3:$C$40,2,0)</f>
        <v>18</v>
      </c>
      <c r="K28" s="80">
        <f>VLOOKUP(D28,產線配置圖!$A$3:$C$40,3,0)</f>
        <v>1565</v>
      </c>
      <c r="L28" s="93">
        <f>K28/J28</f>
        <v>86.944444444444443</v>
      </c>
      <c r="M28" s="94">
        <v>16</v>
      </c>
      <c r="N28" s="95">
        <f>G28/W28*60</f>
        <v>1335.714285714316</v>
      </c>
      <c r="O28" s="96">
        <f>N28/M28</f>
        <v>83.482142857144751</v>
      </c>
      <c r="P28" s="97">
        <f>M28-J28</f>
        <v>-2</v>
      </c>
      <c r="Q28" s="98">
        <f>O28-L28</f>
        <v>-3.4623015872996916</v>
      </c>
      <c r="R28" s="99">
        <f>O28/L28</f>
        <v>0.960178000912847</v>
      </c>
      <c r="S28" s="426"/>
      <c r="T28" s="19">
        <v>0.39305555555555599</v>
      </c>
      <c r="U28" s="19">
        <v>0.422222222222222</v>
      </c>
      <c r="V28" s="92">
        <f>(T28-U27)*24*60</f>
        <v>8.0000000000006111</v>
      </c>
      <c r="W28" s="149">
        <f t="shared" si="5"/>
        <v>41.999999999999048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14"/>
        <v>-229.28571428568398</v>
      </c>
      <c r="AG28" s="99">
        <f t="shared" si="15"/>
        <v>0.85349155636697505</v>
      </c>
      <c r="AH28" s="445"/>
    </row>
    <row r="29" spans="1:34" ht="15" customHeight="1">
      <c r="A29" s="457"/>
      <c r="B29" s="75" t="s">
        <v>81</v>
      </c>
      <c r="C29" s="173"/>
      <c r="D29" s="59" t="s">
        <v>168</v>
      </c>
      <c r="E29" s="104"/>
      <c r="F29" s="75">
        <f>VLOOKUP(D29,廠價表!$C$1:$E$43,3,0)</f>
        <v>57.21</v>
      </c>
      <c r="G29" s="90">
        <v>1143</v>
      </c>
      <c r="H29" s="91">
        <f>F29*G29</f>
        <v>65391.03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1399.5918367346828</v>
      </c>
      <c r="O29" s="96">
        <f>N29/M29</f>
        <v>82.328931572628406</v>
      </c>
      <c r="P29" s="97">
        <f>M29-J29</f>
        <v>-1</v>
      </c>
      <c r="Q29" s="98">
        <f>O29-L29</f>
        <v>-4.615512871816037</v>
      </c>
      <c r="R29" s="99">
        <f>O29/L29</f>
        <v>0.94691422895035871</v>
      </c>
      <c r="S29" s="426"/>
      <c r="T29" s="19">
        <v>0.42777777777777798</v>
      </c>
      <c r="U29" s="19">
        <v>0.46180555555555602</v>
      </c>
      <c r="V29" s="92">
        <f>(T29-U28)*24*60</f>
        <v>8.0000000000006111</v>
      </c>
      <c r="W29" s="149">
        <f t="shared" si="5"/>
        <v>49.000000000000384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14"/>
        <v>-165.40816326531717</v>
      </c>
      <c r="AG29" s="99">
        <f t="shared" si="15"/>
        <v>0.89430788289756091</v>
      </c>
      <c r="AH29" s="445"/>
    </row>
    <row r="30" spans="1:34" ht="15" customHeight="1">
      <c r="A30" s="457"/>
      <c r="B30" s="75" t="s">
        <v>81</v>
      </c>
      <c r="C30" s="88"/>
      <c r="D30" s="59" t="s">
        <v>168</v>
      </c>
      <c r="E30" s="89"/>
      <c r="F30" s="75">
        <f>VLOOKUP(D30,廠價表!$C$1:$E$43,3,0)</f>
        <v>57.21</v>
      </c>
      <c r="G30" s="90">
        <v>2300</v>
      </c>
      <c r="H30" s="91">
        <f t="shared" ref="H30:H31" si="16">F30*G30</f>
        <v>131583</v>
      </c>
      <c r="I30" s="92"/>
      <c r="J30" s="79">
        <f>VLOOKUP(D30,產線配置圖!$A$3:$C$40,2,0)</f>
        <v>18</v>
      </c>
      <c r="K30" s="80">
        <f>VLOOKUP(D30,產線配置圖!$A$3:$C$40,3,0)</f>
        <v>1565</v>
      </c>
      <c r="L30" s="93">
        <f t="shared" ref="L30:L31" si="17">K30/J30</f>
        <v>86.944444444444443</v>
      </c>
      <c r="M30" s="94">
        <v>17</v>
      </c>
      <c r="N30" s="95">
        <f t="shared" ref="N30:N31" si="18">G30/W30*60</f>
        <v>1380.000000000007</v>
      </c>
      <c r="O30" s="96">
        <f t="shared" ref="O30:O31" si="19">N30/M30</f>
        <v>81.176470588235702</v>
      </c>
      <c r="P30" s="97">
        <f t="shared" ref="P30:P31" si="20">M30-J30</f>
        <v>-1</v>
      </c>
      <c r="Q30" s="98">
        <f t="shared" ref="Q30:Q31" si="21">O30-L30</f>
        <v>-5.7679738562087408</v>
      </c>
      <c r="R30" s="99">
        <f t="shared" ref="R30:R31" si="22">O30/L30</f>
        <v>0.93365908663785468</v>
      </c>
      <c r="S30" s="426"/>
      <c r="T30" s="19">
        <v>0.51388888888888895</v>
      </c>
      <c r="U30" s="19">
        <v>0.58333333333333304</v>
      </c>
      <c r="V30" s="92">
        <f>(T30-U29)*24*60</f>
        <v>74.999999999999417</v>
      </c>
      <c r="W30" s="149">
        <f t="shared" si="5"/>
        <v>99.999999999999488</v>
      </c>
      <c r="X30" s="174"/>
      <c r="Y30" s="301"/>
      <c r="Z30" s="335"/>
      <c r="AA30" s="335"/>
      <c r="AB30" s="407"/>
      <c r="AC30" s="407"/>
      <c r="AD30" s="92"/>
      <c r="AE30" s="92"/>
      <c r="AF30" s="312">
        <f t="shared" si="14"/>
        <v>-184.99999999999295</v>
      </c>
      <c r="AG30" s="99">
        <f t="shared" si="15"/>
        <v>0.88178913738019615</v>
      </c>
      <c r="AH30" s="446"/>
    </row>
    <row r="31" spans="1:34" ht="15" customHeight="1">
      <c r="A31" s="457"/>
      <c r="B31" s="75" t="s">
        <v>81</v>
      </c>
      <c r="C31" s="88"/>
      <c r="D31" s="59" t="s">
        <v>123</v>
      </c>
      <c r="E31" s="89"/>
      <c r="F31" s="75">
        <f>VLOOKUP(D31,廠價表!$C$1:$E$43,3,0)</f>
        <v>50.67</v>
      </c>
      <c r="G31" s="90">
        <v>996</v>
      </c>
      <c r="H31" s="91">
        <f t="shared" si="16"/>
        <v>50467.32</v>
      </c>
      <c r="I31" s="92"/>
      <c r="J31" s="79">
        <f>VLOOKUP(D31,產線配置圖!$A$3:$C$40,2,0)</f>
        <v>13</v>
      </c>
      <c r="K31" s="80">
        <f>VLOOKUP(D31,產線配置圖!$A$3:$C$40,3,0)</f>
        <v>1440</v>
      </c>
      <c r="L31" s="93">
        <f t="shared" si="17"/>
        <v>110.76923076923077</v>
      </c>
      <c r="M31" s="94">
        <v>13</v>
      </c>
      <c r="N31" s="95">
        <f t="shared" si="18"/>
        <v>1328</v>
      </c>
      <c r="O31" s="96">
        <f t="shared" si="19"/>
        <v>102.15384615384616</v>
      </c>
      <c r="P31" s="97">
        <f t="shared" si="20"/>
        <v>0</v>
      </c>
      <c r="Q31" s="98">
        <f t="shared" si="21"/>
        <v>-8.6153846153846132</v>
      </c>
      <c r="R31" s="99">
        <f t="shared" si="22"/>
        <v>0.92222222222222228</v>
      </c>
      <c r="S31" s="426"/>
      <c r="T31" s="19">
        <v>0.58819444444444402</v>
      </c>
      <c r="U31" s="19">
        <v>0.61944444444444402</v>
      </c>
      <c r="V31" s="92">
        <f>(T31-U30)*24*60</f>
        <v>6.9999999999998153</v>
      </c>
      <c r="W31" s="149">
        <f t="shared" si="5"/>
        <v>45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4"/>
        <v>-112</v>
      </c>
      <c r="AG31" s="99">
        <f t="shared" si="15"/>
        <v>0.92222222222222228</v>
      </c>
      <c r="AH31" s="405"/>
    </row>
    <row r="32" spans="1:34" ht="15" customHeight="1">
      <c r="A32" s="457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9"/>
      <c r="U32" s="19"/>
      <c r="V32" s="92"/>
      <c r="W32" s="149">
        <f t="shared" si="5"/>
        <v>0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5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5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5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1569.8</v>
      </c>
      <c r="L37" s="158">
        <f t="shared" si="23"/>
        <v>93.364957264957269</v>
      </c>
      <c r="M37" s="155">
        <f t="shared" si="23"/>
        <v>16</v>
      </c>
      <c r="N37" s="155">
        <f t="shared" si="23"/>
        <v>1399.1829636202372</v>
      </c>
      <c r="O37" s="158">
        <f t="shared" si="23"/>
        <v>88.094262889102509</v>
      </c>
      <c r="P37" s="159">
        <f>M37-J37</f>
        <v>-1</v>
      </c>
      <c r="Q37" s="160">
        <f>N37-K37</f>
        <v>-170.61703637976279</v>
      </c>
      <c r="R37" s="161">
        <f>O37/L37</f>
        <v>0.94354740225610312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-170.61703637976279</v>
      </c>
      <c r="AG37" s="124">
        <f>N37/K37</f>
        <v>0.89131288292791255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2264</v>
      </c>
      <c r="H38" s="134">
        <f>F38*G38</f>
        <v>112996.23999999999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1598.1176470588173</v>
      </c>
      <c r="O38" s="141">
        <f>N38/M38</f>
        <v>106.54117647058781</v>
      </c>
      <c r="P38" s="142">
        <f>M38-J38</f>
        <v>0</v>
      </c>
      <c r="Q38" s="143">
        <f>O38-L38</f>
        <v>-7.7254901960788516</v>
      </c>
      <c r="R38" s="144">
        <f>O38/L38</f>
        <v>0.9323906925664045</v>
      </c>
      <c r="S38" s="453">
        <f>R48</f>
        <v>0.93063984615506901</v>
      </c>
      <c r="T38" s="191">
        <v>0.33333333333333298</v>
      </c>
      <c r="U38" s="191">
        <v>0.39236111111111099</v>
      </c>
      <c r="V38" s="192"/>
      <c r="W38" s="193">
        <f t="shared" si="5"/>
        <v>85.000000000000341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-115.88235294118272</v>
      </c>
      <c r="AG38" s="195">
        <f>N38/K38</f>
        <v>0.9323906925664045</v>
      </c>
      <c r="AH38" s="459">
        <f>AG48</f>
        <v>0.89073142126958937</v>
      </c>
    </row>
    <row r="39" spans="1:34" ht="15" customHeight="1">
      <c r="A39" s="451"/>
      <c r="B39" s="75" t="s">
        <v>81</v>
      </c>
      <c r="C39" s="197"/>
      <c r="D39" s="198" t="s">
        <v>123</v>
      </c>
      <c r="E39" s="176"/>
      <c r="F39" s="75">
        <f>VLOOKUP(D39,廠價表!$C$1:$E$43,3,0)</f>
        <v>50.67</v>
      </c>
      <c r="G39" s="199">
        <v>700</v>
      </c>
      <c r="H39" s="91">
        <f>F39*G39</f>
        <v>35469</v>
      </c>
      <c r="I39" s="200"/>
      <c r="J39" s="148">
        <f>VLOOKUP(D39,產線配置圖!$A$3:$C$40,2,0)</f>
        <v>13</v>
      </c>
      <c r="K39" s="95">
        <f>VLOOKUP(D39,產線配置圖!$A$3:$C$40,3,0)</f>
        <v>1440</v>
      </c>
      <c r="L39" s="96">
        <f>K39/J39</f>
        <v>110.76923076923077</v>
      </c>
      <c r="M39" s="201">
        <v>13</v>
      </c>
      <c r="N39" s="202">
        <f>G39/W39*60</f>
        <v>1200.0000000000291</v>
      </c>
      <c r="O39" s="203">
        <f>N39/M39</f>
        <v>92.307692307694552</v>
      </c>
      <c r="P39" s="97">
        <f>M39-J39</f>
        <v>0</v>
      </c>
      <c r="Q39" s="98">
        <f>O39-L39</f>
        <v>-18.461538461536222</v>
      </c>
      <c r="R39" s="99">
        <f>O39/L39</f>
        <v>0.83333333333335358</v>
      </c>
      <c r="S39" s="454"/>
      <c r="T39" s="20">
        <v>0.39930555555555602</v>
      </c>
      <c r="U39" s="20">
        <v>0.42361111111111099</v>
      </c>
      <c r="V39" s="92">
        <f>(T39-U38)*24*60</f>
        <v>10.000000000000844</v>
      </c>
      <c r="W39" s="205">
        <f t="shared" si="5"/>
        <v>34.999999999999154</v>
      </c>
      <c r="X39" s="22"/>
      <c r="Y39" s="84"/>
      <c r="Z39" s="90"/>
      <c r="AA39" s="90"/>
      <c r="AB39" s="462"/>
      <c r="AC39" s="462"/>
      <c r="AD39" s="200"/>
      <c r="AE39" s="200"/>
      <c r="AF39" s="314">
        <f>N39-K39</f>
        <v>-239.9999999999709</v>
      </c>
      <c r="AG39" s="206">
        <f>N39/K39</f>
        <v>0.83333333333335358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2152</v>
      </c>
      <c r="H40" s="91">
        <f>F40*G40</f>
        <v>95333.599999999991</v>
      </c>
      <c r="I40" s="200"/>
      <c r="J40" s="148"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1467.2727272727059</v>
      </c>
      <c r="O40" s="203">
        <f>N40/M40</f>
        <v>86.310160427806224</v>
      </c>
      <c r="P40" s="97">
        <f>M40-J40</f>
        <v>-1</v>
      </c>
      <c r="Q40" s="98">
        <f>O40-L40</f>
        <v>-4.5787284610826617</v>
      </c>
      <c r="R40" s="99">
        <f>O40/L40</f>
        <v>0.94962279199297805</v>
      </c>
      <c r="S40" s="440"/>
      <c r="T40" s="20">
        <v>0.43194444444444402</v>
      </c>
      <c r="U40" s="20">
        <v>0.49305555555555602</v>
      </c>
      <c r="V40" s="92">
        <f>(T40-U39)*24*60</f>
        <v>11.999999999999558</v>
      </c>
      <c r="W40" s="205">
        <f t="shared" si="5"/>
        <v>88.000000000001279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-168.72727272729412</v>
      </c>
      <c r="AG40" s="206">
        <f>N40/K40</f>
        <v>0.89686597021559034</v>
      </c>
      <c r="AH40" s="460"/>
    </row>
    <row r="41" spans="1:34" ht="15" customHeight="1">
      <c r="A41" s="451"/>
      <c r="B41" s="75" t="s">
        <v>128</v>
      </c>
      <c r="C41" s="207"/>
      <c r="D41" s="198" t="s">
        <v>130</v>
      </c>
      <c r="E41" s="178"/>
      <c r="F41" s="75">
        <f>VLOOKUP(D41,廠價表!$C$1:$E$43,3,0)</f>
        <v>44.3</v>
      </c>
      <c r="G41" s="199">
        <v>2632</v>
      </c>
      <c r="H41" s="91">
        <f t="shared" ref="H41:H43" si="24">F41*G41</f>
        <v>116597.59999999999</v>
      </c>
      <c r="I41" s="200"/>
      <c r="J41" s="148">
        <v>18</v>
      </c>
      <c r="K41" s="95">
        <f>VLOOKUP(D41,產線配置圖!$A$3:$C$40,3,0)</f>
        <v>1636</v>
      </c>
      <c r="L41" s="96">
        <f t="shared" ref="L41:L43" si="25">K41/J41</f>
        <v>90.888888888888886</v>
      </c>
      <c r="M41" s="201">
        <v>17</v>
      </c>
      <c r="N41" s="202">
        <f t="shared" ref="N41:N43" si="26">G41/W41*60</f>
        <v>1503.9999999999939</v>
      </c>
      <c r="O41" s="203">
        <f t="shared" ref="O41:O43" si="27">N41/M41</f>
        <v>88.470588235293761</v>
      </c>
      <c r="P41" s="97">
        <f t="shared" ref="P41:P43" si="28">M41-J41</f>
        <v>-1</v>
      </c>
      <c r="Q41" s="98">
        <f t="shared" ref="Q41:Q43" si="29">O41-L41</f>
        <v>-2.418300653595125</v>
      </c>
      <c r="R41" s="99">
        <f t="shared" ref="R41:R43" si="30">O41/L41</f>
        <v>0.97339278009491914</v>
      </c>
      <c r="S41" s="440"/>
      <c r="T41" s="20">
        <v>0.54861111111111105</v>
      </c>
      <c r="U41" s="210">
        <v>0.62152777777777801</v>
      </c>
      <c r="V41" s="92">
        <f t="shared" ref="V41:V43" si="31">(T41-U40)*24*60</f>
        <v>79.999999999999233</v>
      </c>
      <c r="W41" s="205">
        <f t="shared" si="5"/>
        <v>105.00000000000043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-132.00000000000614</v>
      </c>
      <c r="AG41" s="206">
        <f>N41/K41</f>
        <v>0.91931540342297913</v>
      </c>
      <c r="AH41" s="460"/>
    </row>
    <row r="42" spans="1:34" ht="15" customHeight="1">
      <c r="A42" s="451"/>
      <c r="B42" s="75" t="s">
        <v>128</v>
      </c>
      <c r="C42" s="86"/>
      <c r="D42" s="198" t="s">
        <v>129</v>
      </c>
      <c r="E42" s="87"/>
      <c r="F42" s="75">
        <f>VLOOKUP(D42,廠價表!$C$1:$E$43,3,0)</f>
        <v>49.91</v>
      </c>
      <c r="G42" s="199">
        <v>1604</v>
      </c>
      <c r="H42" s="91">
        <f t="shared" si="24"/>
        <v>80055.64</v>
      </c>
      <c r="I42" s="200"/>
      <c r="J42" s="148">
        <f>VLOOKUP(D42,產線配置圖!$A$3:$C$40,2,0)</f>
        <v>15</v>
      </c>
      <c r="K42" s="95">
        <f>VLOOKUP(D42,產線配置圖!$A$3:$C$40,3,0)</f>
        <v>1714</v>
      </c>
      <c r="L42" s="96">
        <f t="shared" si="25"/>
        <v>114.26666666666667</v>
      </c>
      <c r="M42" s="201">
        <v>15</v>
      </c>
      <c r="N42" s="202">
        <f t="shared" si="26"/>
        <v>1603.9999999999886</v>
      </c>
      <c r="O42" s="203">
        <f t="shared" si="27"/>
        <v>106.93333333333257</v>
      </c>
      <c r="P42" s="97">
        <f t="shared" si="28"/>
        <v>0</v>
      </c>
      <c r="Q42" s="98">
        <f t="shared" si="29"/>
        <v>-7.333333333334096</v>
      </c>
      <c r="R42" s="99">
        <f t="shared" si="30"/>
        <v>0.93582263710617763</v>
      </c>
      <c r="S42" s="440"/>
      <c r="T42" s="210">
        <v>0.62847222222222199</v>
      </c>
      <c r="U42" s="210">
        <v>0.67013888888888895</v>
      </c>
      <c r="V42" s="92">
        <f t="shared" si="31"/>
        <v>9.999999999999325</v>
      </c>
      <c r="W42" s="205">
        <f t="shared" si="5"/>
        <v>60.000000000000426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 t="s">
        <v>128</v>
      </c>
      <c r="C43" s="102"/>
      <c r="D43" s="198" t="s">
        <v>130</v>
      </c>
      <c r="E43" s="104"/>
      <c r="F43" s="75">
        <f>VLOOKUP(D43,廠價表!$C$1:$E$43,3,0)</f>
        <v>44.3</v>
      </c>
      <c r="G43" s="202">
        <v>1112</v>
      </c>
      <c r="H43" s="91">
        <f t="shared" si="24"/>
        <v>49261.599999999999</v>
      </c>
      <c r="I43" s="200"/>
      <c r="J43" s="148">
        <v>18</v>
      </c>
      <c r="K43" s="95">
        <f>VLOOKUP(D43,產線配置圖!$A$3:$C$40,3,0)</f>
        <v>1636</v>
      </c>
      <c r="L43" s="96">
        <f t="shared" si="25"/>
        <v>90.888888888888886</v>
      </c>
      <c r="M43" s="201">
        <v>15</v>
      </c>
      <c r="N43" s="202">
        <f t="shared" si="26"/>
        <v>1334.3999999999708</v>
      </c>
      <c r="O43" s="203">
        <f t="shared" si="27"/>
        <v>88.959999999998047</v>
      </c>
      <c r="P43" s="97">
        <f t="shared" si="28"/>
        <v>-3</v>
      </c>
      <c r="Q43" s="98">
        <f t="shared" si="29"/>
        <v>-1.9288888888908389</v>
      </c>
      <c r="R43" s="99">
        <f t="shared" si="30"/>
        <v>0.97877750611244796</v>
      </c>
      <c r="S43" s="440"/>
      <c r="T43" s="210">
        <v>0.67708333333333304</v>
      </c>
      <c r="U43" s="210">
        <v>0.71180555555555602</v>
      </c>
      <c r="V43" s="92">
        <f t="shared" si="31"/>
        <v>9.9999999999994849</v>
      </c>
      <c r="W43" s="205">
        <f t="shared" si="5"/>
        <v>50.000000000001101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5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5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5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5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32">AVERAGE(J38:J47)</f>
        <v>16.166666666666668</v>
      </c>
      <c r="K48" s="155">
        <f t="shared" si="32"/>
        <v>1629.3333333333333</v>
      </c>
      <c r="L48" s="158">
        <f t="shared" si="32"/>
        <v>101.9948717948718</v>
      </c>
      <c r="M48" s="155">
        <f t="shared" si="32"/>
        <v>15.333333333333334</v>
      </c>
      <c r="N48" s="155">
        <f t="shared" si="32"/>
        <v>1451.2983957219176</v>
      </c>
      <c r="O48" s="158">
        <f t="shared" si="32"/>
        <v>94.92049179578548</v>
      </c>
      <c r="P48" s="221">
        <f>M48-J48</f>
        <v>-0.83333333333333393</v>
      </c>
      <c r="Q48" s="222">
        <f>N48-K48</f>
        <v>-178.03493761141567</v>
      </c>
      <c r="R48" s="223">
        <f>O48/L48</f>
        <v>0.93063984615506901</v>
      </c>
      <c r="S48" s="443"/>
      <c r="T48" s="224"/>
      <c r="U48" s="224"/>
      <c r="V48" s="225"/>
      <c r="W48" s="226">
        <f t="shared" si="5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33">N48-K48</f>
        <v>-178.03493761141567</v>
      </c>
      <c r="AG48" s="162">
        <f t="shared" ref="AG48:AG53" si="34">N48/K48</f>
        <v>0.89073142126958937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2501</v>
      </c>
      <c r="H49" s="134">
        <f>F49*G49</f>
        <v>123849.52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1744.8837209302403</v>
      </c>
      <c r="O49" s="141">
        <f>N49/M49</f>
        <v>102.64021887824943</v>
      </c>
      <c r="P49" s="229">
        <f>M49-J49</f>
        <v>0</v>
      </c>
      <c r="Q49" s="230">
        <f>O49-L49</f>
        <v>-3.2421340629270361</v>
      </c>
      <c r="R49" s="52">
        <f>O49/L49</f>
        <v>0.96937984496124463</v>
      </c>
      <c r="S49" s="439">
        <f>R58</f>
        <v>0.94830881127077915</v>
      </c>
      <c r="T49" s="191">
        <v>0.29166666666666702</v>
      </c>
      <c r="U49" s="191">
        <v>0.35138888888888897</v>
      </c>
      <c r="V49" s="55"/>
      <c r="W49" s="193">
        <f t="shared" si="5"/>
        <v>85.999999999999616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33"/>
        <v>-55.116279069759685</v>
      </c>
      <c r="AG49" s="52">
        <f t="shared" si="34"/>
        <v>0.96937984496124463</v>
      </c>
      <c r="AH49" s="403">
        <f>AG58</f>
        <v>0.92810138613710069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2560</v>
      </c>
      <c r="H50" s="231">
        <f>F50*G50</f>
        <v>128739.84</v>
      </c>
      <c r="I50" s="232"/>
      <c r="J50" s="79">
        <v>17</v>
      </c>
      <c r="K50" s="80">
        <f>VLOOKUP(D50,產線配置圖!$A$3:$C$40,3,0)</f>
        <v>1565</v>
      </c>
      <c r="L50" s="81">
        <f>K50/J50</f>
        <v>92.058823529411768</v>
      </c>
      <c r="M50" s="233">
        <v>16</v>
      </c>
      <c r="N50" s="234">
        <f>G50/W50*60</f>
        <v>1422.2222222222219</v>
      </c>
      <c r="O50" s="235">
        <f>N50/M50</f>
        <v>88.888888888888872</v>
      </c>
      <c r="P50" s="74">
        <f>M50-J50</f>
        <v>-1</v>
      </c>
      <c r="Q50" s="83">
        <f>O50-L50</f>
        <v>-3.1699346405228965</v>
      </c>
      <c r="R50" s="72">
        <f>O50/L50</f>
        <v>0.96556620518281833</v>
      </c>
      <c r="S50" s="440"/>
      <c r="T50" s="21">
        <v>0.35694444444444401</v>
      </c>
      <c r="U50" s="21">
        <v>0.43194444444444402</v>
      </c>
      <c r="V50" s="30">
        <f>(T50-U49)*24*60</f>
        <v>7.9999999999992522</v>
      </c>
      <c r="W50" s="236">
        <f t="shared" si="5"/>
        <v>108.00000000000001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33"/>
        <v>-142.77777777777806</v>
      </c>
      <c r="AG50" s="72">
        <f t="shared" si="34"/>
        <v>0.90876819311324086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f>VLOOKUP(D51,廠價表!$C$1:$E$43,3,0)</f>
        <v>49.97</v>
      </c>
      <c r="G51" s="202">
        <v>1893</v>
      </c>
      <c r="H51" s="231">
        <f>F51*G51</f>
        <v>94593.209999999992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1695.2238805970067</v>
      </c>
      <c r="O51" s="235">
        <f>N51/M51</f>
        <v>105.95149253731292</v>
      </c>
      <c r="P51" s="74">
        <f>M51-J51</f>
        <v>0</v>
      </c>
      <c r="Q51" s="83">
        <f>O51-L51</f>
        <v>-6.5485074626870841</v>
      </c>
      <c r="R51" s="72">
        <f>O51/L51</f>
        <v>0.94179104477611486</v>
      </c>
      <c r="S51" s="440"/>
      <c r="T51" s="21">
        <v>0.4375</v>
      </c>
      <c r="U51" s="19">
        <v>0.484027777777778</v>
      </c>
      <c r="V51" s="30">
        <f>(T51-U50)*24*60</f>
        <v>8.0000000000006111</v>
      </c>
      <c r="W51" s="236">
        <f t="shared" si="5"/>
        <v>67.000000000000327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33"/>
        <v>-104.77611940299334</v>
      </c>
      <c r="AG51" s="72">
        <f t="shared" si="34"/>
        <v>0.94179104477611486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f>VLOOKUP(D52,廠價表!$C$1:$E$43,3,0)</f>
        <v>49.97</v>
      </c>
      <c r="G52" s="202">
        <v>4345</v>
      </c>
      <c r="H52" s="231">
        <f t="shared" ref="H52:H53" si="35">F52*G52</f>
        <v>217119.65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36">K52/J52</f>
        <v>112.5</v>
      </c>
      <c r="M52" s="233">
        <v>16</v>
      </c>
      <c r="N52" s="234">
        <f t="shared" ref="N52:N53" si="37">G52/W52*60</f>
        <v>1629.3750000000009</v>
      </c>
      <c r="O52" s="235">
        <f t="shared" ref="O52:O53" si="38">N52/M52</f>
        <v>101.83593750000006</v>
      </c>
      <c r="P52" s="74">
        <f t="shared" ref="P52:P53" si="39">M52-J52</f>
        <v>0</v>
      </c>
      <c r="Q52" s="83">
        <f t="shared" ref="Q52:Q53" si="40">O52-L52</f>
        <v>-10.664062499999943</v>
      </c>
      <c r="R52" s="72">
        <f t="shared" ref="R52:R53" si="41">O52/L52</f>
        <v>0.90520833333333384</v>
      </c>
      <c r="S52" s="440"/>
      <c r="T52" s="21">
        <v>0.54027777777777797</v>
      </c>
      <c r="U52" s="21">
        <v>0.65138888888888902</v>
      </c>
      <c r="V52" s="30">
        <f>(T52-U51)*24*60</f>
        <v>80.999999999999957</v>
      </c>
      <c r="W52" s="236">
        <f t="shared" si="5"/>
        <v>159.99999999999991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33"/>
        <v>-170.62499999999909</v>
      </c>
      <c r="AG52" s="72">
        <f t="shared" si="34"/>
        <v>0.90520833333333384</v>
      </c>
      <c r="AH52" s="404"/>
    </row>
    <row r="53" spans="1:34" ht="15" customHeight="1">
      <c r="A53" s="469"/>
      <c r="B53" s="101" t="s">
        <v>81</v>
      </c>
      <c r="C53" s="102"/>
      <c r="D53" s="103" t="s">
        <v>133</v>
      </c>
      <c r="E53" s="104"/>
      <c r="F53" s="75">
        <f>VLOOKUP(D53,廠價表!$C$1:$E$43,3,0)</f>
        <v>50.289000000000001</v>
      </c>
      <c r="G53" s="202">
        <v>855</v>
      </c>
      <c r="H53" s="231">
        <f t="shared" si="35"/>
        <v>42997.095000000001</v>
      </c>
      <c r="I53" s="232"/>
      <c r="J53" s="79">
        <v>17</v>
      </c>
      <c r="K53" s="80">
        <f>VLOOKUP(D53,產線配置圖!$A$3:$C$40,3,0)</f>
        <v>1565</v>
      </c>
      <c r="L53" s="81">
        <f t="shared" si="36"/>
        <v>92.058823529411768</v>
      </c>
      <c r="M53" s="108">
        <v>16</v>
      </c>
      <c r="N53" s="234">
        <f t="shared" si="37"/>
        <v>1424.9999999999989</v>
      </c>
      <c r="O53" s="235">
        <f t="shared" si="38"/>
        <v>89.062499999999929</v>
      </c>
      <c r="P53" s="74">
        <f t="shared" si="39"/>
        <v>-1</v>
      </c>
      <c r="Q53" s="83">
        <f t="shared" si="40"/>
        <v>-2.9963235294118391</v>
      </c>
      <c r="R53" s="72">
        <f t="shared" si="41"/>
        <v>0.96745207667731548</v>
      </c>
      <c r="S53" s="440"/>
      <c r="T53" s="21">
        <v>0.655555555555556</v>
      </c>
      <c r="U53" s="21">
        <v>0.68055555555555602</v>
      </c>
      <c r="V53" s="30">
        <f>(T53-U52)*24*60</f>
        <v>6.0000000000004583</v>
      </c>
      <c r="W53" s="236">
        <f t="shared" si="5"/>
        <v>36.000000000000028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33"/>
        <v>-140.00000000000114</v>
      </c>
      <c r="AG53" s="72">
        <f t="shared" si="34"/>
        <v>0.91054313099041462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5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42">AVERAGE(J49:J57)</f>
        <v>16.600000000000001</v>
      </c>
      <c r="K58" s="120">
        <f t="shared" si="42"/>
        <v>1706</v>
      </c>
      <c r="L58" s="117">
        <f t="shared" si="42"/>
        <v>103</v>
      </c>
      <c r="M58" s="120">
        <f t="shared" si="42"/>
        <v>16.2</v>
      </c>
      <c r="N58" s="120">
        <f t="shared" si="42"/>
        <v>1583.3409647498938</v>
      </c>
      <c r="O58" s="117">
        <f t="shared" si="42"/>
        <v>97.675807560890249</v>
      </c>
      <c r="P58" s="121">
        <f>M58-J58</f>
        <v>-0.40000000000000213</v>
      </c>
      <c r="Q58" s="122">
        <f>N58-K58</f>
        <v>-122.65903525010617</v>
      </c>
      <c r="R58" s="123">
        <f>O58/L58</f>
        <v>0.94830881127077915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-122.65903525010617</v>
      </c>
      <c r="AG58" s="124">
        <f>N58/K58</f>
        <v>0.92810138613710069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3047</v>
      </c>
      <c r="H59" s="243">
        <f>F59*G59</f>
        <v>82238.53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1523.4999999999873</v>
      </c>
      <c r="O59" s="138">
        <f>N59/M59</f>
        <v>101.56666666666582</v>
      </c>
      <c r="P59" s="56">
        <f>M59-J59</f>
        <v>0</v>
      </c>
      <c r="Q59" s="230">
        <f>O59-L59</f>
        <v>-2.7666666666675042</v>
      </c>
      <c r="R59" s="52">
        <f>O59/L59</f>
        <v>0.97348242811500796</v>
      </c>
      <c r="S59" s="439">
        <f>R69</f>
        <v>0.95073266624886732</v>
      </c>
      <c r="T59" s="245">
        <v>0.28819444444444398</v>
      </c>
      <c r="U59" s="245">
        <v>0.37152777777777801</v>
      </c>
      <c r="V59" s="55"/>
      <c r="W59" s="54">
        <f t="shared" si="5"/>
        <v>120.00000000000101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-41.500000000012733</v>
      </c>
      <c r="AG59" s="246">
        <f>N59/K59</f>
        <v>0.97348242811500785</v>
      </c>
      <c r="AH59" s="403">
        <f>AG69</f>
        <v>0.94922721292989154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2083</v>
      </c>
      <c r="H60" s="78">
        <f>F60*G60</f>
        <v>58865.58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1470.3529411764648</v>
      </c>
      <c r="O60" s="81">
        <f>N60/M60</f>
        <v>122.5294117647054</v>
      </c>
      <c r="P60" s="74">
        <f>M60-J60</f>
        <v>0</v>
      </c>
      <c r="Q60" s="83">
        <f>O60-L60</f>
        <v>-7.8872549019612563</v>
      </c>
      <c r="R60" s="72">
        <f>O60/L60</f>
        <v>0.93952264611914693</v>
      </c>
      <c r="S60" s="467"/>
      <c r="T60" s="22">
        <v>0.37847222222222199</v>
      </c>
      <c r="U60" s="22">
        <v>0.4375</v>
      </c>
      <c r="V60" s="30">
        <f>(T60-U59)*24*60</f>
        <v>9.999999999999325</v>
      </c>
      <c r="W60" s="248">
        <f t="shared" si="5"/>
        <v>85.000000000000341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-94.64705882353519</v>
      </c>
      <c r="AG60" s="249">
        <f>N60/K60</f>
        <v>0.93952264611914682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2041</v>
      </c>
      <c r="H61" s="254">
        <f>F61*G61</f>
        <v>57678.66</v>
      </c>
      <c r="I61" s="182"/>
      <c r="J61" s="106">
        <f>VLOOKUP(D61,產線配置圖!$A$3:$C$40,2,0)</f>
        <v>11</v>
      </c>
      <c r="K61" s="107">
        <f>VLOOKUP(D61,產線配置圖!$A$3:$C$40,3,0)</f>
        <v>1565</v>
      </c>
      <c r="L61" s="238">
        <f>K61/J61</f>
        <v>142.27272727272728</v>
      </c>
      <c r="M61" s="108">
        <v>11</v>
      </c>
      <c r="N61" s="107">
        <f>G61/W61*60</f>
        <v>1530.749999999987</v>
      </c>
      <c r="O61" s="238">
        <f>N61/M61</f>
        <v>139.15909090908974</v>
      </c>
      <c r="P61" s="111">
        <f>M61-J61</f>
        <v>0</v>
      </c>
      <c r="Q61" s="255">
        <f>O61-L61</f>
        <v>-3.1136363636375393</v>
      </c>
      <c r="R61" s="85">
        <f>O61/L61</f>
        <v>0.97811501597443262</v>
      </c>
      <c r="S61" s="440"/>
      <c r="T61" s="22">
        <v>0.44444444444444398</v>
      </c>
      <c r="U61" s="22">
        <v>0.5</v>
      </c>
      <c r="V61" s="30">
        <f>(T61-U60)*24*60</f>
        <v>9.999999999999325</v>
      </c>
      <c r="W61" s="256">
        <f t="shared" si="5"/>
        <v>80.000000000000682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-34.25000000001296</v>
      </c>
      <c r="AG61" s="247">
        <f>N61/K61</f>
        <v>0.97811501597443262</v>
      </c>
      <c r="AH61" s="404"/>
    </row>
    <row r="62" spans="1:34" ht="15" customHeight="1">
      <c r="A62" s="465"/>
      <c r="B62" s="250" t="s">
        <v>125</v>
      </c>
      <c r="C62" s="251"/>
      <c r="D62" s="257" t="s">
        <v>126</v>
      </c>
      <c r="E62" s="253"/>
      <c r="F62" s="250">
        <f>VLOOKUP(D62,廠價表!$C$1:$E$43,3,0)</f>
        <v>28.26</v>
      </c>
      <c r="G62" s="38">
        <v>993</v>
      </c>
      <c r="H62" s="254">
        <f t="shared" ref="H62:H63" si="43">F62*G62</f>
        <v>28062.18</v>
      </c>
      <c r="I62" s="182"/>
      <c r="J62" s="106">
        <f>VLOOKUP(D62,產線配置圖!$A$3:$C$40,2,0)</f>
        <v>11</v>
      </c>
      <c r="K62" s="107">
        <f>VLOOKUP(D62,產線配置圖!$A$3:$C$40,3,0)</f>
        <v>1565</v>
      </c>
      <c r="L62" s="238">
        <f t="shared" ref="L62:L63" si="44">K62/J62</f>
        <v>142.27272727272728</v>
      </c>
      <c r="M62" s="108">
        <v>11</v>
      </c>
      <c r="N62" s="107">
        <f t="shared" ref="N62:N63" si="45">G62/W62*60</f>
        <v>1489.4999999999934</v>
      </c>
      <c r="O62" s="238">
        <f t="shared" ref="O62:O63" si="46">N62/M62</f>
        <v>135.40909090909031</v>
      </c>
      <c r="P62" s="111">
        <f t="shared" ref="P62:P63" si="47">M62-J62</f>
        <v>0</v>
      </c>
      <c r="Q62" s="255">
        <f t="shared" ref="Q62:Q63" si="48">O62-L62</f>
        <v>-6.8636363636369708</v>
      </c>
      <c r="R62" s="85">
        <f t="shared" ref="R62:R63" si="49">O62/L62</f>
        <v>0.9517571884983983</v>
      </c>
      <c r="S62" s="440"/>
      <c r="T62" s="22">
        <v>0.54861111111111105</v>
      </c>
      <c r="U62" s="22">
        <v>0.57638888888888895</v>
      </c>
      <c r="V62" s="30">
        <f t="shared" ref="V62:V63" si="50">(T62-U61)*24*60</f>
        <v>69.999999999999915</v>
      </c>
      <c r="W62" s="248">
        <f t="shared" si="5"/>
        <v>40.000000000000178</v>
      </c>
      <c r="X62" s="22"/>
      <c r="Y62" s="84"/>
      <c r="Z62" s="90"/>
      <c r="AA62" s="90"/>
      <c r="AB62" s="407"/>
      <c r="AC62" s="407"/>
      <c r="AD62" s="92"/>
      <c r="AE62" s="92"/>
      <c r="AF62" s="317">
        <f>N62-K62</f>
        <v>-75.500000000006594</v>
      </c>
      <c r="AG62" s="247">
        <f>N62/K62</f>
        <v>0.9517571884983983</v>
      </c>
      <c r="AH62" s="404"/>
    </row>
    <row r="63" spans="1:34" ht="15" customHeight="1">
      <c r="A63" s="465"/>
      <c r="B63" s="258" t="s">
        <v>125</v>
      </c>
      <c r="C63" s="58"/>
      <c r="D63" s="259" t="s">
        <v>134</v>
      </c>
      <c r="E63" s="60"/>
      <c r="F63" s="250">
        <f>VLOOKUP(D63,廠價表!$C$1:$E$43,3,0)</f>
        <v>26.99</v>
      </c>
      <c r="G63" s="260">
        <v>1178</v>
      </c>
      <c r="H63" s="254">
        <f t="shared" si="43"/>
        <v>31794.219999999998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44"/>
        <v>104.33333333333333</v>
      </c>
      <c r="M63" s="68">
        <v>15</v>
      </c>
      <c r="N63" s="107">
        <f t="shared" si="45"/>
        <v>1413.5999999999688</v>
      </c>
      <c r="O63" s="238">
        <f t="shared" si="46"/>
        <v>94.23999999999792</v>
      </c>
      <c r="P63" s="111">
        <f t="shared" si="47"/>
        <v>0</v>
      </c>
      <c r="Q63" s="255">
        <f t="shared" si="48"/>
        <v>-10.093333333335408</v>
      </c>
      <c r="R63" s="85">
        <f t="shared" si="49"/>
        <v>0.90325878594247211</v>
      </c>
      <c r="S63" s="440"/>
      <c r="T63" s="22">
        <v>0.58333333333333304</v>
      </c>
      <c r="U63" s="22">
        <v>0.61805555555555602</v>
      </c>
      <c r="V63" s="30">
        <f t="shared" si="50"/>
        <v>9.9999999999994849</v>
      </c>
      <c r="W63" s="248">
        <f t="shared" si="5"/>
        <v>50.000000000001101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5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5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51">AVERAGE(J59:J68)</f>
        <v>12.8</v>
      </c>
      <c r="K69" s="240">
        <f t="shared" si="51"/>
        <v>1565</v>
      </c>
      <c r="L69" s="268">
        <f t="shared" si="51"/>
        <v>124.72575757575757</v>
      </c>
      <c r="M69" s="240">
        <f t="shared" si="51"/>
        <v>12.8</v>
      </c>
      <c r="N69" s="240">
        <f t="shared" si="51"/>
        <v>1485.5405882352802</v>
      </c>
      <c r="O69" s="268">
        <f t="shared" si="51"/>
        <v>118.58085204990985</v>
      </c>
      <c r="P69" s="269">
        <f>M69-J69</f>
        <v>0</v>
      </c>
      <c r="Q69" s="222">
        <f>N69-K69</f>
        <v>-79.459411764719789</v>
      </c>
      <c r="R69" s="123">
        <f>O69/L69</f>
        <v>0.95073266624886732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-79.459411764719789</v>
      </c>
      <c r="AG69" s="124">
        <f>N69/K69</f>
        <v>0.94922721292989154</v>
      </c>
      <c r="AH69" s="406"/>
    </row>
    <row r="70" spans="1:36" ht="15" customHeight="1">
      <c r="A70" s="471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39">
        <f>R79</f>
        <v>0</v>
      </c>
      <c r="T70" s="245"/>
      <c r="U70" s="245"/>
      <c r="V70" s="55"/>
      <c r="W70" s="54">
        <f t="shared" si="5"/>
        <v>0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5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5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5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/>
      <c r="D79" s="430"/>
      <c r="E79" s="430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B1:AC2"/>
    <mergeCell ref="T3:U3"/>
    <mergeCell ref="P3:P4"/>
    <mergeCell ref="AH3:AH4"/>
    <mergeCell ref="AB10:AC10"/>
    <mergeCell ref="AB11:AC11"/>
    <mergeCell ref="AB12:AC12"/>
    <mergeCell ref="AD3:AE3"/>
    <mergeCell ref="AF3:AF4"/>
    <mergeCell ref="AG3:AG4"/>
    <mergeCell ref="AH5:AH15"/>
    <mergeCell ref="AB6:AC6"/>
    <mergeCell ref="AB7:AC7"/>
    <mergeCell ref="AB3:AC4"/>
    <mergeCell ref="AB8:AC8"/>
    <mergeCell ref="AB9:AC9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2:B2"/>
    <mergeCell ref="A3:A4"/>
    <mergeCell ref="B3:B4"/>
    <mergeCell ref="D3:E4"/>
    <mergeCell ref="F3:F4"/>
    <mergeCell ref="A5:A15"/>
    <mergeCell ref="S5:S15"/>
    <mergeCell ref="AB5:AC5"/>
    <mergeCell ref="V3:V4"/>
    <mergeCell ref="W3:W4"/>
    <mergeCell ref="X3:Y3"/>
    <mergeCell ref="Z3:AA3"/>
    <mergeCell ref="AB14:AC14"/>
    <mergeCell ref="AB13:AC13"/>
    <mergeCell ref="AB15:AC15"/>
    <mergeCell ref="D15:E15"/>
    <mergeCell ref="Q3:Q4"/>
    <mergeCell ref="R3:R4"/>
    <mergeCell ref="A27:A37"/>
    <mergeCell ref="S27:S37"/>
    <mergeCell ref="AB27:AC27"/>
    <mergeCell ref="D37:E37"/>
    <mergeCell ref="A16:A26"/>
    <mergeCell ref="S16:S26"/>
    <mergeCell ref="AB16:AC16"/>
    <mergeCell ref="D26:E26"/>
    <mergeCell ref="AB26:AC26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53:AC53"/>
    <mergeCell ref="AB54:AC54"/>
    <mergeCell ref="AB55:AC55"/>
    <mergeCell ref="AB56:AC56"/>
    <mergeCell ref="AB50:AC50"/>
    <mergeCell ref="AB51:AC51"/>
    <mergeCell ref="AB52:AC52"/>
    <mergeCell ref="A38:A48"/>
    <mergeCell ref="S38:S48"/>
    <mergeCell ref="AB38:AC38"/>
    <mergeCell ref="D48:E48"/>
    <mergeCell ref="AB48:AC48"/>
    <mergeCell ref="D79:E79"/>
    <mergeCell ref="AB79:AC7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H49:AH58"/>
    <mergeCell ref="AH59:AH69"/>
    <mergeCell ref="AB57:AC57"/>
    <mergeCell ref="A70:A79"/>
    <mergeCell ref="S70:S79"/>
    <mergeCell ref="AB70:AC70"/>
    <mergeCell ref="A59:A69"/>
    <mergeCell ref="S59:S69"/>
    <mergeCell ref="AB59:AC59"/>
    <mergeCell ref="D69:E69"/>
    <mergeCell ref="AB69:AC69"/>
    <mergeCell ref="AB63:AC63"/>
    <mergeCell ref="AB64:AC64"/>
    <mergeCell ref="AB65:AC65"/>
    <mergeCell ref="AB66:AC66"/>
    <mergeCell ref="AB67:AC67"/>
    <mergeCell ref="AB60:AC60"/>
    <mergeCell ref="AB61:AC61"/>
    <mergeCell ref="AB62:AC62"/>
    <mergeCell ref="AB68:AC68"/>
  </mergeCells>
  <phoneticPr fontId="0" type="noConversion"/>
  <conditionalFormatting sqref="P5:P79">
    <cfRule type="cellIs" dxfId="158" priority="1" operator="greaterThan">
      <formula>0</formula>
    </cfRule>
  </conditionalFormatting>
  <conditionalFormatting sqref="Q5:Q79 AF5:AF79">
    <cfRule type="cellIs" dxfId="157" priority="4" operator="lessThan">
      <formula>0</formula>
    </cfRule>
  </conditionalFormatting>
  <conditionalFormatting sqref="R5:R79 AG5:AG79">
    <cfRule type="cellIs" dxfId="156" priority="2" operator="greaterThan">
      <formula>1</formula>
    </cfRule>
    <cfRule type="cellIs" dxfId="155" priority="3" operator="lessThan">
      <formula>0.8</formula>
    </cfRule>
  </conditionalFormatting>
  <conditionalFormatting sqref="S5:S10 S37:S62 AH59:AH62 S69:S76 AH69:AH76">
    <cfRule type="cellIs" dxfId="154" priority="7" operator="lessThan">
      <formula>0.8</formula>
    </cfRule>
  </conditionalFormatting>
  <conditionalFormatting sqref="S19:S25 AH19:AH25">
    <cfRule type="cellIs" dxfId="153" priority="6" operator="lessThan">
      <formula>0.8</formula>
    </cfRule>
  </conditionalFormatting>
  <conditionalFormatting sqref="S79">
    <cfRule type="cellIs" dxfId="152" priority="5" operator="lessThan">
      <formula>0.8</formula>
    </cfRule>
  </conditionalFormatting>
  <conditionalFormatting sqref="AH5:AH8 S15:S16 AH15:AH16 AH49 AH79">
    <cfRule type="cellIs" dxfId="151" priority="9" operator="lessThan">
      <formula>0.8</formula>
    </cfRule>
  </conditionalFormatting>
  <conditionalFormatting sqref="AH27 S27:S28">
    <cfRule type="cellIs" dxfId="1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9E7455-92DC-4DBF-8962-FEF6E750002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92CD-611C-4F2C-89B0-1A6CA878E55D}">
  <dimension ref="B1:O26"/>
  <sheetViews>
    <sheetView zoomScale="70" zoomScaleNormal="70" workbookViewId="0">
      <selection activeCell="M30" sqref="M3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46189</v>
      </c>
      <c r="E3" s="510"/>
      <c r="F3" s="3" t="s">
        <v>72</v>
      </c>
      <c r="G3" s="511">
        <f>'0616'!E1</f>
        <v>62491</v>
      </c>
      <c r="H3" s="511"/>
      <c r="I3" s="3" t="s">
        <v>2</v>
      </c>
      <c r="J3" s="512">
        <f>'0616'!G1</f>
        <v>3012103.49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121.2526515831663</v>
      </c>
      <c r="G6" s="507"/>
      <c r="H6" s="508">
        <f>AVERAGE(D13:H13)</f>
        <v>121.43537886949653</v>
      </c>
      <c r="I6" s="508"/>
      <c r="J6" s="508">
        <f>AVERAGE(I13)</f>
        <v>120.33901515151514</v>
      </c>
      <c r="K6" s="508"/>
      <c r="L6" s="516">
        <f>SUM(D18:J18)</f>
        <v>0</v>
      </c>
      <c r="M6" s="499">
        <f>SUM(D19:J19)</f>
        <v>0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113.2519330709988</v>
      </c>
      <c r="G7" s="496"/>
      <c r="H7" s="497">
        <f>AVERAGE(D14:H14)</f>
        <v>113.01165641429085</v>
      </c>
      <c r="I7" s="497"/>
      <c r="J7" s="497">
        <f>AVERAGE(I14)</f>
        <v>114.45331635453852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0.93401613566627972</v>
      </c>
      <c r="G8" s="502"/>
      <c r="H8" s="502">
        <f>H7/H6</f>
        <v>0.93063205687151163</v>
      </c>
      <c r="I8" s="502"/>
      <c r="J8" s="502">
        <f>J7/J6</f>
        <v>0.95109068501544469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VALUE('0616'!L15)</f>
        <v>150</v>
      </c>
      <c r="E13" s="13">
        <f>VALUE('0616'!L26)</f>
        <v>158.32255979314803</v>
      </c>
      <c r="F13" s="13">
        <f>VALUE('0616'!L37)</f>
        <v>93.276556776556802</v>
      </c>
      <c r="G13" s="13">
        <f>VALUE('0616'!L48)</f>
        <v>102.57777777777778</v>
      </c>
      <c r="H13" s="13">
        <f>VALUE('0616'!L58)</f>
        <v>103</v>
      </c>
      <c r="I13" s="13">
        <f>VALUE('0616'!L69)</f>
        <v>120.33901515151514</v>
      </c>
      <c r="J13" s="13">
        <f>'0616'!L79</f>
        <v>0</v>
      </c>
    </row>
    <row r="14" spans="2:15" ht="39.950000000000003" customHeight="1">
      <c r="B14" s="490"/>
      <c r="C14" s="12" t="s">
        <v>100</v>
      </c>
      <c r="D14" s="13">
        <f>VALUE('0616'!O15)</f>
        <v>141.22868565761436</v>
      </c>
      <c r="E14" s="13">
        <f>VALUE('0616'!O26)</f>
        <v>147.13076936122093</v>
      </c>
      <c r="F14" s="13">
        <f>VALUE('0616'!O37)</f>
        <v>85.510769610576901</v>
      </c>
      <c r="G14" s="13">
        <f>VALUE('0616'!O48)</f>
        <v>95.696916663072159</v>
      </c>
      <c r="H14" s="13">
        <f>VALUE('0616'!O58)</f>
        <v>95.491140778969907</v>
      </c>
      <c r="I14" s="13">
        <f>VALUE('0616'!O69)</f>
        <v>114.45331635453852</v>
      </c>
      <c r="J14" s="13">
        <f>'0616'!O79</f>
        <v>0</v>
      </c>
    </row>
    <row r="15" spans="2:15" ht="39.950000000000003" customHeight="1">
      <c r="B15" s="491"/>
      <c r="C15" s="10" t="s">
        <v>26</v>
      </c>
      <c r="D15" s="14">
        <f t="shared" ref="D15:I15" si="1">D14/D13</f>
        <v>0.94152457105076237</v>
      </c>
      <c r="E15" s="14">
        <f t="shared" si="1"/>
        <v>0.92931019782304281</v>
      </c>
      <c r="F15" s="14">
        <f t="shared" si="1"/>
        <v>0.91674449149551285</v>
      </c>
      <c r="G15" s="14">
        <f t="shared" si="1"/>
        <v>0.93292054805854574</v>
      </c>
      <c r="H15" s="14">
        <f t="shared" si="1"/>
        <v>0.92709845416475634</v>
      </c>
      <c r="I15" s="14">
        <f t="shared" si="1"/>
        <v>0.95109068501544469</v>
      </c>
      <c r="J15" s="15">
        <f>'0616'!S70</f>
        <v>0</v>
      </c>
    </row>
    <row r="16" spans="2:15" ht="17.25" customHeight="1">
      <c r="B16" s="492" t="s">
        <v>101</v>
      </c>
      <c r="C16" s="10" t="s">
        <v>34</v>
      </c>
      <c r="D16" s="16">
        <f>'0616'!T5</f>
        <v>0.29930555555555599</v>
      </c>
      <c r="E16" s="16">
        <f>'0616'!T16</f>
        <v>0.29930555555555599</v>
      </c>
      <c r="F16" s="16">
        <f>'0616'!T27</f>
        <v>0.28819444444444398</v>
      </c>
      <c r="G16" s="16">
        <f>'0616'!T38</f>
        <v>0.32986111111111099</v>
      </c>
      <c r="H16" s="16">
        <f>'0616'!T49</f>
        <v>0.29166666666666702</v>
      </c>
      <c r="I16" s="16">
        <f>'0616'!T59</f>
        <v>0.28819444444444398</v>
      </c>
      <c r="J16" s="16">
        <f>'0616'!T70</f>
        <v>0</v>
      </c>
    </row>
    <row r="17" spans="2:10" ht="17.25" customHeight="1">
      <c r="B17" s="493"/>
      <c r="C17" s="10" t="s">
        <v>35</v>
      </c>
      <c r="D17" s="16">
        <v>0.61458333333333304</v>
      </c>
      <c r="E17" s="19">
        <v>0.64722222222222203</v>
      </c>
      <c r="F17" s="19">
        <v>0.64027777777777795</v>
      </c>
      <c r="G17" s="210">
        <v>0.67361111111111105</v>
      </c>
      <c r="H17" s="21">
        <v>0.66805555555555596</v>
      </c>
      <c r="I17" s="22">
        <v>0.59722222222222199</v>
      </c>
      <c r="J17" s="22">
        <v>0</v>
      </c>
    </row>
    <row r="18" spans="2:10" ht="17.25" customHeight="1">
      <c r="B18" s="494" t="s">
        <v>102</v>
      </c>
      <c r="C18" s="330" t="s">
        <v>36</v>
      </c>
      <c r="D18" s="358">
        <f>'0616'!Z15</f>
        <v>0</v>
      </c>
      <c r="E18" s="359">
        <f>'0616'!Z26</f>
        <v>0</v>
      </c>
      <c r="F18" s="359">
        <f>'0616'!Z37</f>
        <v>0</v>
      </c>
      <c r="G18" s="360">
        <f>'0616'!Z48</f>
        <v>0</v>
      </c>
      <c r="H18" s="360">
        <f>'0616'!Z58</f>
        <v>0</v>
      </c>
      <c r="I18" s="359">
        <f>'0616'!Z69</f>
        <v>0</v>
      </c>
      <c r="J18" s="359">
        <f>'0616'!AA79</f>
        <v>0</v>
      </c>
    </row>
    <row r="19" spans="2:10" ht="17.25" customHeight="1">
      <c r="B19" s="495"/>
      <c r="C19" s="330" t="s">
        <v>37</v>
      </c>
      <c r="D19" s="358">
        <f>'0616'!AA15</f>
        <v>0</v>
      </c>
      <c r="E19" s="359">
        <f>'0616'!AA26</f>
        <v>0</v>
      </c>
      <c r="F19" s="359">
        <f>'0616'!AA37</f>
        <v>0</v>
      </c>
      <c r="G19" s="360">
        <f>'0616'!AA48</f>
        <v>0</v>
      </c>
      <c r="H19" s="360">
        <f>'0616'!AA58</f>
        <v>0</v>
      </c>
      <c r="I19" s="359">
        <f>'0616'!AA69</f>
        <v>0</v>
      </c>
      <c r="J19" s="359">
        <f>'0616'!AB79</f>
        <v>0</v>
      </c>
    </row>
    <row r="20" spans="2:10" ht="17.25" customHeight="1">
      <c r="B20" s="494" t="s">
        <v>103</v>
      </c>
      <c r="C20" s="330" t="s">
        <v>36</v>
      </c>
      <c r="D20" s="358">
        <f>'0616'!AD15</f>
        <v>0</v>
      </c>
      <c r="E20" s="359">
        <f>'0616'!AD26</f>
        <v>0</v>
      </c>
      <c r="F20" s="359">
        <f>'0616'!AD37</f>
        <v>0</v>
      </c>
      <c r="G20" s="360">
        <f>'0616'!AD48</f>
        <v>0</v>
      </c>
      <c r="H20" s="360">
        <f>'0616'!AD58</f>
        <v>0</v>
      </c>
      <c r="I20" s="359">
        <f>'0616'!AD69</f>
        <v>0</v>
      </c>
      <c r="J20" s="359">
        <f>'0616'!AD79</f>
        <v>0</v>
      </c>
    </row>
    <row r="21" spans="2:10" ht="17.25" customHeight="1">
      <c r="B21" s="495"/>
      <c r="C21" s="330" t="s">
        <v>85</v>
      </c>
      <c r="D21" s="358">
        <f>'0616'!AE15</f>
        <v>0</v>
      </c>
      <c r="E21" s="359">
        <f>'0616'!AE26</f>
        <v>0</v>
      </c>
      <c r="F21" s="359">
        <f>'0616'!AE37</f>
        <v>0</v>
      </c>
      <c r="G21" s="360">
        <f>'0616'!AE48</f>
        <v>0</v>
      </c>
      <c r="H21" s="360">
        <f>'0616'!AE58</f>
        <v>0</v>
      </c>
      <c r="I21" s="359">
        <f>'0616'!AE69</f>
        <v>0</v>
      </c>
      <c r="J21" s="359">
        <f>'0616'!AE79</f>
        <v>0</v>
      </c>
    </row>
    <row r="22" spans="2:10" ht="17.25" customHeight="1">
      <c r="B22" s="477" t="s">
        <v>104</v>
      </c>
      <c r="C22" s="478"/>
      <c r="D22" s="23">
        <f>VALUE('0616'!M15)</f>
        <v>15</v>
      </c>
      <c r="E22" s="23">
        <f>VALUE('0616'!M26)</f>
        <v>14.333333333333334</v>
      </c>
      <c r="F22" s="23">
        <f>VALUE('0616'!M37)</f>
        <v>16.285714285714285</v>
      </c>
      <c r="G22" s="23">
        <f>VALUE('0616'!M48)</f>
        <v>16</v>
      </c>
      <c r="H22" s="23">
        <f>VALUE('0616'!M58)</f>
        <v>16</v>
      </c>
      <c r="I22" s="23">
        <f>VALUE('0616'!M69)</f>
        <v>13.25</v>
      </c>
      <c r="J22" s="23">
        <f>'0616'!M79</f>
        <v>0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88BD-3255-4157-8D4A-9245BDE1A36D}">
  <sheetPr>
    <tabColor theme="9" tint="0.79998168889431442"/>
  </sheetPr>
  <dimension ref="A1:AJ92"/>
  <sheetViews>
    <sheetView zoomScale="69" zoomScaleNormal="69" workbookViewId="0">
      <pane xSplit="5" ySplit="4" topLeftCell="F23" activePane="bottomRight" state="frozen"/>
      <selection activeCell="U63" sqref="U63"/>
      <selection pane="topRight" activeCell="U63" sqref="U63"/>
      <selection pane="bottomLeft" activeCell="U63" sqref="U63"/>
      <selection pane="bottomRight" activeCell="M30" sqref="M3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62491</v>
      </c>
      <c r="F1" s="30" t="s">
        <v>2</v>
      </c>
      <c r="G1" s="31">
        <f>SUM(H5:H79)</f>
        <v>3012103.49</v>
      </c>
      <c r="H1" s="32" t="s">
        <v>3</v>
      </c>
      <c r="I1" s="33">
        <f>M15+M26+M48+M58+M69+M79+M37</f>
        <v>90.86904761904762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189</v>
      </c>
      <c r="B2" s="381"/>
      <c r="C2" s="28"/>
      <c r="D2" s="28" t="s">
        <v>14</v>
      </c>
      <c r="E2" s="35">
        <f>AVERAGE(O15,O26,O37,O48,O58,O69,O79)</f>
        <v>113.2519330709988</v>
      </c>
      <c r="F2" s="36" t="s">
        <v>15</v>
      </c>
      <c r="G2" s="37">
        <f>G1/E1</f>
        <v>48.200596725928534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3033</v>
      </c>
      <c r="H5" s="43">
        <f>F5*G5</f>
        <v>172486.71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2166.4285714285834</v>
      </c>
      <c r="O5" s="47">
        <f>N5/M5</f>
        <v>144.42857142857221</v>
      </c>
      <c r="P5" s="49">
        <f>M5-J5</f>
        <v>0</v>
      </c>
      <c r="Q5" s="50">
        <f>O5-L5</f>
        <v>-5.5714285714277878</v>
      </c>
      <c r="R5" s="51">
        <f>O5/L5</f>
        <v>0.96285714285714807</v>
      </c>
      <c r="S5" s="439">
        <f>R15</f>
        <v>0.94152457105076237</v>
      </c>
      <c r="T5" s="319">
        <v>0.29930555555555599</v>
      </c>
      <c r="U5" s="320">
        <v>0.35763888888888901</v>
      </c>
      <c r="V5" s="53"/>
      <c r="W5" s="54">
        <f t="shared" ref="W5:W14" si="0">(U5-T5)*24*60</f>
        <v>83.999999999999545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-83.571428571416618</v>
      </c>
      <c r="AG5" s="52">
        <f t="shared" ref="AG5:AG11" si="2">N5/K5</f>
        <v>0.96285714285714818</v>
      </c>
      <c r="AH5" s="403">
        <f>AG15</f>
        <v>0.94152457105076226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3012</v>
      </c>
      <c r="H6" s="63">
        <f>F6*G6</f>
        <v>175208.04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2126.1176470588152</v>
      </c>
      <c r="O6" s="67">
        <f>N6/M6</f>
        <v>141.74117647058767</v>
      </c>
      <c r="P6" s="69">
        <f>M6-J6</f>
        <v>0</v>
      </c>
      <c r="Q6" s="70">
        <f>O6-L6</f>
        <v>-8.2588235294123251</v>
      </c>
      <c r="R6" s="71">
        <f>O6/L6</f>
        <v>0.94494117647058451</v>
      </c>
      <c r="S6" s="440"/>
      <c r="T6" s="16">
        <v>0.36249999999999999</v>
      </c>
      <c r="U6" s="16">
        <v>0.421527777777778</v>
      </c>
      <c r="V6" s="30">
        <f>(T6-U5)*24*60</f>
        <v>6.9999999999998153</v>
      </c>
      <c r="W6" s="73">
        <f t="shared" si="0"/>
        <v>85.000000000000341</v>
      </c>
      <c r="X6" s="22"/>
      <c r="Y6" s="84"/>
      <c r="Z6" s="90"/>
      <c r="AA6" s="90"/>
      <c r="AB6" s="434"/>
      <c r="AC6" s="434"/>
      <c r="AD6" s="149"/>
      <c r="AE6" s="149"/>
      <c r="AF6" s="307">
        <f t="shared" si="1"/>
        <v>-123.88235294118476</v>
      </c>
      <c r="AG6" s="72">
        <f t="shared" si="2"/>
        <v>0.94494117647058451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2497</v>
      </c>
      <c r="H7" s="78">
        <f>F7*G7</f>
        <v>122702.58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2052.3287671233038</v>
      </c>
      <c r="O7" s="81">
        <f>N7/M7</f>
        <v>136.82191780822026</v>
      </c>
      <c r="P7" s="74">
        <f>M7-J7</f>
        <v>0</v>
      </c>
      <c r="Q7" s="83">
        <f>O7-L7</f>
        <v>-13.178082191779737</v>
      </c>
      <c r="R7" s="72">
        <f>O7/L7</f>
        <v>0.91214611872146845</v>
      </c>
      <c r="S7" s="440"/>
      <c r="T7" s="18">
        <v>0.42777777777777798</v>
      </c>
      <c r="U7" s="18">
        <v>0.47847222222222202</v>
      </c>
      <c r="V7" s="30">
        <f>(T7-U6)*24*60</f>
        <v>8.999999999999968</v>
      </c>
      <c r="W7" s="73">
        <f t="shared" si="0"/>
        <v>72.999999999999417</v>
      </c>
      <c r="X7" s="22"/>
      <c r="Y7" s="84"/>
      <c r="Z7" s="90"/>
      <c r="AA7" s="90"/>
      <c r="AB7" s="407"/>
      <c r="AC7" s="407"/>
      <c r="AD7" s="92"/>
      <c r="AE7" s="92"/>
      <c r="AF7" s="307">
        <f t="shared" si="1"/>
        <v>-197.67123287669619</v>
      </c>
      <c r="AG7" s="72">
        <f t="shared" si="2"/>
        <v>0.91214611872146834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3690</v>
      </c>
      <c r="H8" s="78">
        <f>F8*G8</f>
        <v>181326.6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2128.8461538461584</v>
      </c>
      <c r="O8" s="81">
        <f>N8/M8</f>
        <v>141.92307692307722</v>
      </c>
      <c r="P8" s="74">
        <f>M8-J8</f>
        <v>0</v>
      </c>
      <c r="Q8" s="83">
        <f>O8-L8</f>
        <v>-8.0769230769227818</v>
      </c>
      <c r="R8" s="72">
        <f>O8/L8</f>
        <v>0.94615384615384812</v>
      </c>
      <c r="S8" s="440"/>
      <c r="T8" s="16">
        <v>0.54236111111111096</v>
      </c>
      <c r="U8" s="16">
        <v>0.61458333333333304</v>
      </c>
      <c r="V8" s="30">
        <f>(T8-U7)*24*60</f>
        <v>92.000000000000071</v>
      </c>
      <c r="W8" s="73">
        <f t="shared" si="0"/>
        <v>103.99999999999979</v>
      </c>
      <c r="X8" s="22"/>
      <c r="Y8" s="84"/>
      <c r="Z8" s="90"/>
      <c r="AA8" s="90"/>
      <c r="AB8" s="434"/>
      <c r="AC8" s="434"/>
      <c r="AD8" s="149"/>
      <c r="AE8" s="149"/>
      <c r="AF8" s="307">
        <f t="shared" si="1"/>
        <v>-121.15384615384164</v>
      </c>
      <c r="AG8" s="72">
        <f t="shared" si="2"/>
        <v>0.94615384615384812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0</v>
      </c>
      <c r="AG9" s="72" t="e">
        <f t="shared" si="2"/>
        <v>#DIV/0!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2118.4302848642151</v>
      </c>
      <c r="O15" s="117">
        <f t="shared" si="3"/>
        <v>141.22868565761436</v>
      </c>
      <c r="P15" s="121">
        <f>M15-J15</f>
        <v>0</v>
      </c>
      <c r="Q15" s="122">
        <f>O15-L15</f>
        <v>-8.7713143423856366</v>
      </c>
      <c r="R15" s="123">
        <f>O15/L15</f>
        <v>0.94152457105076237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-131.56971513578492</v>
      </c>
      <c r="AG15" s="124">
        <f>N15/K15</f>
        <v>0.94152457105076226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2062</v>
      </c>
      <c r="H16" s="134">
        <f>F16*G16</f>
        <v>104481.54000000001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2096.9491525423832</v>
      </c>
      <c r="O16" s="141">
        <f>N16/M16</f>
        <v>149.78208232445596</v>
      </c>
      <c r="P16" s="142">
        <f>M16-J16</f>
        <v>0</v>
      </c>
      <c r="Q16" s="143">
        <f>O16-L16</f>
        <v>-10.932203389829766</v>
      </c>
      <c r="R16" s="144">
        <f>O16/L16</f>
        <v>0.93197740112994809</v>
      </c>
      <c r="S16" s="425">
        <f>R26</f>
        <v>0.92931019782304281</v>
      </c>
      <c r="T16" s="145">
        <v>0.29930555555555599</v>
      </c>
      <c r="U16" s="145">
        <v>0.34027777777777801</v>
      </c>
      <c r="V16" s="135"/>
      <c r="W16" s="146">
        <f t="shared" ref="W16:W78" si="4">(U16-T16)*24*60</f>
        <v>58.999999999999709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-153.05084745761678</v>
      </c>
      <c r="AG16" s="52">
        <f>N16/K16</f>
        <v>0.93197740112994809</v>
      </c>
      <c r="AH16" s="403">
        <f>AG26</f>
        <v>0.92787885578523188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1928</v>
      </c>
      <c r="H17" s="78">
        <f>F17*G17</f>
        <v>110300.88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2103.2727272726947</v>
      </c>
      <c r="O17" s="96">
        <f>N17/M17</f>
        <v>123.72192513368793</v>
      </c>
      <c r="P17" s="97">
        <f>M17-J17</f>
        <v>0</v>
      </c>
      <c r="Q17" s="98">
        <f>O17-L17</f>
        <v>-8.6310160427826474</v>
      </c>
      <c r="R17" s="99">
        <f>O17/L17</f>
        <v>0.9347878787878644</v>
      </c>
      <c r="S17" s="426"/>
      <c r="T17" s="19">
        <v>0.34583333333333299</v>
      </c>
      <c r="U17" s="19">
        <v>0.38402777777777802</v>
      </c>
      <c r="V17" s="30">
        <f>(T17-U16)*24*60</f>
        <v>7.9999999999991722</v>
      </c>
      <c r="W17" s="149">
        <f t="shared" si="4"/>
        <v>55.000000000000846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-146.72727272730526</v>
      </c>
      <c r="AG17" s="72">
        <f>N17/K17</f>
        <v>0.93478787878786429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1176</v>
      </c>
      <c r="H18" s="78">
        <f>F18*G18</f>
        <v>66573.36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1907.0270270269846</v>
      </c>
      <c r="O18" s="96">
        <f>N18/M18</f>
        <v>127.1351351351323</v>
      </c>
      <c r="P18" s="97">
        <f>M18-J18</f>
        <v>0</v>
      </c>
      <c r="Q18" s="98">
        <f>O18-L18</f>
        <v>-22.864864864867698</v>
      </c>
      <c r="R18" s="99">
        <f>O18/L18</f>
        <v>0.8475675675675487</v>
      </c>
      <c r="S18" s="426"/>
      <c r="T18" s="19">
        <v>0.390972222222222</v>
      </c>
      <c r="U18" s="19">
        <v>0.41666666666666702</v>
      </c>
      <c r="V18" s="30">
        <f>(T18-U17)*24*60</f>
        <v>9.999999999999325</v>
      </c>
      <c r="W18" s="149">
        <f t="shared" si="4"/>
        <v>37.000000000000824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-342.97297297301543</v>
      </c>
      <c r="AG18" s="72">
        <f>N18/K18</f>
        <v>0.8475675675675487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2251</v>
      </c>
      <c r="H19" s="78">
        <f t="shared" ref="H19:H21" si="5">F19*G19</f>
        <v>113427.89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2143.8095238095234</v>
      </c>
      <c r="O19" s="96">
        <f t="shared" ref="O19:O21" si="8">N19/M19</f>
        <v>164.90842490842488</v>
      </c>
      <c r="P19" s="97">
        <f t="shared" ref="P19:P21" si="9">M19-J19</f>
        <v>0</v>
      </c>
      <c r="Q19" s="98">
        <f t="shared" ref="Q19:Q21" si="10">O19-L19</f>
        <v>-8.1684981684981892</v>
      </c>
      <c r="R19" s="99">
        <f t="shared" ref="R19:R21" si="11">O19/L19</f>
        <v>0.95280423280423265</v>
      </c>
      <c r="S19" s="426"/>
      <c r="T19" s="19">
        <v>0.43541666666666701</v>
      </c>
      <c r="U19" s="19">
        <v>0.47916666666666702</v>
      </c>
      <c r="V19" s="30">
        <f>(T19-U18)*24*60</f>
        <v>26.999999999999986</v>
      </c>
      <c r="W19" s="149">
        <f t="shared" si="4"/>
        <v>63.000000000000014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-106.1904761904766</v>
      </c>
      <c r="AG19" s="72">
        <f>N19/K19</f>
        <v>0.95280423280423265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3525</v>
      </c>
      <c r="H20" s="78">
        <f t="shared" si="5"/>
        <v>177624.75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2158.1632653061374</v>
      </c>
      <c r="O20" s="96">
        <f t="shared" si="8"/>
        <v>166.01255886970287</v>
      </c>
      <c r="P20" s="97">
        <f t="shared" si="9"/>
        <v>0</v>
      </c>
      <c r="Q20" s="98">
        <f t="shared" si="10"/>
        <v>-7.0643642072201942</v>
      </c>
      <c r="R20" s="99">
        <f t="shared" si="11"/>
        <v>0.95918367346939448</v>
      </c>
      <c r="S20" s="426"/>
      <c r="T20" s="19">
        <v>0.54166666666666696</v>
      </c>
      <c r="U20" s="19">
        <v>0.60972222222222205</v>
      </c>
      <c r="V20" s="30">
        <f>(T20-U19)*24*60</f>
        <v>89.999999999999915</v>
      </c>
      <c r="W20" s="149">
        <f t="shared" si="4"/>
        <v>97.999999999999332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v>1482</v>
      </c>
      <c r="H21" s="78">
        <f t="shared" si="5"/>
        <v>75092.94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2117.1428571429051</v>
      </c>
      <c r="O21" s="96">
        <f t="shared" si="8"/>
        <v>151.22448979592178</v>
      </c>
      <c r="P21" s="97">
        <f t="shared" si="9"/>
        <v>0</v>
      </c>
      <c r="Q21" s="98">
        <f t="shared" si="10"/>
        <v>-9.4897959183639387</v>
      </c>
      <c r="R21" s="99">
        <f t="shared" si="11"/>
        <v>0.94095238095240219</v>
      </c>
      <c r="S21" s="426"/>
      <c r="T21" s="19">
        <v>0.61805555555555602</v>
      </c>
      <c r="U21" s="19">
        <v>0.64722222222222203</v>
      </c>
      <c r="V21" s="30">
        <f>(T21-U20)*24*60</f>
        <v>12.000000000000917</v>
      </c>
      <c r="W21" s="149">
        <f t="shared" si="4"/>
        <v>41.999999999999048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50"/>
      <c r="U22" s="150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4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2">AVERAGE(J16:J25)</f>
        <v>14.333333333333334</v>
      </c>
      <c r="K26" s="155">
        <f t="shared" si="12"/>
        <v>2250</v>
      </c>
      <c r="L26" s="158">
        <f t="shared" si="12"/>
        <v>158.32255979314803</v>
      </c>
      <c r="M26" s="155">
        <f t="shared" si="12"/>
        <v>14.333333333333334</v>
      </c>
      <c r="N26" s="155">
        <f t="shared" si="12"/>
        <v>2087.7274255167717</v>
      </c>
      <c r="O26" s="158">
        <f t="shared" si="12"/>
        <v>147.13076936122093</v>
      </c>
      <c r="P26" s="159">
        <f>M26-J26</f>
        <v>0</v>
      </c>
      <c r="Q26" s="160">
        <f>O26-L26</f>
        <v>-11.191790431927103</v>
      </c>
      <c r="R26" s="161">
        <f>O26/L26</f>
        <v>0.92931019782304281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3">N26-K26</f>
        <v>-162.27257448322825</v>
      </c>
      <c r="AG26" s="124">
        <f t="shared" ref="AG26:AG31" si="14">N26/K26</f>
        <v>0.92787885578523188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124</v>
      </c>
      <c r="E27" s="132"/>
      <c r="F27" s="129">
        <f>VLOOKUP(D27,廠價表!$C$1:$E$43,3,0)</f>
        <v>57.21</v>
      </c>
      <c r="G27" s="169">
        <v>2037</v>
      </c>
      <c r="H27" s="134">
        <f>F27*G27</f>
        <v>116536.77</v>
      </c>
      <c r="I27" s="135"/>
      <c r="J27" s="136">
        <f>VLOOKUP(D27,產線配置圖!$A$3:$C$40,2,0)</f>
        <v>18</v>
      </c>
      <c r="K27" s="137">
        <v>1714</v>
      </c>
      <c r="L27" s="138">
        <f>K27/J27</f>
        <v>95.222222222222229</v>
      </c>
      <c r="M27" s="170">
        <v>17</v>
      </c>
      <c r="N27" s="140">
        <f>G27/W27*60</f>
        <v>1566.9230769230664</v>
      </c>
      <c r="O27" s="141">
        <f>N27/M27</f>
        <v>92.171945701356847</v>
      </c>
      <c r="P27" s="142">
        <f>M27-J27</f>
        <v>-1</v>
      </c>
      <c r="Q27" s="143">
        <f>O27-L27</f>
        <v>-3.0502765208653813</v>
      </c>
      <c r="R27" s="144">
        <f>O27/L27</f>
        <v>0.96796675765718965</v>
      </c>
      <c r="S27" s="425">
        <f>R37</f>
        <v>0.91674449149551285</v>
      </c>
      <c r="T27" s="171">
        <v>0.28819444444444398</v>
      </c>
      <c r="U27" s="171">
        <v>0.34236111111111101</v>
      </c>
      <c r="V27" s="135"/>
      <c r="W27" s="146">
        <f t="shared" si="4"/>
        <v>78.000000000000526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13"/>
        <v>-147.07692307693355</v>
      </c>
      <c r="AG27" s="172">
        <f t="shared" si="14"/>
        <v>0.91419082667623475</v>
      </c>
      <c r="AH27" s="403">
        <f>AG37</f>
        <v>0.8638345268068518</v>
      </c>
    </row>
    <row r="28" spans="1:34" ht="15" customHeight="1">
      <c r="A28" s="457"/>
      <c r="B28" s="75" t="s">
        <v>81</v>
      </c>
      <c r="C28" s="173"/>
      <c r="D28" s="59" t="s">
        <v>123</v>
      </c>
      <c r="E28" s="104"/>
      <c r="F28" s="75">
        <f>VLOOKUP(D28,廠價表!$C$1:$E$43,3,0)</f>
        <v>50.67</v>
      </c>
      <c r="G28" s="90">
        <v>1495</v>
      </c>
      <c r="H28" s="91">
        <f>F28*G28</f>
        <v>75751.650000000009</v>
      </c>
      <c r="I28" s="92"/>
      <c r="J28" s="79">
        <f>VLOOKUP(D28,產線配置圖!$A$3:$C$40,2,0)</f>
        <v>13</v>
      </c>
      <c r="K28" s="80">
        <f>VLOOKUP(D28,產線配置圖!$A$3:$C$40,3,0)</f>
        <v>1440</v>
      </c>
      <c r="L28" s="93">
        <f>K28/J28</f>
        <v>110.76923076923077</v>
      </c>
      <c r="M28" s="94">
        <v>13</v>
      </c>
      <c r="N28" s="95">
        <f>G28/W28*60</f>
        <v>1379.9999999999964</v>
      </c>
      <c r="O28" s="96">
        <f>N28/M28</f>
        <v>106.15384615384588</v>
      </c>
      <c r="P28" s="97">
        <f>M28-J28</f>
        <v>0</v>
      </c>
      <c r="Q28" s="98">
        <f>O28-L28</f>
        <v>-4.6153846153848974</v>
      </c>
      <c r="R28" s="99">
        <f>O28/L28</f>
        <v>0.95833333333333082</v>
      </c>
      <c r="S28" s="426"/>
      <c r="T28" s="19">
        <v>0.34791666666666698</v>
      </c>
      <c r="U28" s="19">
        <v>0.39305555555555599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13"/>
        <v>-60.000000000003638</v>
      </c>
      <c r="AG28" s="99">
        <f t="shared" si="14"/>
        <v>0.95833333333333082</v>
      </c>
      <c r="AH28" s="445"/>
    </row>
    <row r="29" spans="1:34" ht="15" customHeight="1">
      <c r="A29" s="457"/>
      <c r="B29" s="75" t="s">
        <v>81</v>
      </c>
      <c r="C29" s="173"/>
      <c r="D29" s="59" t="s">
        <v>168</v>
      </c>
      <c r="E29" s="104"/>
      <c r="F29" s="75">
        <f>VLOOKUP(D29,廠價表!$C$1:$E$43,3,0)</f>
        <v>57.21</v>
      </c>
      <c r="G29" s="90">
        <v>1247</v>
      </c>
      <c r="H29" s="91">
        <f>F29*G29</f>
        <v>71340.87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17</v>
      </c>
      <c r="N29" s="95">
        <f>G29/W29*60</f>
        <v>1411.6981132075309</v>
      </c>
      <c r="O29" s="96">
        <f>N29/M29</f>
        <v>83.041065482795943</v>
      </c>
      <c r="P29" s="97">
        <f>M29-J29</f>
        <v>-1</v>
      </c>
      <c r="Q29" s="98">
        <f>O29-L29</f>
        <v>-7.8478234060929424</v>
      </c>
      <c r="R29" s="99">
        <f>O29/L29</f>
        <v>0.91365475470068891</v>
      </c>
      <c r="S29" s="426"/>
      <c r="T29" s="19">
        <v>0.39861111111111103</v>
      </c>
      <c r="U29" s="19">
        <v>0.43541666666666701</v>
      </c>
      <c r="V29" s="92">
        <f>(T29-U28)*24*60</f>
        <v>7.9999999999992522</v>
      </c>
      <c r="W29" s="149">
        <f t="shared" si="4"/>
        <v>53.000000000000611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13"/>
        <v>-224.30188679246908</v>
      </c>
      <c r="AG29" s="99">
        <f t="shared" si="14"/>
        <v>0.86289615721731716</v>
      </c>
      <c r="AH29" s="445"/>
    </row>
    <row r="30" spans="1:34" ht="15" customHeight="1">
      <c r="A30" s="457"/>
      <c r="B30" s="75" t="s">
        <v>81</v>
      </c>
      <c r="C30" s="88"/>
      <c r="D30" s="59" t="s">
        <v>122</v>
      </c>
      <c r="E30" s="89"/>
      <c r="F30" s="75">
        <f>VLOOKUP(D30,廠價表!$C$1:$E$43,3,0)</f>
        <v>57.21</v>
      </c>
      <c r="G30" s="90">
        <v>779</v>
      </c>
      <c r="H30" s="91">
        <f t="shared" ref="H30:H33" si="15">F30*G30</f>
        <v>44566.590000000004</v>
      </c>
      <c r="I30" s="92"/>
      <c r="J30" s="79">
        <f>VLOOKUP(D30,產線配置圖!$A$3:$C$40,2,0)</f>
        <v>18</v>
      </c>
      <c r="K30" s="80">
        <f>VLOOKUP(D30,產線配置圖!$A$3:$C$40,3,0)</f>
        <v>1565</v>
      </c>
      <c r="L30" s="93">
        <f t="shared" ref="L30:L33" si="16">K30/J30</f>
        <v>86.944444444444443</v>
      </c>
      <c r="M30" s="94">
        <v>17</v>
      </c>
      <c r="N30" s="95">
        <f t="shared" ref="N30:N33" si="17">G30/W30*60</f>
        <v>1416.3636363636138</v>
      </c>
      <c r="O30" s="96">
        <f t="shared" ref="O30:O33" si="18">N30/M30</f>
        <v>83.31550802138905</v>
      </c>
      <c r="P30" s="97">
        <f t="shared" ref="P30:P33" si="19">M30-J30</f>
        <v>-1</v>
      </c>
      <c r="Q30" s="98">
        <f t="shared" ref="Q30:Q33" si="20">O30-L30</f>
        <v>-3.6289364230553929</v>
      </c>
      <c r="R30" s="99">
        <f t="shared" ref="R30:R33" si="21">O30/L30</f>
        <v>0.95826143411182296</v>
      </c>
      <c r="S30" s="426"/>
      <c r="T30" s="19">
        <v>0.44097222222222199</v>
      </c>
      <c r="U30" s="19">
        <v>0.46388888888888902</v>
      </c>
      <c r="V30" s="92">
        <f>(T30-U29)*24*60</f>
        <v>7.9999999999991722</v>
      </c>
      <c r="W30" s="149">
        <f t="shared" si="4"/>
        <v>33.000000000000526</v>
      </c>
      <c r="X30" s="174"/>
      <c r="Y30" s="301"/>
      <c r="Z30" s="335"/>
      <c r="AA30" s="335"/>
      <c r="AB30" s="407"/>
      <c r="AC30" s="407"/>
      <c r="AD30" s="92"/>
      <c r="AE30" s="92"/>
      <c r="AF30" s="312">
        <f t="shared" si="13"/>
        <v>-148.63636363638625</v>
      </c>
      <c r="AG30" s="99">
        <f t="shared" si="14"/>
        <v>0.90502468777227718</v>
      </c>
      <c r="AH30" s="446"/>
    </row>
    <row r="31" spans="1:34" ht="15" customHeight="1">
      <c r="A31" s="457"/>
      <c r="B31" s="75" t="s">
        <v>81</v>
      </c>
      <c r="C31" s="88"/>
      <c r="D31" s="59" t="s">
        <v>168</v>
      </c>
      <c r="E31" s="89"/>
      <c r="F31" s="75">
        <f>VLOOKUP(D31,廠價表!$C$1:$E$43,3,0)</f>
        <v>57.21</v>
      </c>
      <c r="G31" s="90">
        <v>1045</v>
      </c>
      <c r="H31" s="91">
        <f t="shared" si="15"/>
        <v>59784.450000000004</v>
      </c>
      <c r="I31" s="92"/>
      <c r="J31" s="79">
        <f>VLOOKUP(D31,產線配置圖!$A$3:$C$40,2,0)</f>
        <v>18</v>
      </c>
      <c r="K31" s="80">
        <f>VLOOKUP(D31,產線配置圖!$A$3:$C$40,3,0)</f>
        <v>1565</v>
      </c>
      <c r="L31" s="93">
        <f t="shared" si="16"/>
        <v>86.944444444444443</v>
      </c>
      <c r="M31" s="94">
        <v>17</v>
      </c>
      <c r="N31" s="95">
        <f t="shared" si="17"/>
        <v>1254.0000000000086</v>
      </c>
      <c r="O31" s="96">
        <f t="shared" si="18"/>
        <v>73.764705882353454</v>
      </c>
      <c r="P31" s="97">
        <f t="shared" si="19"/>
        <v>-1</v>
      </c>
      <c r="Q31" s="98">
        <f t="shared" si="20"/>
        <v>-13.179738562090989</v>
      </c>
      <c r="R31" s="99">
        <f t="shared" si="21"/>
        <v>0.84841195264048708</v>
      </c>
      <c r="S31" s="426"/>
      <c r="T31" s="19">
        <v>0.52777777777777801</v>
      </c>
      <c r="U31" s="19">
        <v>0.5625</v>
      </c>
      <c r="V31" s="92">
        <f t="shared" ref="V31:V33" si="22">(T31-U30)*24*60</f>
        <v>92.000000000000156</v>
      </c>
      <c r="W31" s="149">
        <f t="shared" si="4"/>
        <v>49.999999999999659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3"/>
        <v>-310.99999999999136</v>
      </c>
      <c r="AG31" s="99">
        <f t="shared" si="14"/>
        <v>0.80127795527157097</v>
      </c>
      <c r="AH31" s="405"/>
    </row>
    <row r="32" spans="1:34" ht="15" customHeight="1">
      <c r="A32" s="457"/>
      <c r="B32" s="75" t="s">
        <v>81</v>
      </c>
      <c r="C32" s="102"/>
      <c r="D32" s="175" t="s">
        <v>124</v>
      </c>
      <c r="E32" s="176"/>
      <c r="F32" s="75">
        <f>VLOOKUP(D32,廠價表!$C$1:$E$43,3,0)</f>
        <v>57.21</v>
      </c>
      <c r="G32" s="90">
        <v>1200</v>
      </c>
      <c r="H32" s="91">
        <f t="shared" si="15"/>
        <v>68652</v>
      </c>
      <c r="I32" s="92"/>
      <c r="J32" s="79">
        <f>VLOOKUP(D32,產線配置圖!$A$3:$C$40,2,0)</f>
        <v>18</v>
      </c>
      <c r="K32" s="80">
        <v>1714</v>
      </c>
      <c r="L32" s="93">
        <f t="shared" si="16"/>
        <v>95.222222222222229</v>
      </c>
      <c r="M32" s="94">
        <v>17</v>
      </c>
      <c r="N32" s="95">
        <f t="shared" si="17"/>
        <v>1411.7647058823802</v>
      </c>
      <c r="O32" s="96">
        <f t="shared" si="18"/>
        <v>83.044982698963537</v>
      </c>
      <c r="P32" s="97">
        <f t="shared" si="19"/>
        <v>-1</v>
      </c>
      <c r="Q32" s="98">
        <f t="shared" si="20"/>
        <v>-12.177239523258692</v>
      </c>
      <c r="R32" s="99">
        <f t="shared" si="21"/>
        <v>0.87211767128433115</v>
      </c>
      <c r="S32" s="426"/>
      <c r="T32" s="19">
        <v>0.56805555555555598</v>
      </c>
      <c r="U32" s="19">
        <v>0.60347222222222197</v>
      </c>
      <c r="V32" s="92">
        <f t="shared" si="22"/>
        <v>8.0000000000006111</v>
      </c>
      <c r="W32" s="149">
        <f t="shared" si="4"/>
        <v>50.999999999999019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 t="s">
        <v>81</v>
      </c>
      <c r="C33" s="177"/>
      <c r="D33" s="59" t="s">
        <v>168</v>
      </c>
      <c r="E33" s="178"/>
      <c r="F33" s="75">
        <f>VLOOKUP(D33,廠價表!$C$1:$E$43,3,0)</f>
        <v>57.21</v>
      </c>
      <c r="G33" s="90">
        <v>555</v>
      </c>
      <c r="H33" s="91">
        <f t="shared" si="15"/>
        <v>31751.55</v>
      </c>
      <c r="I33" s="92"/>
      <c r="J33" s="79">
        <f>VLOOKUP(D33,產線配置圖!$A$3:$C$40,2,0)</f>
        <v>18</v>
      </c>
      <c r="K33" s="80">
        <f>VLOOKUP(D33,產線配置圖!$A$3:$C$40,3,0)</f>
        <v>1565</v>
      </c>
      <c r="L33" s="93">
        <f t="shared" si="16"/>
        <v>86.944444444444443</v>
      </c>
      <c r="M33" s="94">
        <v>16</v>
      </c>
      <c r="N33" s="95">
        <f t="shared" si="17"/>
        <v>1233.3333333333376</v>
      </c>
      <c r="O33" s="96">
        <f t="shared" si="18"/>
        <v>77.083333333333599</v>
      </c>
      <c r="P33" s="97">
        <f t="shared" si="19"/>
        <v>-2</v>
      </c>
      <c r="Q33" s="98">
        <f t="shared" si="20"/>
        <v>-9.8611111111108443</v>
      </c>
      <c r="R33" s="99">
        <f t="shared" si="21"/>
        <v>0.88658146964856532</v>
      </c>
      <c r="S33" s="426"/>
      <c r="T33" s="19">
        <v>0.62152777777777801</v>
      </c>
      <c r="U33" s="19">
        <v>0.64027777777777795</v>
      </c>
      <c r="V33" s="92">
        <f t="shared" si="22"/>
        <v>26.000000000000707</v>
      </c>
      <c r="W33" s="149">
        <f t="shared" si="4"/>
        <v>26.999999999999904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3">AVERAGE(J27:J36)</f>
        <v>17.285714285714285</v>
      </c>
      <c r="K37" s="155">
        <f t="shared" si="23"/>
        <v>1599.8571428571429</v>
      </c>
      <c r="L37" s="158">
        <f t="shared" si="23"/>
        <v>93.276556776556802</v>
      </c>
      <c r="M37" s="155">
        <f t="shared" si="23"/>
        <v>16.285714285714285</v>
      </c>
      <c r="N37" s="155">
        <f t="shared" si="23"/>
        <v>1382.011837958562</v>
      </c>
      <c r="O37" s="158">
        <f t="shared" si="23"/>
        <v>85.510769610576901</v>
      </c>
      <c r="P37" s="159">
        <f>M37-J37</f>
        <v>-1</v>
      </c>
      <c r="Q37" s="160">
        <f>N37-K37</f>
        <v>-217.84530489858093</v>
      </c>
      <c r="R37" s="161">
        <f>O37/L37</f>
        <v>0.91674449149551285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-217.84530489858093</v>
      </c>
      <c r="AG37" s="124">
        <f>N37/K37</f>
        <v>0.8638345268068518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2914</v>
      </c>
      <c r="H38" s="134">
        <f>F38*G38</f>
        <v>145437.74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1634.0186915887753</v>
      </c>
      <c r="O38" s="141">
        <f>N38/M38</f>
        <v>108.93457943925168</v>
      </c>
      <c r="P38" s="142">
        <f>M38-J38</f>
        <v>0</v>
      </c>
      <c r="Q38" s="143">
        <f>O38-L38</f>
        <v>-5.3320872274149878</v>
      </c>
      <c r="R38" s="144">
        <f>O38/L38</f>
        <v>0.95333645950336943</v>
      </c>
      <c r="S38" s="453">
        <f>R48</f>
        <v>0.93292054805854574</v>
      </c>
      <c r="T38" s="191">
        <v>0.32986111111111099</v>
      </c>
      <c r="U38" s="191">
        <v>0.40416666666666701</v>
      </c>
      <c r="V38" s="192"/>
      <c r="W38" s="193">
        <f t="shared" si="4"/>
        <v>107.00000000000065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-79.981308411224745</v>
      </c>
      <c r="AG38" s="195">
        <f>N38/K38</f>
        <v>0.95333645950336943</v>
      </c>
      <c r="AH38" s="459">
        <f>AG48</f>
        <v>0.90900944469754663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2974</v>
      </c>
      <c r="H39" s="91">
        <f>F39*G39</f>
        <v>131748.19999999998</v>
      </c>
      <c r="I39" s="200"/>
      <c r="J39" s="148"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1486.9999999999875</v>
      </c>
      <c r="O39" s="203">
        <f>N39/M39</f>
        <v>87.470588235293377</v>
      </c>
      <c r="P39" s="97">
        <f>M39-J39</f>
        <v>-1</v>
      </c>
      <c r="Q39" s="98">
        <f>O39-L39</f>
        <v>-3.4183006535955087</v>
      </c>
      <c r="R39" s="99">
        <f>O39/L39</f>
        <v>0.96239033510713989</v>
      </c>
      <c r="S39" s="454"/>
      <c r="T39" s="20">
        <v>0.40972222222222199</v>
      </c>
      <c r="U39" s="20">
        <v>0.49305555555555602</v>
      </c>
      <c r="V39" s="92">
        <f>(T39-U38)*24*60</f>
        <v>7.9999999999991722</v>
      </c>
      <c r="W39" s="205">
        <f t="shared" si="4"/>
        <v>120.00000000000101</v>
      </c>
      <c r="X39" s="22"/>
      <c r="Y39" s="84"/>
      <c r="Z39" s="90"/>
      <c r="AA39" s="90"/>
      <c r="AB39" s="462" t="s">
        <v>190</v>
      </c>
      <c r="AC39" s="462"/>
      <c r="AD39" s="200"/>
      <c r="AE39" s="200"/>
      <c r="AF39" s="314">
        <f>N39-K39</f>
        <v>-149.00000000001251</v>
      </c>
      <c r="AG39" s="206">
        <f>N39/K39</f>
        <v>0.90892420537896546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2607</v>
      </c>
      <c r="H40" s="91">
        <f>F40*G40</f>
        <v>115490.09999999999</v>
      </c>
      <c r="I40" s="200"/>
      <c r="J40" s="148"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1475.6603773584914</v>
      </c>
      <c r="O40" s="203">
        <f>N40/M40</f>
        <v>86.803551609323023</v>
      </c>
      <c r="P40" s="97">
        <f>M40-J40</f>
        <v>-1</v>
      </c>
      <c r="Q40" s="98">
        <f>O40-L40</f>
        <v>-4.0853372795658629</v>
      </c>
      <c r="R40" s="99">
        <f>O40/L40</f>
        <v>0.95505130132506999</v>
      </c>
      <c r="S40" s="440"/>
      <c r="T40" s="20">
        <v>0.56805555555555598</v>
      </c>
      <c r="U40" s="20">
        <v>0.64166666666666705</v>
      </c>
      <c r="V40" s="92">
        <f>(T40-U39)*24*60</f>
        <v>107.99999999999994</v>
      </c>
      <c r="W40" s="205">
        <f t="shared" si="4"/>
        <v>105.99999999999994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-160.33962264150864</v>
      </c>
      <c r="AG40" s="206">
        <f>N40/K40</f>
        <v>0.90199289569589935</v>
      </c>
      <c r="AH40" s="460"/>
    </row>
    <row r="41" spans="1:34" ht="15" customHeight="1">
      <c r="A41" s="451"/>
      <c r="B41" s="75" t="s">
        <v>128</v>
      </c>
      <c r="C41" s="207"/>
      <c r="D41" s="198" t="s">
        <v>129</v>
      </c>
      <c r="E41" s="178"/>
      <c r="F41" s="75">
        <f>VLOOKUP(D41,廠價表!$C$1:$E$43,3,0)</f>
        <v>49.91</v>
      </c>
      <c r="G41" s="199">
        <v>946</v>
      </c>
      <c r="H41" s="91">
        <f>F41*G41</f>
        <v>47214.859999999993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15</v>
      </c>
      <c r="N41" s="202">
        <f>G41/W41*60</f>
        <v>1493.6842105263086</v>
      </c>
      <c r="O41" s="203">
        <f>N41/M41</f>
        <v>99.578947368420572</v>
      </c>
      <c r="P41" s="97">
        <f>M41-J41</f>
        <v>0</v>
      </c>
      <c r="Q41" s="98">
        <f>O41-L41</f>
        <v>-14.687719298246094</v>
      </c>
      <c r="R41" s="99">
        <f>O41/L41</f>
        <v>0.87146103297917654</v>
      </c>
      <c r="S41" s="440"/>
      <c r="T41" s="20">
        <v>0.64722222222222203</v>
      </c>
      <c r="U41" s="210">
        <v>0.67361111111111105</v>
      </c>
      <c r="V41" s="92">
        <f>(T41-U40)*24*60</f>
        <v>7.9999999999991722</v>
      </c>
      <c r="W41" s="205">
        <f t="shared" si="4"/>
        <v>38.000000000000185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-220.31578947369144</v>
      </c>
      <c r="AG41" s="206">
        <f>N41/K41</f>
        <v>0.87146103297917654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4">AVERAGE(J38:J47)</f>
        <v>16.5</v>
      </c>
      <c r="K48" s="155">
        <f t="shared" si="24"/>
        <v>1675</v>
      </c>
      <c r="L48" s="158">
        <f t="shared" si="24"/>
        <v>102.57777777777778</v>
      </c>
      <c r="M48" s="155">
        <f t="shared" si="24"/>
        <v>16</v>
      </c>
      <c r="N48" s="155">
        <f t="shared" si="24"/>
        <v>1522.5908198683906</v>
      </c>
      <c r="O48" s="158">
        <f t="shared" si="24"/>
        <v>95.696916663072159</v>
      </c>
      <c r="P48" s="221">
        <f>M48-J48</f>
        <v>-0.5</v>
      </c>
      <c r="Q48" s="222">
        <f>N48-K48</f>
        <v>-152.40918013160945</v>
      </c>
      <c r="R48" s="223">
        <f>O48/L48</f>
        <v>0.93292054805854574</v>
      </c>
      <c r="S48" s="443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25">N48-K48</f>
        <v>-152.40918013160945</v>
      </c>
      <c r="AG48" s="162">
        <f t="shared" ref="AG48:AG53" si="26">N48/K48</f>
        <v>0.90900944469754663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2357</v>
      </c>
      <c r="H49" s="134">
        <f>F49*G49</f>
        <v>116718.64000000001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1625.517241379328</v>
      </c>
      <c r="O49" s="141">
        <f>N49/M49</f>
        <v>95.618661257607528</v>
      </c>
      <c r="P49" s="229">
        <f>M49-J49</f>
        <v>0</v>
      </c>
      <c r="Q49" s="230">
        <f>O49-L49</f>
        <v>-10.263691683568936</v>
      </c>
      <c r="R49" s="52">
        <f>O49/L49</f>
        <v>0.90306513409962674</v>
      </c>
      <c r="S49" s="439">
        <f>R58</f>
        <v>0.92709845416475634</v>
      </c>
      <c r="T49" s="191">
        <v>0.29166666666666702</v>
      </c>
      <c r="U49" s="191">
        <v>0.35208333333333303</v>
      </c>
      <c r="V49" s="55"/>
      <c r="W49" s="193">
        <f t="shared" si="4"/>
        <v>86.999999999999048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25"/>
        <v>-174.48275862067203</v>
      </c>
      <c r="AG49" s="52">
        <f t="shared" si="26"/>
        <v>0.90306513409962663</v>
      </c>
      <c r="AH49" s="403">
        <f>AG58</f>
        <v>0.89660214613762301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2049</v>
      </c>
      <c r="H50" s="231">
        <f>F50*G50</f>
        <v>103042.16100000001</v>
      </c>
      <c r="I50" s="232"/>
      <c r="J50" s="79">
        <v>17</v>
      </c>
      <c r="K50" s="80">
        <f>VLOOKUP(D50,產線配置圖!$A$3:$C$40,3,0)</f>
        <v>1565</v>
      </c>
      <c r="L50" s="81">
        <f>K50/J50</f>
        <v>92.058823529411768</v>
      </c>
      <c r="M50" s="233">
        <v>16</v>
      </c>
      <c r="N50" s="234">
        <f>G50/W50*60</f>
        <v>1413.1034482758541</v>
      </c>
      <c r="O50" s="235">
        <f>N50/M50</f>
        <v>88.318965517240883</v>
      </c>
      <c r="P50" s="74">
        <f>M50-J50</f>
        <v>-1</v>
      </c>
      <c r="Q50" s="83">
        <f>O50-L50</f>
        <v>-3.7398580121708846</v>
      </c>
      <c r="R50" s="72">
        <f>O50/L50</f>
        <v>0.95937534427673798</v>
      </c>
      <c r="S50" s="440"/>
      <c r="T50" s="21">
        <v>0.35763888888888901</v>
      </c>
      <c r="U50" s="21">
        <v>0.41805555555555601</v>
      </c>
      <c r="V50" s="30">
        <f>(T50-U49)*24*60</f>
        <v>8.0000000000006111</v>
      </c>
      <c r="W50" s="236">
        <f t="shared" si="4"/>
        <v>87.000000000000483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25"/>
        <v>-151.89655172414587</v>
      </c>
      <c r="AG50" s="72">
        <f t="shared" si="26"/>
        <v>0.90294150049575339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f>VLOOKUP(D51,廠價表!$C$1:$E$43,3,0)</f>
        <v>49.97</v>
      </c>
      <c r="G51" s="202">
        <v>1897</v>
      </c>
      <c r="H51" s="231">
        <f>F51*G51</f>
        <v>94793.09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1673.8235294117726</v>
      </c>
      <c r="O51" s="235">
        <f>N51/M51</f>
        <v>104.61397058823579</v>
      </c>
      <c r="P51" s="74">
        <f>M51-J51</f>
        <v>0</v>
      </c>
      <c r="Q51" s="83">
        <f>O51-L51</f>
        <v>-7.8860294117642127</v>
      </c>
      <c r="R51" s="72">
        <f>O51/L51</f>
        <v>0.92990196078431808</v>
      </c>
      <c r="S51" s="440"/>
      <c r="T51" s="21">
        <v>0.42361111111111099</v>
      </c>
      <c r="U51" s="19">
        <v>0.47083333333333299</v>
      </c>
      <c r="V51" s="30">
        <f>(T51-U50)*24*60</f>
        <v>7.9999999999991722</v>
      </c>
      <c r="W51" s="236">
        <f t="shared" si="4"/>
        <v>67.999999999999673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25"/>
        <v>-126.1764705882274</v>
      </c>
      <c r="AG51" s="72">
        <f t="shared" si="26"/>
        <v>0.92990196078431808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f>VLOOKUP(D52,廠價表!$C$1:$E$43,3,0)</f>
        <v>49.97</v>
      </c>
      <c r="G52" s="202">
        <v>3890</v>
      </c>
      <c r="H52" s="231">
        <f t="shared" ref="H52:H53" si="27">F52*G52</f>
        <v>194383.3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28">K52/J52</f>
        <v>112.5</v>
      </c>
      <c r="M52" s="233">
        <v>16</v>
      </c>
      <c r="N52" s="234">
        <f t="shared" ref="N52:N53" si="29">G52/W52*60</f>
        <v>1632.1678321678251</v>
      </c>
      <c r="O52" s="235">
        <f t="shared" ref="O52:O53" si="30">N52/M52</f>
        <v>102.01048951048907</v>
      </c>
      <c r="P52" s="74">
        <f t="shared" ref="P52:P53" si="31">M52-J52</f>
        <v>0</v>
      </c>
      <c r="Q52" s="83">
        <f t="shared" ref="Q52:Q53" si="32">O52-L52</f>
        <v>-10.489510489510934</v>
      </c>
      <c r="R52" s="72">
        <f t="shared" ref="R52:R53" si="33">O52/L52</f>
        <v>0.90675990675990281</v>
      </c>
      <c r="S52" s="440"/>
      <c r="T52" s="21">
        <v>0.53125</v>
      </c>
      <c r="U52" s="21">
        <v>0.63055555555555598</v>
      </c>
      <c r="V52" s="30">
        <f>(T52-U51)*24*60</f>
        <v>87.000000000000483</v>
      </c>
      <c r="W52" s="236">
        <f t="shared" si="4"/>
        <v>143.00000000000063</v>
      </c>
      <c r="X52" s="22">
        <v>0.47916666666666702</v>
      </c>
      <c r="Y52" s="84">
        <v>0.52083333333333304</v>
      </c>
      <c r="Z52" s="90"/>
      <c r="AA52" s="90"/>
      <c r="AB52" s="407"/>
      <c r="AC52" s="407"/>
      <c r="AD52" s="92"/>
      <c r="AE52" s="92"/>
      <c r="AF52" s="307">
        <f t="shared" si="25"/>
        <v>-167.83216783217495</v>
      </c>
      <c r="AG52" s="72">
        <f t="shared" si="26"/>
        <v>0.90675990675990281</v>
      </c>
      <c r="AH52" s="404"/>
    </row>
    <row r="53" spans="1:34" ht="15" customHeight="1">
      <c r="A53" s="469"/>
      <c r="B53" s="101" t="s">
        <v>81</v>
      </c>
      <c r="C53" s="102"/>
      <c r="D53" s="103" t="s">
        <v>133</v>
      </c>
      <c r="E53" s="104"/>
      <c r="F53" s="75">
        <f>VLOOKUP(D53,廠價表!$C$1:$E$43,3,0)</f>
        <v>50.289000000000001</v>
      </c>
      <c r="G53" s="202">
        <v>1021</v>
      </c>
      <c r="H53" s="231">
        <f t="shared" si="27"/>
        <v>51345.069000000003</v>
      </c>
      <c r="I53" s="232"/>
      <c r="J53" s="79">
        <v>17</v>
      </c>
      <c r="K53" s="80">
        <f>VLOOKUP(D53,產線配置圖!$A$3:$C$40,3,0)</f>
        <v>1565</v>
      </c>
      <c r="L53" s="81">
        <f t="shared" si="28"/>
        <v>92.058823529411768</v>
      </c>
      <c r="M53" s="108">
        <v>15</v>
      </c>
      <c r="N53" s="234">
        <f t="shared" si="29"/>
        <v>1303.4042553191448</v>
      </c>
      <c r="O53" s="235">
        <f t="shared" si="30"/>
        <v>86.893617021276313</v>
      </c>
      <c r="P53" s="74">
        <f t="shared" si="31"/>
        <v>-2</v>
      </c>
      <c r="Q53" s="83">
        <f t="shared" si="32"/>
        <v>-5.165206508135455</v>
      </c>
      <c r="R53" s="72">
        <f t="shared" si="33"/>
        <v>0.9438923254707331</v>
      </c>
      <c r="S53" s="440"/>
      <c r="T53" s="21">
        <v>0.63541666666666696</v>
      </c>
      <c r="U53" s="21">
        <v>0.66805555555555596</v>
      </c>
      <c r="V53" s="30">
        <f>(T53-U52)*24*60</f>
        <v>6.9999999999998153</v>
      </c>
      <c r="W53" s="236">
        <f t="shared" si="4"/>
        <v>47.000000000000156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25"/>
        <v>-261.5957446808552</v>
      </c>
      <c r="AG53" s="72">
        <f t="shared" si="26"/>
        <v>0.83284616953299984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34">AVERAGE(J49:J57)</f>
        <v>16.600000000000001</v>
      </c>
      <c r="K58" s="120">
        <f t="shared" si="34"/>
        <v>1706</v>
      </c>
      <c r="L58" s="117">
        <f t="shared" si="34"/>
        <v>103</v>
      </c>
      <c r="M58" s="120">
        <f t="shared" si="34"/>
        <v>16</v>
      </c>
      <c r="N58" s="120">
        <f t="shared" si="34"/>
        <v>1529.6032613107848</v>
      </c>
      <c r="O58" s="117">
        <f t="shared" si="34"/>
        <v>95.491140778969907</v>
      </c>
      <c r="P58" s="121">
        <f>M58-J58</f>
        <v>-0.60000000000000142</v>
      </c>
      <c r="Q58" s="122">
        <f>N58-K58</f>
        <v>-176.39673868921523</v>
      </c>
      <c r="R58" s="123">
        <f>O58/L58</f>
        <v>0.92709845416475634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-176.39673868921523</v>
      </c>
      <c r="AG58" s="124">
        <f>N58/K58</f>
        <v>0.89660214613762301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1655</v>
      </c>
      <c r="H59" s="243">
        <f>F59*G59</f>
        <v>44668.45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1418.5714285714012</v>
      </c>
      <c r="O59" s="138">
        <f>N59/M59</f>
        <v>94.57142857142675</v>
      </c>
      <c r="P59" s="56">
        <f>M59-J59</f>
        <v>0</v>
      </c>
      <c r="Q59" s="230">
        <f>O59-L59</f>
        <v>-9.7619047619065782</v>
      </c>
      <c r="R59" s="52">
        <f>O59/L59</f>
        <v>0.90643541761750879</v>
      </c>
      <c r="S59" s="439">
        <f>R69</f>
        <v>0.95109068501544469</v>
      </c>
      <c r="T59" s="245">
        <v>0.28819444444444398</v>
      </c>
      <c r="U59" s="245">
        <v>0.33680555555555602</v>
      </c>
      <c r="V59" s="55"/>
      <c r="W59" s="54">
        <f t="shared" si="4"/>
        <v>70.00000000000135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-146.42857142859884</v>
      </c>
      <c r="AG59" s="246">
        <f>N59/K59</f>
        <v>0.90643541761750868</v>
      </c>
      <c r="AH59" s="403">
        <f>AG69</f>
        <v>0.94938227200867242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1997</v>
      </c>
      <c r="H60" s="78">
        <f>F60*G60</f>
        <v>56435.22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1497.749999999987</v>
      </c>
      <c r="O60" s="81">
        <f>N60/M60</f>
        <v>124.81249999999892</v>
      </c>
      <c r="P60" s="74">
        <f>M60-J60</f>
        <v>0</v>
      </c>
      <c r="Q60" s="83">
        <f>O60-L60</f>
        <v>-5.6041666666677372</v>
      </c>
      <c r="R60" s="72">
        <f>O60/L60</f>
        <v>0.95702875399360199</v>
      </c>
      <c r="S60" s="467"/>
      <c r="T60" s="22">
        <v>0.34375</v>
      </c>
      <c r="U60" s="22">
        <v>0.39930555555555602</v>
      </c>
      <c r="V60" s="30">
        <f>(T60-U59)*24*60</f>
        <v>9.999999999999325</v>
      </c>
      <c r="W60" s="248">
        <f t="shared" si="4"/>
        <v>80.000000000000682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-67.25000000001296</v>
      </c>
      <c r="AG60" s="249">
        <f>N60/K60</f>
        <v>0.95702875399360199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2897</v>
      </c>
      <c r="H61" s="254">
        <f>F61*G61</f>
        <v>81869.22</v>
      </c>
      <c r="I61" s="182"/>
      <c r="J61" s="106">
        <f>VLOOKUP(D61,產線配置圖!$A$3:$C$40,2,0)</f>
        <v>11</v>
      </c>
      <c r="K61" s="107">
        <f>VLOOKUP(D61,產線配置圖!$A$3:$C$40,3,0)</f>
        <v>1565</v>
      </c>
      <c r="L61" s="238">
        <f>K61/J61</f>
        <v>142.27272727272728</v>
      </c>
      <c r="M61" s="108">
        <v>11</v>
      </c>
      <c r="N61" s="107">
        <f>G61/W61*60</f>
        <v>1511.4782608695675</v>
      </c>
      <c r="O61" s="238">
        <f>N61/M61</f>
        <v>137.40711462450614</v>
      </c>
      <c r="P61" s="111">
        <f>M61-J61</f>
        <v>0</v>
      </c>
      <c r="Q61" s="255">
        <f>O61-L61</f>
        <v>-4.8656126482211448</v>
      </c>
      <c r="R61" s="85">
        <f>O61/L61</f>
        <v>0.96580080566745519</v>
      </c>
      <c r="S61" s="440"/>
      <c r="T61" s="22">
        <v>0.40625</v>
      </c>
      <c r="U61" s="22">
        <v>0.48611111111111099</v>
      </c>
      <c r="V61" s="30">
        <f>(T61-U60)*24*60</f>
        <v>9.999999999999325</v>
      </c>
      <c r="W61" s="256">
        <f t="shared" si="4"/>
        <v>114.99999999999983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-53.521739130432479</v>
      </c>
      <c r="AG61" s="247">
        <f>N61/K61</f>
        <v>0.9658008056674553</v>
      </c>
      <c r="AH61" s="404"/>
    </row>
    <row r="62" spans="1:34" ht="15" customHeight="1">
      <c r="A62" s="465"/>
      <c r="B62" s="250" t="s">
        <v>125</v>
      </c>
      <c r="C62" s="251"/>
      <c r="D62" s="257" t="s">
        <v>134</v>
      </c>
      <c r="E62" s="253"/>
      <c r="F62" s="250">
        <f>VLOOKUP(D62,廠價表!$C$1:$E$43,3,0)</f>
        <v>26.99</v>
      </c>
      <c r="G62" s="38">
        <v>2273</v>
      </c>
      <c r="H62" s="254">
        <f>F62*G62</f>
        <v>61348.27</v>
      </c>
      <c r="I62" s="182"/>
      <c r="J62" s="106">
        <f>VLOOKUP(D62,產線配置圖!$A$3:$C$40,2,0)</f>
        <v>15</v>
      </c>
      <c r="K62" s="107">
        <f>VLOOKUP(D62,產線配置圖!$A$3:$C$40,3,0)</f>
        <v>1565</v>
      </c>
      <c r="L62" s="238">
        <f>K62/J62</f>
        <v>104.33333333333333</v>
      </c>
      <c r="M62" s="108">
        <v>15</v>
      </c>
      <c r="N62" s="107">
        <f>G62/W62*60</f>
        <v>1515.3333333333335</v>
      </c>
      <c r="O62" s="238">
        <f>N62/M62</f>
        <v>101.02222222222223</v>
      </c>
      <c r="P62" s="111">
        <f>M62-J62</f>
        <v>0</v>
      </c>
      <c r="Q62" s="255">
        <f>O62-L62</f>
        <v>-3.3111111111111029</v>
      </c>
      <c r="R62" s="85">
        <f>O62/L62</f>
        <v>0.96826411075612362</v>
      </c>
      <c r="S62" s="440"/>
      <c r="T62" s="22">
        <v>0.53472222222222199</v>
      </c>
      <c r="U62" s="22">
        <v>0.59722222222222199</v>
      </c>
      <c r="V62" s="30">
        <f>(T62-U61)*24*60</f>
        <v>69.999999999999829</v>
      </c>
      <c r="W62" s="248">
        <f t="shared" si="4"/>
        <v>90</v>
      </c>
      <c r="X62" s="22"/>
      <c r="Y62" s="84"/>
      <c r="Z62" s="90"/>
      <c r="AA62" s="90"/>
      <c r="AB62" s="407"/>
      <c r="AC62" s="407"/>
      <c r="AD62" s="92"/>
      <c r="AE62" s="92"/>
      <c r="AF62" s="317">
        <f>N62-K62</f>
        <v>-49.666666666666515</v>
      </c>
      <c r="AG62" s="247">
        <f>N62/K62</f>
        <v>0.96826411075612362</v>
      </c>
      <c r="AH62" s="404"/>
    </row>
    <row r="63" spans="1:34" ht="15" customHeight="1">
      <c r="A63" s="46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40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35">AVERAGE(J59:J68)</f>
        <v>13.25</v>
      </c>
      <c r="K69" s="240">
        <f t="shared" si="35"/>
        <v>1565</v>
      </c>
      <c r="L69" s="268">
        <f t="shared" si="35"/>
        <v>120.33901515151514</v>
      </c>
      <c r="M69" s="240">
        <f t="shared" si="35"/>
        <v>13.25</v>
      </c>
      <c r="N69" s="240">
        <f t="shared" si="35"/>
        <v>1485.7832556935723</v>
      </c>
      <c r="O69" s="268">
        <f t="shared" si="35"/>
        <v>114.45331635453852</v>
      </c>
      <c r="P69" s="269">
        <f>M69-J69</f>
        <v>0</v>
      </c>
      <c r="Q69" s="222">
        <f>N69-K69</f>
        <v>-79.216744306427699</v>
      </c>
      <c r="R69" s="123">
        <f>O69/L69</f>
        <v>0.95109068501544469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-79.216744306427699</v>
      </c>
      <c r="AG69" s="124">
        <f>N69/K69</f>
        <v>0.94938227200867242</v>
      </c>
      <c r="AH69" s="406"/>
    </row>
    <row r="70" spans="1:36" ht="15" customHeight="1">
      <c r="A70" s="471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39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/>
      <c r="D79" s="430"/>
      <c r="E79" s="430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J1:L2"/>
    <mergeCell ref="M1:O2"/>
    <mergeCell ref="P1:S2"/>
    <mergeCell ref="A2:B2"/>
    <mergeCell ref="A3:A4"/>
    <mergeCell ref="B3:B4"/>
    <mergeCell ref="D3:E4"/>
    <mergeCell ref="F3:F4"/>
    <mergeCell ref="S3:S4"/>
    <mergeCell ref="H3:H4"/>
    <mergeCell ref="I3:I4"/>
    <mergeCell ref="J3:J4"/>
    <mergeCell ref="K3:K4"/>
    <mergeCell ref="L3:L4"/>
    <mergeCell ref="M3:M4"/>
    <mergeCell ref="AG3:AG4"/>
    <mergeCell ref="AH3:AH4"/>
    <mergeCell ref="T1:Y2"/>
    <mergeCell ref="T3:U3"/>
    <mergeCell ref="AB1:AC2"/>
    <mergeCell ref="AF1:AH2"/>
    <mergeCell ref="Z3:AA3"/>
    <mergeCell ref="V3:V4"/>
    <mergeCell ref="W3:W4"/>
    <mergeCell ref="X3:Y3"/>
    <mergeCell ref="AB3:AC4"/>
    <mergeCell ref="A5:A15"/>
    <mergeCell ref="S5:S15"/>
    <mergeCell ref="AB5:AC5"/>
    <mergeCell ref="AD3:AE3"/>
    <mergeCell ref="AF3:AF4"/>
    <mergeCell ref="N3:N4"/>
    <mergeCell ref="O3:O4"/>
    <mergeCell ref="P3:P4"/>
    <mergeCell ref="Q3:Q4"/>
    <mergeCell ref="R3:R4"/>
    <mergeCell ref="G3:G4"/>
    <mergeCell ref="AB13:AC13"/>
    <mergeCell ref="AB8:AC8"/>
    <mergeCell ref="AB9:AC9"/>
    <mergeCell ref="AB10:AC10"/>
    <mergeCell ref="AB11:AC11"/>
    <mergeCell ref="AH16:AH26"/>
    <mergeCell ref="AB17:AC17"/>
    <mergeCell ref="AB18:AC18"/>
    <mergeCell ref="AB19:AC19"/>
    <mergeCell ref="D15:E15"/>
    <mergeCell ref="AB15:AC15"/>
    <mergeCell ref="S16:S26"/>
    <mergeCell ref="AB16:AC16"/>
    <mergeCell ref="D26:E26"/>
    <mergeCell ref="AB26:AC26"/>
    <mergeCell ref="AB25:AC25"/>
    <mergeCell ref="AH5:AH15"/>
    <mergeCell ref="AB6:AC6"/>
    <mergeCell ref="AB7:AC7"/>
    <mergeCell ref="AB12:AC12"/>
    <mergeCell ref="AB14:AC14"/>
    <mergeCell ref="AH27:AH37"/>
    <mergeCell ref="AB28:AC28"/>
    <mergeCell ref="AB29:AC29"/>
    <mergeCell ref="AB30:AC30"/>
    <mergeCell ref="AB31:AC31"/>
    <mergeCell ref="AB32:AC32"/>
    <mergeCell ref="A27:A37"/>
    <mergeCell ref="AB33:AC33"/>
    <mergeCell ref="AB34:AC34"/>
    <mergeCell ref="AB35:AC35"/>
    <mergeCell ref="AB36:AC36"/>
    <mergeCell ref="D37:E37"/>
    <mergeCell ref="AB37:AC37"/>
    <mergeCell ref="S27:S37"/>
    <mergeCell ref="AB27:AC27"/>
    <mergeCell ref="A16:A26"/>
    <mergeCell ref="AB20:AC20"/>
    <mergeCell ref="AB21:AC21"/>
    <mergeCell ref="AB22:AC22"/>
    <mergeCell ref="AB23:AC23"/>
    <mergeCell ref="AB24:AC24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48" priority="1" operator="greaterThan">
      <formula>0</formula>
    </cfRule>
  </conditionalFormatting>
  <conditionalFormatting sqref="Q5:Q79 AF5:AF79">
    <cfRule type="cellIs" dxfId="147" priority="4" operator="lessThan">
      <formula>0</formula>
    </cfRule>
  </conditionalFormatting>
  <conditionalFormatting sqref="R5:R79 AG5:AG79">
    <cfRule type="cellIs" dxfId="146" priority="2" operator="greaterThan">
      <formula>1</formula>
    </cfRule>
    <cfRule type="cellIs" dxfId="145" priority="3" operator="lessThan">
      <formula>0.8</formula>
    </cfRule>
  </conditionalFormatting>
  <conditionalFormatting sqref="S5:S10 S37:S62 AH59:AH62 S69:S76 AH69:AH76">
    <cfRule type="cellIs" dxfId="144" priority="7" operator="lessThan">
      <formula>0.8</formula>
    </cfRule>
  </conditionalFormatting>
  <conditionalFormatting sqref="S19:S25 AH19:AH25">
    <cfRule type="cellIs" dxfId="143" priority="6" operator="lessThan">
      <formula>0.8</formula>
    </cfRule>
  </conditionalFormatting>
  <conditionalFormatting sqref="S79">
    <cfRule type="cellIs" dxfId="142" priority="5" operator="lessThan">
      <formula>0.8</formula>
    </cfRule>
  </conditionalFormatting>
  <conditionalFormatting sqref="AH5:AH8 S15:S16 AH15:AH16 AH49 AH79">
    <cfRule type="cellIs" dxfId="141" priority="9" operator="lessThan">
      <formula>0.8</formula>
    </cfRule>
  </conditionalFormatting>
  <conditionalFormatting sqref="AH27 S27:S28">
    <cfRule type="cellIs" dxfId="1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0690BC-A2C3-4876-9C3B-7BB96AE280A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C0FC-57ED-4903-8D24-C79974725523}">
  <dimension ref="B1:O26"/>
  <sheetViews>
    <sheetView zoomScale="70" zoomScaleNormal="70" workbookViewId="0">
      <selection activeCell="U63" sqref="U6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46190</v>
      </c>
      <c r="E3" s="510"/>
      <c r="F3" s="3" t="s">
        <v>72</v>
      </c>
      <c r="G3" s="511">
        <f>'0617'!E1</f>
        <v>56017</v>
      </c>
      <c r="H3" s="511"/>
      <c r="I3" s="3" t="s">
        <v>2</v>
      </c>
      <c r="J3" s="512">
        <f>'0617'!G1</f>
        <v>2654825.2479999997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123.30607867078454</v>
      </c>
      <c r="G6" s="507"/>
      <c r="H6" s="508">
        <f>AVERAGE(D13:H13)</f>
        <v>122.76396107160812</v>
      </c>
      <c r="I6" s="508"/>
      <c r="J6" s="508">
        <f>AVERAGE(I13)</f>
        <v>126.01666666666665</v>
      </c>
      <c r="K6" s="508"/>
      <c r="L6" s="516">
        <f>SUM(D18:J18)</f>
        <v>0</v>
      </c>
      <c r="M6" s="499">
        <f>SUM(D19:J19)</f>
        <v>0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114.46898727804968</v>
      </c>
      <c r="G7" s="496"/>
      <c r="H7" s="497">
        <f>AVERAGE(D14:H14)</f>
        <v>113.89695151061672</v>
      </c>
      <c r="I7" s="497"/>
      <c r="J7" s="497">
        <f>AVERAGE(I14)</f>
        <v>117.32916611521459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0.92833207017855901</v>
      </c>
      <c r="G8" s="502"/>
      <c r="H8" s="502">
        <f>H7/H6</f>
        <v>0.92777188448799497</v>
      </c>
      <c r="I8" s="502"/>
      <c r="J8" s="502">
        <f>J7/J6</f>
        <v>0.93106070187976142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VALUE('0617'!L15)</f>
        <v>150</v>
      </c>
      <c r="E13" s="13">
        <f>VALUE('0617'!L26)</f>
        <v>157.84421460892048</v>
      </c>
      <c r="F13" s="13">
        <f>VALUE('0617'!L37)</f>
        <v>94.989316239316238</v>
      </c>
      <c r="G13" s="13">
        <f>VALUE('0617'!L48)</f>
        <v>105.25098039215686</v>
      </c>
      <c r="H13" s="13">
        <f>VALUE('0617'!L58)</f>
        <v>105.73529411764706</v>
      </c>
      <c r="I13" s="13">
        <f>VALUE('0617'!L69)</f>
        <v>126.01666666666665</v>
      </c>
      <c r="J13" s="13">
        <f>'0617'!L79</f>
        <v>0</v>
      </c>
    </row>
    <row r="14" spans="2:15" ht="39.950000000000003" customHeight="1">
      <c r="B14" s="490"/>
      <c r="C14" s="12" t="s">
        <v>100</v>
      </c>
      <c r="D14" s="13">
        <f>VALUE('0617'!O15)</f>
        <v>140.59104841885662</v>
      </c>
      <c r="E14" s="13">
        <f>VALUE('0617'!O26)</f>
        <v>144.60922571882969</v>
      </c>
      <c r="F14" s="13">
        <f>VALUE('0617'!O37)</f>
        <v>89.032437626610673</v>
      </c>
      <c r="G14" s="13">
        <f>VALUE('0617'!O48)</f>
        <v>94.865721536435473</v>
      </c>
      <c r="H14" s="13">
        <f>VALUE('0617'!O58)</f>
        <v>100.38632425235119</v>
      </c>
      <c r="I14" s="13">
        <f>VALUE('0617'!O69)</f>
        <v>117.32916611521459</v>
      </c>
      <c r="J14" s="13">
        <f>'0617'!O79</f>
        <v>0</v>
      </c>
    </row>
    <row r="15" spans="2:15" ht="39.950000000000003" customHeight="1">
      <c r="B15" s="491"/>
      <c r="C15" s="10" t="s">
        <v>26</v>
      </c>
      <c r="D15" s="14">
        <f t="shared" ref="D15:I15" si="1">D14/D13</f>
        <v>0.93727365612571079</v>
      </c>
      <c r="E15" s="14">
        <f t="shared" si="1"/>
        <v>0.91615157436791594</v>
      </c>
      <c r="F15" s="14">
        <f t="shared" si="1"/>
        <v>0.93728896207971646</v>
      </c>
      <c r="G15" s="14">
        <f t="shared" si="1"/>
        <v>0.90132862594698182</v>
      </c>
      <c r="H15" s="14">
        <f t="shared" si="1"/>
        <v>0.94941168973016421</v>
      </c>
      <c r="I15" s="14">
        <f t="shared" si="1"/>
        <v>0.93106070187976142</v>
      </c>
      <c r="J15" s="15">
        <f>'0617'!S70</f>
        <v>0</v>
      </c>
    </row>
    <row r="16" spans="2:15" ht="17.25" customHeight="1">
      <c r="B16" s="492" t="s">
        <v>101</v>
      </c>
      <c r="C16" s="10" t="s">
        <v>34</v>
      </c>
      <c r="D16" s="16">
        <f>'0617'!T5</f>
        <v>0.29236111111111102</v>
      </c>
      <c r="E16" s="16">
        <f>'0617'!T16</f>
        <v>0.29375000000000001</v>
      </c>
      <c r="F16" s="16">
        <f>'0617'!T27</f>
        <v>0.29166666666666702</v>
      </c>
      <c r="G16" s="16">
        <f>'0617'!T38</f>
        <v>0.33263888888888898</v>
      </c>
      <c r="H16" s="16">
        <f>'0617'!T49</f>
        <v>0.29027777777777802</v>
      </c>
      <c r="I16" s="16">
        <f>'0617'!T59</f>
        <v>0.29166666666666702</v>
      </c>
      <c r="J16" s="16">
        <f>'0617'!T70</f>
        <v>0</v>
      </c>
    </row>
    <row r="17" spans="2:10" ht="17.25" customHeight="1">
      <c r="B17" s="493"/>
      <c r="C17" s="10" t="s">
        <v>35</v>
      </c>
      <c r="D17" s="16">
        <v>0.57777777777777795</v>
      </c>
      <c r="E17" s="19">
        <v>0.59375</v>
      </c>
      <c r="F17" s="19">
        <v>0.58333333333333304</v>
      </c>
      <c r="G17" s="210">
        <v>0.63541666666666696</v>
      </c>
      <c r="H17" s="21">
        <v>0.61666666666666703</v>
      </c>
      <c r="I17" s="22">
        <v>0.65625</v>
      </c>
      <c r="J17" s="22">
        <v>0</v>
      </c>
    </row>
    <row r="18" spans="2:10" ht="17.25" customHeight="1">
      <c r="B18" s="494" t="s">
        <v>102</v>
      </c>
      <c r="C18" s="330" t="s">
        <v>36</v>
      </c>
      <c r="D18" s="358">
        <f>'0617'!Z15</f>
        <v>0</v>
      </c>
      <c r="E18" s="359">
        <f>'0617'!Z26</f>
        <v>0</v>
      </c>
      <c r="F18" s="359">
        <f>'0617'!Z37</f>
        <v>0</v>
      </c>
      <c r="G18" s="360">
        <f>'0617'!Z48</f>
        <v>0</v>
      </c>
      <c r="H18" s="360">
        <f>'0617'!Z58</f>
        <v>0</v>
      </c>
      <c r="I18" s="359">
        <f>'0617'!Z69</f>
        <v>0</v>
      </c>
      <c r="J18" s="359">
        <f>'0617'!AA79</f>
        <v>0</v>
      </c>
    </row>
    <row r="19" spans="2:10" ht="17.25" customHeight="1">
      <c r="B19" s="495"/>
      <c r="C19" s="330" t="s">
        <v>37</v>
      </c>
      <c r="D19" s="358">
        <f>'0617'!AA15</f>
        <v>0</v>
      </c>
      <c r="E19" s="359">
        <f>'0617'!AA26</f>
        <v>0</v>
      </c>
      <c r="F19" s="359">
        <f>'0617'!AA37</f>
        <v>0</v>
      </c>
      <c r="G19" s="360">
        <f>'0617'!AA48</f>
        <v>0</v>
      </c>
      <c r="H19" s="360">
        <f>'0617'!AA58</f>
        <v>0</v>
      </c>
      <c r="I19" s="359">
        <f>'0617'!AA69</f>
        <v>0</v>
      </c>
      <c r="J19" s="359">
        <f>'0617'!AB79</f>
        <v>0</v>
      </c>
    </row>
    <row r="20" spans="2:10" ht="17.25" customHeight="1">
      <c r="B20" s="494" t="s">
        <v>103</v>
      </c>
      <c r="C20" s="330" t="s">
        <v>36</v>
      </c>
      <c r="D20" s="358">
        <f>'0617'!AD15</f>
        <v>0</v>
      </c>
      <c r="E20" s="359">
        <f>'0617'!AD26</f>
        <v>0</v>
      </c>
      <c r="F20" s="359">
        <f>'0617'!AD37</f>
        <v>0</v>
      </c>
      <c r="G20" s="360">
        <f>'0617'!AD48</f>
        <v>0</v>
      </c>
      <c r="H20" s="360">
        <f>'0617'!AD58</f>
        <v>0</v>
      </c>
      <c r="I20" s="359">
        <f>'0617'!AD69</f>
        <v>0</v>
      </c>
      <c r="J20" s="359">
        <f>'0617'!AD79</f>
        <v>0</v>
      </c>
    </row>
    <row r="21" spans="2:10" ht="17.25" customHeight="1">
      <c r="B21" s="495"/>
      <c r="C21" s="330" t="s">
        <v>85</v>
      </c>
      <c r="D21" s="358">
        <f>'0617'!AE15</f>
        <v>0</v>
      </c>
      <c r="E21" s="359">
        <f>'0617'!AE26</f>
        <v>0</v>
      </c>
      <c r="F21" s="359">
        <f>'0617'!AE37</f>
        <v>0</v>
      </c>
      <c r="G21" s="360">
        <f>'0617'!AE48</f>
        <v>0</v>
      </c>
      <c r="H21" s="360">
        <f>'0617'!AE58</f>
        <v>0</v>
      </c>
      <c r="I21" s="359">
        <f>'0617'!AE69</f>
        <v>0</v>
      </c>
      <c r="J21" s="359">
        <f>'0617'!AE79</f>
        <v>0</v>
      </c>
    </row>
    <row r="22" spans="2:10" ht="17.25" customHeight="1">
      <c r="B22" s="477" t="s">
        <v>104</v>
      </c>
      <c r="C22" s="478"/>
      <c r="D22" s="23">
        <f>VALUE('0617'!M15)</f>
        <v>15</v>
      </c>
      <c r="E22" s="23">
        <f>VALUE('0617'!M26)</f>
        <v>14.4</v>
      </c>
      <c r="F22" s="23">
        <f>VALUE('0617'!M37)</f>
        <v>15.833333333333334</v>
      </c>
      <c r="G22" s="23">
        <f>VALUE('0617'!M48)</f>
        <v>15.75</v>
      </c>
      <c r="H22" s="23">
        <f>VALUE('0617'!M58)</f>
        <v>16.25</v>
      </c>
      <c r="I22" s="23">
        <f>VALUE('0617'!M69)</f>
        <v>12.4</v>
      </c>
      <c r="J22" s="23">
        <f>'0617'!M79</f>
        <v>0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FB7E-31AB-4B0B-9D71-653F006CA3C7}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U63" sqref="U63"/>
      <selection pane="topRight" activeCell="U63" sqref="U63"/>
      <selection pane="bottomLeft" activeCell="U63" sqref="U63"/>
      <selection pane="bottomRight" activeCell="U63" sqref="U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56017</v>
      </c>
      <c r="F1" s="30" t="s">
        <v>2</v>
      </c>
      <c r="G1" s="31">
        <f>SUM(H5:H79)</f>
        <v>2654825.2479999997</v>
      </c>
      <c r="H1" s="32" t="s">
        <v>3</v>
      </c>
      <c r="I1" s="33">
        <f>M15+M26+M48+M58+M69+M79+M37</f>
        <v>89.633333333333326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191</v>
      </c>
      <c r="B2" s="381"/>
      <c r="C2" s="28"/>
      <c r="D2" s="28" t="s">
        <v>14</v>
      </c>
      <c r="E2" s="35">
        <f>AVERAGE(O15,O26,O37,O48,O58,O69,O79)</f>
        <v>114.46898727804968</v>
      </c>
      <c r="F2" s="36" t="s">
        <v>15</v>
      </c>
      <c r="G2" s="37">
        <f>G1/E1</f>
        <v>47.393206490886691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2663</v>
      </c>
      <c r="H5" s="43">
        <f>F5*G5</f>
        <v>151444.81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2130.4000000000146</v>
      </c>
      <c r="O5" s="47">
        <f>N5/M5</f>
        <v>142.02666666666764</v>
      </c>
      <c r="P5" s="49">
        <f>M5-J5</f>
        <v>0</v>
      </c>
      <c r="Q5" s="50">
        <f>O5-L5</f>
        <v>-7.9733333333323628</v>
      </c>
      <c r="R5" s="51">
        <f>O5/L5</f>
        <v>0.94684444444445093</v>
      </c>
      <c r="S5" s="439">
        <f>R15</f>
        <v>0.93727365612571079</v>
      </c>
      <c r="T5" s="319">
        <v>0.29236111111111102</v>
      </c>
      <c r="U5" s="320">
        <v>0.344444444444444</v>
      </c>
      <c r="V5" s="53"/>
      <c r="W5" s="54">
        <f t="shared" ref="W5:W14" si="0">(U5-T5)*24*60</f>
        <v>74.999999999999488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-119.59999999998536</v>
      </c>
      <c r="AG5" s="52">
        <f t="shared" ref="AG5:AG11" si="2">N5/K5</f>
        <v>0.94684444444445093</v>
      </c>
      <c r="AH5" s="403">
        <f>AG15</f>
        <v>0.93727365612571079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2550</v>
      </c>
      <c r="H6" s="63">
        <f>F6*G6</f>
        <v>148333.5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2095.8904109588816</v>
      </c>
      <c r="O6" s="67">
        <f>N6/M6</f>
        <v>139.72602739725878</v>
      </c>
      <c r="P6" s="69">
        <f>M6-J6</f>
        <v>0</v>
      </c>
      <c r="Q6" s="70">
        <f>O6-L6</f>
        <v>-10.273972602741225</v>
      </c>
      <c r="R6" s="71">
        <f>O6/L6</f>
        <v>0.93150684931505845</v>
      </c>
      <c r="S6" s="440"/>
      <c r="T6" s="16">
        <v>0.35208333333333303</v>
      </c>
      <c r="U6" s="16">
        <v>0.40277777777777801</v>
      </c>
      <c r="V6" s="30">
        <f>(T6-U5)*24*60</f>
        <v>11.000000000000201</v>
      </c>
      <c r="W6" s="73">
        <f t="shared" si="0"/>
        <v>73.000000000000782</v>
      </c>
      <c r="X6" s="22"/>
      <c r="Y6" s="84"/>
      <c r="Z6" s="90"/>
      <c r="AA6" s="90"/>
      <c r="AB6" s="434"/>
      <c r="AC6" s="434"/>
      <c r="AD6" s="149"/>
      <c r="AE6" s="149"/>
      <c r="AF6" s="307">
        <f t="shared" si="1"/>
        <v>-154.1095890411184</v>
      </c>
      <c r="AG6" s="72">
        <f t="shared" si="2"/>
        <v>0.93150684931505845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3562</v>
      </c>
      <c r="H7" s="78">
        <f>F7*G7</f>
        <v>175036.68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2158.7878787878781</v>
      </c>
      <c r="O7" s="81">
        <f>N7/M7</f>
        <v>143.91919191919186</v>
      </c>
      <c r="P7" s="74">
        <f>M7-J7</f>
        <v>0</v>
      </c>
      <c r="Q7" s="83">
        <f>O7-L7</f>
        <v>-6.0808080808081399</v>
      </c>
      <c r="R7" s="72">
        <f>O7/L7</f>
        <v>0.95946127946127902</v>
      </c>
      <c r="S7" s="440"/>
      <c r="T7" s="18">
        <v>0.41041666666666698</v>
      </c>
      <c r="U7" s="18">
        <v>0.47916666666666702</v>
      </c>
      <c r="V7" s="30">
        <f>(T7-U6)*24*60</f>
        <v>11.000000000000121</v>
      </c>
      <c r="W7" s="73">
        <f t="shared" si="0"/>
        <v>99.000000000000043</v>
      </c>
      <c r="X7" s="22"/>
      <c r="Y7" s="84"/>
      <c r="Z7" s="90"/>
      <c r="AA7" s="90"/>
      <c r="AB7" s="407"/>
      <c r="AC7" s="407"/>
      <c r="AD7" s="92"/>
      <c r="AE7" s="92"/>
      <c r="AF7" s="307">
        <f t="shared" si="1"/>
        <v>-91.212121212121929</v>
      </c>
      <c r="AG7" s="72">
        <f t="shared" si="2"/>
        <v>0.95946127946127913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1777</v>
      </c>
      <c r="H8" s="78">
        <f>F8*G8</f>
        <v>87321.78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2050.384615384623</v>
      </c>
      <c r="O8" s="81">
        <f>N8/M8</f>
        <v>136.69230769230819</v>
      </c>
      <c r="P8" s="74">
        <f>M8-J8</f>
        <v>0</v>
      </c>
      <c r="Q8" s="83">
        <f>O8-L8</f>
        <v>-13.307692307691809</v>
      </c>
      <c r="R8" s="72">
        <f>O8/L8</f>
        <v>0.91128205128205464</v>
      </c>
      <c r="S8" s="440"/>
      <c r="T8" s="16">
        <v>0.54166666666666696</v>
      </c>
      <c r="U8" s="16">
        <v>0.57777777777777795</v>
      </c>
      <c r="V8" s="30">
        <f>(T8-U7)*24*60</f>
        <v>89.999999999999915</v>
      </c>
      <c r="W8" s="73">
        <f t="shared" si="0"/>
        <v>51.999999999999815</v>
      </c>
      <c r="X8" s="22"/>
      <c r="Y8" s="84"/>
      <c r="Z8" s="90"/>
      <c r="AA8" s="90"/>
      <c r="AB8" s="434"/>
      <c r="AC8" s="434"/>
      <c r="AD8" s="149"/>
      <c r="AE8" s="149"/>
      <c r="AF8" s="307">
        <f t="shared" si="1"/>
        <v>-199.61538461537702</v>
      </c>
      <c r="AG8" s="72">
        <f t="shared" si="2"/>
        <v>0.91128205128205464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0</v>
      </c>
      <c r="AG9" s="72" t="e">
        <f t="shared" si="2"/>
        <v>#DIV/0!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2108.8657262828492</v>
      </c>
      <c r="O15" s="117">
        <f t="shared" si="3"/>
        <v>140.59104841885662</v>
      </c>
      <c r="P15" s="121">
        <f>M15-J15</f>
        <v>0</v>
      </c>
      <c r="Q15" s="122">
        <f>O15-L15</f>
        <v>-9.4089515811433841</v>
      </c>
      <c r="R15" s="123">
        <f>O15/L15</f>
        <v>0.93727365612571079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-141.13427371715079</v>
      </c>
      <c r="AG15" s="124">
        <f>N15/K15</f>
        <v>0.93727365612571079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3072</v>
      </c>
      <c r="H16" s="134">
        <f>F16*G16</f>
        <v>155658.23999999999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2247.8048780487998</v>
      </c>
      <c r="O16" s="141">
        <f>N16/M16</f>
        <v>160.55749128919999</v>
      </c>
      <c r="P16" s="142">
        <f>M16-J16</f>
        <v>0</v>
      </c>
      <c r="Q16" s="143">
        <f>O16-L16</f>
        <v>-0.15679442508573516</v>
      </c>
      <c r="R16" s="144">
        <f>O16/L16</f>
        <v>0.99902439024391099</v>
      </c>
      <c r="S16" s="425">
        <f>R26</f>
        <v>0.91615157436791594</v>
      </c>
      <c r="T16" s="145">
        <v>0.29375000000000001</v>
      </c>
      <c r="U16" s="145">
        <v>0.35069444444444398</v>
      </c>
      <c r="V16" s="135"/>
      <c r="W16" s="146">
        <f t="shared" ref="W16:W78" si="4">(U16-T16)*24*60</f>
        <v>81.999999999999304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-2.1951219512002353</v>
      </c>
      <c r="AG16" s="52">
        <f>N16/K16</f>
        <v>0.99902439024391099</v>
      </c>
      <c r="AH16" s="403">
        <f>AG26</f>
        <v>0.91625459347447069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1766</v>
      </c>
      <c r="H17" s="78">
        <f>F17*G17</f>
        <v>101032.86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2037.6923076923149</v>
      </c>
      <c r="O17" s="96">
        <f>N17/M17</f>
        <v>119.86425339366558</v>
      </c>
      <c r="P17" s="97">
        <f>M17-J17</f>
        <v>0</v>
      </c>
      <c r="Q17" s="98">
        <f>O17-L17</f>
        <v>-12.488687782805002</v>
      </c>
      <c r="R17" s="99">
        <f>O17/L17</f>
        <v>0.90564102564102889</v>
      </c>
      <c r="S17" s="426"/>
      <c r="T17" s="19">
        <v>0.359027777777778</v>
      </c>
      <c r="U17" s="19">
        <v>0.39513888888888898</v>
      </c>
      <c r="V17" s="30">
        <f>(T17-U16)*24*60</f>
        <v>12.000000000000997</v>
      </c>
      <c r="W17" s="149">
        <f t="shared" si="4"/>
        <v>51.999999999999815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-212.3076923076851</v>
      </c>
      <c r="AG17" s="72">
        <f>N17/K17</f>
        <v>0.90564102564102889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1073</v>
      </c>
      <c r="H18" s="78">
        <f>F18*G18</f>
        <v>60742.53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2011.8750000000223</v>
      </c>
      <c r="O18" s="96">
        <f>N18/M18</f>
        <v>134.12500000000148</v>
      </c>
      <c r="P18" s="97">
        <f>M18-J18</f>
        <v>0</v>
      </c>
      <c r="Q18" s="98">
        <f>O18-L18</f>
        <v>-15.874999999998522</v>
      </c>
      <c r="R18" s="99">
        <f>O18/L18</f>
        <v>0.89416666666667655</v>
      </c>
      <c r="S18" s="426"/>
      <c r="T18" s="19">
        <v>0.40138888888888902</v>
      </c>
      <c r="U18" s="19">
        <v>0.42361111111111099</v>
      </c>
      <c r="V18" s="30">
        <f>(T18-U17)*24*60</f>
        <v>9.000000000000048</v>
      </c>
      <c r="W18" s="149">
        <f t="shared" si="4"/>
        <v>31.999999999999645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-238.12499999997772</v>
      </c>
      <c r="AG18" s="72">
        <f>N18/K18</f>
        <v>0.89416666666667655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2385</v>
      </c>
      <c r="H19" s="78">
        <f t="shared" ref="H19:H20" si="5">F19*G19</f>
        <v>120180.15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0" si="6">K19/J19</f>
        <v>173.07692307692307</v>
      </c>
      <c r="M19" s="148">
        <v>13</v>
      </c>
      <c r="N19" s="95">
        <f t="shared" ref="N19:N20" si="7">G19/W19*60</f>
        <v>2073.9130434782464</v>
      </c>
      <c r="O19" s="96">
        <f t="shared" ref="O19:O20" si="8">N19/M19</f>
        <v>159.53177257524973</v>
      </c>
      <c r="P19" s="97">
        <f t="shared" ref="P19:P20" si="9">M19-J19</f>
        <v>0</v>
      </c>
      <c r="Q19" s="98">
        <f t="shared" ref="Q19:Q20" si="10">O19-L19</f>
        <v>-13.545150501673334</v>
      </c>
      <c r="R19" s="99">
        <f t="shared" ref="R19:R20" si="11">O19/L19</f>
        <v>0.92173913043477629</v>
      </c>
      <c r="S19" s="426"/>
      <c r="T19" s="19">
        <v>0.42986111111111103</v>
      </c>
      <c r="U19" s="19">
        <v>0.47777777777777802</v>
      </c>
      <c r="V19" s="30">
        <f>(T19-U18)*24*60</f>
        <v>9.000000000000048</v>
      </c>
      <c r="W19" s="149">
        <f t="shared" si="4"/>
        <v>69.000000000000469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-176.08695652175356</v>
      </c>
      <c r="AG19" s="72">
        <f>N19/K19</f>
        <v>0.92173913043477618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2453</v>
      </c>
      <c r="H20" s="78">
        <f t="shared" si="5"/>
        <v>123606.67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1936.5789473684117</v>
      </c>
      <c r="O20" s="96">
        <f t="shared" si="8"/>
        <v>148.96761133603167</v>
      </c>
      <c r="P20" s="97">
        <f t="shared" si="9"/>
        <v>0</v>
      </c>
      <c r="Q20" s="98">
        <f t="shared" si="10"/>
        <v>-24.1093117408914</v>
      </c>
      <c r="R20" s="99">
        <f t="shared" si="11"/>
        <v>0.86070175438596075</v>
      </c>
      <c r="S20" s="426"/>
      <c r="T20" s="19">
        <v>0.54097222222222197</v>
      </c>
      <c r="U20" s="19">
        <v>0.59375</v>
      </c>
      <c r="V20" s="30">
        <f>(T20-U19)*24*60</f>
        <v>90.999999999999275</v>
      </c>
      <c r="W20" s="149">
        <f t="shared" si="4"/>
        <v>76.000000000000369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6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50"/>
      <c r="U22" s="150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4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2">AVERAGE(J16:J25)</f>
        <v>14.4</v>
      </c>
      <c r="K26" s="155">
        <f t="shared" si="12"/>
        <v>2250</v>
      </c>
      <c r="L26" s="158">
        <f t="shared" si="12"/>
        <v>157.84421460892048</v>
      </c>
      <c r="M26" s="155">
        <f t="shared" si="12"/>
        <v>14.4</v>
      </c>
      <c r="N26" s="155">
        <f t="shared" si="12"/>
        <v>2061.5728353175591</v>
      </c>
      <c r="O26" s="158">
        <f t="shared" si="12"/>
        <v>144.60922571882969</v>
      </c>
      <c r="P26" s="159">
        <f>M26-J26</f>
        <v>0</v>
      </c>
      <c r="Q26" s="160">
        <f>O26-L26</f>
        <v>-13.23498889009079</v>
      </c>
      <c r="R26" s="161">
        <f>O26/L26</f>
        <v>0.91615157436791594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3">N26-K26</f>
        <v>-188.42716468244089</v>
      </c>
      <c r="AG26" s="124">
        <f t="shared" ref="AG26:AG31" si="14">N26/K26</f>
        <v>0.91625459347447069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57.21</v>
      </c>
      <c r="G27" s="169">
        <v>768</v>
      </c>
      <c r="H27" s="134">
        <f>F27*G27</f>
        <v>43937.279999999999</v>
      </c>
      <c r="I27" s="135"/>
      <c r="J27" s="136">
        <f>VLOOKUP(D27,產線配置圖!$A$3:$C$40,2,0)</f>
        <v>18</v>
      </c>
      <c r="K27" s="137">
        <f>VLOOKUP(D27,產線配置圖!$A$3:$C$40,3,0)</f>
        <v>1565</v>
      </c>
      <c r="L27" s="138">
        <f>K27/J27</f>
        <v>86.944444444444443</v>
      </c>
      <c r="M27" s="170">
        <v>17</v>
      </c>
      <c r="N27" s="140">
        <f>G27/W27*60</f>
        <v>1396.3636363636783</v>
      </c>
      <c r="O27" s="141">
        <f>N27/M27</f>
        <v>82.139037433157554</v>
      </c>
      <c r="P27" s="142">
        <f>M27-J27</f>
        <v>-1</v>
      </c>
      <c r="Q27" s="143">
        <f>O27-L27</f>
        <v>-4.8054070112868885</v>
      </c>
      <c r="R27" s="144">
        <f>O27/L27</f>
        <v>0.94473014300117319</v>
      </c>
      <c r="S27" s="425">
        <f>R37</f>
        <v>0.93728896207971646</v>
      </c>
      <c r="T27" s="171">
        <v>0.29166666666666702</v>
      </c>
      <c r="U27" s="171">
        <v>0.31458333333333299</v>
      </c>
      <c r="V27" s="135"/>
      <c r="W27" s="146">
        <f t="shared" si="4"/>
        <v>32.999999999999005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13"/>
        <v>-168.63636363632168</v>
      </c>
      <c r="AG27" s="172">
        <f t="shared" si="14"/>
        <v>0.89224513505666347</v>
      </c>
      <c r="AH27" s="403">
        <f>AG37</f>
        <v>0.86591234433692787</v>
      </c>
    </row>
    <row r="28" spans="1:34" ht="15" customHeight="1">
      <c r="A28" s="457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2084</v>
      </c>
      <c r="H28" s="91">
        <f>F28*G28</f>
        <v>119225.64</v>
      </c>
      <c r="I28" s="92"/>
      <c r="J28" s="79">
        <f>VLOOKUP(D28,產線配置圖!$A$3:$C$40,2,0)</f>
        <v>18</v>
      </c>
      <c r="K28" s="80">
        <v>1714</v>
      </c>
      <c r="L28" s="93">
        <f>K28/J28</f>
        <v>95.222222222222229</v>
      </c>
      <c r="M28" s="94">
        <v>17</v>
      </c>
      <c r="N28" s="95">
        <f>G28/W28*60</f>
        <v>1543.703703703703</v>
      </c>
      <c r="O28" s="96">
        <f>N28/M28</f>
        <v>90.806100217864881</v>
      </c>
      <c r="P28" s="97">
        <f>M28-J28</f>
        <v>-1</v>
      </c>
      <c r="Q28" s="98">
        <f>O28-L28</f>
        <v>-4.4161220043573479</v>
      </c>
      <c r="R28" s="99">
        <f>O28/L28</f>
        <v>0.95362298945248991</v>
      </c>
      <c r="S28" s="426"/>
      <c r="T28" s="19">
        <v>0.31874999999999998</v>
      </c>
      <c r="U28" s="19">
        <v>0.375</v>
      </c>
      <c r="V28" s="92">
        <f>(T28-U27)*24*60</f>
        <v>6.0000000000004583</v>
      </c>
      <c r="W28" s="149">
        <f t="shared" si="4"/>
        <v>81.000000000000028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13"/>
        <v>-170.29629629629699</v>
      </c>
      <c r="AG28" s="99">
        <f t="shared" si="14"/>
        <v>0.90064393448290725</v>
      </c>
      <c r="AH28" s="445"/>
    </row>
    <row r="29" spans="1:34" ht="15" customHeight="1">
      <c r="A29" s="457"/>
      <c r="B29" s="75" t="s">
        <v>81</v>
      </c>
      <c r="C29" s="173"/>
      <c r="D29" s="59" t="s">
        <v>168</v>
      </c>
      <c r="E29" s="104"/>
      <c r="F29" s="75">
        <f>VLOOKUP(D29,廠價表!$C$1:$E$43,3,0)</f>
        <v>57.21</v>
      </c>
      <c r="G29" s="90">
        <v>1228</v>
      </c>
      <c r="H29" s="91">
        <f>F29*G29</f>
        <v>70253.88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17</v>
      </c>
      <c r="N29" s="95">
        <f>G29/W29*60</f>
        <v>1473.6000000000101</v>
      </c>
      <c r="O29" s="96">
        <f>N29/M29</f>
        <v>86.682352941177072</v>
      </c>
      <c r="P29" s="97">
        <f>M29-J29</f>
        <v>-1</v>
      </c>
      <c r="Q29" s="98">
        <f>O29-L29</f>
        <v>-4.2065359477118136</v>
      </c>
      <c r="R29" s="99">
        <f>O29/L29</f>
        <v>0.9537178196462025</v>
      </c>
      <c r="S29" s="426"/>
      <c r="T29" s="19">
        <v>0.37916666666666698</v>
      </c>
      <c r="U29" s="19">
        <v>0.41388888888888897</v>
      </c>
      <c r="V29" s="92">
        <f>(T29-U28)*24*60</f>
        <v>6.0000000000004583</v>
      </c>
      <c r="W29" s="149">
        <f t="shared" si="4"/>
        <v>49.999999999999659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13"/>
        <v>-162.39999999998986</v>
      </c>
      <c r="AG29" s="99">
        <f t="shared" si="14"/>
        <v>0.90073349633252453</v>
      </c>
      <c r="AH29" s="445"/>
    </row>
    <row r="30" spans="1:34" ht="15" customHeight="1">
      <c r="A30" s="457"/>
      <c r="B30" s="75" t="s">
        <v>81</v>
      </c>
      <c r="C30" s="88"/>
      <c r="D30" s="59" t="s">
        <v>123</v>
      </c>
      <c r="E30" s="89"/>
      <c r="F30" s="75">
        <f>VLOOKUP(D30,廠價表!$C$1:$E$43,3,0)</f>
        <v>50.67</v>
      </c>
      <c r="G30" s="90">
        <v>1300</v>
      </c>
      <c r="H30" s="91">
        <f t="shared" ref="H30:H32" si="15">F30*G30</f>
        <v>65871</v>
      </c>
      <c r="I30" s="92"/>
      <c r="J30" s="79">
        <f>VLOOKUP(D30,產線配置圖!$A$3:$C$40,2,0)</f>
        <v>13</v>
      </c>
      <c r="K30" s="80">
        <f>VLOOKUP(D30,產線配置圖!$A$3:$C$40,3,0)</f>
        <v>1440</v>
      </c>
      <c r="L30" s="93">
        <f t="shared" ref="L30:L32" si="16">K30/J30</f>
        <v>110.76923076923077</v>
      </c>
      <c r="M30" s="94">
        <v>13</v>
      </c>
      <c r="N30" s="95">
        <f t="shared" ref="N30:N32" si="17">G30/W30*60</f>
        <v>1368.4210526315917</v>
      </c>
      <c r="O30" s="96">
        <f t="shared" ref="O30:O32" si="18">N30/M30</f>
        <v>105.26315789473782</v>
      </c>
      <c r="P30" s="97">
        <f t="shared" ref="P30:P32" si="19">M30-J30</f>
        <v>0</v>
      </c>
      <c r="Q30" s="98">
        <f t="shared" ref="Q30:Q32" si="20">O30-L30</f>
        <v>-5.5060728744929577</v>
      </c>
      <c r="R30" s="99">
        <f t="shared" ref="R30:R32" si="21">O30/L30</f>
        <v>0.95029239766082751</v>
      </c>
      <c r="S30" s="426"/>
      <c r="T30" s="19">
        <v>0.41875000000000001</v>
      </c>
      <c r="U30" s="19">
        <v>0.45833333333333298</v>
      </c>
      <c r="V30" s="92">
        <f t="shared" ref="V30:V32" si="22">(T30-U29)*24*60</f>
        <v>6.9999999999998952</v>
      </c>
      <c r="W30" s="149">
        <f t="shared" si="4"/>
        <v>56.999999999999474</v>
      </c>
      <c r="X30" s="174"/>
      <c r="Y30" s="301"/>
      <c r="Z30" s="335"/>
      <c r="AA30" s="335"/>
      <c r="AB30" s="407"/>
      <c r="AC30" s="407"/>
      <c r="AD30" s="92"/>
      <c r="AE30" s="92"/>
      <c r="AF30" s="312">
        <f t="shared" si="13"/>
        <v>-71.578947368408308</v>
      </c>
      <c r="AG30" s="99">
        <f t="shared" si="14"/>
        <v>0.95029239766082751</v>
      </c>
      <c r="AH30" s="446"/>
    </row>
    <row r="31" spans="1:34" ht="15" customHeight="1">
      <c r="A31" s="457"/>
      <c r="B31" s="75" t="s">
        <v>81</v>
      </c>
      <c r="C31" s="88"/>
      <c r="D31" s="59" t="s">
        <v>168</v>
      </c>
      <c r="E31" s="89"/>
      <c r="F31" s="75">
        <f>VLOOKUP(D31,廠價表!$C$1:$E$43,3,0)</f>
        <v>57.21</v>
      </c>
      <c r="G31" s="90">
        <v>1200</v>
      </c>
      <c r="H31" s="91">
        <f t="shared" si="15"/>
        <v>68652</v>
      </c>
      <c r="I31" s="92"/>
      <c r="J31" s="79">
        <f>VLOOKUP(D31,產線配置圖!$A$3:$C$40,2,0)</f>
        <v>18</v>
      </c>
      <c r="K31" s="80">
        <v>1636</v>
      </c>
      <c r="L31" s="93">
        <f t="shared" si="16"/>
        <v>90.888888888888886</v>
      </c>
      <c r="M31" s="94">
        <v>15</v>
      </c>
      <c r="N31" s="95">
        <f t="shared" si="17"/>
        <v>1309.0909090908908</v>
      </c>
      <c r="O31" s="96">
        <f t="shared" si="18"/>
        <v>87.272727272726058</v>
      </c>
      <c r="P31" s="97">
        <f t="shared" si="19"/>
        <v>-3</v>
      </c>
      <c r="Q31" s="98">
        <f t="shared" si="20"/>
        <v>-3.6161616161628274</v>
      </c>
      <c r="R31" s="99">
        <f t="shared" si="21"/>
        <v>0.96021338075126472</v>
      </c>
      <c r="S31" s="426"/>
      <c r="T31" s="19">
        <v>0.51736111111111105</v>
      </c>
      <c r="U31" s="19">
        <v>0.55555555555555602</v>
      </c>
      <c r="V31" s="92">
        <f t="shared" si="22"/>
        <v>85.000000000000412</v>
      </c>
      <c r="W31" s="149">
        <f t="shared" si="4"/>
        <v>55.000000000000767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3"/>
        <v>-326.90909090910918</v>
      </c>
      <c r="AG31" s="99">
        <f t="shared" si="14"/>
        <v>0.80017781729272053</v>
      </c>
      <c r="AH31" s="405"/>
    </row>
    <row r="32" spans="1:34" ht="15" customHeight="1">
      <c r="A32" s="457"/>
      <c r="B32" s="75" t="s">
        <v>81</v>
      </c>
      <c r="C32" s="102"/>
      <c r="D32" s="175" t="s">
        <v>124</v>
      </c>
      <c r="E32" s="176"/>
      <c r="F32" s="75">
        <f>VLOOKUP(D32,廠價表!$C$1:$E$43,3,0)</f>
        <v>57.21</v>
      </c>
      <c r="G32" s="90">
        <v>700</v>
      </c>
      <c r="H32" s="91">
        <f t="shared" si="15"/>
        <v>40047</v>
      </c>
      <c r="I32" s="92"/>
      <c r="J32" s="79">
        <f>VLOOKUP(D32,產線配置圖!$A$3:$C$40,2,0)</f>
        <v>18</v>
      </c>
      <c r="K32" s="80">
        <v>1714</v>
      </c>
      <c r="L32" s="93">
        <f t="shared" si="16"/>
        <v>95.222222222222229</v>
      </c>
      <c r="M32" s="94">
        <v>16</v>
      </c>
      <c r="N32" s="95">
        <f t="shared" si="17"/>
        <v>1312.5000000000114</v>
      </c>
      <c r="O32" s="96">
        <f t="shared" si="18"/>
        <v>82.031250000000711</v>
      </c>
      <c r="P32" s="97">
        <f t="shared" si="19"/>
        <v>-2</v>
      </c>
      <c r="Q32" s="98">
        <f t="shared" si="20"/>
        <v>-13.190972222221518</v>
      </c>
      <c r="R32" s="99">
        <f t="shared" si="21"/>
        <v>0.86147170361727698</v>
      </c>
      <c r="S32" s="426"/>
      <c r="T32" s="19">
        <v>0.56111111111111101</v>
      </c>
      <c r="U32" s="19">
        <v>0.58333333333333304</v>
      </c>
      <c r="V32" s="92">
        <f t="shared" si="22"/>
        <v>7.9999999999991722</v>
      </c>
      <c r="W32" s="149">
        <f t="shared" si="4"/>
        <v>31.999999999999726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3">AVERAGE(J27:J36)</f>
        <v>17.166666666666668</v>
      </c>
      <c r="K37" s="155">
        <f t="shared" si="23"/>
        <v>1617.5</v>
      </c>
      <c r="L37" s="158">
        <f t="shared" si="23"/>
        <v>94.989316239316238</v>
      </c>
      <c r="M37" s="155">
        <f t="shared" si="23"/>
        <v>15.833333333333334</v>
      </c>
      <c r="N37" s="155">
        <f t="shared" si="23"/>
        <v>1400.6132169649809</v>
      </c>
      <c r="O37" s="158">
        <f t="shared" si="23"/>
        <v>89.032437626610673</v>
      </c>
      <c r="P37" s="159">
        <f>M37-J37</f>
        <v>-1.3333333333333339</v>
      </c>
      <c r="Q37" s="160">
        <f>N37-K37</f>
        <v>-216.88678303501911</v>
      </c>
      <c r="R37" s="161">
        <f>O37/L37</f>
        <v>0.93728896207971646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-216.88678303501911</v>
      </c>
      <c r="AG37" s="124">
        <f>N37/K37</f>
        <v>0.86591234433692787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364"/>
      <c r="F38" s="39">
        <f>VLOOKUP(D38,廠價表!$C$1:$E$43,3,0)</f>
        <v>49.91</v>
      </c>
      <c r="G38" s="186">
        <v>1737</v>
      </c>
      <c r="H38" s="134">
        <f>F38*G38</f>
        <v>86693.67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14</v>
      </c>
      <c r="N38" s="140">
        <f>G38/W38*60</f>
        <v>1579.0909090909204</v>
      </c>
      <c r="O38" s="141">
        <f>N38/M38</f>
        <v>112.7922077922086</v>
      </c>
      <c r="P38" s="142">
        <f>M38-J38</f>
        <v>-1</v>
      </c>
      <c r="Q38" s="143">
        <f>O38-L38</f>
        <v>-1.4744588744580653</v>
      </c>
      <c r="R38" s="144">
        <f>O38/L38</f>
        <v>0.98709633423753151</v>
      </c>
      <c r="S38" s="453">
        <f>R48</f>
        <v>0.90132862594698182</v>
      </c>
      <c r="T38" s="191">
        <v>0.33263888888888898</v>
      </c>
      <c r="U38" s="191">
        <v>0.37847222222222199</v>
      </c>
      <c r="V38" s="192"/>
      <c r="W38" s="193">
        <f t="shared" si="4"/>
        <v>65.999999999999531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-134.90909090907962</v>
      </c>
      <c r="AG38" s="195">
        <f>N38/K38</f>
        <v>0.92128991195502941</v>
      </c>
      <c r="AH38" s="459">
        <f>AG48</f>
        <v>0.88308245389566942</v>
      </c>
    </row>
    <row r="39" spans="1:34" ht="15" customHeight="1">
      <c r="A39" s="451"/>
      <c r="B39" s="75" t="s">
        <v>128</v>
      </c>
      <c r="C39" s="207"/>
      <c r="D39" s="198" t="s">
        <v>130</v>
      </c>
      <c r="E39" s="178"/>
      <c r="F39" s="75">
        <f>VLOOKUP(D39,廠價表!$C$1:$E$43,3,0)</f>
        <v>44.3</v>
      </c>
      <c r="G39" s="199">
        <v>3572</v>
      </c>
      <c r="H39" s="91">
        <f>F39*G39</f>
        <v>158239.59999999998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1467.9452054794508</v>
      </c>
      <c r="O39" s="203">
        <f>N39/M39</f>
        <v>86.349717969379455</v>
      </c>
      <c r="P39" s="97">
        <f>M39-J39</f>
        <v>0</v>
      </c>
      <c r="Q39" s="98">
        <f>O39-L39</f>
        <v>-9.885576148267603</v>
      </c>
      <c r="R39" s="99">
        <f>O39/L39</f>
        <v>0.89727702046421198</v>
      </c>
      <c r="S39" s="454"/>
      <c r="T39" s="20">
        <v>0.38888888888888901</v>
      </c>
      <c r="U39" s="210">
        <v>0.49027777777777798</v>
      </c>
      <c r="V39" s="92">
        <f>(T39-U38)*24*60</f>
        <v>15.000000000000506</v>
      </c>
      <c r="W39" s="205">
        <f t="shared" si="4"/>
        <v>146.00000000000011</v>
      </c>
      <c r="X39" s="22"/>
      <c r="Y39" s="84"/>
      <c r="Z39" s="90"/>
      <c r="AA39" s="90"/>
      <c r="AB39" s="462"/>
      <c r="AC39" s="462"/>
      <c r="AD39" s="200"/>
      <c r="AE39" s="200"/>
      <c r="AF39" s="314">
        <f>N39-K39</f>
        <v>-168.05479452054919</v>
      </c>
      <c r="AG39" s="206">
        <f>N39/K39</f>
        <v>0.89727702046421198</v>
      </c>
      <c r="AH39" s="460"/>
    </row>
    <row r="40" spans="1:34" ht="15" customHeight="1">
      <c r="A40" s="451"/>
      <c r="B40" s="75" t="s">
        <v>128</v>
      </c>
      <c r="C40" s="86"/>
      <c r="D40" s="198" t="s">
        <v>129</v>
      </c>
      <c r="E40" s="87"/>
      <c r="F40" s="75">
        <f>VLOOKUP(D40,廠價表!$C$1:$E$43,3,0)</f>
        <v>49.91</v>
      </c>
      <c r="G40" s="199">
        <v>1224</v>
      </c>
      <c r="H40" s="91">
        <f t="shared" ref="H40:H41" si="24">F40*G40</f>
        <v>61089.84</v>
      </c>
      <c r="I40" s="200"/>
      <c r="J40" s="148">
        <f>VLOOKUP(D40,產線配置圖!$A$3:$C$40,2,0)</f>
        <v>15</v>
      </c>
      <c r="K40" s="95">
        <f>VLOOKUP(D40,產線配置圖!$A$3:$C$40,3,0)</f>
        <v>1714</v>
      </c>
      <c r="L40" s="96">
        <f t="shared" ref="L40:L41" si="25">K40/J40</f>
        <v>114.26666666666667</v>
      </c>
      <c r="M40" s="201">
        <v>15</v>
      </c>
      <c r="N40" s="202">
        <f t="shared" ref="N40:N41" si="26">G40/W40*60</f>
        <v>1468.80000000001</v>
      </c>
      <c r="O40" s="203">
        <f t="shared" ref="O40:O41" si="27">N40/M40</f>
        <v>97.92000000000067</v>
      </c>
      <c r="P40" s="97">
        <f t="shared" ref="P40:P41" si="28">M40-J40</f>
        <v>0</v>
      </c>
      <c r="Q40" s="98">
        <f t="shared" ref="Q40:Q41" si="29">O40-L40</f>
        <v>-16.346666666665996</v>
      </c>
      <c r="R40" s="99">
        <f t="shared" ref="R40:R41" si="30">O40/L40</f>
        <v>0.85694282380397324</v>
      </c>
      <c r="S40" s="440"/>
      <c r="T40" s="210">
        <v>0.55555555555555602</v>
      </c>
      <c r="U40" s="210">
        <v>0.59027777777777801</v>
      </c>
      <c r="V40" s="92">
        <f>(T40-U39)*24*60</f>
        <v>94.000000000000384</v>
      </c>
      <c r="W40" s="205">
        <f t="shared" si="4"/>
        <v>49.999999999999659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-245.19999999999004</v>
      </c>
      <c r="AG40" s="206">
        <f>N40/K40</f>
        <v>0.85694282380397313</v>
      </c>
      <c r="AH40" s="460"/>
    </row>
    <row r="41" spans="1:34" ht="15" customHeight="1">
      <c r="A41" s="451"/>
      <c r="B41" s="75" t="s">
        <v>128</v>
      </c>
      <c r="C41" s="86"/>
      <c r="D41" s="198" t="s">
        <v>130</v>
      </c>
      <c r="E41" s="87"/>
      <c r="F41" s="75">
        <f>VLOOKUP(D41,廠價表!$C$1:$E$43,3,0)</f>
        <v>44.3</v>
      </c>
      <c r="G41" s="199">
        <v>1144</v>
      </c>
      <c r="H41" s="91">
        <f t="shared" si="24"/>
        <v>50679.199999999997</v>
      </c>
      <c r="I41" s="200"/>
      <c r="J41" s="148">
        <f>VLOOKUP(D41,產線配置圖!$A$3:$C$40,2,0)</f>
        <v>17</v>
      </c>
      <c r="K41" s="95">
        <f>VLOOKUP(D41,產線配置圖!$A$3:$C$40,3,0)</f>
        <v>1636</v>
      </c>
      <c r="L41" s="96">
        <f t="shared" si="25"/>
        <v>96.235294117647058</v>
      </c>
      <c r="M41" s="201">
        <v>17</v>
      </c>
      <c r="N41" s="202">
        <f t="shared" si="26"/>
        <v>1400.8163265306034</v>
      </c>
      <c r="O41" s="203">
        <f t="shared" si="27"/>
        <v>82.400960384153137</v>
      </c>
      <c r="P41" s="97">
        <f t="shared" si="28"/>
        <v>0</v>
      </c>
      <c r="Q41" s="98">
        <f t="shared" si="29"/>
        <v>-13.834333733493921</v>
      </c>
      <c r="R41" s="99">
        <f t="shared" si="30"/>
        <v>0.8562446983683395</v>
      </c>
      <c r="S41" s="440"/>
      <c r="T41" s="210">
        <v>0.60138888888888897</v>
      </c>
      <c r="U41" s="210">
        <v>0.63541666666666696</v>
      </c>
      <c r="V41" s="92">
        <f>(T41-U40)*24*60</f>
        <v>15.999999999999783</v>
      </c>
      <c r="W41" s="205">
        <f t="shared" si="4"/>
        <v>49.000000000000306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-235.18367346939658</v>
      </c>
      <c r="AG41" s="206">
        <f>N41/K41</f>
        <v>0.8562446983683395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31">AVERAGE(J38:J47)</f>
        <v>16</v>
      </c>
      <c r="K48" s="155">
        <f t="shared" si="31"/>
        <v>1675</v>
      </c>
      <c r="L48" s="158">
        <f t="shared" si="31"/>
        <v>105.25098039215686</v>
      </c>
      <c r="M48" s="155">
        <f t="shared" si="31"/>
        <v>15.75</v>
      </c>
      <c r="N48" s="155">
        <f t="shared" si="31"/>
        <v>1479.1631102752463</v>
      </c>
      <c r="O48" s="158">
        <f t="shared" si="31"/>
        <v>94.865721536435473</v>
      </c>
      <c r="P48" s="221">
        <f>M48-J48</f>
        <v>-0.25</v>
      </c>
      <c r="Q48" s="222">
        <f>N48-K48</f>
        <v>-195.83688972475375</v>
      </c>
      <c r="R48" s="223">
        <f>O48/L48</f>
        <v>0.90132862594698182</v>
      </c>
      <c r="S48" s="443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32">N48-K48</f>
        <v>-195.83688972475375</v>
      </c>
      <c r="AG48" s="162">
        <f t="shared" ref="AG48:AG53" si="33">N48/K48</f>
        <v>0.88308245389566942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2044</v>
      </c>
      <c r="H49" s="134">
        <f>F49*G49</f>
        <v>101218.88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1703.3333333333335</v>
      </c>
      <c r="O49" s="141">
        <f>N49/M49</f>
        <v>100.19607843137256</v>
      </c>
      <c r="P49" s="229">
        <f>M49-J49</f>
        <v>0</v>
      </c>
      <c r="Q49" s="230">
        <f>O49-L49</f>
        <v>-5.6862745098039085</v>
      </c>
      <c r="R49" s="52">
        <f>O49/L49</f>
        <v>0.94629629629629641</v>
      </c>
      <c r="S49" s="439">
        <f>R58</f>
        <v>0.94941168973016421</v>
      </c>
      <c r="T49" s="191">
        <v>0.29027777777777802</v>
      </c>
      <c r="U49" s="191">
        <v>0.34027777777777801</v>
      </c>
      <c r="V49" s="55"/>
      <c r="W49" s="193">
        <f t="shared" si="4"/>
        <v>71.999999999999986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32"/>
        <v>-96.666666666666515</v>
      </c>
      <c r="AG49" s="52">
        <f t="shared" si="33"/>
        <v>0.94629629629629641</v>
      </c>
      <c r="AH49" s="403">
        <f>AG58</f>
        <v>0.93386860826358575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2822</v>
      </c>
      <c r="H50" s="231">
        <f>F50*G50</f>
        <v>141915.55799999999</v>
      </c>
      <c r="I50" s="232"/>
      <c r="J50" s="79">
        <v>17</v>
      </c>
      <c r="K50" s="80">
        <f>VLOOKUP(D50,產線配置圖!$A$3:$C$40,3,0)</f>
        <v>1565</v>
      </c>
      <c r="L50" s="81">
        <f>K50/J50</f>
        <v>92.058823529411768</v>
      </c>
      <c r="M50" s="233">
        <v>17</v>
      </c>
      <c r="N50" s="234">
        <f>G50/W50*60</f>
        <v>1511.7857142857099</v>
      </c>
      <c r="O50" s="235">
        <f>N50/M50</f>
        <v>88.928571428571175</v>
      </c>
      <c r="P50" s="74">
        <f>M50-J50</f>
        <v>0</v>
      </c>
      <c r="Q50" s="83">
        <f>O50-L50</f>
        <v>-3.1302521008405932</v>
      </c>
      <c r="R50" s="72">
        <f>O50/L50</f>
        <v>0.96599726152441523</v>
      </c>
      <c r="S50" s="440"/>
      <c r="T50" s="21">
        <v>0.34583333333333299</v>
      </c>
      <c r="U50" s="21">
        <v>0.42361111111111099</v>
      </c>
      <c r="V50" s="30">
        <f>(T50-U49)*24*60</f>
        <v>7.9999999999991722</v>
      </c>
      <c r="W50" s="236">
        <f t="shared" si="4"/>
        <v>112.00000000000033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32"/>
        <v>-53.214285714290099</v>
      </c>
      <c r="AG50" s="72">
        <f t="shared" si="33"/>
        <v>0.96599726152441523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f>VLOOKUP(D51,廠價表!$C$1:$E$43,3,0)</f>
        <v>49.97</v>
      </c>
      <c r="G51" s="202">
        <v>1620</v>
      </c>
      <c r="H51" s="231">
        <f>F51*G51</f>
        <v>80951.399999999994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1647.4576271186543</v>
      </c>
      <c r="O51" s="235">
        <f>N51/M51</f>
        <v>102.96610169491589</v>
      </c>
      <c r="P51" s="74">
        <f>M51-J51</f>
        <v>0</v>
      </c>
      <c r="Q51" s="83">
        <f>O51-L51</f>
        <v>-9.533898305084108</v>
      </c>
      <c r="R51" s="72">
        <f>O51/L51</f>
        <v>0.91525423728814126</v>
      </c>
      <c r="S51" s="440"/>
      <c r="T51" s="21">
        <v>0.42986111111111103</v>
      </c>
      <c r="U51" s="19">
        <v>0.47083333333333299</v>
      </c>
      <c r="V51" s="30">
        <f>(T51-U50)*24*60</f>
        <v>9.000000000000048</v>
      </c>
      <c r="W51" s="236">
        <f t="shared" si="4"/>
        <v>58.999999999999631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32"/>
        <v>-152.54237288134573</v>
      </c>
      <c r="AG51" s="72">
        <f t="shared" si="33"/>
        <v>0.91525423728814126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f>VLOOKUP(D52,廠價表!$C$1:$E$43,3,0)</f>
        <v>49.97</v>
      </c>
      <c r="G52" s="202">
        <v>3311</v>
      </c>
      <c r="H52" s="231">
        <f>F52*G52</f>
        <v>165450.66999999998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>G52/W52*60</f>
        <v>1641.818181818177</v>
      </c>
      <c r="O52" s="235">
        <f>N52/M52</f>
        <v>109.45454545454513</v>
      </c>
      <c r="P52" s="74">
        <f>M52-J52</f>
        <v>-1</v>
      </c>
      <c r="Q52" s="83">
        <f>O52-L52</f>
        <v>-3.0454545454548736</v>
      </c>
      <c r="R52" s="72">
        <f>O52/L52</f>
        <v>0.97292929292928998</v>
      </c>
      <c r="S52" s="440"/>
      <c r="T52" s="21">
        <v>0.53263888888888899</v>
      </c>
      <c r="U52" s="21">
        <v>0.61666666666666703</v>
      </c>
      <c r="V52" s="30">
        <f>(T52-U51)*24*60</f>
        <v>89.000000000000639</v>
      </c>
      <c r="W52" s="236">
        <f t="shared" si="4"/>
        <v>121.00000000000037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32"/>
        <v>-158.18181818182302</v>
      </c>
      <c r="AG52" s="72">
        <f t="shared" si="33"/>
        <v>0.91212121212120945</v>
      </c>
      <c r="AH52" s="404"/>
    </row>
    <row r="53" spans="1:34" ht="15" customHeight="1">
      <c r="A53" s="46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40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32"/>
        <v>0</v>
      </c>
      <c r="AG53" s="72" t="e">
        <f t="shared" si="33"/>
        <v>#DIV/0!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34">AVERAGE(J49:J57)</f>
        <v>16.5</v>
      </c>
      <c r="K58" s="120">
        <f t="shared" si="34"/>
        <v>1741.25</v>
      </c>
      <c r="L58" s="117">
        <f t="shared" si="34"/>
        <v>105.73529411764706</v>
      </c>
      <c r="M58" s="120">
        <f t="shared" si="34"/>
        <v>16.25</v>
      </c>
      <c r="N58" s="120">
        <f t="shared" si="34"/>
        <v>1626.0987141389687</v>
      </c>
      <c r="O58" s="117">
        <f t="shared" si="34"/>
        <v>100.38632425235119</v>
      </c>
      <c r="P58" s="121">
        <f>M58-J58</f>
        <v>-0.25</v>
      </c>
      <c r="Q58" s="122">
        <f>N58-K58</f>
        <v>-115.15128586103128</v>
      </c>
      <c r="R58" s="123">
        <f>O58/L58</f>
        <v>0.94941168973016421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-115.15128586103128</v>
      </c>
      <c r="AG58" s="124">
        <f>N58/K58</f>
        <v>0.93386860826358575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1504</v>
      </c>
      <c r="H59" s="243">
        <f>F59*G59</f>
        <v>40592.959999999999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1388.3076923076887</v>
      </c>
      <c r="O59" s="138">
        <f>N59/M59</f>
        <v>92.55384615384591</v>
      </c>
      <c r="P59" s="56">
        <f>M59-J59</f>
        <v>0</v>
      </c>
      <c r="Q59" s="230">
        <f>O59-L59</f>
        <v>-11.779487179487418</v>
      </c>
      <c r="R59" s="52">
        <f>O59/L59</f>
        <v>0.88709756696976916</v>
      </c>
      <c r="S59" s="439">
        <f>R69</f>
        <v>0.93106070187976142</v>
      </c>
      <c r="T59" s="245">
        <v>0.29166666666666702</v>
      </c>
      <c r="U59" s="245">
        <v>0.33680555555555602</v>
      </c>
      <c r="V59" s="55"/>
      <c r="W59" s="54">
        <f t="shared" si="4"/>
        <v>65.000000000000171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-176.69230769231126</v>
      </c>
      <c r="AG59" s="246">
        <f>N59/K59</f>
        <v>0.88709756696976916</v>
      </c>
      <c r="AH59" s="403">
        <f>AG69</f>
        <v>0.9021902888743899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1730</v>
      </c>
      <c r="H60" s="78">
        <f>F60*G60</f>
        <v>48889.8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11</v>
      </c>
      <c r="N60" s="80">
        <f>G60/W60*60</f>
        <v>1384.0000000000093</v>
      </c>
      <c r="O60" s="81">
        <f>N60/M60</f>
        <v>125.81818181818267</v>
      </c>
      <c r="P60" s="74">
        <f>M60-J60</f>
        <v>-1</v>
      </c>
      <c r="Q60" s="83">
        <f>O60-L60</f>
        <v>-4.5984848484839915</v>
      </c>
      <c r="R60" s="72">
        <f>O60/L60</f>
        <v>0.96474005227999493</v>
      </c>
      <c r="S60" s="467"/>
      <c r="T60" s="22">
        <v>0.34375</v>
      </c>
      <c r="U60" s="22">
        <v>0.39583333333333298</v>
      </c>
      <c r="V60" s="30">
        <f>(T60-U59)*24*60</f>
        <v>9.999999999999325</v>
      </c>
      <c r="W60" s="248">
        <f t="shared" si="4"/>
        <v>74.999999999999488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-180.99999999999068</v>
      </c>
      <c r="AG60" s="249">
        <f>N60/K60</f>
        <v>0.88434504792332869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2608</v>
      </c>
      <c r="H61" s="254">
        <f>F61*G61</f>
        <v>73702.080000000002</v>
      </c>
      <c r="I61" s="182"/>
      <c r="J61" s="106">
        <f>VLOOKUP(D61,產線配置圖!$A$3:$C$40,2,0)</f>
        <v>11</v>
      </c>
      <c r="K61" s="107">
        <f>VLOOKUP(D61,產線配置圖!$A$3:$C$40,3,0)</f>
        <v>1565</v>
      </c>
      <c r="L61" s="238">
        <f>K61/J61</f>
        <v>142.27272727272728</v>
      </c>
      <c r="M61" s="108">
        <v>11</v>
      </c>
      <c r="N61" s="107">
        <f>G61/W61*60</f>
        <v>1360.6956521739151</v>
      </c>
      <c r="O61" s="238">
        <f>N61/M61</f>
        <v>123.69960474308319</v>
      </c>
      <c r="P61" s="111">
        <f>M61-J61</f>
        <v>0</v>
      </c>
      <c r="Q61" s="255">
        <f>O61-L61</f>
        <v>-18.573122529644095</v>
      </c>
      <c r="R61" s="85">
        <f>O61/L61</f>
        <v>0.86945409084595204</v>
      </c>
      <c r="S61" s="440"/>
      <c r="T61" s="22">
        <v>0.40277777777777801</v>
      </c>
      <c r="U61" s="22">
        <v>0.48263888888888901</v>
      </c>
      <c r="V61" s="30">
        <f>(T61-U60)*24*60</f>
        <v>10.000000000000844</v>
      </c>
      <c r="W61" s="256">
        <f t="shared" si="4"/>
        <v>114.99999999999983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-204.30434782608495</v>
      </c>
      <c r="AG61" s="247">
        <f>N61/K61</f>
        <v>0.86945409084595215</v>
      </c>
      <c r="AH61" s="404"/>
    </row>
    <row r="62" spans="1:34" ht="15" customHeight="1">
      <c r="A62" s="465"/>
      <c r="B62" s="250" t="s">
        <v>125</v>
      </c>
      <c r="C62" s="251"/>
      <c r="D62" s="257" t="s">
        <v>134</v>
      </c>
      <c r="E62" s="253"/>
      <c r="F62" s="250">
        <f>VLOOKUP(D62,廠價表!$C$1:$E$43,3,0)</f>
        <v>26.99</v>
      </c>
      <c r="G62" s="38">
        <v>1869</v>
      </c>
      <c r="H62" s="78">
        <f>F62*G62</f>
        <v>50444.31</v>
      </c>
      <c r="I62" s="30"/>
      <c r="J62" s="79">
        <f>VLOOKUP(D62,產線配置圖!$A$3:$C$40,2,0)</f>
        <v>15</v>
      </c>
      <c r="K62" s="80">
        <f>VLOOKUP(D62,產線配置圖!$A$3:$C$40,3,0)</f>
        <v>1565</v>
      </c>
      <c r="L62" s="81">
        <f>K62/J62</f>
        <v>104.33333333333333</v>
      </c>
      <c r="M62" s="108">
        <v>14</v>
      </c>
      <c r="N62" s="107">
        <f t="shared" ref="N62:N63" si="35">G62/W62*60</f>
        <v>1401.7499999999882</v>
      </c>
      <c r="O62" s="238">
        <f t="shared" ref="O62:O63" si="36">N62/M62</f>
        <v>100.12499999999916</v>
      </c>
      <c r="P62" s="111">
        <f t="shared" ref="P62:P63" si="37">M62-J62</f>
        <v>-1</v>
      </c>
      <c r="Q62" s="255">
        <f t="shared" ref="Q62:Q63" si="38">O62-L62</f>
        <v>-4.208333333334167</v>
      </c>
      <c r="R62" s="85">
        <f t="shared" ref="R62:R63" si="39">O62/L62</f>
        <v>0.95966453674120611</v>
      </c>
      <c r="S62" s="440"/>
      <c r="T62" s="22">
        <v>0.53472222222222199</v>
      </c>
      <c r="U62" s="22">
        <v>0.59027777777777801</v>
      </c>
      <c r="V62" s="30">
        <f t="shared" ref="V62:V63" si="40">(T62-U61)*24*60</f>
        <v>74.999999999999488</v>
      </c>
      <c r="W62" s="248">
        <f t="shared" si="4"/>
        <v>80.000000000000682</v>
      </c>
      <c r="X62" s="22"/>
      <c r="Y62" s="84"/>
      <c r="Z62" s="90"/>
      <c r="AA62" s="90"/>
      <c r="AB62" s="407"/>
      <c r="AC62" s="407"/>
      <c r="AD62" s="92"/>
      <c r="AE62" s="92"/>
      <c r="AF62" s="317">
        <f>N62-K62</f>
        <v>-163.25000000001182</v>
      </c>
      <c r="AG62" s="247">
        <f>N62/K62</f>
        <v>0.89568690095845893</v>
      </c>
      <c r="AH62" s="404"/>
    </row>
    <row r="63" spans="1:34" ht="15" customHeight="1">
      <c r="A63" s="465"/>
      <c r="B63" s="258" t="s">
        <v>125</v>
      </c>
      <c r="C63" s="58"/>
      <c r="D63" s="259" t="s">
        <v>192</v>
      </c>
      <c r="E63" s="60"/>
      <c r="F63" s="250">
        <f>VLOOKUP(D63,廠價表!$C$1:$E$43,3,0)</f>
        <v>28.26</v>
      </c>
      <c r="G63" s="260">
        <v>2251</v>
      </c>
      <c r="H63" s="254">
        <f>F63*G63</f>
        <v>63613.26</v>
      </c>
      <c r="I63" s="182"/>
      <c r="J63" s="106">
        <v>11</v>
      </c>
      <c r="K63" s="107">
        <f>VLOOKUP(D63,產線配置圖!$A$3:$C$40,3,0)</f>
        <v>1636</v>
      </c>
      <c r="L63" s="238">
        <f>K63/J63</f>
        <v>148.72727272727272</v>
      </c>
      <c r="M63" s="68">
        <v>11</v>
      </c>
      <c r="N63" s="107">
        <f t="shared" si="35"/>
        <v>1588.9411764705819</v>
      </c>
      <c r="O63" s="238">
        <f t="shared" si="36"/>
        <v>144.44919786096199</v>
      </c>
      <c r="P63" s="111">
        <f t="shared" si="37"/>
        <v>0</v>
      </c>
      <c r="Q63" s="255">
        <f t="shared" si="38"/>
        <v>-4.2780748663107317</v>
      </c>
      <c r="R63" s="85">
        <f t="shared" si="39"/>
        <v>0.97123543794045353</v>
      </c>
      <c r="S63" s="440"/>
      <c r="T63" s="22">
        <v>0.59722222222222199</v>
      </c>
      <c r="U63" s="22">
        <v>0.65625</v>
      </c>
      <c r="V63" s="30">
        <f t="shared" si="40"/>
        <v>9.999999999999325</v>
      </c>
      <c r="W63" s="248">
        <f t="shared" si="4"/>
        <v>85.000000000000341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41">AVERAGE(J59:J68)</f>
        <v>12.8</v>
      </c>
      <c r="K69" s="240">
        <f t="shared" si="41"/>
        <v>1579.2</v>
      </c>
      <c r="L69" s="268">
        <f t="shared" si="41"/>
        <v>126.01666666666665</v>
      </c>
      <c r="M69" s="240">
        <f t="shared" si="41"/>
        <v>12.4</v>
      </c>
      <c r="N69" s="240">
        <f t="shared" si="41"/>
        <v>1424.7389041904366</v>
      </c>
      <c r="O69" s="268">
        <f t="shared" si="41"/>
        <v>117.32916611521459</v>
      </c>
      <c r="P69" s="269">
        <f>M69-J69</f>
        <v>-0.40000000000000036</v>
      </c>
      <c r="Q69" s="222">
        <f>N69-K69</f>
        <v>-154.4610958095634</v>
      </c>
      <c r="R69" s="123">
        <f>O69/L69</f>
        <v>0.93106070187976142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-154.4610958095634</v>
      </c>
      <c r="AG69" s="124">
        <f>N69/K69</f>
        <v>0.9021902888743899</v>
      </c>
      <c r="AH69" s="406"/>
    </row>
    <row r="70" spans="1:36" ht="15" customHeight="1">
      <c r="A70" s="471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39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/>
      <c r="D79" s="430"/>
      <c r="E79" s="430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9:AC59"/>
    <mergeCell ref="AB69:AC69"/>
    <mergeCell ref="A38:A48"/>
    <mergeCell ref="S38:S48"/>
    <mergeCell ref="D48:E48"/>
    <mergeCell ref="A27:A37"/>
    <mergeCell ref="S27:S37"/>
    <mergeCell ref="AB27:AC27"/>
    <mergeCell ref="AB38:AC38"/>
    <mergeCell ref="AB48:AC48"/>
    <mergeCell ref="D79:E79"/>
    <mergeCell ref="AB79:AC79"/>
    <mergeCell ref="A70:A79"/>
    <mergeCell ref="S70:S79"/>
    <mergeCell ref="AB70:AC70"/>
    <mergeCell ref="D58:E58"/>
    <mergeCell ref="AB58:AC58"/>
    <mergeCell ref="A49:A58"/>
    <mergeCell ref="S49:S58"/>
    <mergeCell ref="AB49:AC49"/>
    <mergeCell ref="A59:A69"/>
    <mergeCell ref="S59:S69"/>
    <mergeCell ref="D69:E6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16:A26"/>
    <mergeCell ref="S16:S26"/>
    <mergeCell ref="AB16:AC16"/>
    <mergeCell ref="D26:E26"/>
    <mergeCell ref="AB26:AC2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:AH4"/>
    <mergeCell ref="G3:G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O3:O4"/>
    <mergeCell ref="AB12:AC12"/>
    <mergeCell ref="K3:K4"/>
    <mergeCell ref="L3:L4"/>
    <mergeCell ref="M3:M4"/>
    <mergeCell ref="W3:W4"/>
    <mergeCell ref="X3:Y3"/>
    <mergeCell ref="V3:V4"/>
    <mergeCell ref="AF1:AH2"/>
    <mergeCell ref="A5:A15"/>
    <mergeCell ref="S5:S15"/>
    <mergeCell ref="AB5:AC5"/>
    <mergeCell ref="AH5:AH15"/>
    <mergeCell ref="AB6:AC6"/>
    <mergeCell ref="AB7:AC7"/>
    <mergeCell ref="H3:H4"/>
    <mergeCell ref="I3:I4"/>
    <mergeCell ref="AB14:AC14"/>
    <mergeCell ref="D15:E15"/>
    <mergeCell ref="AB15:AC15"/>
    <mergeCell ref="AB8:AC8"/>
    <mergeCell ref="AB9:AC9"/>
    <mergeCell ref="AB10:AC10"/>
    <mergeCell ref="AB11:AC11"/>
    <mergeCell ref="AB13:AC13"/>
    <mergeCell ref="AG3:AG4"/>
    <mergeCell ref="AF3:AF4"/>
    <mergeCell ref="AB3:AC4"/>
    <mergeCell ref="AD3:AE3"/>
    <mergeCell ref="Z3:AA3"/>
    <mergeCell ref="P3:P4"/>
    <mergeCell ref="N3:N4"/>
    <mergeCell ref="J1:L2"/>
    <mergeCell ref="A2:B2"/>
    <mergeCell ref="P1:S2"/>
    <mergeCell ref="T1:Y2"/>
    <mergeCell ref="AB1:AC2"/>
    <mergeCell ref="M1:O2"/>
    <mergeCell ref="A3:A4"/>
    <mergeCell ref="B3:B4"/>
    <mergeCell ref="D3:E4"/>
    <mergeCell ref="F3:F4"/>
    <mergeCell ref="J3:J4"/>
    <mergeCell ref="S3:S4"/>
    <mergeCell ref="Q3:Q4"/>
    <mergeCell ref="R3:R4"/>
    <mergeCell ref="T3:U3"/>
  </mergeCells>
  <phoneticPr fontId="0" type="noConversion"/>
  <conditionalFormatting sqref="P5:P79">
    <cfRule type="cellIs" dxfId="138" priority="1" operator="greaterThan">
      <formula>0</formula>
    </cfRule>
  </conditionalFormatting>
  <conditionalFormatting sqref="Q5:Q79 AF5:AF79">
    <cfRule type="cellIs" dxfId="137" priority="4" operator="lessThan">
      <formula>0</formula>
    </cfRule>
  </conditionalFormatting>
  <conditionalFormatting sqref="R5:R79 AG5:AG79">
    <cfRule type="cellIs" dxfId="136" priority="2" operator="greaterThan">
      <formula>1</formula>
    </cfRule>
    <cfRule type="cellIs" dxfId="135" priority="3" operator="lessThan">
      <formula>0.8</formula>
    </cfRule>
  </conditionalFormatting>
  <conditionalFormatting sqref="S5:S10 S37:S62 AH59:AH62 S69:S76 AH69:AH76">
    <cfRule type="cellIs" dxfId="134" priority="7" operator="lessThan">
      <formula>0.8</formula>
    </cfRule>
  </conditionalFormatting>
  <conditionalFormatting sqref="S19:S25 AH19:AH25">
    <cfRule type="cellIs" dxfId="133" priority="6" operator="lessThan">
      <formula>0.8</formula>
    </cfRule>
  </conditionalFormatting>
  <conditionalFormatting sqref="S79">
    <cfRule type="cellIs" dxfId="132" priority="5" operator="lessThan">
      <formula>0.8</formula>
    </cfRule>
  </conditionalFormatting>
  <conditionalFormatting sqref="AH5:AH8 S15:S16 AH15:AH16 AH49 AH79">
    <cfRule type="cellIs" dxfId="131" priority="9" operator="lessThan">
      <formula>0.8</formula>
    </cfRule>
  </conditionalFormatting>
  <conditionalFormatting sqref="AH27 S27:S28">
    <cfRule type="cellIs" dxfId="1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DC2E3C-60DC-4CE3-93C1-2670E529FAA1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C0E9-BCD0-4308-9B53-1D029D22E9AA}">
  <dimension ref="B1:O26"/>
  <sheetViews>
    <sheetView zoomScale="70" zoomScaleNormal="70" workbookViewId="0">
      <selection activeCell="AB7" sqref="AB7:AC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46191</v>
      </c>
      <c r="E3" s="510"/>
      <c r="F3" s="3" t="s">
        <v>72</v>
      </c>
      <c r="G3" s="511">
        <f>'0618'!E1</f>
        <v>45667</v>
      </c>
      <c r="H3" s="511"/>
      <c r="I3" s="3" t="s">
        <v>2</v>
      </c>
      <c r="J3" s="512">
        <f>'0618'!G1</f>
        <v>2149953.8469999996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123.28320109318007</v>
      </c>
      <c r="G6" s="507"/>
      <c r="H6" s="508">
        <f>AVERAGE(D13:H13)</f>
        <v>120.96075040272517</v>
      </c>
      <c r="I6" s="508"/>
      <c r="J6" s="508">
        <f>AVERAGE(I13)</f>
        <v>134.89545454545456</v>
      </c>
      <c r="K6" s="508"/>
      <c r="L6" s="516">
        <f>SUM(D18:J18)</f>
        <v>0</v>
      </c>
      <c r="M6" s="499">
        <f>SUM(D19:J19)</f>
        <v>0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111.51438264041208</v>
      </c>
      <c r="G7" s="496"/>
      <c r="H7" s="497">
        <f>AVERAGE(D14:H14)</f>
        <v>108.21996991229605</v>
      </c>
      <c r="I7" s="497"/>
      <c r="J7" s="497">
        <f>AVERAGE(I14)</f>
        <v>127.98644628099221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0.90453834465351968</v>
      </c>
      <c r="G8" s="502"/>
      <c r="H8" s="502">
        <f>H7/H6</f>
        <v>0.89467012689645087</v>
      </c>
      <c r="I8" s="502"/>
      <c r="J8" s="502">
        <f>J7/J6</f>
        <v>0.9487824976182998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VALUE('0618'!L15)</f>
        <v>150</v>
      </c>
      <c r="E13" s="13">
        <f>VALUE('0618'!L26)</f>
        <v>155.6030104349432</v>
      </c>
      <c r="F13" s="13">
        <f>VALUE('0618'!L37)</f>
        <v>92.498290598290595</v>
      </c>
      <c r="G13" s="13">
        <f>VALUE('0618'!L48)</f>
        <v>102.24575163398693</v>
      </c>
      <c r="H13" s="13">
        <f>VALUE('0618'!L58)</f>
        <v>104.45669934640523</v>
      </c>
      <c r="I13" s="13">
        <f>VALUE('0618'!L69)</f>
        <v>134.89545454545456</v>
      </c>
      <c r="J13" s="13">
        <f>'0618'!L79</f>
        <v>0</v>
      </c>
    </row>
    <row r="14" spans="2:15" ht="39.950000000000003" customHeight="1">
      <c r="B14" s="490"/>
      <c r="C14" s="12" t="s">
        <v>100</v>
      </c>
      <c r="D14" s="13">
        <f>VALUE('0618'!O15)</f>
        <v>137.44047619047734</v>
      </c>
      <c r="E14" s="13">
        <f>VALUE('0618'!O26)</f>
        <v>137.72176236783625</v>
      </c>
      <c r="F14" s="13">
        <f>VALUE('0618'!O37)</f>
        <v>82.809410834368663</v>
      </c>
      <c r="G14" s="13">
        <f>VALUE('0618'!O48)</f>
        <v>91.280382171630038</v>
      </c>
      <c r="H14" s="13">
        <f>VALUE('0618'!O58)</f>
        <v>91.847817997167951</v>
      </c>
      <c r="I14" s="13">
        <f>VALUE('0618'!O69)</f>
        <v>127.98644628099221</v>
      </c>
      <c r="J14" s="13">
        <f>'0618'!O79</f>
        <v>0</v>
      </c>
    </row>
    <row r="15" spans="2:15" ht="39.950000000000003" customHeight="1">
      <c r="B15" s="491"/>
      <c r="C15" s="10" t="s">
        <v>26</v>
      </c>
      <c r="D15" s="14">
        <f t="shared" ref="D15:I15" si="1">D14/D13</f>
        <v>0.91626984126984889</v>
      </c>
      <c r="E15" s="14">
        <f t="shared" si="1"/>
        <v>0.88508417660349181</v>
      </c>
      <c r="F15" s="14">
        <f t="shared" si="1"/>
        <v>0.89525341818477899</v>
      </c>
      <c r="G15" s="14">
        <f t="shared" si="1"/>
        <v>0.89275476695002398</v>
      </c>
      <c r="H15" s="14">
        <f t="shared" si="1"/>
        <v>0.87929083124268559</v>
      </c>
      <c r="I15" s="14">
        <f t="shared" si="1"/>
        <v>0.9487824976182998</v>
      </c>
      <c r="J15" s="15">
        <f>'0618'!S70</f>
        <v>0</v>
      </c>
    </row>
    <row r="16" spans="2:15" ht="17.25" customHeight="1">
      <c r="B16" s="492" t="s">
        <v>101</v>
      </c>
      <c r="C16" s="10" t="s">
        <v>34</v>
      </c>
      <c r="D16" s="16">
        <f>'0618'!T5</f>
        <v>0.29375000000000001</v>
      </c>
      <c r="E16" s="16">
        <f>'0618'!T16</f>
        <v>0.29166666666666702</v>
      </c>
      <c r="F16" s="16">
        <f>'0618'!T27</f>
        <v>0.29166666666666702</v>
      </c>
      <c r="G16" s="16">
        <f>'0618'!T38</f>
        <v>0.33333333333333298</v>
      </c>
      <c r="H16" s="16">
        <f>'0618'!T49</f>
        <v>0.29166666666666702</v>
      </c>
      <c r="I16" s="16">
        <f>'0618'!T59</f>
        <v>0.28819444444444398</v>
      </c>
      <c r="J16" s="16">
        <f>'0618'!T70</f>
        <v>0</v>
      </c>
    </row>
    <row r="17" spans="2:10" ht="17.25" customHeight="1">
      <c r="B17" s="493"/>
      <c r="C17" s="10" t="s">
        <v>35</v>
      </c>
      <c r="D17" s="16">
        <v>0.38194444444444398</v>
      </c>
      <c r="E17" s="19">
        <v>0.64930555555555602</v>
      </c>
      <c r="F17" s="19">
        <v>0.55972222222222201</v>
      </c>
      <c r="G17" s="20">
        <v>0.57986111111111105</v>
      </c>
      <c r="H17" s="21">
        <v>0.58541666666666703</v>
      </c>
      <c r="I17" s="22">
        <v>0.60069444444444398</v>
      </c>
      <c r="J17" s="22">
        <v>0</v>
      </c>
    </row>
    <row r="18" spans="2:10" ht="17.25" customHeight="1">
      <c r="B18" s="494" t="s">
        <v>102</v>
      </c>
      <c r="C18" s="330" t="s">
        <v>36</v>
      </c>
      <c r="D18" s="358">
        <f>'0618'!Z15</f>
        <v>0</v>
      </c>
      <c r="E18" s="359">
        <f>'0618'!Z26</f>
        <v>0</v>
      </c>
      <c r="F18" s="359">
        <f>'0618'!Z37</f>
        <v>0</v>
      </c>
      <c r="G18" s="360">
        <f>'0618'!Z48</f>
        <v>0</v>
      </c>
      <c r="H18" s="360">
        <f>'0618'!Z58</f>
        <v>0</v>
      </c>
      <c r="I18" s="359">
        <f>'0618'!Z69</f>
        <v>0</v>
      </c>
      <c r="J18" s="359">
        <f>'0618'!AA79</f>
        <v>0</v>
      </c>
    </row>
    <row r="19" spans="2:10" ht="17.25" customHeight="1">
      <c r="B19" s="495"/>
      <c r="C19" s="330" t="s">
        <v>37</v>
      </c>
      <c r="D19" s="358">
        <f>'0618'!AA15</f>
        <v>0</v>
      </c>
      <c r="E19" s="359">
        <f>'0618'!AA26</f>
        <v>0</v>
      </c>
      <c r="F19" s="359">
        <f>'0618'!AA37</f>
        <v>0</v>
      </c>
      <c r="G19" s="360">
        <f>'0618'!AA48</f>
        <v>0</v>
      </c>
      <c r="H19" s="360">
        <f>'0618'!AA58</f>
        <v>0</v>
      </c>
      <c r="I19" s="359">
        <f>'0618'!AA69</f>
        <v>0</v>
      </c>
      <c r="J19" s="359">
        <f>'0618'!AB79</f>
        <v>0</v>
      </c>
    </row>
    <row r="20" spans="2:10" ht="17.25" customHeight="1">
      <c r="B20" s="494" t="s">
        <v>103</v>
      </c>
      <c r="C20" s="330" t="s">
        <v>36</v>
      </c>
      <c r="D20" s="358">
        <f>'0618'!AD15</f>
        <v>0</v>
      </c>
      <c r="E20" s="359">
        <f>'0618'!AD26</f>
        <v>0</v>
      </c>
      <c r="F20" s="359">
        <f>'0618'!AD37</f>
        <v>0</v>
      </c>
      <c r="G20" s="360">
        <f>'0618'!AD48</f>
        <v>0</v>
      </c>
      <c r="H20" s="360">
        <f>'0618'!AD58</f>
        <v>0</v>
      </c>
      <c r="I20" s="359">
        <f>'0618'!AD69</f>
        <v>0</v>
      </c>
      <c r="J20" s="359">
        <f>'0618'!AD79</f>
        <v>0</v>
      </c>
    </row>
    <row r="21" spans="2:10" ht="17.25" customHeight="1">
      <c r="B21" s="495"/>
      <c r="C21" s="330" t="s">
        <v>85</v>
      </c>
      <c r="D21" s="358">
        <f>'0618'!AE15</f>
        <v>0</v>
      </c>
      <c r="E21" s="359">
        <f>'0618'!AE26</f>
        <v>0</v>
      </c>
      <c r="F21" s="359">
        <f>'0618'!AE37</f>
        <v>0</v>
      </c>
      <c r="G21" s="360">
        <f>'0618'!AE48</f>
        <v>0</v>
      </c>
      <c r="H21" s="360">
        <f>'0618'!AE58</f>
        <v>0</v>
      </c>
      <c r="I21" s="359">
        <f>'0618'!AE69</f>
        <v>0</v>
      </c>
      <c r="J21" s="359">
        <f>'0618'!AE79</f>
        <v>0</v>
      </c>
    </row>
    <row r="22" spans="2:10" ht="17.25" customHeight="1">
      <c r="B22" s="477" t="s">
        <v>104</v>
      </c>
      <c r="C22" s="478"/>
      <c r="D22" s="23">
        <f>VALUE('0618'!M15)</f>
        <v>15</v>
      </c>
      <c r="E22" s="23">
        <f>VALUE('0618'!M26)</f>
        <v>14.571428571428571</v>
      </c>
      <c r="F22" s="23">
        <f>VALUE('0618'!M37)</f>
        <v>15.2</v>
      </c>
      <c r="G22" s="23">
        <f>VALUE('0618'!M48)</f>
        <v>16</v>
      </c>
      <c r="H22" s="23">
        <f>VALUE('0618'!M58)</f>
        <v>16.75</v>
      </c>
      <c r="I22" s="23">
        <f>VALUE('0618'!M69)</f>
        <v>12</v>
      </c>
      <c r="J22" s="23">
        <f>'0618'!M79</f>
        <v>0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1289-14AC-4D66-8129-30D0886DE00B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AB7" sqref="AB7:AC7"/>
      <selection pane="topRight" activeCell="AB7" sqref="AB7:AC7"/>
      <selection pane="bottomLeft" activeCell="AB7" sqref="AB7:AC7"/>
      <selection pane="bottomRight" activeCell="AB7" sqref="AB7:AC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45667</v>
      </c>
      <c r="F1" s="30" t="s">
        <v>2</v>
      </c>
      <c r="G1" s="31">
        <f>SUM(H5:H79)</f>
        <v>2149953.8469999996</v>
      </c>
      <c r="H1" s="32" t="s">
        <v>3</v>
      </c>
      <c r="I1" s="33">
        <f>M15+M26+M48+M58+M69+M79+M37</f>
        <v>89.521428571428572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193</v>
      </c>
      <c r="B2" s="381"/>
      <c r="C2" s="28"/>
      <c r="D2" s="28" t="s">
        <v>14</v>
      </c>
      <c r="E2" s="35">
        <f>AVERAGE(O15,O26,O37,O48,O58,O69,O79)</f>
        <v>111.51438264041208</v>
      </c>
      <c r="F2" s="36" t="s">
        <v>15</v>
      </c>
      <c r="G2" s="37">
        <f>G1/E1</f>
        <v>47.078937679287002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2035</v>
      </c>
      <c r="H5" s="43">
        <f>F5*G5</f>
        <v>115730.45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2034.9999999999854</v>
      </c>
      <c r="O5" s="47">
        <f>N5/M5</f>
        <v>135.66666666666569</v>
      </c>
      <c r="P5" s="49">
        <f>M5-J5</f>
        <v>0</v>
      </c>
      <c r="Q5" s="50">
        <f>O5-L5</f>
        <v>-14.333333333334309</v>
      </c>
      <c r="R5" s="51">
        <f>O5/L5</f>
        <v>0.90444444444443794</v>
      </c>
      <c r="S5" s="439">
        <f>R15</f>
        <v>0.91626984126984889</v>
      </c>
      <c r="T5" s="319">
        <v>0.29375000000000001</v>
      </c>
      <c r="U5" s="320">
        <v>0.33541666666666697</v>
      </c>
      <c r="V5" s="53"/>
      <c r="W5" s="54">
        <f t="shared" ref="W5:W14" si="0">(U5-T5)*24*60</f>
        <v>60.000000000000426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-215.00000000001455</v>
      </c>
      <c r="AG5" s="52">
        <f t="shared" ref="AG5:AG11" si="2">N5/K5</f>
        <v>0.90444444444443794</v>
      </c>
      <c r="AH5" s="403">
        <f>AG15</f>
        <v>0.91626984126984912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1949</v>
      </c>
      <c r="H6" s="63">
        <f>F6*G6</f>
        <v>113373.33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2088.2142857143349</v>
      </c>
      <c r="O6" s="67">
        <f>N6/M6</f>
        <v>139.21428571428899</v>
      </c>
      <c r="P6" s="69">
        <f>M6-J6</f>
        <v>0</v>
      </c>
      <c r="Q6" s="70">
        <f>O6-L6</f>
        <v>-10.785714285711009</v>
      </c>
      <c r="R6" s="71">
        <f>O6/L6</f>
        <v>0.92809523809525996</v>
      </c>
      <c r="S6" s="440"/>
      <c r="T6" s="16">
        <v>0.343055555555556</v>
      </c>
      <c r="U6" s="16">
        <v>0.38194444444444398</v>
      </c>
      <c r="V6" s="30">
        <f>(T6-U5)*24*60</f>
        <v>11.000000000000201</v>
      </c>
      <c r="W6" s="73">
        <f t="shared" si="0"/>
        <v>55.999999999998678</v>
      </c>
      <c r="X6" s="22"/>
      <c r="Y6" s="84"/>
      <c r="Z6" s="90"/>
      <c r="AA6" s="90"/>
      <c r="AB6" s="434"/>
      <c r="AC6" s="434"/>
      <c r="AD6" s="149"/>
      <c r="AE6" s="149"/>
      <c r="AF6" s="307">
        <f t="shared" si="1"/>
        <v>-161.78571428566511</v>
      </c>
      <c r="AG6" s="72">
        <f t="shared" si="2"/>
        <v>0.92809523809525996</v>
      </c>
      <c r="AH6" s="404"/>
    </row>
    <row r="7" spans="1:34" ht="15" customHeight="1">
      <c r="A7" s="436"/>
      <c r="B7" s="75"/>
      <c r="C7" s="76"/>
      <c r="D7" s="59"/>
      <c r="E7" s="77"/>
      <c r="F7" s="75"/>
      <c r="G7" s="66"/>
      <c r="H7" s="78"/>
      <c r="I7" s="73"/>
      <c r="J7" s="79"/>
      <c r="K7" s="80"/>
      <c r="L7" s="81"/>
      <c r="M7" s="82"/>
      <c r="N7" s="80"/>
      <c r="O7" s="81"/>
      <c r="P7" s="74"/>
      <c r="Q7" s="83"/>
      <c r="R7" s="72"/>
      <c r="S7" s="440"/>
      <c r="T7" s="18"/>
      <c r="U7" s="18"/>
      <c r="V7" s="30"/>
      <c r="W7" s="73">
        <f t="shared" si="0"/>
        <v>0</v>
      </c>
      <c r="X7" s="22"/>
      <c r="Y7" s="84"/>
      <c r="Z7" s="90"/>
      <c r="AA7" s="90"/>
      <c r="AB7" s="407" t="s">
        <v>194</v>
      </c>
      <c r="AC7" s="407"/>
      <c r="AD7" s="92"/>
      <c r="AE7" s="92"/>
      <c r="AF7" s="307">
        <f t="shared" si="1"/>
        <v>0</v>
      </c>
      <c r="AG7" s="72" t="e">
        <f t="shared" si="2"/>
        <v>#DIV/0!</v>
      </c>
      <c r="AH7" s="404"/>
    </row>
    <row r="8" spans="1:34" ht="15" customHeight="1">
      <c r="A8" s="43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40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4"/>
      <c r="AC8" s="434"/>
      <c r="AD8" s="149"/>
      <c r="AE8" s="149"/>
      <c r="AF8" s="307">
        <f t="shared" si="1"/>
        <v>0</v>
      </c>
      <c r="AG8" s="72" t="e">
        <f t="shared" si="2"/>
        <v>#DIV/0!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0</v>
      </c>
      <c r="AG9" s="72" t="e">
        <f t="shared" si="2"/>
        <v>#DIV/0!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2061.6071428571604</v>
      </c>
      <c r="O15" s="117">
        <f t="shared" si="3"/>
        <v>137.44047619047734</v>
      </c>
      <c r="P15" s="121">
        <f>M15-J15</f>
        <v>0</v>
      </c>
      <c r="Q15" s="122">
        <f>O15-L15</f>
        <v>-12.559523809522659</v>
      </c>
      <c r="R15" s="123">
        <f>O15/L15</f>
        <v>0.91626984126984889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-188.3928571428396</v>
      </c>
      <c r="AG15" s="124">
        <f>N15/K15</f>
        <v>0.91626984126984912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2699</v>
      </c>
      <c r="H16" s="134">
        <f>F16*G16</f>
        <v>136758.33000000002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2076.1538461538726</v>
      </c>
      <c r="O16" s="141">
        <f>N16/M16</f>
        <v>148.29670329670518</v>
      </c>
      <c r="P16" s="142">
        <f>M16-J16</f>
        <v>0</v>
      </c>
      <c r="Q16" s="143">
        <f>O16-L16</f>
        <v>-12.417582417580547</v>
      </c>
      <c r="R16" s="144">
        <f>O16/L16</f>
        <v>0.92273504273505436</v>
      </c>
      <c r="S16" s="425">
        <f>R26</f>
        <v>0.88508417660349181</v>
      </c>
      <c r="T16" s="145">
        <v>0.29166666666666702</v>
      </c>
      <c r="U16" s="145">
        <v>0.34583333333333299</v>
      </c>
      <c r="V16" s="135"/>
      <c r="W16" s="146">
        <f t="shared" ref="W16:W78" si="4">(U16-T16)*24*60</f>
        <v>77.999999999999005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-173.84615384612744</v>
      </c>
      <c r="AG16" s="52">
        <f>N16/K16</f>
        <v>0.92273504273505447</v>
      </c>
      <c r="AH16" s="403">
        <f>AG26</f>
        <v>0.88294513460181534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1479</v>
      </c>
      <c r="H17" s="78">
        <f>F17*G17</f>
        <v>84613.59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1848.7500000000189</v>
      </c>
      <c r="O17" s="96">
        <f>N17/M17</f>
        <v>108.75000000000111</v>
      </c>
      <c r="P17" s="97">
        <f>M17-J17</f>
        <v>0</v>
      </c>
      <c r="Q17" s="98">
        <f>O17-L17</f>
        <v>-23.602941176469471</v>
      </c>
      <c r="R17" s="99">
        <f>O17/L17</f>
        <v>0.82166666666667509</v>
      </c>
      <c r="S17" s="426"/>
      <c r="T17" s="19">
        <v>0.35277777777777802</v>
      </c>
      <c r="U17" s="19">
        <v>0.38611111111111102</v>
      </c>
      <c r="V17" s="30">
        <f>(T17-U16)*24*60</f>
        <v>10.000000000000844</v>
      </c>
      <c r="W17" s="149">
        <f t="shared" si="4"/>
        <v>47.99999999999951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-401.24999999998113</v>
      </c>
      <c r="AG17" s="72">
        <f>N17/K17</f>
        <v>0.82166666666667509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822</v>
      </c>
      <c r="H18" s="78">
        <f>F18*G18</f>
        <v>46533.42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1896.9230769230314</v>
      </c>
      <c r="O18" s="96">
        <f>N18/M18</f>
        <v>126.46153846153543</v>
      </c>
      <c r="P18" s="97">
        <f>M18-J18</f>
        <v>0</v>
      </c>
      <c r="Q18" s="98">
        <f>O18-L18</f>
        <v>-23.538461538464574</v>
      </c>
      <c r="R18" s="99">
        <f>O18/L18</f>
        <v>0.84307692307690285</v>
      </c>
      <c r="S18" s="426"/>
      <c r="T18" s="19">
        <v>0.39374999999999999</v>
      </c>
      <c r="U18" s="19">
        <v>0.41180555555555598</v>
      </c>
      <c r="V18" s="30">
        <f>(T18-U17)*24*60</f>
        <v>11.000000000000121</v>
      </c>
      <c r="W18" s="149">
        <f t="shared" si="4"/>
        <v>26.000000000000625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-353.07692307696857</v>
      </c>
      <c r="AG18" s="72">
        <f>N18/K18</f>
        <v>0.84307692307690285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2107</v>
      </c>
      <c r="H19" s="78">
        <f t="shared" ref="H19:H22" si="5">F19*G19</f>
        <v>106171.73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2" si="6">K19/J19</f>
        <v>173.07692307692307</v>
      </c>
      <c r="M19" s="148">
        <v>13</v>
      </c>
      <c r="N19" s="95">
        <f t="shared" ref="N19:N22" si="7">G19/W19*60</f>
        <v>2142.7118644067409</v>
      </c>
      <c r="O19" s="96">
        <f t="shared" ref="O19:O22" si="8">N19/M19</f>
        <v>164.8239895697493</v>
      </c>
      <c r="P19" s="97">
        <f t="shared" ref="P19:P22" si="9">M19-J19</f>
        <v>0</v>
      </c>
      <c r="Q19" s="98">
        <f t="shared" ref="Q19:Q22" si="10">O19-L19</f>
        <v>-8.2529335071737648</v>
      </c>
      <c r="R19" s="99">
        <f t="shared" ref="R19:R22" si="11">O19/L19</f>
        <v>0.9523163841807738</v>
      </c>
      <c r="S19" s="426"/>
      <c r="T19" s="19">
        <v>0.41944444444444401</v>
      </c>
      <c r="U19" s="19">
        <v>0.46041666666666697</v>
      </c>
      <c r="V19" s="30">
        <f>(T19-U18)*24*60</f>
        <v>10.999999999998762</v>
      </c>
      <c r="W19" s="149">
        <f t="shared" si="4"/>
        <v>59.000000000001066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-107.28813559325908</v>
      </c>
      <c r="AG19" s="72">
        <f>N19/K19</f>
        <v>0.95231638418077369</v>
      </c>
      <c r="AH19" s="405"/>
    </row>
    <row r="20" spans="1:34" ht="15" customHeight="1">
      <c r="A20" s="422"/>
      <c r="B20" s="75" t="s">
        <v>81</v>
      </c>
      <c r="C20" s="76"/>
      <c r="D20" s="59" t="s">
        <v>115</v>
      </c>
      <c r="E20" s="77"/>
      <c r="F20" s="75">
        <f>VLOOKUP(D20,廠價表!$C$1:$E$43,3,0)</f>
        <v>49.14</v>
      </c>
      <c r="G20" s="147">
        <v>1486</v>
      </c>
      <c r="H20" s="78">
        <f t="shared" si="5"/>
        <v>73022.039999999994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2228.9999999999814</v>
      </c>
      <c r="O20" s="96">
        <f t="shared" si="8"/>
        <v>148.59999999999874</v>
      </c>
      <c r="P20" s="97">
        <f t="shared" si="9"/>
        <v>0</v>
      </c>
      <c r="Q20" s="98">
        <f t="shared" si="10"/>
        <v>-1.4000000000012562</v>
      </c>
      <c r="R20" s="99">
        <f t="shared" si="11"/>
        <v>0.99066666666665826</v>
      </c>
      <c r="S20" s="426"/>
      <c r="T20" s="19">
        <v>0.47222222222222199</v>
      </c>
      <c r="U20" s="19">
        <v>0.5</v>
      </c>
      <c r="V20" s="30">
        <f>(T20-U19)*24*60</f>
        <v>16.999999999999218</v>
      </c>
      <c r="W20" s="149">
        <f t="shared" si="4"/>
        <v>40.000000000000341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30" t="s">
        <v>81</v>
      </c>
      <c r="C21" s="151"/>
      <c r="D21" s="59" t="s">
        <v>115</v>
      </c>
      <c r="E21" s="87"/>
      <c r="F21" s="75">
        <f>VLOOKUP(D21,廠價表!$C$1:$E$43,3,0)</f>
        <v>49.14</v>
      </c>
      <c r="G21" s="95">
        <v>1682</v>
      </c>
      <c r="H21" s="78">
        <f t="shared" si="5"/>
        <v>82653.48</v>
      </c>
      <c r="I21" s="30"/>
      <c r="J21" s="79">
        <f>VLOOKUP(D21,產線配置圖!$A$3:$C$40,2,0)</f>
        <v>15</v>
      </c>
      <c r="K21" s="80">
        <f>VLOOKUP(D21,產線配置圖!$A$3:$C$40,3,0)</f>
        <v>2250</v>
      </c>
      <c r="L21" s="81">
        <f t="shared" si="6"/>
        <v>150</v>
      </c>
      <c r="M21" s="148">
        <v>15</v>
      </c>
      <c r="N21" s="95">
        <f t="shared" si="7"/>
        <v>1802.1428571428532</v>
      </c>
      <c r="O21" s="96">
        <f t="shared" si="8"/>
        <v>120.14285714285688</v>
      </c>
      <c r="P21" s="97">
        <f t="shared" si="9"/>
        <v>0</v>
      </c>
      <c r="Q21" s="98">
        <f t="shared" si="10"/>
        <v>-29.857142857143117</v>
      </c>
      <c r="R21" s="99">
        <f t="shared" si="11"/>
        <v>0.80095238095237919</v>
      </c>
      <c r="S21" s="426"/>
      <c r="T21" s="19">
        <v>0.55347222222222203</v>
      </c>
      <c r="U21" s="19">
        <v>0.59236111111111101</v>
      </c>
      <c r="V21" s="30">
        <f t="shared" ref="V21:V22" si="12">(T21-U20)*24*60</f>
        <v>76.99999999999973</v>
      </c>
      <c r="W21" s="149">
        <f t="shared" si="4"/>
        <v>56.000000000000121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75" t="s">
        <v>81</v>
      </c>
      <c r="C22" s="86"/>
      <c r="D22" s="59" t="s">
        <v>120</v>
      </c>
      <c r="E22" s="87"/>
      <c r="F22" s="75">
        <f>VLOOKUP(D22,廠價表!$C$1:$E$43,3,0)</f>
        <v>50.39</v>
      </c>
      <c r="G22" s="147">
        <v>2261</v>
      </c>
      <c r="H22" s="78">
        <f t="shared" si="5"/>
        <v>113931.79000000001</v>
      </c>
      <c r="I22" s="30"/>
      <c r="J22" s="79">
        <f>VLOOKUP(D22,產線配置圖!$A$3:$C$40,2,0)</f>
        <v>13</v>
      </c>
      <c r="K22" s="80">
        <f>VLOOKUP(D22,產線配置圖!$A$3:$C$40,3,0)</f>
        <v>2250</v>
      </c>
      <c r="L22" s="81">
        <f t="shared" si="6"/>
        <v>173.07692307692307</v>
      </c>
      <c r="M22" s="148">
        <v>13</v>
      </c>
      <c r="N22" s="95">
        <f t="shared" si="7"/>
        <v>1910.7042253520935</v>
      </c>
      <c r="O22" s="96">
        <f t="shared" si="8"/>
        <v>146.9772481040072</v>
      </c>
      <c r="P22" s="97">
        <f t="shared" si="9"/>
        <v>0</v>
      </c>
      <c r="Q22" s="98">
        <f t="shared" si="10"/>
        <v>-26.099674972915864</v>
      </c>
      <c r="R22" s="99">
        <f t="shared" si="11"/>
        <v>0.84920187793426394</v>
      </c>
      <c r="S22" s="426"/>
      <c r="T22" s="19">
        <v>0.6</v>
      </c>
      <c r="U22" s="19">
        <v>0.64930555555555602</v>
      </c>
      <c r="V22" s="30">
        <f t="shared" si="12"/>
        <v>11.000000000000121</v>
      </c>
      <c r="W22" s="149">
        <f t="shared" si="4"/>
        <v>71.000000000000711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9"/>
      <c r="U23" s="19"/>
      <c r="W23" s="149">
        <f t="shared" si="4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3">AVERAGE(J16:J25)</f>
        <v>14.571428571428571</v>
      </c>
      <c r="K26" s="155">
        <f t="shared" si="13"/>
        <v>2250</v>
      </c>
      <c r="L26" s="158">
        <f t="shared" si="13"/>
        <v>155.6030104349432</v>
      </c>
      <c r="M26" s="155">
        <f t="shared" si="13"/>
        <v>14.571428571428571</v>
      </c>
      <c r="N26" s="155">
        <f t="shared" si="13"/>
        <v>1986.6265528540846</v>
      </c>
      <c r="O26" s="158">
        <f t="shared" si="13"/>
        <v>137.72176236783625</v>
      </c>
      <c r="P26" s="159">
        <f>M26-J26</f>
        <v>0</v>
      </c>
      <c r="Q26" s="160">
        <f>O26-L26</f>
        <v>-17.881248067106952</v>
      </c>
      <c r="R26" s="161">
        <f>O26/L26</f>
        <v>0.88508417660349181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4">N26-K26</f>
        <v>-263.37344714591541</v>
      </c>
      <c r="AG26" s="124">
        <f t="shared" ref="AG26:AG31" si="15">N26/K26</f>
        <v>0.88294513460181534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57.21</v>
      </c>
      <c r="G27" s="169">
        <v>503</v>
      </c>
      <c r="H27" s="134">
        <f>F27*G27</f>
        <v>28776.63</v>
      </c>
      <c r="I27" s="135"/>
      <c r="J27" s="136">
        <f>VLOOKUP(D27,產線配置圖!$A$3:$C$40,2,0)</f>
        <v>18</v>
      </c>
      <c r="K27" s="137">
        <f>VLOOKUP(D27,產線配置圖!$A$3:$C$40,3,0)</f>
        <v>1565</v>
      </c>
      <c r="L27" s="138">
        <f>K27/J27</f>
        <v>86.944444444444443</v>
      </c>
      <c r="M27" s="170">
        <v>15</v>
      </c>
      <c r="N27" s="140">
        <f>G27/W27*60</f>
        <v>1006.0000000000171</v>
      </c>
      <c r="O27" s="141">
        <f>N27/M27</f>
        <v>67.0666666666678</v>
      </c>
      <c r="P27" s="142">
        <f>M27-J27</f>
        <v>-3</v>
      </c>
      <c r="Q27" s="143">
        <f>O27-L27</f>
        <v>-19.877777777776643</v>
      </c>
      <c r="R27" s="144">
        <f>O27/L27</f>
        <v>0.77137380191694593</v>
      </c>
      <c r="S27" s="425">
        <f>R37</f>
        <v>0.89525341818477899</v>
      </c>
      <c r="T27" s="171">
        <v>0.29166666666666702</v>
      </c>
      <c r="U27" s="171">
        <v>0.3125</v>
      </c>
      <c r="V27" s="135"/>
      <c r="W27" s="146">
        <f t="shared" si="4"/>
        <v>29.999999999999496</v>
      </c>
      <c r="X27" s="135"/>
      <c r="Y27" s="300" t="s">
        <v>46</v>
      </c>
      <c r="Z27" s="169"/>
      <c r="AA27" s="169"/>
      <c r="AB27" s="429" t="s">
        <v>140</v>
      </c>
      <c r="AC27" s="429"/>
      <c r="AD27" s="135"/>
      <c r="AE27" s="135"/>
      <c r="AF27" s="310">
        <f t="shared" si="14"/>
        <v>-558.99999999998295</v>
      </c>
      <c r="AG27" s="172">
        <f t="shared" si="15"/>
        <v>0.64281150159745504</v>
      </c>
      <c r="AH27" s="403">
        <f>AG37</f>
        <v>0.80411051230811248</v>
      </c>
    </row>
    <row r="28" spans="1:34" ht="15" customHeight="1">
      <c r="A28" s="457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2116</v>
      </c>
      <c r="H28" s="91">
        <f>F28*G28</f>
        <v>121056.36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15</v>
      </c>
      <c r="N28" s="95">
        <f>G28/W28*60</f>
        <v>1295.5102040816428</v>
      </c>
      <c r="O28" s="96">
        <f>N28/M28</f>
        <v>86.36734693877618</v>
      </c>
      <c r="P28" s="97">
        <f>M28-J28</f>
        <v>-3</v>
      </c>
      <c r="Q28" s="98">
        <f>O28-L28</f>
        <v>-4.5215419501127059</v>
      </c>
      <c r="R28" s="99">
        <f>O28/L28</f>
        <v>0.95025198343396777</v>
      </c>
      <c r="S28" s="426"/>
      <c r="T28" s="19">
        <v>0.31805555555555598</v>
      </c>
      <c r="U28" s="19">
        <v>0.38611111111111102</v>
      </c>
      <c r="V28" s="92">
        <f>(T28-U27)*24*60</f>
        <v>8.0000000000006111</v>
      </c>
      <c r="W28" s="149">
        <f t="shared" si="4"/>
        <v>97.999999999999247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14"/>
        <v>-340.48979591835723</v>
      </c>
      <c r="AG28" s="99">
        <f t="shared" si="15"/>
        <v>0.79187665286163988</v>
      </c>
      <c r="AH28" s="445"/>
    </row>
    <row r="29" spans="1:34" ht="15" customHeight="1">
      <c r="A29" s="457"/>
      <c r="B29" s="75" t="s">
        <v>81</v>
      </c>
      <c r="C29" s="173"/>
      <c r="D29" s="59" t="s">
        <v>168</v>
      </c>
      <c r="E29" s="104"/>
      <c r="F29" s="75">
        <f>VLOOKUP(D29,廠價表!$C$1:$E$43,3,0)</f>
        <v>57.21</v>
      </c>
      <c r="G29" s="90">
        <v>1530</v>
      </c>
      <c r="H29" s="91">
        <f>F29*G29</f>
        <v>87531.3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1370.1492537313366</v>
      </c>
      <c r="O29" s="96">
        <f>N29/M29</f>
        <v>80.597014925372733</v>
      </c>
      <c r="P29" s="97">
        <f>M29-J29</f>
        <v>-1</v>
      </c>
      <c r="Q29" s="98">
        <f>O29-L29</f>
        <v>-6.34742951907171</v>
      </c>
      <c r="R29" s="99">
        <f>O29/L29</f>
        <v>0.92699442086690687</v>
      </c>
      <c r="S29" s="426"/>
      <c r="T29" s="19">
        <v>0.390972222222222</v>
      </c>
      <c r="U29" s="19">
        <v>0.4375</v>
      </c>
      <c r="V29" s="92">
        <f>(T29-U28)*24*60</f>
        <v>6.9999999999998153</v>
      </c>
      <c r="W29" s="149">
        <f t="shared" si="4"/>
        <v>67.000000000000327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14"/>
        <v>-194.85074626866344</v>
      </c>
      <c r="AG29" s="99">
        <f t="shared" si="15"/>
        <v>0.8754947308187454</v>
      </c>
      <c r="AH29" s="445"/>
    </row>
    <row r="30" spans="1:34" ht="15" customHeight="1">
      <c r="A30" s="457"/>
      <c r="B30" s="75" t="s">
        <v>81</v>
      </c>
      <c r="C30" s="88"/>
      <c r="D30" s="59" t="s">
        <v>123</v>
      </c>
      <c r="E30" s="89"/>
      <c r="F30" s="75">
        <f>VLOOKUP(D30,廠價表!$C$1:$E$43,3,0)</f>
        <v>50.67</v>
      </c>
      <c r="G30" s="90">
        <v>1051</v>
      </c>
      <c r="H30" s="91">
        <f t="shared" ref="H30:H31" si="16">F30*G30</f>
        <v>53254.17</v>
      </c>
      <c r="I30" s="92"/>
      <c r="J30" s="79">
        <f>VLOOKUP(D30,產線配置圖!$A$3:$C$40,2,0)</f>
        <v>13</v>
      </c>
      <c r="K30" s="80">
        <f>VLOOKUP(D30,產線配置圖!$A$3:$C$40,3,0)</f>
        <v>1440</v>
      </c>
      <c r="L30" s="93">
        <f t="shared" ref="L30:L31" si="17">K30/J30</f>
        <v>110.76923076923077</v>
      </c>
      <c r="M30" s="94">
        <v>13</v>
      </c>
      <c r="N30" s="95">
        <f t="shared" ref="N30:N31" si="18">G30/W30*60</f>
        <v>1313.7500000000134</v>
      </c>
      <c r="O30" s="96">
        <f t="shared" ref="O30:O31" si="19">N30/M30</f>
        <v>101.05769230769334</v>
      </c>
      <c r="P30" s="97">
        <f t="shared" ref="P30:P31" si="20">M30-J30</f>
        <v>0</v>
      </c>
      <c r="Q30" s="98">
        <f t="shared" ref="Q30:Q31" si="21">O30-L30</f>
        <v>-9.7115384615374296</v>
      </c>
      <c r="R30" s="99">
        <f t="shared" ref="R30:R31" si="22">O30/L30</f>
        <v>0.91232638888889817</v>
      </c>
      <c r="S30" s="426"/>
      <c r="T30" s="19">
        <v>0.44236111111111098</v>
      </c>
      <c r="U30" s="19">
        <v>0.47569444444444398</v>
      </c>
      <c r="V30" s="92">
        <f t="shared" ref="V30:V31" si="23">(T30-U29)*24*60</f>
        <v>6.9999999999998153</v>
      </c>
      <c r="W30" s="149">
        <f t="shared" si="4"/>
        <v>47.99999999999951</v>
      </c>
      <c r="X30" s="174"/>
      <c r="Y30" s="301"/>
      <c r="Z30" s="335"/>
      <c r="AA30" s="335"/>
      <c r="AB30" s="407"/>
      <c r="AC30" s="407"/>
      <c r="AD30" s="92"/>
      <c r="AE30" s="92"/>
      <c r="AF30" s="312">
        <f t="shared" si="14"/>
        <v>-126.24999999998658</v>
      </c>
      <c r="AG30" s="99">
        <f t="shared" si="15"/>
        <v>0.91232638888889817</v>
      </c>
      <c r="AH30" s="446"/>
    </row>
    <row r="31" spans="1:34" ht="15" customHeight="1">
      <c r="A31" s="457"/>
      <c r="B31" s="75" t="s">
        <v>81</v>
      </c>
      <c r="C31" s="88"/>
      <c r="D31" s="59" t="s">
        <v>168</v>
      </c>
      <c r="E31" s="89"/>
      <c r="F31" s="75">
        <f>VLOOKUP(D31,廠價表!$C$1:$E$43,3,0)</f>
        <v>57.21</v>
      </c>
      <c r="G31" s="90">
        <v>758</v>
      </c>
      <c r="H31" s="91">
        <f t="shared" si="16"/>
        <v>43365.18</v>
      </c>
      <c r="I31" s="92"/>
      <c r="J31" s="79">
        <f>VLOOKUP(D31,產線配置圖!$A$3:$C$40,2,0)</f>
        <v>18</v>
      </c>
      <c r="K31" s="80">
        <f>VLOOKUP(D31,產線配置圖!$A$3:$C$40,3,0)</f>
        <v>1565</v>
      </c>
      <c r="L31" s="93">
        <f t="shared" si="17"/>
        <v>86.944444444444443</v>
      </c>
      <c r="M31" s="94">
        <v>16</v>
      </c>
      <c r="N31" s="95">
        <f t="shared" si="18"/>
        <v>1263.3333333333323</v>
      </c>
      <c r="O31" s="96">
        <f t="shared" si="19"/>
        <v>78.958333333333272</v>
      </c>
      <c r="P31" s="97">
        <f t="shared" si="20"/>
        <v>-2</v>
      </c>
      <c r="Q31" s="98">
        <f t="shared" si="21"/>
        <v>-7.9861111111111711</v>
      </c>
      <c r="R31" s="99">
        <f t="shared" si="22"/>
        <v>0.90814696485622937</v>
      </c>
      <c r="S31" s="426"/>
      <c r="T31" s="19">
        <v>0.53472222222222199</v>
      </c>
      <c r="U31" s="19">
        <v>0.55972222222222201</v>
      </c>
      <c r="V31" s="92">
        <f t="shared" si="23"/>
        <v>85.000000000000341</v>
      </c>
      <c r="W31" s="149">
        <f t="shared" si="4"/>
        <v>36.000000000000028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4"/>
        <v>-301.66666666666765</v>
      </c>
      <c r="AG31" s="99">
        <f t="shared" si="15"/>
        <v>0.80724174653887049</v>
      </c>
      <c r="AH31" s="405"/>
    </row>
    <row r="32" spans="1:34" ht="15" customHeight="1">
      <c r="A32" s="457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4">AVERAGE(J27:J36)</f>
        <v>17</v>
      </c>
      <c r="K37" s="155">
        <f t="shared" si="24"/>
        <v>1554.2</v>
      </c>
      <c r="L37" s="158">
        <f t="shared" si="24"/>
        <v>92.498290598290595</v>
      </c>
      <c r="M37" s="155">
        <f t="shared" si="24"/>
        <v>15.2</v>
      </c>
      <c r="N37" s="155">
        <f t="shared" si="24"/>
        <v>1249.7485582292684</v>
      </c>
      <c r="O37" s="158">
        <f t="shared" si="24"/>
        <v>82.809410834368663</v>
      </c>
      <c r="P37" s="159">
        <f>M37-J37</f>
        <v>-1.8000000000000007</v>
      </c>
      <c r="Q37" s="160">
        <f>N37-K37</f>
        <v>-304.45144177073166</v>
      </c>
      <c r="R37" s="161">
        <f>O37/L37</f>
        <v>0.89525341818477899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-304.45144177073166</v>
      </c>
      <c r="AG37" s="124">
        <f>N37/K37</f>
        <v>0.80411051230811248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2092</v>
      </c>
      <c r="H38" s="134">
        <f>F38*G38</f>
        <v>104411.71999999999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14</v>
      </c>
      <c r="N38" s="140">
        <f>G38/W38*60</f>
        <v>1530.7317073170577</v>
      </c>
      <c r="O38" s="141">
        <f>N38/M38</f>
        <v>109.33797909407555</v>
      </c>
      <c r="P38" s="142">
        <f>M38-J38</f>
        <v>-1</v>
      </c>
      <c r="Q38" s="143">
        <f>O38-L38</f>
        <v>-4.9286875725911159</v>
      </c>
      <c r="R38" s="144">
        <f>O38/L38</f>
        <v>0.95686679487230641</v>
      </c>
      <c r="S38" s="453">
        <f>R48</f>
        <v>0.89275476695002398</v>
      </c>
      <c r="T38" s="191">
        <v>0.33333333333333298</v>
      </c>
      <c r="U38" s="191">
        <v>0.390277777777778</v>
      </c>
      <c r="V38" s="192"/>
      <c r="W38" s="193">
        <f t="shared" si="4"/>
        <v>82.000000000000824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-183.26829268294227</v>
      </c>
      <c r="AG38" s="195">
        <f>N38/K38</f>
        <v>0.89307567521415265</v>
      </c>
      <c r="AH38" s="459">
        <f>AG48</f>
        <v>0.86788719483973231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3103</v>
      </c>
      <c r="H39" s="91">
        <f>F39*G39</f>
        <v>137462.9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1432.1538461538426</v>
      </c>
      <c r="O39" s="203">
        <f>N39/M39</f>
        <v>84.244343891402508</v>
      </c>
      <c r="P39" s="97">
        <f>M39-J39</f>
        <v>0</v>
      </c>
      <c r="Q39" s="98">
        <f>O39-L39</f>
        <v>-11.99095022624455</v>
      </c>
      <c r="R39" s="99">
        <f>O39/L39</f>
        <v>0.87539966146322901</v>
      </c>
      <c r="S39" s="454"/>
      <c r="T39" s="20">
        <v>0.39583333333333298</v>
      </c>
      <c r="U39" s="20">
        <v>0.48611111111111099</v>
      </c>
      <c r="V39" s="92">
        <f>(T39-U38)*24*60</f>
        <v>7.9999999999991722</v>
      </c>
      <c r="W39" s="205">
        <f t="shared" si="4"/>
        <v>130.00000000000034</v>
      </c>
      <c r="X39" s="22"/>
      <c r="Y39" s="84"/>
      <c r="Z39" s="90"/>
      <c r="AA39" s="90"/>
      <c r="AB39" s="462"/>
      <c r="AC39" s="462"/>
      <c r="AD39" s="200"/>
      <c r="AE39" s="200"/>
      <c r="AF39" s="314">
        <f>N39-K39</f>
        <v>-203.84615384615745</v>
      </c>
      <c r="AG39" s="206">
        <f>N39/K39</f>
        <v>0.8753996614632289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1137</v>
      </c>
      <c r="H40" s="91">
        <f>F40*G40</f>
        <v>50369.1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1364.4000000000049</v>
      </c>
      <c r="O40" s="203">
        <f>N40/M40</f>
        <v>80.258823529412055</v>
      </c>
      <c r="P40" s="97">
        <f>M40-J40</f>
        <v>0</v>
      </c>
      <c r="Q40" s="98">
        <f>O40-L40</f>
        <v>-15.976470588235003</v>
      </c>
      <c r="R40" s="99">
        <f>O40/L40</f>
        <v>0.83398533007335263</v>
      </c>
      <c r="S40" s="440"/>
      <c r="T40" s="20">
        <v>0.54513888888888895</v>
      </c>
      <c r="U40" s="20">
        <v>0.57986111111111105</v>
      </c>
      <c r="V40" s="92">
        <f>(T40-U39)*24*60</f>
        <v>85.000000000000256</v>
      </c>
      <c r="W40" s="205">
        <f t="shared" si="4"/>
        <v>49.999999999999822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-271.59999999999513</v>
      </c>
      <c r="AG40" s="206">
        <f>N40/K40</f>
        <v>0.83398533007335263</v>
      </c>
      <c r="AH40" s="460"/>
    </row>
    <row r="41" spans="1:34" ht="15" customHeight="1">
      <c r="A41" s="45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40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0</v>
      </c>
      <c r="AG41" s="206" t="e">
        <f>N41/K41</f>
        <v>#DIV/0!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5">AVERAGE(J38:J47)</f>
        <v>16.333333333333332</v>
      </c>
      <c r="K48" s="155">
        <f t="shared" si="25"/>
        <v>1662</v>
      </c>
      <c r="L48" s="158">
        <f t="shared" si="25"/>
        <v>102.24575163398693</v>
      </c>
      <c r="M48" s="155">
        <f t="shared" si="25"/>
        <v>16</v>
      </c>
      <c r="N48" s="155">
        <f t="shared" si="25"/>
        <v>1442.428517823635</v>
      </c>
      <c r="O48" s="158">
        <f t="shared" si="25"/>
        <v>91.280382171630038</v>
      </c>
      <c r="P48" s="221">
        <f>M48-J48</f>
        <v>-0.33333333333333215</v>
      </c>
      <c r="Q48" s="222">
        <f>N48-K48</f>
        <v>-219.57148217636495</v>
      </c>
      <c r="R48" s="223">
        <f>O48/L48</f>
        <v>0.89275476695002398</v>
      </c>
      <c r="S48" s="443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26">N48-K48</f>
        <v>-219.57148217636495</v>
      </c>
      <c r="AG48" s="162">
        <f t="shared" ref="AG48:AG53" si="27">N48/K48</f>
        <v>0.86788719483973231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1703</v>
      </c>
      <c r="H49" s="134">
        <f>F49*G49</f>
        <v>84332.560000000012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1502.6470588235366</v>
      </c>
      <c r="O49" s="141">
        <f>N49/M49</f>
        <v>88.391003460208026</v>
      </c>
      <c r="P49" s="229">
        <f>M49-J49</f>
        <v>0</v>
      </c>
      <c r="Q49" s="230">
        <f>O49-L49</f>
        <v>-17.491349480968438</v>
      </c>
      <c r="R49" s="52">
        <f>O49/L49</f>
        <v>0.83480392156863137</v>
      </c>
      <c r="S49" s="439">
        <f>R58</f>
        <v>0.87929083124268559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26"/>
        <v>-297.35294117646345</v>
      </c>
      <c r="AG49" s="52">
        <f t="shared" si="27"/>
        <v>0.83480392156863137</v>
      </c>
      <c r="AH49" s="403">
        <f>AG58</f>
        <v>0.87815298862961577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2133</v>
      </c>
      <c r="H50" s="231">
        <f>F50*G50</f>
        <v>107266.43700000001</v>
      </c>
      <c r="I50" s="232"/>
      <c r="J50" s="79">
        <f>VLOOKUP(D50,產線配置圖!$A$3:$C$40,2,0)</f>
        <v>18</v>
      </c>
      <c r="K50" s="80">
        <f>VLOOKUP(D50,產線配置圖!$A$3:$C$40,3,0)</f>
        <v>1565</v>
      </c>
      <c r="L50" s="81">
        <f>K50/J50</f>
        <v>86.944444444444443</v>
      </c>
      <c r="M50" s="233">
        <v>18</v>
      </c>
      <c r="N50" s="234">
        <f>G50/W50*60</f>
        <v>1347.1578947368471</v>
      </c>
      <c r="O50" s="235">
        <f>N50/M50</f>
        <v>74.842105263158174</v>
      </c>
      <c r="P50" s="74">
        <f>M50-J50</f>
        <v>0</v>
      </c>
      <c r="Q50" s="83">
        <f>O50-L50</f>
        <v>-12.102339181286268</v>
      </c>
      <c r="R50" s="72">
        <f>O50/L50</f>
        <v>0.86080376660501412</v>
      </c>
      <c r="S50" s="440"/>
      <c r="T50" s="21">
        <v>0.34375</v>
      </c>
      <c r="U50" s="21">
        <v>0.40972222222222199</v>
      </c>
      <c r="V50" s="30">
        <f>(T50-U49)*24*60</f>
        <v>6.9999999999998153</v>
      </c>
      <c r="W50" s="236">
        <f t="shared" si="4"/>
        <v>94.999999999999659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26"/>
        <v>-217.84210526315292</v>
      </c>
      <c r="AG50" s="72">
        <f t="shared" si="27"/>
        <v>0.86080376660501412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f>VLOOKUP(D51,廠價表!$C$1:$E$43,3,0)</f>
        <v>49.97</v>
      </c>
      <c r="G51" s="202">
        <v>1743</v>
      </c>
      <c r="H51" s="231">
        <f>F51*G51</f>
        <v>87097.709999999992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1660.0000000000018</v>
      </c>
      <c r="O51" s="235">
        <f>N51/M51</f>
        <v>103.75000000000011</v>
      </c>
      <c r="P51" s="74">
        <f>M51-J51</f>
        <v>0</v>
      </c>
      <c r="Q51" s="83">
        <f>O51-L51</f>
        <v>-8.7499999999998863</v>
      </c>
      <c r="R51" s="72">
        <f>O51/L51</f>
        <v>0.92222222222222328</v>
      </c>
      <c r="S51" s="440"/>
      <c r="T51" s="21">
        <v>0.41458333333333303</v>
      </c>
      <c r="U51" s="19">
        <v>0.45833333333333298</v>
      </c>
      <c r="V51" s="30">
        <f>(T51-U50)*24*60</f>
        <v>6.9999999999998952</v>
      </c>
      <c r="W51" s="236">
        <f t="shared" si="4"/>
        <v>62.999999999999936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26"/>
        <v>-139.99999999999818</v>
      </c>
      <c r="AG51" s="72">
        <f t="shared" si="27"/>
        <v>0.92222222222222328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f>VLOOKUP(D52,廠價表!$C$1:$E$43,3,0)</f>
        <v>49.97</v>
      </c>
      <c r="G52" s="202">
        <v>2624</v>
      </c>
      <c r="H52" s="231">
        <f>F52*G52</f>
        <v>131121.28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1606.5306122448881</v>
      </c>
      <c r="O52" s="235">
        <f>N52/M52</f>
        <v>100.4081632653055</v>
      </c>
      <c r="P52" s="74">
        <f>M52-J52</f>
        <v>0</v>
      </c>
      <c r="Q52" s="83">
        <f>O52-L52</f>
        <v>-12.091836734694496</v>
      </c>
      <c r="R52" s="72">
        <f>O52/L52</f>
        <v>0.89251700680271562</v>
      </c>
      <c r="S52" s="440"/>
      <c r="T52" s="21">
        <v>0.51736111111111105</v>
      </c>
      <c r="U52" s="21">
        <v>0.58541666666666703</v>
      </c>
      <c r="V52" s="30">
        <f>(T52-U51)*24*60</f>
        <v>85.000000000000412</v>
      </c>
      <c r="W52" s="236">
        <f t="shared" si="4"/>
        <v>98.000000000000611</v>
      </c>
      <c r="X52" s="22">
        <v>0.47916666666666702</v>
      </c>
      <c r="Y52" s="84">
        <v>0.52083333333333304</v>
      </c>
      <c r="Z52" s="90"/>
      <c r="AA52" s="90"/>
      <c r="AB52" s="407"/>
      <c r="AC52" s="407"/>
      <c r="AD52" s="92"/>
      <c r="AE52" s="92"/>
      <c r="AF52" s="307">
        <f t="shared" si="26"/>
        <v>-193.46938775511194</v>
      </c>
      <c r="AG52" s="72">
        <f t="shared" si="27"/>
        <v>0.89251700680271562</v>
      </c>
      <c r="AH52" s="404"/>
    </row>
    <row r="53" spans="1:34" ht="15" customHeight="1">
      <c r="A53" s="46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40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26"/>
        <v>0</v>
      </c>
      <c r="AG53" s="72" t="e">
        <f t="shared" si="27"/>
        <v>#DIV/0!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28">AVERAGE(J49:J57)</f>
        <v>16.75</v>
      </c>
      <c r="K58" s="120">
        <f t="shared" si="28"/>
        <v>1741.25</v>
      </c>
      <c r="L58" s="117">
        <f t="shared" si="28"/>
        <v>104.45669934640523</v>
      </c>
      <c r="M58" s="120">
        <f t="shared" si="28"/>
        <v>16.75</v>
      </c>
      <c r="N58" s="120">
        <f t="shared" si="28"/>
        <v>1529.0838914513186</v>
      </c>
      <c r="O58" s="117">
        <f t="shared" si="28"/>
        <v>91.847817997167951</v>
      </c>
      <c r="P58" s="121">
        <f>M58-J58</f>
        <v>0</v>
      </c>
      <c r="Q58" s="122">
        <f>N58-K58</f>
        <v>-212.16610854868145</v>
      </c>
      <c r="R58" s="123">
        <f>O58/L58</f>
        <v>0.87929083124268559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-212.16610854868145</v>
      </c>
      <c r="AG58" s="124">
        <f>N58/K58</f>
        <v>0.87815298862961577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2710</v>
      </c>
      <c r="H59" s="243">
        <f>F59*G59</f>
        <v>73142.899999999994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1478.1818181818157</v>
      </c>
      <c r="O59" s="138">
        <f>N59/M59</f>
        <v>98.545454545454376</v>
      </c>
      <c r="P59" s="56">
        <f>M59-J59</f>
        <v>0</v>
      </c>
      <c r="Q59" s="230">
        <f>O59-L59</f>
        <v>-5.7878787878789524</v>
      </c>
      <c r="R59" s="52">
        <f>O59/L59</f>
        <v>0.94452512343885986</v>
      </c>
      <c r="S59" s="439">
        <f>R69</f>
        <v>0.9487824976182998</v>
      </c>
      <c r="T59" s="245">
        <v>0.28819444444444398</v>
      </c>
      <c r="U59" s="245">
        <v>0.36458333333333298</v>
      </c>
      <c r="V59" s="55"/>
      <c r="W59" s="54">
        <f t="shared" si="4"/>
        <v>110.00000000000017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-86.818181818184257</v>
      </c>
      <c r="AG59" s="246">
        <f>N59/K59</f>
        <v>0.94452512343885986</v>
      </c>
      <c r="AH59" s="403">
        <f>AG69</f>
        <v>0.94858107876810349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1363</v>
      </c>
      <c r="H60" s="78">
        <f>F60*G60</f>
        <v>38518.380000000005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1486.9090909091092</v>
      </c>
      <c r="O60" s="81">
        <f>N60/M60</f>
        <v>123.90909090909243</v>
      </c>
      <c r="P60" s="74">
        <f>M60-J60</f>
        <v>0</v>
      </c>
      <c r="Q60" s="83">
        <f>O60-L60</f>
        <v>-6.5075757575742301</v>
      </c>
      <c r="R60" s="72">
        <f>O60/L60</f>
        <v>0.9501016555329771</v>
      </c>
      <c r="S60" s="467"/>
      <c r="T60" s="22">
        <v>0.37152777777777801</v>
      </c>
      <c r="U60" s="22">
        <v>0.40972222222222199</v>
      </c>
      <c r="V60" s="30">
        <f>(T60-U59)*24*60</f>
        <v>10.000000000000844</v>
      </c>
      <c r="W60" s="248">
        <f t="shared" si="4"/>
        <v>54.999999999999325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-78.090909090890818</v>
      </c>
      <c r="AG60" s="249">
        <f>N60/K60</f>
        <v>0.9501016555329771</v>
      </c>
      <c r="AH60" s="475"/>
    </row>
    <row r="61" spans="1:34" ht="15" customHeight="1">
      <c r="A61" s="465"/>
      <c r="B61" s="250" t="s">
        <v>125</v>
      </c>
      <c r="C61" s="251"/>
      <c r="D61" s="252" t="s">
        <v>192</v>
      </c>
      <c r="E61" s="253"/>
      <c r="F61" s="250">
        <f>VLOOKUP(D61,廠價表!$C$1:$E$43,3,0)</f>
        <v>28.26</v>
      </c>
      <c r="G61" s="38">
        <v>1331</v>
      </c>
      <c r="H61" s="254">
        <f>F61*G61</f>
        <v>37614.060000000005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1597.200000000011</v>
      </c>
      <c r="O61" s="238">
        <f>N61/M61</f>
        <v>145.20000000000098</v>
      </c>
      <c r="P61" s="111">
        <f>M61-J61</f>
        <v>0</v>
      </c>
      <c r="Q61" s="255">
        <f>O61-L61</f>
        <v>-3.5272727272717361</v>
      </c>
      <c r="R61" s="85">
        <f>O61/L61</f>
        <v>0.9762836185819137</v>
      </c>
      <c r="S61" s="440"/>
      <c r="T61" s="22">
        <v>0.41666666666666702</v>
      </c>
      <c r="U61" s="22">
        <v>0.45138888888888901</v>
      </c>
      <c r="V61" s="30">
        <f>(T61-U60)*24*60</f>
        <v>10.000000000000844</v>
      </c>
      <c r="W61" s="256">
        <f t="shared" si="4"/>
        <v>49.999999999999659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-38.799999999989041</v>
      </c>
      <c r="AG61" s="247">
        <f>N61/K61</f>
        <v>0.97628361858191381</v>
      </c>
      <c r="AH61" s="404"/>
    </row>
    <row r="62" spans="1:34" ht="15" customHeight="1">
      <c r="A62" s="465"/>
      <c r="B62" s="250" t="s">
        <v>125</v>
      </c>
      <c r="C62" s="251"/>
      <c r="D62" s="257" t="s">
        <v>126</v>
      </c>
      <c r="E62" s="253"/>
      <c r="F62" s="250">
        <f>VLOOKUP(D62,廠價表!$C$1:$E$43,3,0)</f>
        <v>28.26</v>
      </c>
      <c r="G62" s="38">
        <v>1892</v>
      </c>
      <c r="H62" s="254">
        <f t="shared" ref="H62:H63" si="29">F62*G62</f>
        <v>53467.920000000006</v>
      </c>
      <c r="I62" s="182"/>
      <c r="J62" s="106">
        <f>VLOOKUP(D62,產線配置圖!$A$3:$C$40,2,0)</f>
        <v>11</v>
      </c>
      <c r="K62" s="107">
        <f>VLOOKUP(D62,產線配置圖!$A$3:$C$40,3,0)</f>
        <v>1565</v>
      </c>
      <c r="L62" s="238">
        <f t="shared" ref="L62:L63" si="30">K62/J62</f>
        <v>142.27272727272728</v>
      </c>
      <c r="M62" s="108">
        <v>11</v>
      </c>
      <c r="N62" s="107">
        <f t="shared" ref="N62:N63" si="31">G62/W62*60</f>
        <v>1513.599999999981</v>
      </c>
      <c r="O62" s="238">
        <f t="shared" ref="O62:O63" si="32">N62/M62</f>
        <v>137.59999999999829</v>
      </c>
      <c r="P62" s="111">
        <f t="shared" ref="P62:P63" si="33">M62-J62</f>
        <v>0</v>
      </c>
      <c r="Q62" s="255">
        <f t="shared" ref="Q62:Q63" si="34">O62-L62</f>
        <v>-4.6727272727289915</v>
      </c>
      <c r="R62" s="85">
        <f t="shared" ref="R62:R63" si="35">O62/L62</f>
        <v>0.96715654952075469</v>
      </c>
      <c r="S62" s="440"/>
      <c r="T62" s="22">
        <v>0.45833333333333298</v>
      </c>
      <c r="U62" s="22">
        <v>0.51041666666666696</v>
      </c>
      <c r="V62" s="30">
        <f t="shared" ref="V62:V63" si="36">(T62-U61)*24*60</f>
        <v>9.999999999999325</v>
      </c>
      <c r="W62" s="248">
        <f t="shared" si="4"/>
        <v>75.000000000000938</v>
      </c>
      <c r="X62" s="22">
        <v>0.50347222222222199</v>
      </c>
      <c r="Y62" s="84">
        <v>0.54513888888888895</v>
      </c>
      <c r="Z62" s="90"/>
      <c r="AA62" s="90"/>
      <c r="AB62" s="407"/>
      <c r="AC62" s="407"/>
      <c r="AD62" s="92"/>
      <c r="AE62" s="92"/>
      <c r="AF62" s="317">
        <f>N62-K62</f>
        <v>-51.400000000018963</v>
      </c>
      <c r="AG62" s="247">
        <f>N62/K62</f>
        <v>0.96715654952075469</v>
      </c>
      <c r="AH62" s="404"/>
    </row>
    <row r="63" spans="1:34" ht="15" customHeight="1">
      <c r="A63" s="465"/>
      <c r="B63" s="258" t="s">
        <v>125</v>
      </c>
      <c r="C63" s="58"/>
      <c r="D63" s="259" t="s">
        <v>192</v>
      </c>
      <c r="E63" s="60"/>
      <c r="F63" s="250">
        <f>VLOOKUP(D63,廠價表!$C$1:$E$43,3,0)</f>
        <v>28.26</v>
      </c>
      <c r="G63" s="260">
        <v>1358</v>
      </c>
      <c r="H63" s="254">
        <f t="shared" si="29"/>
        <v>38377.08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30"/>
        <v>148.72727272727272</v>
      </c>
      <c r="M63" s="68">
        <v>11</v>
      </c>
      <c r="N63" s="107">
        <f t="shared" si="31"/>
        <v>1481.4545454545637</v>
      </c>
      <c r="O63" s="238">
        <f t="shared" si="32"/>
        <v>134.67768595041488</v>
      </c>
      <c r="P63" s="111">
        <f t="shared" si="33"/>
        <v>0</v>
      </c>
      <c r="Q63" s="255">
        <f t="shared" si="34"/>
        <v>-14.049586776857836</v>
      </c>
      <c r="R63" s="85">
        <f t="shared" si="35"/>
        <v>0.90553456323628589</v>
      </c>
      <c r="S63" s="440"/>
      <c r="T63" s="22">
        <v>0.5625</v>
      </c>
      <c r="U63" s="22">
        <v>0.60069444444444398</v>
      </c>
      <c r="V63" s="30">
        <f t="shared" si="36"/>
        <v>74.999999999999574</v>
      </c>
      <c r="W63" s="248">
        <f t="shared" si="4"/>
        <v>54.999999999999325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37">AVERAGE(J59:J68)</f>
        <v>12</v>
      </c>
      <c r="K69" s="240">
        <f t="shared" si="37"/>
        <v>1593.4</v>
      </c>
      <c r="L69" s="268">
        <f t="shared" si="37"/>
        <v>134.89545454545456</v>
      </c>
      <c r="M69" s="240">
        <f t="shared" si="37"/>
        <v>12</v>
      </c>
      <c r="N69" s="240">
        <f t="shared" si="37"/>
        <v>1511.4690909090962</v>
      </c>
      <c r="O69" s="268">
        <f t="shared" si="37"/>
        <v>127.98644628099221</v>
      </c>
      <c r="P69" s="269">
        <f>M69-J69</f>
        <v>0</v>
      </c>
      <c r="Q69" s="222">
        <f>N69-K69</f>
        <v>-81.930909090903924</v>
      </c>
      <c r="R69" s="123">
        <f>O69/L69</f>
        <v>0.9487824976182998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-81.930909090903924</v>
      </c>
      <c r="AG69" s="124">
        <f>N69/K69</f>
        <v>0.94858107876810349</v>
      </c>
      <c r="AH69" s="406"/>
    </row>
    <row r="70" spans="1:36" ht="15" customHeight="1">
      <c r="A70" s="471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39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/>
      <c r="D79" s="430"/>
      <c r="E79" s="430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1:AC2"/>
    <mergeCell ref="AF1:AH2"/>
    <mergeCell ref="Z3:AA3"/>
    <mergeCell ref="T1:Y2"/>
    <mergeCell ref="S3:S4"/>
    <mergeCell ref="X3:Y3"/>
    <mergeCell ref="T3:U3"/>
    <mergeCell ref="V3:V4"/>
    <mergeCell ref="W3:W4"/>
    <mergeCell ref="O3:O4"/>
    <mergeCell ref="G3:G4"/>
    <mergeCell ref="J1:L2"/>
    <mergeCell ref="M1:O2"/>
    <mergeCell ref="P1:S2"/>
    <mergeCell ref="H3:H4"/>
    <mergeCell ref="P3:P4"/>
    <mergeCell ref="Q3:Q4"/>
    <mergeCell ref="R3:R4"/>
    <mergeCell ref="A2:B2"/>
    <mergeCell ref="A3:A4"/>
    <mergeCell ref="B3:B4"/>
    <mergeCell ref="D3:E4"/>
    <mergeCell ref="F3:F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G3:AG4"/>
    <mergeCell ref="AD3:AE3"/>
    <mergeCell ref="AH3:AH4"/>
    <mergeCell ref="AH5:AH15"/>
    <mergeCell ref="AF3:AF4"/>
    <mergeCell ref="AB8:AC8"/>
    <mergeCell ref="AB9:AC9"/>
    <mergeCell ref="AB10:AC10"/>
    <mergeCell ref="A16:A2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38:A48"/>
    <mergeCell ref="S38:S48"/>
    <mergeCell ref="AB38:AC38"/>
    <mergeCell ref="D48:E48"/>
    <mergeCell ref="AB48:AC48"/>
    <mergeCell ref="A5:A15"/>
    <mergeCell ref="S5:S15"/>
    <mergeCell ref="I3:I4"/>
    <mergeCell ref="J3:J4"/>
    <mergeCell ref="K3:K4"/>
    <mergeCell ref="L3:L4"/>
    <mergeCell ref="M3:M4"/>
    <mergeCell ref="N3:N4"/>
    <mergeCell ref="D15:E15"/>
    <mergeCell ref="A27:A37"/>
    <mergeCell ref="AB15:AC15"/>
    <mergeCell ref="AB5:AC5"/>
    <mergeCell ref="AB6:AC6"/>
    <mergeCell ref="AB11:AC11"/>
    <mergeCell ref="AB12:AC12"/>
    <mergeCell ref="AB14:AC14"/>
    <mergeCell ref="AB13:AC13"/>
    <mergeCell ref="AB7:AC7"/>
    <mergeCell ref="AB3:AC4"/>
    <mergeCell ref="S16:S26"/>
    <mergeCell ref="AB16:AC16"/>
    <mergeCell ref="D26:E26"/>
    <mergeCell ref="AB26:AC26"/>
    <mergeCell ref="AB46:AC46"/>
    <mergeCell ref="AB47:AC47"/>
    <mergeCell ref="S27:S37"/>
    <mergeCell ref="AB27:AC27"/>
    <mergeCell ref="D37:E3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28" priority="1" operator="greaterThan">
      <formula>0</formula>
    </cfRule>
  </conditionalFormatting>
  <conditionalFormatting sqref="Q5:Q79 AF5:AF79">
    <cfRule type="cellIs" dxfId="127" priority="4" operator="lessThan">
      <formula>0</formula>
    </cfRule>
  </conditionalFormatting>
  <conditionalFormatting sqref="R5:R79 AG5:AG79">
    <cfRule type="cellIs" dxfId="126" priority="2" operator="greaterThan">
      <formula>1</formula>
    </cfRule>
    <cfRule type="cellIs" dxfId="125" priority="3" operator="lessThan">
      <formula>0.8</formula>
    </cfRule>
  </conditionalFormatting>
  <conditionalFormatting sqref="S5:S10 S37:S62 AH59:AH62 S69:S76 AH69:AH76">
    <cfRule type="cellIs" dxfId="124" priority="7" operator="lessThan">
      <formula>0.8</formula>
    </cfRule>
  </conditionalFormatting>
  <conditionalFormatting sqref="S19:S25 AH19:AH25">
    <cfRule type="cellIs" dxfId="123" priority="6" operator="lessThan">
      <formula>0.8</formula>
    </cfRule>
  </conditionalFormatting>
  <conditionalFormatting sqref="S79">
    <cfRule type="cellIs" dxfId="122" priority="5" operator="lessThan">
      <formula>0.8</formula>
    </cfRule>
  </conditionalFormatting>
  <conditionalFormatting sqref="AH5:AH8 S15:S16 AH15:AH16 AH49 AH79">
    <cfRule type="cellIs" dxfId="121" priority="9" operator="lessThan">
      <formula>0.8</formula>
    </cfRule>
  </conditionalFormatting>
  <conditionalFormatting sqref="AH27 S27:S28">
    <cfRule type="cellIs" dxfId="1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630486-9D8A-4B52-87B8-2EA9F58D2F4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270B-CDDE-42F2-B8F6-1F0DA3A6FF29}">
  <dimension ref="B1:O26"/>
  <sheetViews>
    <sheetView zoomScale="70" zoomScaleNormal="70" workbookViewId="0">
      <selection activeCell="U64" sqref="U6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46192</v>
      </c>
      <c r="E3" s="510"/>
      <c r="F3" s="3" t="s">
        <v>72</v>
      </c>
      <c r="G3" s="511">
        <f>'0619'!E1</f>
        <v>43813</v>
      </c>
      <c r="H3" s="511"/>
      <c r="I3" s="3" t="s">
        <v>2</v>
      </c>
      <c r="J3" s="512">
        <f>'0619'!G1</f>
        <v>2052883.0690000008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123.89622816363011</v>
      </c>
      <c r="G6" s="507"/>
      <c r="H6" s="508">
        <f>AVERAGE(D13:H13)</f>
        <v>121.45047379635614</v>
      </c>
      <c r="I6" s="508"/>
      <c r="J6" s="508">
        <f>AVERAGE(I13)</f>
        <v>136.125</v>
      </c>
      <c r="K6" s="508"/>
      <c r="L6" s="516">
        <f>SUM(D18:J18)</f>
        <v>0</v>
      </c>
      <c r="M6" s="499">
        <f>SUM(D19:J19)</f>
        <v>0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112.06639682178633</v>
      </c>
      <c r="G7" s="496"/>
      <c r="H7" s="497">
        <f>AVERAGE(D14:H14)</f>
        <v>109.3463640626339</v>
      </c>
      <c r="I7" s="497"/>
      <c r="J7" s="497">
        <f>AVERAGE(I14)</f>
        <v>125.6665606175485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0.90451822854348651</v>
      </c>
      <c r="G8" s="502"/>
      <c r="H8" s="502">
        <f>H7/H6</f>
        <v>0.9003370727559451</v>
      </c>
      <c r="I8" s="502"/>
      <c r="J8" s="502">
        <f>J7/J6</f>
        <v>0.923170325932404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VALUE('0619'!L15)</f>
        <v>150</v>
      </c>
      <c r="E13" s="13">
        <f>VALUE('0619'!L26)</f>
        <v>154.03603749191984</v>
      </c>
      <c r="F13" s="13">
        <f>VALUE('0619'!L37)</f>
        <v>92.230056980056986</v>
      </c>
      <c r="G13" s="13">
        <f>VALUE('0619'!L48)</f>
        <v>105.25098039215686</v>
      </c>
      <c r="H13" s="13">
        <f>VALUE('0619'!L58)</f>
        <v>105.73529411764706</v>
      </c>
      <c r="I13" s="13">
        <f>VALUE('0619'!L69)</f>
        <v>136.125</v>
      </c>
      <c r="J13" s="13">
        <f>'0619'!L79</f>
        <v>0</v>
      </c>
    </row>
    <row r="14" spans="2:15" ht="39.950000000000003" customHeight="1">
      <c r="B14" s="490"/>
      <c r="C14" s="12" t="s">
        <v>100</v>
      </c>
      <c r="D14" s="13">
        <f>VALUE('0619'!O15)</f>
        <v>131.18327272727325</v>
      </c>
      <c r="E14" s="13">
        <f>VALUE('0619'!O26)</f>
        <v>131.17508618832159</v>
      </c>
      <c r="F14" s="13">
        <f>VALUE('0619'!O37)</f>
        <v>85.203782565406115</v>
      </c>
      <c r="G14" s="13">
        <f>VALUE('0619'!O48)</f>
        <v>102.75163398692789</v>
      </c>
      <c r="H14" s="13">
        <f>VALUE('0619'!O58)</f>
        <v>96.418044845240658</v>
      </c>
      <c r="I14" s="13">
        <f>VALUE('0619'!O69)</f>
        <v>125.6665606175485</v>
      </c>
      <c r="J14" s="13">
        <f>'0619'!O79</f>
        <v>0</v>
      </c>
    </row>
    <row r="15" spans="2:15" ht="39.950000000000003" customHeight="1">
      <c r="B15" s="491"/>
      <c r="C15" s="10" t="s">
        <v>26</v>
      </c>
      <c r="D15" s="14">
        <f t="shared" ref="D15:I15" si="1">D14/D13</f>
        <v>0.87455515151515495</v>
      </c>
      <c r="E15" s="14">
        <f t="shared" si="1"/>
        <v>0.85158699434346685</v>
      </c>
      <c r="F15" s="14">
        <f t="shared" si="1"/>
        <v>0.92381795431211577</v>
      </c>
      <c r="G15" s="14">
        <f t="shared" si="1"/>
        <v>0.97625346200181118</v>
      </c>
      <c r="H15" s="14">
        <f t="shared" si="1"/>
        <v>0.9118813698854471</v>
      </c>
      <c r="I15" s="14">
        <f t="shared" si="1"/>
        <v>0.923170325932404</v>
      </c>
      <c r="J15" s="15">
        <f>'0619'!S70</f>
        <v>0</v>
      </c>
    </row>
    <row r="16" spans="2:15" ht="17.25" customHeight="1">
      <c r="B16" s="492" t="s">
        <v>101</v>
      </c>
      <c r="C16" s="10" t="s">
        <v>34</v>
      </c>
      <c r="D16" s="16">
        <f>'0619'!T5</f>
        <v>0.29375000000000001</v>
      </c>
      <c r="E16" s="16">
        <f>'0619'!T16</f>
        <v>0.29027777777777802</v>
      </c>
      <c r="F16" s="16">
        <f>'0619'!T27</f>
        <v>0.29166666666666702</v>
      </c>
      <c r="G16" s="16">
        <f>'0619'!T38</f>
        <v>0.33333333333333298</v>
      </c>
      <c r="H16" s="16">
        <f>'0619'!T49</f>
        <v>0.29166666666666702</v>
      </c>
      <c r="I16" s="16">
        <f>'0619'!T59</f>
        <v>0.28819444444444398</v>
      </c>
      <c r="J16" s="16">
        <f>'0619'!T70</f>
        <v>0</v>
      </c>
    </row>
    <row r="17" spans="2:10" ht="17.25" customHeight="1">
      <c r="B17" s="493"/>
      <c r="C17" s="10" t="s">
        <v>35</v>
      </c>
      <c r="D17" s="18">
        <v>0.47569444444444398</v>
      </c>
      <c r="E17" s="19">
        <v>0.47361111111111098</v>
      </c>
      <c r="F17" s="19">
        <v>0.57430555555555596</v>
      </c>
      <c r="G17" s="20">
        <v>0.49305555555555602</v>
      </c>
      <c r="H17" s="21">
        <v>0.55347222222222203</v>
      </c>
      <c r="I17" s="22">
        <v>0.62152777777777801</v>
      </c>
      <c r="J17" s="22">
        <v>0</v>
      </c>
    </row>
    <row r="18" spans="2:10" ht="17.25" customHeight="1">
      <c r="B18" s="494" t="s">
        <v>102</v>
      </c>
      <c r="C18" s="330" t="s">
        <v>36</v>
      </c>
      <c r="D18" s="358">
        <f>'0619'!Z15</f>
        <v>0</v>
      </c>
      <c r="E18" s="359">
        <f>'0619'!Z26</f>
        <v>0</v>
      </c>
      <c r="F18" s="359">
        <f>'0619'!Z37</f>
        <v>0</v>
      </c>
      <c r="G18" s="360">
        <f>'0619'!Z48</f>
        <v>0</v>
      </c>
      <c r="H18" s="360">
        <f>'0619'!Z58</f>
        <v>0</v>
      </c>
      <c r="I18" s="359">
        <f>'0619'!Z69</f>
        <v>0</v>
      </c>
      <c r="J18" s="359">
        <f>'0619'!AA79</f>
        <v>0</v>
      </c>
    </row>
    <row r="19" spans="2:10" ht="17.25" customHeight="1">
      <c r="B19" s="495"/>
      <c r="C19" s="330" t="s">
        <v>37</v>
      </c>
      <c r="D19" s="358">
        <f>'0619'!AA15</f>
        <v>0</v>
      </c>
      <c r="E19" s="359">
        <f>'0619'!AA26</f>
        <v>0</v>
      </c>
      <c r="F19" s="359">
        <f>'0619'!AA37</f>
        <v>0</v>
      </c>
      <c r="G19" s="360">
        <f>'0619'!AA48</f>
        <v>0</v>
      </c>
      <c r="H19" s="360">
        <f>'0619'!AA58</f>
        <v>0</v>
      </c>
      <c r="I19" s="359">
        <f>'0619'!AA69</f>
        <v>0</v>
      </c>
      <c r="J19" s="359">
        <f>'0619'!AB79</f>
        <v>0</v>
      </c>
    </row>
    <row r="20" spans="2:10" ht="17.25" customHeight="1">
      <c r="B20" s="494" t="s">
        <v>103</v>
      </c>
      <c r="C20" s="330" t="s">
        <v>36</v>
      </c>
      <c r="D20" s="358">
        <f>'0619'!AD15</f>
        <v>0</v>
      </c>
      <c r="E20" s="359">
        <f>'0619'!AD26</f>
        <v>0</v>
      </c>
      <c r="F20" s="359">
        <f>'0619'!AD37</f>
        <v>0</v>
      </c>
      <c r="G20" s="360">
        <f>'0619'!AD48</f>
        <v>0</v>
      </c>
      <c r="H20" s="360">
        <f>'0619'!AD58</f>
        <v>0</v>
      </c>
      <c r="I20" s="359">
        <f>'0619'!AD69</f>
        <v>0</v>
      </c>
      <c r="J20" s="359">
        <f>'0619'!AD79</f>
        <v>0</v>
      </c>
    </row>
    <row r="21" spans="2:10" ht="17.25" customHeight="1">
      <c r="B21" s="495"/>
      <c r="C21" s="330" t="s">
        <v>85</v>
      </c>
      <c r="D21" s="358">
        <f>'0619'!AE15</f>
        <v>0</v>
      </c>
      <c r="E21" s="359">
        <f>'0619'!AE26</f>
        <v>0</v>
      </c>
      <c r="F21" s="359">
        <f>'0619'!AE37</f>
        <v>0</v>
      </c>
      <c r="G21" s="360">
        <f>'0619'!AE48</f>
        <v>0</v>
      </c>
      <c r="H21" s="360">
        <f>'0619'!AE58</f>
        <v>0</v>
      </c>
      <c r="I21" s="359">
        <f>'0619'!AE69</f>
        <v>0</v>
      </c>
      <c r="J21" s="359">
        <f>'0619'!AE79</f>
        <v>0</v>
      </c>
    </row>
    <row r="22" spans="2:10" ht="17.25" customHeight="1">
      <c r="B22" s="477" t="s">
        <v>104</v>
      </c>
      <c r="C22" s="478"/>
      <c r="D22" s="23">
        <f>VALUE('0619'!M15)</f>
        <v>15</v>
      </c>
      <c r="E22" s="23">
        <f>VALUE('0619'!M26)</f>
        <v>14.75</v>
      </c>
      <c r="F22" s="23">
        <f>VALUE('0619'!M37)</f>
        <v>16.333333333333332</v>
      </c>
      <c r="G22" s="23">
        <f>VALUE('0619'!M48)</f>
        <v>15.5</v>
      </c>
      <c r="H22" s="23">
        <f>VALUE('0619'!M58)</f>
        <v>16</v>
      </c>
      <c r="I22" s="23">
        <f>VALUE('0619'!M69)</f>
        <v>11.833333333333334</v>
      </c>
      <c r="J22" s="23">
        <f>'0619'!M79</f>
        <v>0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C55D-B13A-4528-92A8-EBBB11FDAFFF}">
  <sheetPr>
    <tabColor theme="9" tint="0.79998168889431442"/>
  </sheetPr>
  <dimension ref="A1:AJ92"/>
  <sheetViews>
    <sheetView zoomScale="69" zoomScaleNormal="69" workbookViewId="0">
      <pane xSplit="5" ySplit="4" topLeftCell="F53" activePane="bottomRight" state="frozen"/>
      <selection activeCell="U64" sqref="U64"/>
      <selection pane="topRight" activeCell="U64" sqref="U64"/>
      <selection pane="bottomLeft" activeCell="U64" sqref="U64"/>
      <selection pane="bottomRight" activeCell="U64" sqref="U6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43813</v>
      </c>
      <c r="F1" s="30" t="s">
        <v>2</v>
      </c>
      <c r="G1" s="31">
        <f>SUM(H5:H79)</f>
        <v>2052883.0690000008</v>
      </c>
      <c r="H1" s="32" t="s">
        <v>3</v>
      </c>
      <c r="I1" s="33">
        <f>M15+M26+M48+M58+M69+M79+M37</f>
        <v>89.416666666666657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195</v>
      </c>
      <c r="B2" s="381"/>
      <c r="C2" s="28"/>
      <c r="D2" s="28" t="s">
        <v>14</v>
      </c>
      <c r="E2" s="35">
        <f>AVERAGE(O15,O26,O37,O48,O58,O69,O79)</f>
        <v>112.06639682178633</v>
      </c>
      <c r="F2" s="36" t="s">
        <v>15</v>
      </c>
      <c r="G2" s="37">
        <f>G1/E1</f>
        <v>46.855569556980825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1959</v>
      </c>
      <c r="H5" s="43">
        <f>F5*G5</f>
        <v>111408.33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1958.9999999999864</v>
      </c>
      <c r="O5" s="47">
        <f>N5/M5</f>
        <v>130.59999999999908</v>
      </c>
      <c r="P5" s="49">
        <f>M5-J5</f>
        <v>0</v>
      </c>
      <c r="Q5" s="50">
        <f>O5-L5</f>
        <v>-19.400000000000915</v>
      </c>
      <c r="R5" s="51">
        <f>O5/L5</f>
        <v>0.87066666666666059</v>
      </c>
      <c r="S5" s="439">
        <f>R15</f>
        <v>0.87455515151515495</v>
      </c>
      <c r="T5" s="319">
        <v>0.29375000000000001</v>
      </c>
      <c r="U5" s="320">
        <v>0.33541666666666697</v>
      </c>
      <c r="V5" s="53"/>
      <c r="W5" s="54">
        <f t="shared" ref="W5:W14" si="0">(U5-T5)*24*60</f>
        <v>60.000000000000426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-291.00000000001364</v>
      </c>
      <c r="AG5" s="52">
        <f t="shared" ref="AG5:AG11" si="2">N5/K5</f>
        <v>0.87066666666666059</v>
      </c>
      <c r="AH5" s="403">
        <f>AG15</f>
        <v>0.87455515151515517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1933</v>
      </c>
      <c r="H6" s="63">
        <f>F6*G6</f>
        <v>112442.61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2108.7272727272984</v>
      </c>
      <c r="O6" s="67">
        <f>N6/M6</f>
        <v>140.5818181818199</v>
      </c>
      <c r="P6" s="69">
        <f>M6-J6</f>
        <v>0</v>
      </c>
      <c r="Q6" s="70">
        <f>O6-L6</f>
        <v>-9.418181818180102</v>
      </c>
      <c r="R6" s="71">
        <f>O6/L6</f>
        <v>0.9372121212121326</v>
      </c>
      <c r="S6" s="440"/>
      <c r="T6" s="16">
        <v>0.343055555555556</v>
      </c>
      <c r="U6" s="16">
        <v>0.38124999999999998</v>
      </c>
      <c r="V6" s="30">
        <f>(T6-U5)*24*60</f>
        <v>11.000000000000201</v>
      </c>
      <c r="W6" s="73">
        <f t="shared" si="0"/>
        <v>54.999999999999325</v>
      </c>
      <c r="X6" s="22"/>
      <c r="Y6" s="84"/>
      <c r="Z6" s="90"/>
      <c r="AA6" s="90"/>
      <c r="AB6" s="434"/>
      <c r="AC6" s="434"/>
      <c r="AD6" s="149"/>
      <c r="AE6" s="149"/>
      <c r="AF6" s="307">
        <f t="shared" si="1"/>
        <v>-141.27272727270156</v>
      </c>
      <c r="AG6" s="72">
        <f t="shared" si="2"/>
        <v>0.9372121212121326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3824</v>
      </c>
      <c r="H7" s="78">
        <f>F7*G7</f>
        <v>187911.36000000002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1835.5200000000123</v>
      </c>
      <c r="O7" s="81">
        <f>N7/M7</f>
        <v>122.36800000000082</v>
      </c>
      <c r="P7" s="74">
        <f>M7-J7</f>
        <v>0</v>
      </c>
      <c r="Q7" s="83">
        <f>O7-L7</f>
        <v>-27.631999999999181</v>
      </c>
      <c r="R7" s="72">
        <f>O7/L7</f>
        <v>0.8157866666666721</v>
      </c>
      <c r="S7" s="440"/>
      <c r="T7" s="18">
        <v>0.38888888888888901</v>
      </c>
      <c r="U7" s="18">
        <v>0.47569444444444398</v>
      </c>
      <c r="V7" s="30">
        <f>(T7-U6)*24*60</f>
        <v>11.000000000000201</v>
      </c>
      <c r="W7" s="73">
        <f t="shared" si="0"/>
        <v>124.99999999999916</v>
      </c>
      <c r="X7" s="22"/>
      <c r="Y7" s="84"/>
      <c r="Z7" s="90"/>
      <c r="AA7" s="90"/>
      <c r="AB7" s="407"/>
      <c r="AC7" s="407"/>
      <c r="AD7" s="92"/>
      <c r="AE7" s="92"/>
      <c r="AF7" s="307">
        <f t="shared" si="1"/>
        <v>-414.47999999998774</v>
      </c>
      <c r="AG7" s="72">
        <f t="shared" si="2"/>
        <v>0.8157866666666721</v>
      </c>
      <c r="AH7" s="404"/>
    </row>
    <row r="8" spans="1:34" ht="15" customHeight="1">
      <c r="A8" s="43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40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34"/>
      <c r="AC8" s="434"/>
      <c r="AD8" s="149"/>
      <c r="AE8" s="149"/>
      <c r="AF8" s="307">
        <f t="shared" si="1"/>
        <v>0</v>
      </c>
      <c r="AG8" s="72" t="e">
        <f t="shared" si="2"/>
        <v>#DIV/0!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0</v>
      </c>
      <c r="AG9" s="72" t="e">
        <f t="shared" si="2"/>
        <v>#DIV/0!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1967.7490909090991</v>
      </c>
      <c r="O15" s="117">
        <f t="shared" si="3"/>
        <v>131.18327272727325</v>
      </c>
      <c r="P15" s="121">
        <f>M15-J15</f>
        <v>0</v>
      </c>
      <c r="Q15" s="122">
        <f>O15-L15</f>
        <v>-18.816727272726752</v>
      </c>
      <c r="R15" s="123">
        <f>O15/L15</f>
        <v>0.87455515151515495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-282.2509090909009</v>
      </c>
      <c r="AG15" s="124">
        <f>N15/K15</f>
        <v>0.87455515151515517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2740</v>
      </c>
      <c r="H16" s="134">
        <f>F16*G16</f>
        <v>138835.80000000002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2055.0000000000218</v>
      </c>
      <c r="O16" s="141">
        <f>N16/M16</f>
        <v>146.78571428571584</v>
      </c>
      <c r="P16" s="142">
        <f>M16-J16</f>
        <v>0</v>
      </c>
      <c r="Q16" s="143">
        <f>O16-L16</f>
        <v>-13.928571428569882</v>
      </c>
      <c r="R16" s="144">
        <f>O16/L16</f>
        <v>0.91333333333334299</v>
      </c>
      <c r="S16" s="425">
        <f>R26</f>
        <v>0.85158699434346685</v>
      </c>
      <c r="T16" s="145">
        <v>0.29027777777777802</v>
      </c>
      <c r="U16" s="145">
        <v>0.34583333333333299</v>
      </c>
      <c r="V16" s="135"/>
      <c r="W16" s="146">
        <f t="shared" ref="W16:W78" si="4">(U16-T16)*24*60</f>
        <v>79.999999999999162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-194.99999999997817</v>
      </c>
      <c r="AG16" s="52">
        <f>N16/K16</f>
        <v>0.91333333333334299</v>
      </c>
      <c r="AH16" s="403">
        <f>AG26</f>
        <v>0.85192592592592642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1351</v>
      </c>
      <c r="H17" s="78">
        <f>F17*G17</f>
        <v>77290.710000000006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1801.3333333333333</v>
      </c>
      <c r="O17" s="96">
        <f>N17/M17</f>
        <v>105.96078431372548</v>
      </c>
      <c r="P17" s="97">
        <f>M17-J17</f>
        <v>0</v>
      </c>
      <c r="Q17" s="98">
        <f>O17-L17</f>
        <v>-26.392156862745097</v>
      </c>
      <c r="R17" s="99">
        <f>O17/L17</f>
        <v>0.80059259259259263</v>
      </c>
      <c r="S17" s="426"/>
      <c r="T17" s="19">
        <v>0.35347222222222202</v>
      </c>
      <c r="U17" s="19">
        <v>0.38472222222222202</v>
      </c>
      <c r="V17" s="30">
        <f>(T17-U16)*24*60</f>
        <v>11.000000000000201</v>
      </c>
      <c r="W17" s="149">
        <f t="shared" si="4"/>
        <v>45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-448.66666666666674</v>
      </c>
      <c r="AG17" s="72">
        <f>N17/K17</f>
        <v>0.80059259259259252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689</v>
      </c>
      <c r="H18" s="78">
        <f>F18*G18</f>
        <v>39004.29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2066.9999999999823</v>
      </c>
      <c r="O18" s="96">
        <f>N18/M18</f>
        <v>137.79999999999882</v>
      </c>
      <c r="P18" s="97">
        <f>M18-J18</f>
        <v>0</v>
      </c>
      <c r="Q18" s="98">
        <f>O18-L18</f>
        <v>-12.200000000001182</v>
      </c>
      <c r="R18" s="99">
        <f>O18/L18</f>
        <v>0.91866666666665875</v>
      </c>
      <c r="S18" s="426"/>
      <c r="T18" s="19">
        <v>0.390972222222222</v>
      </c>
      <c r="U18" s="19">
        <v>0.40486111111111101</v>
      </c>
      <c r="V18" s="30">
        <f>(T18-U17)*24*60</f>
        <v>8.999999999999968</v>
      </c>
      <c r="W18" s="149">
        <f t="shared" si="4"/>
        <v>20.000000000000171</v>
      </c>
      <c r="X18" s="22">
        <v>0.48611111111111099</v>
      </c>
      <c r="Y18" s="84">
        <v>0.52777777777777801</v>
      </c>
      <c r="Z18" s="90"/>
      <c r="AA18" s="90"/>
      <c r="AB18" s="407"/>
      <c r="AC18" s="407"/>
      <c r="AD18" s="92"/>
      <c r="AE18" s="92"/>
      <c r="AF18" s="307">
        <f>N18-K18</f>
        <v>-183.00000000001774</v>
      </c>
      <c r="AG18" s="72">
        <f>N18/K18</f>
        <v>0.91866666666665875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2616</v>
      </c>
      <c r="H19" s="78">
        <f>F19*G19</f>
        <v>131820.24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>K19/J19</f>
        <v>173.07692307692307</v>
      </c>
      <c r="M19" s="148">
        <v>13</v>
      </c>
      <c r="N19" s="95">
        <f>G19/W19*60</f>
        <v>1744</v>
      </c>
      <c r="O19" s="96">
        <f>N19/M19</f>
        <v>134.15384615384616</v>
      </c>
      <c r="P19" s="97">
        <f>M19-J19</f>
        <v>0</v>
      </c>
      <c r="Q19" s="98">
        <f>O19-L19</f>
        <v>-38.923076923076906</v>
      </c>
      <c r="R19" s="99">
        <f>O19/L19</f>
        <v>0.7751111111111112</v>
      </c>
      <c r="S19" s="426"/>
      <c r="T19" s="19">
        <v>0.41111111111111098</v>
      </c>
      <c r="U19" s="19">
        <v>0.47361111111111098</v>
      </c>
      <c r="V19" s="30">
        <f>(T19-U18)*24*60</f>
        <v>8.999999999999968</v>
      </c>
      <c r="W19" s="149">
        <f t="shared" si="4"/>
        <v>90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-506</v>
      </c>
      <c r="AG19" s="72">
        <f>N19/K19</f>
        <v>0.77511111111111108</v>
      </c>
      <c r="AH19" s="405"/>
    </row>
    <row r="20" spans="1:34" ht="15" customHeight="1">
      <c r="A20" s="42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6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6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50"/>
      <c r="U22" s="150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4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5">AVERAGE(J16:J25)</f>
        <v>14.75</v>
      </c>
      <c r="K26" s="155">
        <f t="shared" si="5"/>
        <v>2250</v>
      </c>
      <c r="L26" s="158">
        <f t="shared" si="5"/>
        <v>154.03603749191984</v>
      </c>
      <c r="M26" s="155">
        <f t="shared" si="5"/>
        <v>14.75</v>
      </c>
      <c r="N26" s="155">
        <f t="shared" si="5"/>
        <v>1916.8333333333344</v>
      </c>
      <c r="O26" s="158">
        <f t="shared" si="5"/>
        <v>131.17508618832159</v>
      </c>
      <c r="P26" s="159">
        <f>M26-J26</f>
        <v>0</v>
      </c>
      <c r="Q26" s="160">
        <f>O26-L26</f>
        <v>-22.860951303598256</v>
      </c>
      <c r="R26" s="161">
        <f>O26/L26</f>
        <v>0.85158699434346685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6">N26-K26</f>
        <v>-333.16666666666561</v>
      </c>
      <c r="AG26" s="124">
        <f t="shared" ref="AG26:AG31" si="7">N26/K26</f>
        <v>0.85192592592592642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57.21</v>
      </c>
      <c r="G27" s="169">
        <v>330</v>
      </c>
      <c r="H27" s="134">
        <f>F27*G27</f>
        <v>18879.3</v>
      </c>
      <c r="I27" s="135"/>
      <c r="J27" s="136">
        <f>VLOOKUP(D27,產線配置圖!$A$3:$C$40,2,0)</f>
        <v>18</v>
      </c>
      <c r="K27" s="137">
        <f>VLOOKUP(D27,產線配置圖!$A$3:$C$40,3,0)</f>
        <v>1565</v>
      </c>
      <c r="L27" s="138">
        <f>K27/J27</f>
        <v>86.944444444444443</v>
      </c>
      <c r="M27" s="170">
        <v>17</v>
      </c>
      <c r="N27" s="140">
        <f>G27/W27*60</f>
        <v>1320.0000000000891</v>
      </c>
      <c r="O27" s="141">
        <f>N27/M27</f>
        <v>77.64705882353465</v>
      </c>
      <c r="P27" s="142">
        <f>M27-J27</f>
        <v>-1</v>
      </c>
      <c r="Q27" s="143">
        <f>O27-L27</f>
        <v>-9.2973856209097931</v>
      </c>
      <c r="R27" s="144">
        <f>O27/L27</f>
        <v>0.89306521330582989</v>
      </c>
      <c r="S27" s="425">
        <f>R37</f>
        <v>0.92381795431211577</v>
      </c>
      <c r="T27" s="171">
        <v>0.29166666666666702</v>
      </c>
      <c r="U27" s="171">
        <v>0.30208333333333298</v>
      </c>
      <c r="V27" s="135"/>
      <c r="W27" s="146">
        <f t="shared" si="4"/>
        <v>14.999999999998987</v>
      </c>
      <c r="X27" s="135"/>
      <c r="Y27" s="300" t="s">
        <v>46</v>
      </c>
      <c r="Z27" s="169"/>
      <c r="AA27" s="169"/>
      <c r="AB27" s="429" t="s">
        <v>140</v>
      </c>
      <c r="AC27" s="429"/>
      <c r="AD27" s="135"/>
      <c r="AE27" s="135"/>
      <c r="AF27" s="310">
        <f t="shared" si="6"/>
        <v>-244.99999999991087</v>
      </c>
      <c r="AG27" s="172">
        <f t="shared" si="7"/>
        <v>0.84345047923328376</v>
      </c>
      <c r="AH27" s="403">
        <f>AG37</f>
        <v>0.88277068270992509</v>
      </c>
    </row>
    <row r="28" spans="1:34" ht="15" customHeight="1">
      <c r="A28" s="457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781</v>
      </c>
      <c r="H28" s="91">
        <f>F28*G28</f>
        <v>44681.01</v>
      </c>
      <c r="I28" s="92"/>
      <c r="J28" s="79">
        <f>VLOOKUP(D28,產線配置圖!$A$3:$C$40,2,0)</f>
        <v>18</v>
      </c>
      <c r="K28" s="80">
        <v>1636</v>
      </c>
      <c r="L28" s="93">
        <f>K28/J28</f>
        <v>90.888888888888886</v>
      </c>
      <c r="M28" s="94">
        <v>17</v>
      </c>
      <c r="N28" s="95">
        <f>G28/W28*60</f>
        <v>1464.3750000000161</v>
      </c>
      <c r="O28" s="96">
        <f>N28/M28</f>
        <v>86.139705882353894</v>
      </c>
      <c r="P28" s="97">
        <f>M28-J28</f>
        <v>-1</v>
      </c>
      <c r="Q28" s="98">
        <f>O28-L28</f>
        <v>-4.7491830065349916</v>
      </c>
      <c r="R28" s="99">
        <f>O28/L28</f>
        <v>0.94774737523372254</v>
      </c>
      <c r="S28" s="426"/>
      <c r="T28" s="19">
        <v>0.30763888888888902</v>
      </c>
      <c r="U28" s="19">
        <v>0.32986111111111099</v>
      </c>
      <c r="V28" s="92">
        <f>(T28-U27)*24*60</f>
        <v>8.000000000000691</v>
      </c>
      <c r="W28" s="149">
        <f t="shared" si="4"/>
        <v>31.999999999999645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6"/>
        <v>-171.62499999998386</v>
      </c>
      <c r="AG28" s="99">
        <f t="shared" si="7"/>
        <v>0.89509474327629346</v>
      </c>
      <c r="AH28" s="445"/>
    </row>
    <row r="29" spans="1:34" ht="15" customHeight="1">
      <c r="A29" s="457"/>
      <c r="B29" s="75" t="s">
        <v>81</v>
      </c>
      <c r="C29" s="173"/>
      <c r="D29" s="59" t="s">
        <v>123</v>
      </c>
      <c r="E29" s="104"/>
      <c r="F29" s="75">
        <f>VLOOKUP(D29,廠價表!$C$1:$E$43,3,0)</f>
        <v>50.67</v>
      </c>
      <c r="G29" s="90">
        <v>1026</v>
      </c>
      <c r="H29" s="91">
        <f>F29*G29</f>
        <v>51987.42</v>
      </c>
      <c r="I29" s="92"/>
      <c r="J29" s="79">
        <f>VLOOKUP(D29,產線配置圖!$A$3:$C$40,2,0)</f>
        <v>13</v>
      </c>
      <c r="K29" s="80">
        <f>VLOOKUP(D29,產線配置圖!$A$3:$C$40,3,0)</f>
        <v>1440</v>
      </c>
      <c r="L29" s="93">
        <f>K29/J29</f>
        <v>110.76923076923077</v>
      </c>
      <c r="M29" s="94">
        <v>13</v>
      </c>
      <c r="N29" s="95">
        <f>G29/W29*60</f>
        <v>1256.3265306122742</v>
      </c>
      <c r="O29" s="96">
        <f>N29/M29</f>
        <v>96.640502354790314</v>
      </c>
      <c r="P29" s="97">
        <f>M29-J29</f>
        <v>0</v>
      </c>
      <c r="Q29" s="98">
        <f>O29-L29</f>
        <v>-14.128728414440459</v>
      </c>
      <c r="R29" s="99">
        <f>O29/L29</f>
        <v>0.87244897959185697</v>
      </c>
      <c r="S29" s="426"/>
      <c r="T29" s="19">
        <v>0.33680555555555602</v>
      </c>
      <c r="U29" s="19">
        <v>0.37083333333333302</v>
      </c>
      <c r="V29" s="92">
        <f>(T29-U28)*24*60</f>
        <v>10.000000000000844</v>
      </c>
      <c r="W29" s="149">
        <f t="shared" si="4"/>
        <v>48.999999999998863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6"/>
        <v>-183.67346938772585</v>
      </c>
      <c r="AG29" s="99">
        <f t="shared" si="7"/>
        <v>0.87244897959185708</v>
      </c>
      <c r="AH29" s="445"/>
    </row>
    <row r="30" spans="1:34" ht="15" customHeight="1">
      <c r="A30" s="457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1343</v>
      </c>
      <c r="H30" s="91">
        <f t="shared" ref="H30:H32" si="8">F30*G30</f>
        <v>76833.03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2" si="9">K30/J30</f>
        <v>90.888888888888886</v>
      </c>
      <c r="M30" s="94">
        <v>17</v>
      </c>
      <c r="N30" s="95">
        <f t="shared" ref="N30:N32" si="10">G30/W30*60</f>
        <v>1465.0909090908865</v>
      </c>
      <c r="O30" s="96">
        <f t="shared" ref="O30:O32" si="11">N30/M30</f>
        <v>86.181818181816851</v>
      </c>
      <c r="P30" s="97">
        <f t="shared" ref="P30:P32" si="12">M30-J30</f>
        <v>-1</v>
      </c>
      <c r="Q30" s="98">
        <f t="shared" ref="Q30:Q32" si="13">O30-L30</f>
        <v>-4.7070707070720346</v>
      </c>
      <c r="R30" s="99">
        <f t="shared" ref="R30:R32" si="14">O30/L30</f>
        <v>0.94821071349187247</v>
      </c>
      <c r="S30" s="426"/>
      <c r="T30" s="19">
        <v>0.37708333333333299</v>
      </c>
      <c r="U30" s="19">
        <v>0.41527777777777802</v>
      </c>
      <c r="V30" s="92">
        <f t="shared" ref="V30:V32" si="15">(T30-U29)*24*60</f>
        <v>8.999999999999968</v>
      </c>
      <c r="W30" s="149">
        <f t="shared" si="4"/>
        <v>55.000000000000846</v>
      </c>
      <c r="X30" s="174">
        <v>0.49652777777777801</v>
      </c>
      <c r="Y30" s="301">
        <v>0.53819444444444398</v>
      </c>
      <c r="Z30" s="335"/>
      <c r="AA30" s="335"/>
      <c r="AB30" s="407"/>
      <c r="AC30" s="407"/>
      <c r="AD30" s="92"/>
      <c r="AE30" s="92"/>
      <c r="AF30" s="312">
        <f t="shared" si="6"/>
        <v>-170.9090909091135</v>
      </c>
      <c r="AG30" s="99">
        <f t="shared" si="7"/>
        <v>0.89553234052010178</v>
      </c>
      <c r="AH30" s="446"/>
    </row>
    <row r="31" spans="1:34" ht="15" customHeight="1">
      <c r="A31" s="457"/>
      <c r="B31" s="75" t="s">
        <v>81</v>
      </c>
      <c r="C31" s="102"/>
      <c r="D31" s="175" t="s">
        <v>168</v>
      </c>
      <c r="E31" s="176"/>
      <c r="F31" s="75">
        <f>VLOOKUP(D31,廠價表!$C$1:$E$43,3,0)</f>
        <v>57.21</v>
      </c>
      <c r="G31" s="90">
        <v>1566</v>
      </c>
      <c r="H31" s="91">
        <f t="shared" si="8"/>
        <v>89590.86</v>
      </c>
      <c r="I31" s="92"/>
      <c r="J31" s="79">
        <f>VLOOKUP(D31,產線配置圖!$A$3:$C$40,2,0)</f>
        <v>18</v>
      </c>
      <c r="K31" s="80">
        <f>VLOOKUP(D31,產線配置圖!$A$3:$C$40,3,0)</f>
        <v>1565</v>
      </c>
      <c r="L31" s="93">
        <f t="shared" si="9"/>
        <v>86.944444444444443</v>
      </c>
      <c r="M31" s="94">
        <v>17</v>
      </c>
      <c r="N31" s="95">
        <f t="shared" si="10"/>
        <v>1381.7647058823302</v>
      </c>
      <c r="O31" s="96">
        <f t="shared" si="11"/>
        <v>81.280276816607653</v>
      </c>
      <c r="P31" s="97">
        <f t="shared" si="12"/>
        <v>-1</v>
      </c>
      <c r="Q31" s="98">
        <f t="shared" si="13"/>
        <v>-5.6641676278367896</v>
      </c>
      <c r="R31" s="99">
        <f t="shared" si="14"/>
        <v>0.93485302408877813</v>
      </c>
      <c r="S31" s="426"/>
      <c r="T31" s="19">
        <v>0.420833333333333</v>
      </c>
      <c r="U31" s="19">
        <v>0.468055555555556</v>
      </c>
      <c r="V31" s="92">
        <f t="shared" si="15"/>
        <v>7.9999999999991722</v>
      </c>
      <c r="W31" s="149">
        <f t="shared" si="4"/>
        <v>68.000000000001123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6"/>
        <v>-183.23529411766981</v>
      </c>
      <c r="AG31" s="99">
        <f t="shared" si="7"/>
        <v>0.88291674497273498</v>
      </c>
      <c r="AH31" s="405"/>
    </row>
    <row r="32" spans="1:34" ht="15" customHeight="1">
      <c r="A32" s="457"/>
      <c r="B32" s="75" t="s">
        <v>81</v>
      </c>
      <c r="C32" s="102"/>
      <c r="D32" s="175" t="s">
        <v>168</v>
      </c>
      <c r="E32" s="176"/>
      <c r="F32" s="75">
        <f>VLOOKUP(D32,廠價表!$C$1:$E$43,3,0)</f>
        <v>57.21</v>
      </c>
      <c r="G32" s="90">
        <v>1700</v>
      </c>
      <c r="H32" s="91">
        <f t="shared" si="8"/>
        <v>97257</v>
      </c>
      <c r="I32" s="92"/>
      <c r="J32" s="79">
        <f>VLOOKUP(D32,產線配置圖!$A$3:$C$40,2,0)</f>
        <v>18</v>
      </c>
      <c r="K32" s="80">
        <f>VLOOKUP(D32,產線配置圖!$A$3:$C$40,3,0)</f>
        <v>1565</v>
      </c>
      <c r="L32" s="93">
        <f t="shared" si="9"/>
        <v>86.944444444444443</v>
      </c>
      <c r="M32" s="94">
        <v>17</v>
      </c>
      <c r="N32" s="95">
        <f t="shared" si="10"/>
        <v>1416.6666666666686</v>
      </c>
      <c r="O32" s="96">
        <f t="shared" si="11"/>
        <v>83.333333333333442</v>
      </c>
      <c r="P32" s="97">
        <f t="shared" si="12"/>
        <v>-1</v>
      </c>
      <c r="Q32" s="98">
        <f t="shared" si="13"/>
        <v>-3.6111111111110006</v>
      </c>
      <c r="R32" s="99">
        <f t="shared" si="14"/>
        <v>0.95846645367412264</v>
      </c>
      <c r="S32" s="426"/>
      <c r="T32" s="19">
        <v>0.52430555555555602</v>
      </c>
      <c r="U32" s="19">
        <v>0.57430555555555596</v>
      </c>
      <c r="V32" s="92">
        <f t="shared" si="15"/>
        <v>81.000000000000028</v>
      </c>
      <c r="W32" s="149">
        <f t="shared" si="4"/>
        <v>71.999999999999901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16">AVERAGE(J27:J36)</f>
        <v>17.166666666666668</v>
      </c>
      <c r="K37" s="155">
        <f t="shared" si="16"/>
        <v>1567.8333333333333</v>
      </c>
      <c r="L37" s="158">
        <f t="shared" si="16"/>
        <v>92.230056980056986</v>
      </c>
      <c r="M37" s="155">
        <f t="shared" si="16"/>
        <v>16.333333333333332</v>
      </c>
      <c r="N37" s="155">
        <f t="shared" si="16"/>
        <v>1384.0373020420441</v>
      </c>
      <c r="O37" s="158">
        <f t="shared" si="16"/>
        <v>85.203782565406115</v>
      </c>
      <c r="P37" s="159">
        <f>M37-J37</f>
        <v>-0.8333333333333357</v>
      </c>
      <c r="Q37" s="160">
        <f>N37-K37</f>
        <v>-183.79603129128918</v>
      </c>
      <c r="R37" s="161">
        <f>O37/L37</f>
        <v>0.92381795431211577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-183.79603129128918</v>
      </c>
      <c r="AG37" s="124">
        <f>N37/K37</f>
        <v>0.88277068270992509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2360</v>
      </c>
      <c r="H38" s="134">
        <f>F38*G38</f>
        <v>117787.59999999999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1665.8823529411698</v>
      </c>
      <c r="O38" s="141">
        <f>N38/M38</f>
        <v>111.05882352941131</v>
      </c>
      <c r="P38" s="142">
        <f>M38-J38</f>
        <v>0</v>
      </c>
      <c r="Q38" s="143">
        <f>O38-L38</f>
        <v>-3.2078431372553524</v>
      </c>
      <c r="R38" s="144">
        <f>O38/L38</f>
        <v>0.97192669366462647</v>
      </c>
      <c r="S38" s="453">
        <f>R48</f>
        <v>0.97625346200181118</v>
      </c>
      <c r="T38" s="191">
        <v>0.33333333333333298</v>
      </c>
      <c r="U38" s="191">
        <v>0.39236111111111099</v>
      </c>
      <c r="V38" s="192"/>
      <c r="W38" s="193">
        <f t="shared" si="4"/>
        <v>85.000000000000341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-48.117647058830244</v>
      </c>
      <c r="AG38" s="195">
        <f>N38/K38</f>
        <v>0.97192669366462647</v>
      </c>
      <c r="AH38" s="459">
        <f>AG48</f>
        <v>0.94835625792605405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3400</v>
      </c>
      <c r="H39" s="91">
        <f>F39*G39</f>
        <v>150620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16</v>
      </c>
      <c r="N39" s="202">
        <f>G39/W39*60</f>
        <v>1511.1111111111113</v>
      </c>
      <c r="O39" s="203">
        <f>N39/M39</f>
        <v>94.444444444444457</v>
      </c>
      <c r="P39" s="97">
        <f>M39-J39</f>
        <v>-1</v>
      </c>
      <c r="Q39" s="98">
        <f>O39-L39</f>
        <v>-1.7908496732026009</v>
      </c>
      <c r="R39" s="99">
        <f>O39/L39</f>
        <v>0.98139092637870162</v>
      </c>
      <c r="S39" s="454"/>
      <c r="T39" s="20">
        <v>0.39930555555555602</v>
      </c>
      <c r="U39" s="20">
        <v>0.49305555555555602</v>
      </c>
      <c r="V39" s="92">
        <f>(T39-U38)*24*60</f>
        <v>10.000000000000844</v>
      </c>
      <c r="W39" s="205">
        <f t="shared" si="4"/>
        <v>135</v>
      </c>
      <c r="X39" s="22"/>
      <c r="Y39" s="84"/>
      <c r="Z39" s="90"/>
      <c r="AA39" s="90"/>
      <c r="AB39" s="462"/>
      <c r="AC39" s="462"/>
      <c r="AD39" s="200"/>
      <c r="AE39" s="200"/>
      <c r="AF39" s="314">
        <f>N39-K39</f>
        <v>-124.88888888888869</v>
      </c>
      <c r="AG39" s="206">
        <f>N39/K39</f>
        <v>0.92366204835642496</v>
      </c>
      <c r="AH39" s="460"/>
    </row>
    <row r="40" spans="1:34" ht="15" customHeight="1">
      <c r="A40" s="451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40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0</v>
      </c>
      <c r="AG40" s="206" t="e">
        <f>N40/K40</f>
        <v>#DIV/0!</v>
      </c>
      <c r="AH40" s="460"/>
    </row>
    <row r="41" spans="1:34" ht="15" customHeight="1">
      <c r="A41" s="45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40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0</v>
      </c>
      <c r="AG41" s="206" t="e">
        <f>N41/K41</f>
        <v>#DIV/0!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17">AVERAGE(J38:J47)</f>
        <v>16</v>
      </c>
      <c r="K48" s="155">
        <f t="shared" si="17"/>
        <v>1675</v>
      </c>
      <c r="L48" s="158">
        <f t="shared" si="17"/>
        <v>105.25098039215686</v>
      </c>
      <c r="M48" s="155">
        <f t="shared" si="17"/>
        <v>15.5</v>
      </c>
      <c r="N48" s="155">
        <f t="shared" si="17"/>
        <v>1588.4967320261405</v>
      </c>
      <c r="O48" s="158">
        <f t="shared" si="17"/>
        <v>102.75163398692789</v>
      </c>
      <c r="P48" s="221">
        <f>M48-J48</f>
        <v>-0.5</v>
      </c>
      <c r="Q48" s="222">
        <f>N48-K48</f>
        <v>-86.503267973859465</v>
      </c>
      <c r="R48" s="223">
        <f>O48/L48</f>
        <v>0.97625346200181118</v>
      </c>
      <c r="S48" s="443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18">N48-K48</f>
        <v>-86.503267973859465</v>
      </c>
      <c r="AG48" s="162">
        <f t="shared" ref="AG48:AG53" si="19">N48/K48</f>
        <v>0.94835625792605405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1727</v>
      </c>
      <c r="H49" s="134">
        <f>F49*G49</f>
        <v>85521.040000000008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16</v>
      </c>
      <c r="N49" s="140">
        <f>G49/W49*60</f>
        <v>1459.4366197183265</v>
      </c>
      <c r="O49" s="141">
        <f>N49/M49</f>
        <v>91.214788732395405</v>
      </c>
      <c r="P49" s="229">
        <f>M49-J49</f>
        <v>-1</v>
      </c>
      <c r="Q49" s="230">
        <f>O49-L49</f>
        <v>-14.667564208781059</v>
      </c>
      <c r="R49" s="52">
        <f>O49/L49</f>
        <v>0.86147300469484556</v>
      </c>
      <c r="S49" s="439">
        <f>R58</f>
        <v>0.9118813698854471</v>
      </c>
      <c r="T49" s="191">
        <v>0.29166666666666702</v>
      </c>
      <c r="U49" s="191">
        <v>0.34097222222222201</v>
      </c>
      <c r="V49" s="55"/>
      <c r="W49" s="193">
        <f t="shared" si="4"/>
        <v>70.99999999999919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18"/>
        <v>-340.56338028167352</v>
      </c>
      <c r="AG49" s="52">
        <f t="shared" si="19"/>
        <v>0.81079812206573698</v>
      </c>
      <c r="AH49" s="403">
        <f>AG58</f>
        <v>0.88178264277068419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2111</v>
      </c>
      <c r="H50" s="231">
        <f>F50*G50</f>
        <v>106160.079</v>
      </c>
      <c r="I50" s="232"/>
      <c r="J50" s="79">
        <v>17</v>
      </c>
      <c r="K50" s="80">
        <f>VLOOKUP(D50,產線配置圖!$A$3:$C$40,3,0)</f>
        <v>1565</v>
      </c>
      <c r="L50" s="81">
        <f>K50/J50</f>
        <v>92.058823529411768</v>
      </c>
      <c r="M50" s="233">
        <v>17</v>
      </c>
      <c r="N50" s="234">
        <f>G50/W50*60</f>
        <v>1407.3333333333333</v>
      </c>
      <c r="O50" s="235">
        <f>N50/M50</f>
        <v>82.784313725490193</v>
      </c>
      <c r="P50" s="74">
        <f>M50-J50</f>
        <v>0</v>
      </c>
      <c r="Q50" s="83">
        <f>O50-L50</f>
        <v>-9.2745098039215748</v>
      </c>
      <c r="R50" s="72">
        <f>O50/L50</f>
        <v>0.89925452609158674</v>
      </c>
      <c r="S50" s="440"/>
      <c r="T50" s="21">
        <v>0.34583333333333299</v>
      </c>
      <c r="U50" s="21">
        <v>0.40833333333333299</v>
      </c>
      <c r="V50" s="30">
        <f>(T50-U49)*24*60</f>
        <v>6.9999999999998153</v>
      </c>
      <c r="W50" s="236">
        <f t="shared" si="4"/>
        <v>90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18"/>
        <v>-157.66666666666674</v>
      </c>
      <c r="AG50" s="72">
        <f t="shared" si="19"/>
        <v>0.89925452609158674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f>VLOOKUP(D51,廠價表!$C$1:$E$43,3,0)</f>
        <v>49.97</v>
      </c>
      <c r="G51" s="202">
        <v>1729</v>
      </c>
      <c r="H51" s="231">
        <f>F51*G51</f>
        <v>86398.13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1595.9999999999959</v>
      </c>
      <c r="O51" s="235">
        <f>N51/M51</f>
        <v>99.749999999999744</v>
      </c>
      <c r="P51" s="74">
        <f>M51-J51</f>
        <v>0</v>
      </c>
      <c r="Q51" s="83">
        <f>O51-L51</f>
        <v>-12.750000000000256</v>
      </c>
      <c r="R51" s="72">
        <f>O51/L51</f>
        <v>0.88666666666666438</v>
      </c>
      <c r="S51" s="440"/>
      <c r="T51" s="21">
        <v>0.41319444444444398</v>
      </c>
      <c r="U51" s="19">
        <v>0.45833333333333298</v>
      </c>
      <c r="V51" s="30">
        <f>(T51-U50)*24*60</f>
        <v>6.9999999999998153</v>
      </c>
      <c r="W51" s="236">
        <f t="shared" si="4"/>
        <v>65.000000000000171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18"/>
        <v>-204.00000000000409</v>
      </c>
      <c r="AG51" s="72">
        <f t="shared" si="19"/>
        <v>0.88666666666666438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f>VLOOKUP(D52,廠價表!$C$1:$E$43,3,0)</f>
        <v>49.97</v>
      </c>
      <c r="G52" s="202">
        <v>1455</v>
      </c>
      <c r="H52" s="231">
        <f>F52*G52</f>
        <v>72706.349999999991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>G52/W52*60</f>
        <v>1678.8461538461597</v>
      </c>
      <c r="O52" s="235">
        <f>N52/M52</f>
        <v>111.92307692307732</v>
      </c>
      <c r="P52" s="74">
        <f>M52-J52</f>
        <v>-1</v>
      </c>
      <c r="Q52" s="83">
        <f>O52-L52</f>
        <v>-0.5769230769226823</v>
      </c>
      <c r="R52" s="72">
        <f>O52/L52</f>
        <v>0.99487179487179833</v>
      </c>
      <c r="S52" s="440"/>
      <c r="T52" s="21">
        <v>0.51736111111111105</v>
      </c>
      <c r="U52" s="21">
        <v>0.55347222222222203</v>
      </c>
      <c r="V52" s="30">
        <f>(T52-U51)*24*60</f>
        <v>85.000000000000412</v>
      </c>
      <c r="W52" s="236">
        <f t="shared" si="4"/>
        <v>51.999999999999815</v>
      </c>
      <c r="X52" s="22">
        <v>0.47916666666666702</v>
      </c>
      <c r="Y52" s="84">
        <v>0.52083333333333304</v>
      </c>
      <c r="Z52" s="90"/>
      <c r="AA52" s="90"/>
      <c r="AB52" s="407"/>
      <c r="AC52" s="407"/>
      <c r="AD52" s="92"/>
      <c r="AE52" s="92"/>
      <c r="AF52" s="307">
        <f t="shared" si="18"/>
        <v>-121.15384615384028</v>
      </c>
      <c r="AG52" s="72">
        <f t="shared" si="19"/>
        <v>0.93269230769231093</v>
      </c>
      <c r="AH52" s="404"/>
    </row>
    <row r="53" spans="1:34" ht="15" customHeight="1">
      <c r="A53" s="46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40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18"/>
        <v>0</v>
      </c>
      <c r="AG53" s="72" t="e">
        <f t="shared" si="19"/>
        <v>#DIV/0!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20">AVERAGE(J49:J57)</f>
        <v>16.5</v>
      </c>
      <c r="K58" s="120">
        <f t="shared" si="20"/>
        <v>1741.25</v>
      </c>
      <c r="L58" s="117">
        <f t="shared" si="20"/>
        <v>105.73529411764706</v>
      </c>
      <c r="M58" s="120">
        <f t="shared" si="20"/>
        <v>16</v>
      </c>
      <c r="N58" s="120">
        <f t="shared" si="20"/>
        <v>1535.4040267244538</v>
      </c>
      <c r="O58" s="117">
        <f t="shared" si="20"/>
        <v>96.418044845240658</v>
      </c>
      <c r="P58" s="121">
        <f>M58-J58</f>
        <v>-0.5</v>
      </c>
      <c r="Q58" s="122">
        <f>N58-K58</f>
        <v>-205.84597327554616</v>
      </c>
      <c r="R58" s="123">
        <f>O58/L58</f>
        <v>0.9118813698854471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-205.84597327554616</v>
      </c>
      <c r="AG58" s="124">
        <f>N58/K58</f>
        <v>0.88178264277068419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2741</v>
      </c>
      <c r="H59" s="243">
        <f>F59*G59</f>
        <v>73979.59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1495.0909090909067</v>
      </c>
      <c r="O59" s="138">
        <f>N59/M59</f>
        <v>99.672727272727116</v>
      </c>
      <c r="P59" s="56">
        <f>M59-J59</f>
        <v>0</v>
      </c>
      <c r="Q59" s="230">
        <f>O59-L59</f>
        <v>-4.660606060606213</v>
      </c>
      <c r="R59" s="52">
        <f>O59/L59</f>
        <v>0.95532965437118644</v>
      </c>
      <c r="S59" s="439">
        <f>R69</f>
        <v>0.923170325932404</v>
      </c>
      <c r="T59" s="245">
        <v>0.28819444444444398</v>
      </c>
      <c r="U59" s="245">
        <v>0.36458333333333298</v>
      </c>
      <c r="V59" s="55"/>
      <c r="W59" s="54">
        <f t="shared" si="4"/>
        <v>110.00000000000017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-69.909090909093266</v>
      </c>
      <c r="AG59" s="246">
        <f>N59/K59</f>
        <v>0.95532965437118644</v>
      </c>
      <c r="AH59" s="403">
        <f>AG69</f>
        <v>0.92529132315413887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1450</v>
      </c>
      <c r="H60" s="78">
        <f>F60*G60</f>
        <v>40977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1526.3157894736985</v>
      </c>
      <c r="O60" s="81">
        <f>N60/M60</f>
        <v>127.19298245614154</v>
      </c>
      <c r="P60" s="74">
        <f>M60-J60</f>
        <v>0</v>
      </c>
      <c r="Q60" s="83">
        <f>O60-L60</f>
        <v>-3.2236842105251213</v>
      </c>
      <c r="R60" s="72">
        <f>O60/L60</f>
        <v>0.97528165461578187</v>
      </c>
      <c r="S60" s="467"/>
      <c r="T60" s="22">
        <v>0.37013888888888902</v>
      </c>
      <c r="U60" s="22">
        <v>0.40972222222222199</v>
      </c>
      <c r="V60" s="30">
        <f>(T60-U59)*24*60</f>
        <v>8.000000000000691</v>
      </c>
      <c r="W60" s="248">
        <f t="shared" si="4"/>
        <v>56.999999999999474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-38.684210526301513</v>
      </c>
      <c r="AG60" s="249">
        <f>N60/K60</f>
        <v>0.97528165461578176</v>
      </c>
      <c r="AH60" s="475"/>
    </row>
    <row r="61" spans="1:34" ht="15" customHeight="1">
      <c r="A61" s="465"/>
      <c r="B61" s="250" t="s">
        <v>125</v>
      </c>
      <c r="C61" s="251"/>
      <c r="D61" s="252" t="s">
        <v>192</v>
      </c>
      <c r="E61" s="253"/>
      <c r="F61" s="250">
        <f>VLOOKUP(D61,廠價表!$C$1:$E$43,3,0)</f>
        <v>28.26</v>
      </c>
      <c r="G61" s="38">
        <v>1610</v>
      </c>
      <c r="H61" s="254">
        <f>F61*G61</f>
        <v>45498.600000000006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1583.6065573770547</v>
      </c>
      <c r="O61" s="238">
        <f>N61/M61</f>
        <v>143.96423248882317</v>
      </c>
      <c r="P61" s="111">
        <f>M61-J61</f>
        <v>0</v>
      </c>
      <c r="Q61" s="255">
        <f>O61-L61</f>
        <v>-4.7630402384495483</v>
      </c>
      <c r="R61" s="85">
        <f>O61/L61</f>
        <v>0.96797466832338319</v>
      </c>
      <c r="S61" s="440"/>
      <c r="T61" s="22">
        <v>0.41597222222222202</v>
      </c>
      <c r="U61" s="22">
        <v>0.45833333333333298</v>
      </c>
      <c r="V61" s="30">
        <f>(T61-U60)*24*60</f>
        <v>9.000000000000048</v>
      </c>
      <c r="W61" s="256">
        <f t="shared" si="4"/>
        <v>60.999999999999787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-52.393442622945258</v>
      </c>
      <c r="AG61" s="247">
        <f>N61/K61</f>
        <v>0.96797466832338308</v>
      </c>
      <c r="AH61" s="404"/>
    </row>
    <row r="62" spans="1:34" ht="15" customHeight="1">
      <c r="A62" s="465"/>
      <c r="B62" s="250" t="s">
        <v>125</v>
      </c>
      <c r="C62" s="251"/>
      <c r="D62" s="257" t="s">
        <v>126</v>
      </c>
      <c r="E62" s="253"/>
      <c r="F62" s="250">
        <f>VLOOKUP(D62,廠價表!$C$1:$E$43,3,0)</f>
        <v>28.26</v>
      </c>
      <c r="G62" s="38">
        <v>1253</v>
      </c>
      <c r="H62" s="254">
        <f t="shared" ref="H62:H64" si="21">F62*G62</f>
        <v>35409.78</v>
      </c>
      <c r="I62" s="182"/>
      <c r="J62" s="106">
        <f>VLOOKUP(D62,產線配置圖!$A$3:$C$40,2,0)</f>
        <v>11</v>
      </c>
      <c r="K62" s="107">
        <f>VLOOKUP(D62,產線配置圖!$A$3:$C$40,3,0)</f>
        <v>1565</v>
      </c>
      <c r="L62" s="238">
        <f t="shared" ref="L62:L64" si="22">K62/J62</f>
        <v>142.27272727272728</v>
      </c>
      <c r="M62" s="108">
        <v>11</v>
      </c>
      <c r="N62" s="107">
        <f t="shared" ref="N62:N64" si="23">G62/W62*60</f>
        <v>1366.9090909091078</v>
      </c>
      <c r="O62" s="238">
        <f t="shared" ref="O62:O64" si="24">N62/M62</f>
        <v>124.2644628099189</v>
      </c>
      <c r="P62" s="111">
        <f t="shared" ref="P62:P64" si="25">M62-J62</f>
        <v>0</v>
      </c>
      <c r="Q62" s="255">
        <f t="shared" ref="Q62:Q64" si="26">O62-L62</f>
        <v>-18.008264462808384</v>
      </c>
      <c r="R62" s="85">
        <f t="shared" ref="R62:R64" si="27">O62/L62</f>
        <v>0.8734243392390465</v>
      </c>
      <c r="S62" s="440"/>
      <c r="T62" s="22">
        <v>0.46527777777777801</v>
      </c>
      <c r="U62" s="22">
        <v>0.50347222222222199</v>
      </c>
      <c r="V62" s="30">
        <f t="shared" ref="V62:V64" si="28">(T62-U61)*24*60</f>
        <v>10.000000000000844</v>
      </c>
      <c r="W62" s="248">
        <f t="shared" si="4"/>
        <v>54.999999999999325</v>
      </c>
      <c r="X62" s="22">
        <v>0.50347222222222199</v>
      </c>
      <c r="Y62" s="84">
        <v>0.54513888888888895</v>
      </c>
      <c r="Z62" s="90"/>
      <c r="AA62" s="90"/>
      <c r="AB62" s="407"/>
      <c r="AC62" s="407"/>
      <c r="AD62" s="92"/>
      <c r="AE62" s="92"/>
      <c r="AF62" s="317">
        <f>N62-K62</f>
        <v>-198.09090909089218</v>
      </c>
      <c r="AG62" s="247">
        <f>N62/K62</f>
        <v>0.8734243392390465</v>
      </c>
      <c r="AH62" s="404"/>
    </row>
    <row r="63" spans="1:34" ht="15" customHeight="1">
      <c r="A63" s="465"/>
      <c r="B63" s="258" t="s">
        <v>125</v>
      </c>
      <c r="C63" s="58"/>
      <c r="D63" s="259" t="s">
        <v>126</v>
      </c>
      <c r="E63" s="60"/>
      <c r="F63" s="250">
        <f>VLOOKUP(D63,廠價表!$C$1:$E$43,3,0)</f>
        <v>28.26</v>
      </c>
      <c r="G63" s="260">
        <v>684</v>
      </c>
      <c r="H63" s="254">
        <f t="shared" si="21"/>
        <v>19329.84</v>
      </c>
      <c r="I63" s="182"/>
      <c r="J63" s="106">
        <f>VLOOKUP(D63,產線配置圖!$A$3:$C$40,2,0)</f>
        <v>11</v>
      </c>
      <c r="K63" s="107">
        <f>VLOOKUP(D63,產線配置圖!$A$3:$C$40,3,0)</f>
        <v>1565</v>
      </c>
      <c r="L63" s="238">
        <f t="shared" si="22"/>
        <v>142.27272727272728</v>
      </c>
      <c r="M63" s="68">
        <v>11</v>
      </c>
      <c r="N63" s="107">
        <f t="shared" si="23"/>
        <v>1282.4999999999595</v>
      </c>
      <c r="O63" s="238">
        <f t="shared" si="24"/>
        <v>116.59090909090541</v>
      </c>
      <c r="P63" s="111">
        <f t="shared" si="25"/>
        <v>0</v>
      </c>
      <c r="Q63" s="255">
        <f t="shared" si="26"/>
        <v>-25.681818181821868</v>
      </c>
      <c r="R63" s="85">
        <f t="shared" si="27"/>
        <v>0.81948881789134786</v>
      </c>
      <c r="S63" s="440"/>
      <c r="T63" s="22">
        <v>0.55208333333333304</v>
      </c>
      <c r="U63" s="22">
        <v>0.57430555555555596</v>
      </c>
      <c r="V63" s="30">
        <f t="shared" si="28"/>
        <v>69.999999999999915</v>
      </c>
      <c r="W63" s="248">
        <f t="shared" si="4"/>
        <v>32.000000000001009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 t="s">
        <v>125</v>
      </c>
      <c r="C64" s="76"/>
      <c r="D64" s="175" t="s">
        <v>192</v>
      </c>
      <c r="E64" s="77"/>
      <c r="F64" s="250">
        <f>VLOOKUP(D64,廠價表!$C$1:$E$43,3,0)</f>
        <v>28.26</v>
      </c>
      <c r="G64" s="30">
        <v>1435</v>
      </c>
      <c r="H64" s="254">
        <f t="shared" si="21"/>
        <v>40553.100000000006</v>
      </c>
      <c r="I64" s="182"/>
      <c r="J64" s="106">
        <f>VLOOKUP(D64,產線配置圖!$A$3:$C$40,2,0)</f>
        <v>11</v>
      </c>
      <c r="K64" s="107">
        <f>VLOOKUP(D64,產線配置圖!$A$3:$C$40,3,0)</f>
        <v>1636</v>
      </c>
      <c r="L64" s="238">
        <f t="shared" si="22"/>
        <v>148.72727272727272</v>
      </c>
      <c r="M64" s="82">
        <v>11</v>
      </c>
      <c r="N64" s="107">
        <f t="shared" si="23"/>
        <v>1565.4545454545237</v>
      </c>
      <c r="O64" s="238">
        <f t="shared" si="24"/>
        <v>142.31404958677487</v>
      </c>
      <c r="P64" s="111">
        <f t="shared" si="25"/>
        <v>0</v>
      </c>
      <c r="Q64" s="255">
        <f t="shared" si="26"/>
        <v>-6.4132231404978484</v>
      </c>
      <c r="R64" s="85">
        <f t="shared" si="27"/>
        <v>0.95687930651254505</v>
      </c>
      <c r="S64" s="440"/>
      <c r="T64" s="22">
        <v>0.58333333333333304</v>
      </c>
      <c r="U64" s="22">
        <v>0.62152777777777801</v>
      </c>
      <c r="V64" s="30">
        <f t="shared" si="28"/>
        <v>12.999999999998995</v>
      </c>
      <c r="W64" s="73">
        <f t="shared" si="4"/>
        <v>55.000000000000767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29">AVERAGE(J59:J68)</f>
        <v>11.833333333333334</v>
      </c>
      <c r="K69" s="240">
        <f t="shared" si="29"/>
        <v>1588.6666666666667</v>
      </c>
      <c r="L69" s="268">
        <f t="shared" si="29"/>
        <v>136.125</v>
      </c>
      <c r="M69" s="240">
        <f t="shared" si="29"/>
        <v>11.833333333333334</v>
      </c>
      <c r="N69" s="240">
        <f t="shared" si="29"/>
        <v>1469.9794820508753</v>
      </c>
      <c r="O69" s="268">
        <f t="shared" si="29"/>
        <v>125.6665606175485</v>
      </c>
      <c r="P69" s="269">
        <f>M69-J69</f>
        <v>0</v>
      </c>
      <c r="Q69" s="222">
        <f>N69-K69</f>
        <v>-118.68718461579147</v>
      </c>
      <c r="R69" s="123">
        <f>O69/L69</f>
        <v>0.923170325932404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-118.68718461579147</v>
      </c>
      <c r="AG69" s="124">
        <f>N69/K69</f>
        <v>0.92529132315413887</v>
      </c>
      <c r="AH69" s="406"/>
    </row>
    <row r="70" spans="1:36" ht="15" customHeight="1">
      <c r="A70" s="471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39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/>
      <c r="D79" s="430"/>
      <c r="E79" s="430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1:AC2"/>
    <mergeCell ref="AF1:AH2"/>
    <mergeCell ref="Z3:AA3"/>
    <mergeCell ref="T1:Y2"/>
    <mergeCell ref="S3:S4"/>
    <mergeCell ref="X3:Y3"/>
    <mergeCell ref="T3:U3"/>
    <mergeCell ref="V3:V4"/>
    <mergeCell ref="W3:W4"/>
    <mergeCell ref="O3:O4"/>
    <mergeCell ref="G3:G4"/>
    <mergeCell ref="J1:L2"/>
    <mergeCell ref="M1:O2"/>
    <mergeCell ref="P1:S2"/>
    <mergeCell ref="H3:H4"/>
    <mergeCell ref="P3:P4"/>
    <mergeCell ref="Q3:Q4"/>
    <mergeCell ref="R3:R4"/>
    <mergeCell ref="A2:B2"/>
    <mergeCell ref="A3:A4"/>
    <mergeCell ref="B3:B4"/>
    <mergeCell ref="D3:E4"/>
    <mergeCell ref="F3:F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G3:AG4"/>
    <mergeCell ref="AD3:AE3"/>
    <mergeCell ref="AH3:AH4"/>
    <mergeCell ref="AH5:AH15"/>
    <mergeCell ref="AF3:AF4"/>
    <mergeCell ref="AB8:AC8"/>
    <mergeCell ref="AB9:AC9"/>
    <mergeCell ref="AB10:AC10"/>
    <mergeCell ref="A16:A2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38:A48"/>
    <mergeCell ref="S38:S48"/>
    <mergeCell ref="AB38:AC38"/>
    <mergeCell ref="D48:E48"/>
    <mergeCell ref="AB48:AC48"/>
    <mergeCell ref="A5:A15"/>
    <mergeCell ref="S5:S15"/>
    <mergeCell ref="I3:I4"/>
    <mergeCell ref="J3:J4"/>
    <mergeCell ref="K3:K4"/>
    <mergeCell ref="L3:L4"/>
    <mergeCell ref="M3:M4"/>
    <mergeCell ref="N3:N4"/>
    <mergeCell ref="D15:E15"/>
    <mergeCell ref="A27:A37"/>
    <mergeCell ref="AB15:AC15"/>
    <mergeCell ref="AB5:AC5"/>
    <mergeCell ref="AB6:AC6"/>
    <mergeCell ref="AB11:AC11"/>
    <mergeCell ref="AB12:AC12"/>
    <mergeCell ref="AB14:AC14"/>
    <mergeCell ref="AB13:AC13"/>
    <mergeCell ref="AB7:AC7"/>
    <mergeCell ref="AB3:AC4"/>
    <mergeCell ref="S16:S26"/>
    <mergeCell ref="AB16:AC16"/>
    <mergeCell ref="D26:E26"/>
    <mergeCell ref="AB26:AC26"/>
    <mergeCell ref="AB46:AC46"/>
    <mergeCell ref="AB47:AC47"/>
    <mergeCell ref="S27:S37"/>
    <mergeCell ref="AB27:AC27"/>
    <mergeCell ref="D37:E3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18" priority="1" operator="greaterThan">
      <formula>0</formula>
    </cfRule>
  </conditionalFormatting>
  <conditionalFormatting sqref="Q5:Q79 AF5:AF79">
    <cfRule type="cellIs" dxfId="117" priority="4" operator="lessThan">
      <formula>0</formula>
    </cfRule>
  </conditionalFormatting>
  <conditionalFormatting sqref="R5:R79 AG5:AG79">
    <cfRule type="cellIs" dxfId="116" priority="2" operator="greaterThan">
      <formula>1</formula>
    </cfRule>
    <cfRule type="cellIs" dxfId="115" priority="3" operator="lessThan">
      <formula>0.8</formula>
    </cfRule>
  </conditionalFormatting>
  <conditionalFormatting sqref="S5:S10 S37:S62 AH59:AH62 S69:S76 AH69:AH76">
    <cfRule type="cellIs" dxfId="114" priority="7" operator="lessThan">
      <formula>0.8</formula>
    </cfRule>
  </conditionalFormatting>
  <conditionalFormatting sqref="S19:S25 AH19:AH25">
    <cfRule type="cellIs" dxfId="113" priority="6" operator="lessThan">
      <formula>0.8</formula>
    </cfRule>
  </conditionalFormatting>
  <conditionalFormatting sqref="S79">
    <cfRule type="cellIs" dxfId="112" priority="5" operator="lessThan">
      <formula>0.8</formula>
    </cfRule>
  </conditionalFormatting>
  <conditionalFormatting sqref="AH5:AH8 S15:S16 AH15:AH16 AH49 AH79">
    <cfRule type="cellIs" dxfId="111" priority="9" operator="lessThan">
      <formula>0.8</formula>
    </cfRule>
  </conditionalFormatting>
  <conditionalFormatting sqref="AH27 S27:S28">
    <cfRule type="cellIs" dxfId="1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974D81-8FEA-478F-9458-A230E814D12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1205-9002-47BA-A8CB-4391034318DB}">
  <dimension ref="B1:O26"/>
  <sheetViews>
    <sheetView zoomScale="70" zoomScaleNormal="70" workbookViewId="0">
      <selection activeCell="J18" sqref="J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46193</v>
      </c>
      <c r="E3" s="510"/>
      <c r="F3" s="3" t="s">
        <v>72</v>
      </c>
      <c r="G3" s="511">
        <f>'0620'!E1</f>
        <v>46311</v>
      </c>
      <c r="H3" s="511"/>
      <c r="I3" s="3" t="s">
        <v>2</v>
      </c>
      <c r="J3" s="512">
        <f>'0620'!G1</f>
        <v>2185112.1780000008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123.68029075590351</v>
      </c>
      <c r="G6" s="507"/>
      <c r="H6" s="508">
        <f>AVERAGE(D13:H13)</f>
        <v>122.12884890708422</v>
      </c>
      <c r="I6" s="508"/>
      <c r="J6" s="508">
        <f>AVERAGE(I13:J13)</f>
        <v>136.125</v>
      </c>
      <c r="K6" s="508"/>
      <c r="L6" s="516">
        <f>SUM(D18:J18)</f>
        <v>0</v>
      </c>
      <c r="M6" s="499">
        <f>SUM(D19:J19)</f>
        <v>0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114.65040567118479</v>
      </c>
      <c r="G7" s="496"/>
      <c r="H7" s="497">
        <f>AVERAGE(D14:H14)</f>
        <v>113.16875020868515</v>
      </c>
      <c r="I7" s="497"/>
      <c r="J7" s="497">
        <f>AVERAGE(I14:J14)</f>
        <v>126.05816960816898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0.92699010465183829</v>
      </c>
      <c r="G8" s="502"/>
      <c r="H8" s="502">
        <f>H7/H6</f>
        <v>0.92663405265355514</v>
      </c>
      <c r="I8" s="502"/>
      <c r="J8" s="502">
        <f>J7/J6</f>
        <v>0.92604715965597051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VALUE('0620'!L15)</f>
        <v>150</v>
      </c>
      <c r="E13" s="13">
        <f>VALUE('0620'!L26)</f>
        <v>156.53684550743375</v>
      </c>
      <c r="F13" s="13">
        <f>VALUE('0620'!L37)</f>
        <v>93.12112451818335</v>
      </c>
      <c r="G13" s="13">
        <f>VALUE('0620'!L48)</f>
        <v>105.25098039215686</v>
      </c>
      <c r="H13" s="13">
        <f>VALUE('0620'!L58)</f>
        <v>105.73529411764706</v>
      </c>
      <c r="I13" s="13">
        <f>VALUE('0620'!L69)</f>
        <v>131.4375</v>
      </c>
      <c r="J13" s="13">
        <f>'0620'!L79</f>
        <v>140.8125</v>
      </c>
    </row>
    <row r="14" spans="2:15" ht="39.950000000000003" customHeight="1">
      <c r="B14" s="490"/>
      <c r="C14" s="12" t="s">
        <v>100</v>
      </c>
      <c r="D14" s="13">
        <f>VALUE('0620'!O15)</f>
        <v>134.58978138049611</v>
      </c>
      <c r="E14" s="13">
        <f>VALUE('0620'!O26)</f>
        <v>145.96176124979357</v>
      </c>
      <c r="F14" s="13">
        <f>VALUE('0620'!O37)</f>
        <v>87.97865900157467</v>
      </c>
      <c r="G14" s="13">
        <f>VALUE('0620'!O48)</f>
        <v>99.613584391572601</v>
      </c>
      <c r="H14" s="13">
        <f>VALUE('0620'!O58)</f>
        <v>97.699965019988809</v>
      </c>
      <c r="I14" s="13">
        <f>VALUE('0620'!O69)</f>
        <v>122.05868298368293</v>
      </c>
      <c r="J14" s="13">
        <f>'0620'!O79</f>
        <v>130.05765623265503</v>
      </c>
    </row>
    <row r="15" spans="2:15" ht="39.950000000000003" customHeight="1">
      <c r="B15" s="491"/>
      <c r="C15" s="10" t="s">
        <v>26</v>
      </c>
      <c r="D15" s="14">
        <f t="shared" ref="D15:I15" si="1">D14/D13</f>
        <v>0.89726520920330732</v>
      </c>
      <c r="E15" s="14">
        <f t="shared" si="1"/>
        <v>0.93244348176712177</v>
      </c>
      <c r="F15" s="14">
        <f t="shared" si="1"/>
        <v>0.94477659560903893</v>
      </c>
      <c r="G15" s="14">
        <f t="shared" si="1"/>
        <v>0.94643854166887786</v>
      </c>
      <c r="H15" s="14">
        <f t="shared" si="1"/>
        <v>0.92400523245608335</v>
      </c>
      <c r="I15" s="14">
        <f t="shared" si="1"/>
        <v>0.92864428328051685</v>
      </c>
      <c r="J15" s="15">
        <f>'0620'!S70</f>
        <v>0.92362294705835801</v>
      </c>
    </row>
    <row r="16" spans="2:15" ht="17.25" customHeight="1">
      <c r="B16" s="492" t="s">
        <v>101</v>
      </c>
      <c r="C16" s="10" t="s">
        <v>34</v>
      </c>
      <c r="D16" s="16">
        <f>'0620'!T5</f>
        <v>0.29375000000000001</v>
      </c>
      <c r="E16" s="16">
        <f>'0620'!T16</f>
        <v>0.29166666666666702</v>
      </c>
      <c r="F16" s="16">
        <f>'0620'!T27</f>
        <v>0.29166666666666702</v>
      </c>
      <c r="G16" s="16">
        <f>'0620'!T38</f>
        <v>0.33194444444444399</v>
      </c>
      <c r="H16" s="16">
        <f>'0620'!T49</f>
        <v>0.29166666666666702</v>
      </c>
      <c r="I16" s="16">
        <f>'0620'!T59</f>
        <v>0.28819444444444398</v>
      </c>
      <c r="J16" s="16">
        <f>'0620'!T70</f>
        <v>0.40972222222222199</v>
      </c>
    </row>
    <row r="17" spans="2:10" ht="17.25" customHeight="1">
      <c r="B17" s="493"/>
      <c r="C17" s="10" t="s">
        <v>35</v>
      </c>
      <c r="D17" s="16">
        <v>0.43125000000000002</v>
      </c>
      <c r="E17" s="19">
        <v>0.594444444444444</v>
      </c>
      <c r="F17" s="19">
        <v>0.58333333333333304</v>
      </c>
      <c r="G17" s="20">
        <v>0.47569444444444398</v>
      </c>
      <c r="H17" s="21">
        <v>0.58680555555555602</v>
      </c>
      <c r="I17" s="22">
        <v>0.49305555555555602</v>
      </c>
      <c r="J17" s="22">
        <v>0.58680555555555602</v>
      </c>
    </row>
    <row r="18" spans="2:10" ht="17.25" customHeight="1">
      <c r="B18" s="494" t="s">
        <v>102</v>
      </c>
      <c r="C18" s="330" t="s">
        <v>36</v>
      </c>
      <c r="D18" s="358">
        <f>'0620'!Z15</f>
        <v>0</v>
      </c>
      <c r="E18" s="359">
        <f>'0620'!Z26</f>
        <v>0</v>
      </c>
      <c r="F18" s="359">
        <f>'0620'!Z37</f>
        <v>0</v>
      </c>
      <c r="G18" s="360">
        <f>'0620'!Z48</f>
        <v>0</v>
      </c>
      <c r="H18" s="360">
        <f>'0620'!Z58</f>
        <v>0</v>
      </c>
      <c r="I18" s="359">
        <f>'0620'!Z69</f>
        <v>0</v>
      </c>
      <c r="J18" s="359">
        <f>'0620'!AA79</f>
        <v>0</v>
      </c>
    </row>
    <row r="19" spans="2:10" ht="17.25" customHeight="1">
      <c r="B19" s="495"/>
      <c r="C19" s="330" t="s">
        <v>37</v>
      </c>
      <c r="D19" s="358">
        <f>'0620'!AA15</f>
        <v>0</v>
      </c>
      <c r="E19" s="359">
        <f>'0620'!AA26</f>
        <v>0</v>
      </c>
      <c r="F19" s="359">
        <f>'0620'!AA37</f>
        <v>0</v>
      </c>
      <c r="G19" s="360">
        <f>'0620'!AA48</f>
        <v>0</v>
      </c>
      <c r="H19" s="360">
        <f>'0620'!AA58</f>
        <v>0</v>
      </c>
      <c r="I19" s="359">
        <f>'0620'!AA69</f>
        <v>0</v>
      </c>
      <c r="J19" s="359">
        <f>'0620'!AB79</f>
        <v>0</v>
      </c>
    </row>
    <row r="20" spans="2:10" ht="17.25" customHeight="1">
      <c r="B20" s="494" t="s">
        <v>103</v>
      </c>
      <c r="C20" s="330" t="s">
        <v>36</v>
      </c>
      <c r="D20" s="358">
        <f>'0620'!AD15</f>
        <v>0</v>
      </c>
      <c r="E20" s="359">
        <f>'0620'!AD26</f>
        <v>0</v>
      </c>
      <c r="F20" s="359">
        <f>'0620'!AD37</f>
        <v>0</v>
      </c>
      <c r="G20" s="360">
        <f>'0620'!AD48</f>
        <v>0</v>
      </c>
      <c r="H20" s="360">
        <f>'0620'!AD58</f>
        <v>0</v>
      </c>
      <c r="I20" s="359">
        <f>'0620'!AD69</f>
        <v>0</v>
      </c>
      <c r="J20" s="359">
        <f>'0620'!AD79</f>
        <v>0</v>
      </c>
    </row>
    <row r="21" spans="2:10" ht="17.25" customHeight="1">
      <c r="B21" s="495"/>
      <c r="C21" s="330" t="s">
        <v>85</v>
      </c>
      <c r="D21" s="358">
        <f>'0620'!AE15</f>
        <v>0</v>
      </c>
      <c r="E21" s="359">
        <f>'0620'!AE26</f>
        <v>0</v>
      </c>
      <c r="F21" s="359">
        <f>'0620'!AE37</f>
        <v>0</v>
      </c>
      <c r="G21" s="360">
        <f>'0620'!AE48</f>
        <v>0</v>
      </c>
      <c r="H21" s="360">
        <f>'0620'!AE58</f>
        <v>0</v>
      </c>
      <c r="I21" s="359">
        <f>'0620'!AE69</f>
        <v>0</v>
      </c>
      <c r="J21" s="359">
        <f>'0620'!AE79</f>
        <v>0</v>
      </c>
    </row>
    <row r="22" spans="2:10" ht="17.25" customHeight="1">
      <c r="B22" s="477" t="s">
        <v>104</v>
      </c>
      <c r="C22" s="478"/>
      <c r="D22" s="23">
        <f>VALUE('0620'!M15)</f>
        <v>15</v>
      </c>
      <c r="E22" s="23">
        <f>VALUE('0620'!M26)</f>
        <v>14.5</v>
      </c>
      <c r="F22" s="23">
        <f>VALUE('0620'!M37)</f>
        <v>16</v>
      </c>
      <c r="G22" s="23">
        <f>VALUE('0620'!M48)</f>
        <v>16</v>
      </c>
      <c r="H22" s="23">
        <f>VALUE('0620'!M58)</f>
        <v>15.5</v>
      </c>
      <c r="I22" s="23">
        <f>VALUE('0620'!M69)</f>
        <v>12.25</v>
      </c>
      <c r="J22" s="23">
        <f>'0620'!M79</f>
        <v>8.75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3F8E-56D5-4DB9-9FB6-31F5E36D2A50}">
  <sheetPr>
    <tabColor theme="9" tint="0.79998168889431442"/>
  </sheetPr>
  <dimension ref="A1:AJ92"/>
  <sheetViews>
    <sheetView zoomScale="69" zoomScaleNormal="69" workbookViewId="0">
      <pane xSplit="5" ySplit="4" topLeftCell="F44" activePane="bottomRight" state="frozen"/>
      <selection activeCell="A3" sqref="A3:A4"/>
      <selection pane="topRight" activeCell="A3" sqref="A3:A4"/>
      <selection pane="bottomLeft" activeCell="A3" sqref="A3:A4"/>
      <selection pane="bottomRight" activeCell="U72" sqref="U7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46311</v>
      </c>
      <c r="F1" s="30" t="s">
        <v>2</v>
      </c>
      <c r="G1" s="31">
        <f>SUM(H5:H79)</f>
        <v>2185112.1780000008</v>
      </c>
      <c r="H1" s="32" t="s">
        <v>3</v>
      </c>
      <c r="I1" s="33">
        <f>M15+M26+M48+M58+M69+M79+M37</f>
        <v>98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196</v>
      </c>
      <c r="B2" s="381"/>
      <c r="C2" s="28"/>
      <c r="D2" s="28" t="s">
        <v>14</v>
      </c>
      <c r="E2" s="35">
        <f>AVERAGE(O15,O26,O37,O48,O58,O69,O79)</f>
        <v>116.85144146568054</v>
      </c>
      <c r="F2" s="36" t="s">
        <v>15</v>
      </c>
      <c r="G2" s="37">
        <f>G1/E1</f>
        <v>47.183437585023015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2188</v>
      </c>
      <c r="H5" s="43">
        <f>F5*G5</f>
        <v>124431.56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1902.608695652161</v>
      </c>
      <c r="O5" s="47">
        <f>N5/M5</f>
        <v>126.84057971014407</v>
      </c>
      <c r="P5" s="49">
        <f>M5-J5</f>
        <v>0</v>
      </c>
      <c r="Q5" s="50">
        <f>O5-L5</f>
        <v>-23.15942028985593</v>
      </c>
      <c r="R5" s="51">
        <f>O5/L5</f>
        <v>0.84560386473429383</v>
      </c>
      <c r="S5" s="439">
        <f>R15</f>
        <v>0.89726520920330732</v>
      </c>
      <c r="T5" s="319">
        <v>0.29375000000000001</v>
      </c>
      <c r="U5" s="320">
        <v>0.34166666666666701</v>
      </c>
      <c r="V5" s="53"/>
      <c r="W5" s="54">
        <f t="shared" ref="W5:W14" si="0">(U5-T5)*24*60</f>
        <v>69.000000000000469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-347.39130434783897</v>
      </c>
      <c r="AG5" s="52">
        <f t="shared" ref="AG5:AG11" si="2">N5/K5</f>
        <v>0.84560386473429383</v>
      </c>
      <c r="AH5" s="403">
        <f>AG15</f>
        <v>0.89726520920330743</v>
      </c>
    </row>
    <row r="6" spans="1:34" ht="15" customHeight="1">
      <c r="A6" s="436"/>
      <c r="B6" s="57" t="s">
        <v>81</v>
      </c>
      <c r="C6" s="58"/>
      <c r="D6" s="59" t="s">
        <v>115</v>
      </c>
      <c r="E6" s="60"/>
      <c r="F6" s="61">
        <f>VLOOKUP(D6,廠價表!$C$1:$E$43,3,0)</f>
        <v>49.14</v>
      </c>
      <c r="G6" s="62">
        <v>4199</v>
      </c>
      <c r="H6" s="63">
        <f>F6*G6</f>
        <v>206338.86000000002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2135.0847457627224</v>
      </c>
      <c r="O6" s="67">
        <f>N6/M6</f>
        <v>142.33898305084816</v>
      </c>
      <c r="P6" s="69">
        <f>M6-J6</f>
        <v>0</v>
      </c>
      <c r="Q6" s="70">
        <f>O6-L6</f>
        <v>-7.6610169491518434</v>
      </c>
      <c r="R6" s="71">
        <f>O6/L6</f>
        <v>0.94892655367232104</v>
      </c>
      <c r="S6" s="440"/>
      <c r="T6" s="16">
        <v>0.34930555555555598</v>
      </c>
      <c r="U6" s="16">
        <v>0.43125000000000002</v>
      </c>
      <c r="V6" s="30">
        <f>(T6-U5)*24*60</f>
        <v>11.000000000000121</v>
      </c>
      <c r="W6" s="73">
        <f t="shared" si="0"/>
        <v>117.99999999999942</v>
      </c>
      <c r="X6" s="22"/>
      <c r="Y6" s="84"/>
      <c r="Z6" s="90"/>
      <c r="AA6" s="90"/>
      <c r="AB6" s="434"/>
      <c r="AC6" s="434"/>
      <c r="AD6" s="149"/>
      <c r="AE6" s="149"/>
      <c r="AF6" s="307">
        <f t="shared" si="1"/>
        <v>-114.91525423727762</v>
      </c>
      <c r="AG6" s="72">
        <f t="shared" si="2"/>
        <v>0.94892655367232104</v>
      </c>
      <c r="AH6" s="404"/>
    </row>
    <row r="7" spans="1:34" ht="15" customHeight="1">
      <c r="A7" s="436"/>
      <c r="B7" s="75"/>
      <c r="C7" s="76"/>
      <c r="D7" s="59"/>
      <c r="E7" s="77"/>
      <c r="F7" s="75"/>
      <c r="G7" s="66"/>
      <c r="H7" s="78"/>
      <c r="I7" s="73"/>
      <c r="J7" s="79"/>
      <c r="K7" s="80"/>
      <c r="L7" s="81"/>
      <c r="M7" s="82"/>
      <c r="N7" s="80"/>
      <c r="O7" s="81"/>
      <c r="P7" s="74"/>
      <c r="Q7" s="83"/>
      <c r="R7" s="72"/>
      <c r="S7" s="440"/>
      <c r="T7" s="18"/>
      <c r="U7" s="18"/>
      <c r="V7" s="30"/>
      <c r="W7" s="73">
        <f t="shared" si="0"/>
        <v>0</v>
      </c>
      <c r="X7" s="22"/>
      <c r="Y7" s="84"/>
      <c r="Z7" s="90"/>
      <c r="AA7" s="90"/>
      <c r="AB7" s="407"/>
      <c r="AC7" s="407"/>
      <c r="AD7" s="92"/>
      <c r="AE7" s="92"/>
      <c r="AF7" s="307">
        <f t="shared" si="1"/>
        <v>0</v>
      </c>
      <c r="AG7" s="72" t="e">
        <f t="shared" si="2"/>
        <v>#DIV/0!</v>
      </c>
      <c r="AH7" s="404"/>
    </row>
    <row r="8" spans="1:34" ht="15" customHeight="1">
      <c r="A8" s="436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40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34"/>
      <c r="AC8" s="434"/>
      <c r="AD8" s="149"/>
      <c r="AE8" s="149"/>
      <c r="AF8" s="307">
        <f t="shared" si="1"/>
        <v>0</v>
      </c>
      <c r="AG8" s="72" t="e">
        <f t="shared" si="2"/>
        <v>#DIV/0!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0</v>
      </c>
      <c r="AG9" s="72" t="e">
        <f t="shared" si="2"/>
        <v>#DIV/0!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2018.8467207074418</v>
      </c>
      <c r="O15" s="117">
        <f t="shared" si="3"/>
        <v>134.58978138049611</v>
      </c>
      <c r="P15" s="121">
        <f>M15-J15</f>
        <v>0</v>
      </c>
      <c r="Q15" s="122">
        <f>O15-L15</f>
        <v>-15.410218619503894</v>
      </c>
      <c r="R15" s="123">
        <f>O15/L15</f>
        <v>0.89726520920330732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-231.15327929255818</v>
      </c>
      <c r="AG15" s="124">
        <f>N15/K15</f>
        <v>0.89726520920330743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2807</v>
      </c>
      <c r="H16" s="134">
        <f>F16*G16</f>
        <v>142230.69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2005.0000000000132</v>
      </c>
      <c r="O16" s="141">
        <f>N16/M16</f>
        <v>143.21428571428666</v>
      </c>
      <c r="P16" s="142">
        <f>M16-J16</f>
        <v>0</v>
      </c>
      <c r="Q16" s="143">
        <f>O16-L16</f>
        <v>-17.499999999999062</v>
      </c>
      <c r="R16" s="144">
        <f>O16/L16</f>
        <v>0.89111111111111696</v>
      </c>
      <c r="S16" s="425">
        <f>R26</f>
        <v>0.93244348176712177</v>
      </c>
      <c r="T16" s="145">
        <v>0.29166666666666702</v>
      </c>
      <c r="U16" s="145">
        <v>0.35</v>
      </c>
      <c r="V16" s="135"/>
      <c r="W16" s="146">
        <f t="shared" ref="W16:W78" si="4">(U16-T16)*24*60</f>
        <v>83.99999999999946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-244.99999999998681</v>
      </c>
      <c r="AG16" s="52">
        <f>N16/K16</f>
        <v>0.89111111111111696</v>
      </c>
      <c r="AH16" s="403">
        <f>AG26</f>
        <v>0.93305227977641658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1485</v>
      </c>
      <c r="H17" s="78">
        <f>F17*G17</f>
        <v>84956.85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2121.4285714285465</v>
      </c>
      <c r="O17" s="96">
        <f>N17/M17</f>
        <v>124.7899159663851</v>
      </c>
      <c r="P17" s="97">
        <f>M17-J17</f>
        <v>0</v>
      </c>
      <c r="Q17" s="98">
        <f>O17-L17</f>
        <v>-7.5630252100854847</v>
      </c>
      <c r="R17" s="99">
        <f>O17/L17</f>
        <v>0.94285714285713185</v>
      </c>
      <c r="S17" s="426"/>
      <c r="T17" s="19">
        <v>0.35694444444444401</v>
      </c>
      <c r="U17" s="19">
        <v>0.38611111111111102</v>
      </c>
      <c r="V17" s="30">
        <f>(T17-U16)*24*60</f>
        <v>9.9999999999994049</v>
      </c>
      <c r="W17" s="149">
        <f t="shared" si="4"/>
        <v>42.00000000000049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-128.57142857145345</v>
      </c>
      <c r="AG17" s="72">
        <f>N17/K17</f>
        <v>0.94285714285713185</v>
      </c>
      <c r="AH17" s="404"/>
    </row>
    <row r="18" spans="1:34" ht="15" customHeight="1">
      <c r="A18" s="422"/>
      <c r="B18" s="75" t="s">
        <v>81</v>
      </c>
      <c r="C18" s="76"/>
      <c r="D18" s="59" t="s">
        <v>114</v>
      </c>
      <c r="E18" s="77"/>
      <c r="F18" s="75">
        <f>VLOOKUP(D18,廠價表!$C$1:$E$43,3,0)</f>
        <v>58.17</v>
      </c>
      <c r="G18" s="147">
        <v>2244</v>
      </c>
      <c r="H18" s="78">
        <f>F18*G18</f>
        <v>130533.48000000001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2137.1428571428569</v>
      </c>
      <c r="O18" s="96">
        <f>N18/M18</f>
        <v>142.47619047619045</v>
      </c>
      <c r="P18" s="97">
        <f>M18-J18</f>
        <v>0</v>
      </c>
      <c r="Q18" s="98">
        <f>O18-L18</f>
        <v>-7.5238095238095468</v>
      </c>
      <c r="R18" s="99">
        <f>O18/L18</f>
        <v>0.94984126984126971</v>
      </c>
      <c r="S18" s="426"/>
      <c r="T18" s="19">
        <v>0.39444444444444399</v>
      </c>
      <c r="U18" s="19">
        <v>0.438194444444444</v>
      </c>
      <c r="V18" s="30">
        <f>(T18-U17)*24*60</f>
        <v>11.999999999999478</v>
      </c>
      <c r="W18" s="149">
        <f t="shared" si="4"/>
        <v>63.000000000000014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-112.85714285714312</v>
      </c>
      <c r="AG18" s="72">
        <f>N18/K18</f>
        <v>0.94984126984126971</v>
      </c>
      <c r="AH18" s="404"/>
    </row>
    <row r="19" spans="1:34" ht="15" customHeight="1">
      <c r="A19" s="422"/>
      <c r="B19" s="75" t="s">
        <v>81</v>
      </c>
      <c r="C19" s="76"/>
      <c r="D19" s="59" t="s">
        <v>119</v>
      </c>
      <c r="E19" s="77"/>
      <c r="F19" s="75">
        <f>VLOOKUP(D19,廠價表!$C$1:$E$43,3,0)</f>
        <v>56.61</v>
      </c>
      <c r="G19" s="147">
        <v>1029</v>
      </c>
      <c r="H19" s="78">
        <f t="shared" ref="H19:H21" si="5">F19*G19</f>
        <v>58251.69</v>
      </c>
      <c r="I19" s="30"/>
      <c r="J19" s="79">
        <f>VLOOKUP(D19,產線配置圖!$A$3:$C$40,2,0)</f>
        <v>15</v>
      </c>
      <c r="K19" s="80">
        <f>VLOOKUP(D19,產線配置圖!$A$3:$C$40,3,0)</f>
        <v>2250</v>
      </c>
      <c r="L19" s="81">
        <f t="shared" ref="L19:L21" si="6">K19/J19</f>
        <v>150</v>
      </c>
      <c r="M19" s="148">
        <v>15</v>
      </c>
      <c r="N19" s="95">
        <f t="shared" ref="N19:N21" si="7">G19/W19*60</f>
        <v>2128.9655172413632</v>
      </c>
      <c r="O19" s="96">
        <f t="shared" ref="O19:O21" si="8">N19/M19</f>
        <v>141.93103448275755</v>
      </c>
      <c r="P19" s="97">
        <f t="shared" ref="P19:P21" si="9">M19-J19</f>
        <v>0</v>
      </c>
      <c r="Q19" s="98">
        <f t="shared" ref="Q19:Q21" si="10">O19-L19</f>
        <v>-8.0689655172424466</v>
      </c>
      <c r="R19" s="99">
        <f t="shared" ref="R19:R21" si="11">O19/L19</f>
        <v>0.94620689655171697</v>
      </c>
      <c r="S19" s="426"/>
      <c r="T19" s="19">
        <v>0.44513888888888897</v>
      </c>
      <c r="U19" s="19">
        <v>0.46527777777777801</v>
      </c>
      <c r="V19" s="30">
        <f>(T19-U18)*24*60</f>
        <v>10.000000000000764</v>
      </c>
      <c r="W19" s="149">
        <f t="shared" si="4"/>
        <v>29.000000000000217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-121.03448275863684</v>
      </c>
      <c r="AG19" s="72">
        <f>N19/K19</f>
        <v>0.94620689655171697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1213</v>
      </c>
      <c r="H20" s="78">
        <f t="shared" si="5"/>
        <v>61123.07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2205.4545454545105</v>
      </c>
      <c r="O20" s="96">
        <f t="shared" si="8"/>
        <v>169.65034965034695</v>
      </c>
      <c r="P20" s="97">
        <f t="shared" si="9"/>
        <v>0</v>
      </c>
      <c r="Q20" s="98">
        <f t="shared" si="10"/>
        <v>-3.4265734265761125</v>
      </c>
      <c r="R20" s="99">
        <f t="shared" si="11"/>
        <v>0.98020202020200464</v>
      </c>
      <c r="S20" s="426"/>
      <c r="T20" s="19">
        <v>0.47361111111111098</v>
      </c>
      <c r="U20" s="19">
        <v>0.49652777777777801</v>
      </c>
      <c r="V20" s="30">
        <f>(T20-U19)*24*60</f>
        <v>11.999999999999478</v>
      </c>
      <c r="W20" s="149">
        <f t="shared" si="4"/>
        <v>33.000000000000526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 t="s">
        <v>81</v>
      </c>
      <c r="C21" s="76"/>
      <c r="D21" s="59" t="s">
        <v>120</v>
      </c>
      <c r="E21" s="77"/>
      <c r="F21" s="75">
        <f>VLOOKUP(D21,廠價表!$C$1:$E$43,3,0)</f>
        <v>50.39</v>
      </c>
      <c r="G21" s="147">
        <v>1865</v>
      </c>
      <c r="H21" s="78">
        <f t="shared" si="5"/>
        <v>93977.35</v>
      </c>
      <c r="I21" s="30"/>
      <c r="J21" s="79">
        <f>VLOOKUP(D21,產線配置圖!$A$3:$C$40,2,0)</f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1998.2142857143326</v>
      </c>
      <c r="O21" s="96">
        <f t="shared" si="8"/>
        <v>153.70879120879482</v>
      </c>
      <c r="P21" s="97">
        <f t="shared" si="9"/>
        <v>0</v>
      </c>
      <c r="Q21" s="98">
        <f t="shared" si="10"/>
        <v>-19.368131868128245</v>
      </c>
      <c r="R21" s="99">
        <f t="shared" si="11"/>
        <v>0.88809523809525903</v>
      </c>
      <c r="S21" s="426"/>
      <c r="T21" s="19">
        <v>0.55555555555555602</v>
      </c>
      <c r="U21" s="19">
        <v>0.594444444444444</v>
      </c>
      <c r="V21" s="30">
        <f>(T21-U20)*24*60</f>
        <v>85.000000000000341</v>
      </c>
      <c r="W21" s="149">
        <f t="shared" si="4"/>
        <v>55.999999999998678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9"/>
      <c r="U22" s="19"/>
      <c r="V22" s="30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9"/>
      <c r="U23" s="19"/>
      <c r="W23" s="149">
        <f t="shared" si="4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9"/>
      <c r="U24" s="19"/>
      <c r="V24" s="92"/>
      <c r="W24" s="149">
        <f t="shared" si="4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2">AVERAGE(J16:J25)</f>
        <v>14.5</v>
      </c>
      <c r="K26" s="155">
        <f t="shared" si="12"/>
        <v>2250</v>
      </c>
      <c r="L26" s="158">
        <f t="shared" si="12"/>
        <v>156.53684550743375</v>
      </c>
      <c r="M26" s="155">
        <f t="shared" si="12"/>
        <v>14.5</v>
      </c>
      <c r="N26" s="155">
        <f t="shared" si="12"/>
        <v>2099.3676294969373</v>
      </c>
      <c r="O26" s="158">
        <f t="shared" si="12"/>
        <v>145.96176124979357</v>
      </c>
      <c r="P26" s="159">
        <f>M26-J26</f>
        <v>0</v>
      </c>
      <c r="Q26" s="160">
        <f>O26-L26</f>
        <v>-10.575084257640185</v>
      </c>
      <c r="R26" s="161">
        <f>O26/L26</f>
        <v>0.93244348176712177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3">N26-K26</f>
        <v>-150.6323705030627</v>
      </c>
      <c r="AG26" s="124">
        <f t="shared" ref="AG26:AG31" si="14">N26/K26</f>
        <v>0.93305227977641658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57.21</v>
      </c>
      <c r="G27" s="169">
        <v>578</v>
      </c>
      <c r="H27" s="134">
        <f>F27*G27</f>
        <v>33067.379999999997</v>
      </c>
      <c r="I27" s="135"/>
      <c r="J27" s="136">
        <f>VLOOKUP(D27,產線配置圖!$A$3:$C$40,2,0)</f>
        <v>18</v>
      </c>
      <c r="K27" s="137">
        <f>VLOOKUP(D27,產線配置圖!$A$3:$C$40,3,0)</f>
        <v>1565</v>
      </c>
      <c r="L27" s="138">
        <f>K27/J27</f>
        <v>86.944444444444443</v>
      </c>
      <c r="M27" s="170">
        <v>16</v>
      </c>
      <c r="N27" s="140">
        <f>G27/W27*60</f>
        <v>1333.8461538461954</v>
      </c>
      <c r="O27" s="141">
        <f>N27/M27</f>
        <v>83.365384615387214</v>
      </c>
      <c r="P27" s="142">
        <f>M27-J27</f>
        <v>-2</v>
      </c>
      <c r="Q27" s="143">
        <f>O27-L27</f>
        <v>-3.5790598290572291</v>
      </c>
      <c r="R27" s="144">
        <f>O27/L27</f>
        <v>0.95883509461787209</v>
      </c>
      <c r="S27" s="425">
        <f>R37</f>
        <v>0.94477659560903893</v>
      </c>
      <c r="T27" s="171">
        <v>0.29166666666666702</v>
      </c>
      <c r="U27" s="171">
        <v>0.30972222222222201</v>
      </c>
      <c r="V27" s="135"/>
      <c r="W27" s="146">
        <f t="shared" si="4"/>
        <v>25.99999999999919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13"/>
        <v>-231.15384615380458</v>
      </c>
      <c r="AG27" s="172">
        <f t="shared" si="14"/>
        <v>0.85229786188255297</v>
      </c>
      <c r="AH27" s="403">
        <f>AG37</f>
        <v>0.8900261536744235</v>
      </c>
    </row>
    <row r="28" spans="1:34" ht="15" customHeight="1">
      <c r="A28" s="457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2403</v>
      </c>
      <c r="H28" s="91">
        <f>F28*G28</f>
        <v>137475.63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1427.5247524752449</v>
      </c>
      <c r="O28" s="96">
        <f>N28/M28</f>
        <v>83.9720442632497</v>
      </c>
      <c r="P28" s="97">
        <f>M28-J28</f>
        <v>-1</v>
      </c>
      <c r="Q28" s="98">
        <f>O28-L28</f>
        <v>-6.916844625639186</v>
      </c>
      <c r="R28" s="99">
        <f>O28/L28</f>
        <v>0.9238977975174173</v>
      </c>
      <c r="S28" s="426"/>
      <c r="T28" s="19">
        <v>0.31388888888888899</v>
      </c>
      <c r="U28" s="19">
        <v>0.38402777777777802</v>
      </c>
      <c r="V28" s="92">
        <f>(T28-U27)*24*60</f>
        <v>6.0000000000004583</v>
      </c>
      <c r="W28" s="149">
        <f t="shared" si="4"/>
        <v>101.0000000000002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13"/>
        <v>-208.4752475247551</v>
      </c>
      <c r="AG28" s="99">
        <f t="shared" si="14"/>
        <v>0.8725701420997829</v>
      </c>
      <c r="AH28" s="445"/>
    </row>
    <row r="29" spans="1:34" ht="15" customHeight="1">
      <c r="A29" s="457"/>
      <c r="B29" s="75" t="s">
        <v>81</v>
      </c>
      <c r="C29" s="173"/>
      <c r="D29" s="59" t="s">
        <v>123</v>
      </c>
      <c r="E29" s="104"/>
      <c r="F29" s="75">
        <f>VLOOKUP(D29,廠價表!$C$1:$E$43,3,0)</f>
        <v>50.67</v>
      </c>
      <c r="G29" s="90">
        <v>1222</v>
      </c>
      <c r="H29" s="91">
        <f>F29*G29</f>
        <v>61918.740000000005</v>
      </c>
      <c r="I29" s="92"/>
      <c r="J29" s="79">
        <f>VLOOKUP(D29,產線配置圖!$A$3:$C$40,2,0)</f>
        <v>13</v>
      </c>
      <c r="K29" s="80">
        <f>VLOOKUP(D29,產線配置圖!$A$3:$C$40,3,0)</f>
        <v>1440</v>
      </c>
      <c r="L29" s="93">
        <f>K29/J29</f>
        <v>110.76923076923077</v>
      </c>
      <c r="M29" s="94">
        <v>13</v>
      </c>
      <c r="N29" s="95">
        <f>G29/W29*60</f>
        <v>1383.3962264151157</v>
      </c>
      <c r="O29" s="96">
        <f>N29/M29</f>
        <v>106.41509433962429</v>
      </c>
      <c r="P29" s="97">
        <f>M29-J29</f>
        <v>0</v>
      </c>
      <c r="Q29" s="98">
        <f>O29-L29</f>
        <v>-4.3541364296064842</v>
      </c>
      <c r="R29" s="99">
        <f>O29/L29</f>
        <v>0.9606918238993859</v>
      </c>
      <c r="S29" s="426"/>
      <c r="T29" s="19">
        <v>0.38888888888888901</v>
      </c>
      <c r="U29" s="19">
        <v>0.42569444444444399</v>
      </c>
      <c r="V29" s="92">
        <f>(T29-U28)*24*60</f>
        <v>6.9999999999998153</v>
      </c>
      <c r="W29" s="149">
        <f t="shared" si="4"/>
        <v>52.999999999999176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13"/>
        <v>-56.603773584884266</v>
      </c>
      <c r="AG29" s="99">
        <f t="shared" si="14"/>
        <v>0.9606918238993859</v>
      </c>
      <c r="AH29" s="445"/>
    </row>
    <row r="30" spans="1:34" ht="15" customHeight="1">
      <c r="A30" s="457"/>
      <c r="B30" s="75" t="s">
        <v>81</v>
      </c>
      <c r="C30" s="88"/>
      <c r="D30" s="59" t="s">
        <v>168</v>
      </c>
      <c r="E30" s="89"/>
      <c r="F30" s="75">
        <f>VLOOKUP(D30,廠價表!$C$1:$E$43,3,0)</f>
        <v>57.21</v>
      </c>
      <c r="G30" s="90">
        <v>1193</v>
      </c>
      <c r="H30" s="91">
        <f t="shared" ref="H30:H32" si="15">F30*G30</f>
        <v>68251.53</v>
      </c>
      <c r="I30" s="92"/>
      <c r="J30" s="79">
        <f>VLOOKUP(D30,產線配置圖!$A$3:$C$40,2,0)</f>
        <v>18</v>
      </c>
      <c r="K30" s="80">
        <f>VLOOKUP(D30,產線配置圖!$A$3:$C$40,3,0)</f>
        <v>1565</v>
      </c>
      <c r="L30" s="93">
        <f t="shared" ref="L30:L32" si="16">K30/J30</f>
        <v>86.944444444444443</v>
      </c>
      <c r="M30" s="94">
        <v>17</v>
      </c>
      <c r="N30" s="95">
        <f t="shared" ref="N30:N32" si="17">G30/W30*60</f>
        <v>1350.5660377358336</v>
      </c>
      <c r="O30" s="96">
        <f t="shared" ref="O30:O32" si="18">N30/M30</f>
        <v>79.445061043284326</v>
      </c>
      <c r="P30" s="97">
        <f t="shared" ref="P30:P32" si="19">M30-J30</f>
        <v>-1</v>
      </c>
      <c r="Q30" s="98">
        <f t="shared" ref="Q30:Q32" si="20">O30-L30</f>
        <v>-7.4993834011601166</v>
      </c>
      <c r="R30" s="99">
        <f t="shared" ref="R30:R32" si="21">O30/L30</f>
        <v>0.91374511104096989</v>
      </c>
      <c r="S30" s="426"/>
      <c r="T30" s="19">
        <v>0.43194444444444402</v>
      </c>
      <c r="U30" s="19">
        <v>0.46875</v>
      </c>
      <c r="V30" s="92">
        <f>(T30-U29)*24*60</f>
        <v>9.000000000000048</v>
      </c>
      <c r="W30" s="149">
        <f t="shared" si="4"/>
        <v>53.000000000000611</v>
      </c>
      <c r="X30" s="174"/>
      <c r="Y30" s="301"/>
      <c r="Z30" s="335"/>
      <c r="AA30" s="335"/>
      <c r="AB30" s="407"/>
      <c r="AC30" s="407"/>
      <c r="AD30" s="92"/>
      <c r="AE30" s="92"/>
      <c r="AF30" s="312">
        <f t="shared" si="13"/>
        <v>-214.43396226416644</v>
      </c>
      <c r="AG30" s="99">
        <f t="shared" si="14"/>
        <v>0.86298149376091604</v>
      </c>
      <c r="AH30" s="446"/>
    </row>
    <row r="31" spans="1:34" ht="15" customHeight="1">
      <c r="A31" s="457"/>
      <c r="B31" s="75" t="s">
        <v>81</v>
      </c>
      <c r="C31" s="88"/>
      <c r="D31" s="59" t="s">
        <v>168</v>
      </c>
      <c r="E31" s="89"/>
      <c r="F31" s="75">
        <f>VLOOKUP(D31,廠價表!$C$1:$E$43,3,0)</f>
        <v>57.21</v>
      </c>
      <c r="G31" s="90">
        <v>700</v>
      </c>
      <c r="H31" s="91">
        <f t="shared" si="15"/>
        <v>40047</v>
      </c>
      <c r="I31" s="92"/>
      <c r="J31" s="79">
        <f>VLOOKUP(D31,產線配置圖!$A$3:$C$40,2,0)</f>
        <v>18</v>
      </c>
      <c r="K31" s="80">
        <f>VLOOKUP(D31,產線配置圖!$A$3:$C$40,3,0)</f>
        <v>1565</v>
      </c>
      <c r="L31" s="93">
        <f t="shared" si="16"/>
        <v>86.944444444444443</v>
      </c>
      <c r="M31" s="94">
        <v>17</v>
      </c>
      <c r="N31" s="95">
        <f t="shared" si="17"/>
        <v>1400.00000000002</v>
      </c>
      <c r="O31" s="96">
        <f t="shared" si="18"/>
        <v>82.352941176471759</v>
      </c>
      <c r="P31" s="97">
        <f t="shared" si="19"/>
        <v>-1</v>
      </c>
      <c r="Q31" s="98">
        <f t="shared" si="20"/>
        <v>-4.5915032679726835</v>
      </c>
      <c r="R31" s="99">
        <f t="shared" si="21"/>
        <v>0.94719037774855697</v>
      </c>
      <c r="S31" s="426"/>
      <c r="T31" s="19">
        <v>0.52777777777777801</v>
      </c>
      <c r="U31" s="19">
        <v>0.54861111111111105</v>
      </c>
      <c r="V31" s="92">
        <f>(T31-U30)*24*60</f>
        <v>85.000000000000341</v>
      </c>
      <c r="W31" s="149">
        <f t="shared" si="4"/>
        <v>29.999999999999574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3"/>
        <v>-164.99999999997999</v>
      </c>
      <c r="AG31" s="99">
        <f t="shared" si="14"/>
        <v>0.89456869009585938</v>
      </c>
      <c r="AH31" s="405"/>
    </row>
    <row r="32" spans="1:34" ht="15" customHeight="1">
      <c r="A32" s="457"/>
      <c r="B32" s="75" t="s">
        <v>128</v>
      </c>
      <c r="C32" s="102"/>
      <c r="D32" s="175" t="s">
        <v>130</v>
      </c>
      <c r="E32" s="176"/>
      <c r="F32" s="75">
        <f>VLOOKUP(D32,廠價表!$C$1:$E$43,3,0)</f>
        <v>44.3</v>
      </c>
      <c r="G32" s="90">
        <v>1034</v>
      </c>
      <c r="H32" s="91">
        <f t="shared" si="15"/>
        <v>45806.2</v>
      </c>
      <c r="I32" s="92"/>
      <c r="J32" s="79">
        <f>VLOOKUP(D32,產線配置圖!$A$3:$C$40,2,0)</f>
        <v>17</v>
      </c>
      <c r="K32" s="80">
        <f>VLOOKUP(D32,產線配置圖!$A$3:$C$40,3,0)</f>
        <v>1636</v>
      </c>
      <c r="L32" s="93">
        <f t="shared" si="16"/>
        <v>96.235294117647058</v>
      </c>
      <c r="M32" s="94">
        <v>16</v>
      </c>
      <c r="N32" s="95">
        <f t="shared" si="17"/>
        <v>1477.1428571428908</v>
      </c>
      <c r="O32" s="96">
        <f t="shared" si="18"/>
        <v>92.321428571430673</v>
      </c>
      <c r="P32" s="97">
        <f t="shared" si="19"/>
        <v>-1</v>
      </c>
      <c r="Q32" s="98">
        <f t="shared" si="20"/>
        <v>-3.9138655462163854</v>
      </c>
      <c r="R32" s="99">
        <f t="shared" si="21"/>
        <v>0.95933024799163902</v>
      </c>
      <c r="S32" s="426"/>
      <c r="T32" s="19">
        <v>0.55416666666666703</v>
      </c>
      <c r="U32" s="19">
        <v>0.58333333333333304</v>
      </c>
      <c r="V32" s="92">
        <f>(T32-U31)*24*60</f>
        <v>8.0000000000006111</v>
      </c>
      <c r="W32" s="149">
        <f t="shared" si="4"/>
        <v>41.999999999999048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2">AVERAGE(J27:J36)</f>
        <v>17</v>
      </c>
      <c r="K37" s="155">
        <f t="shared" si="22"/>
        <v>1567.8333333333333</v>
      </c>
      <c r="L37" s="158">
        <f t="shared" si="22"/>
        <v>93.12112451818335</v>
      </c>
      <c r="M37" s="155">
        <f t="shared" si="22"/>
        <v>16</v>
      </c>
      <c r="N37" s="155">
        <f t="shared" si="22"/>
        <v>1395.4126712692168</v>
      </c>
      <c r="O37" s="158">
        <f t="shared" si="22"/>
        <v>87.97865900157467</v>
      </c>
      <c r="P37" s="159">
        <f>M37-J37</f>
        <v>-1</v>
      </c>
      <c r="Q37" s="160">
        <f>N37-K37</f>
        <v>-172.42066206411641</v>
      </c>
      <c r="R37" s="161">
        <f>O37/L37</f>
        <v>0.94477659560903893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-172.42066206411641</v>
      </c>
      <c r="AG37" s="124">
        <f>N37/K37</f>
        <v>0.8900261536744235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2549</v>
      </c>
      <c r="H38" s="134">
        <f>F38*G38</f>
        <v>127220.59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1644.5161290322412</v>
      </c>
      <c r="O38" s="141">
        <f>N38/M38</f>
        <v>109.63440860214942</v>
      </c>
      <c r="P38" s="142">
        <f>M38-J38</f>
        <v>0</v>
      </c>
      <c r="Q38" s="143">
        <f>O38-L38</f>
        <v>-4.6322580645172451</v>
      </c>
      <c r="R38" s="144">
        <f>O38/L38</f>
        <v>0.95946098543304625</v>
      </c>
      <c r="S38" s="453">
        <f>R48</f>
        <v>0.94643854166887786</v>
      </c>
      <c r="T38" s="191">
        <v>0.33194444444444399</v>
      </c>
      <c r="U38" s="191">
        <v>0.39652777777777798</v>
      </c>
      <c r="V38" s="192"/>
      <c r="W38" s="193">
        <f t="shared" si="4"/>
        <v>93.000000000000952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-69.483870967758776</v>
      </c>
      <c r="AG38" s="195">
        <f>N38/K38</f>
        <v>0.95946098543304625</v>
      </c>
      <c r="AH38" s="459">
        <f>AG48</f>
        <v>0.94555016480870735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2640</v>
      </c>
      <c r="H39" s="91">
        <f>F39*G39</f>
        <v>116951.99999999999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1523.0769230769286</v>
      </c>
      <c r="O39" s="203">
        <f>N39/M39</f>
        <v>89.592760180995796</v>
      </c>
      <c r="P39" s="97">
        <f>M39-J39</f>
        <v>0</v>
      </c>
      <c r="Q39" s="98">
        <f>O39-L39</f>
        <v>-6.6425339366512617</v>
      </c>
      <c r="R39" s="99">
        <f>O39/L39</f>
        <v>0.93097611435020078</v>
      </c>
      <c r="S39" s="454"/>
      <c r="T39" s="20">
        <v>0.40347222222222201</v>
      </c>
      <c r="U39" s="20">
        <v>0.47569444444444398</v>
      </c>
      <c r="V39" s="92">
        <f>(T39-U38)*24*60</f>
        <v>9.9999999999994049</v>
      </c>
      <c r="W39" s="205">
        <f t="shared" si="4"/>
        <v>103.99999999999963</v>
      </c>
      <c r="X39" s="22"/>
      <c r="Y39" s="84"/>
      <c r="Z39" s="90"/>
      <c r="AA39" s="90"/>
      <c r="AB39" s="462"/>
      <c r="AC39" s="462"/>
      <c r="AD39" s="200"/>
      <c r="AE39" s="200"/>
      <c r="AF39" s="314">
        <f>N39-K39</f>
        <v>-112.92307692307145</v>
      </c>
      <c r="AG39" s="206">
        <f>N39/K39</f>
        <v>0.93097611435020078</v>
      </c>
      <c r="AH39" s="460"/>
    </row>
    <row r="40" spans="1:34" ht="15" customHeight="1">
      <c r="A40" s="451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40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0</v>
      </c>
      <c r="AG40" s="206" t="e">
        <f>N40/K40</f>
        <v>#DIV/0!</v>
      </c>
      <c r="AH40" s="460"/>
    </row>
    <row r="41" spans="1:34" ht="15" customHeight="1">
      <c r="A41" s="45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40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0</v>
      </c>
      <c r="AG41" s="206" t="e">
        <f>N41/K41</f>
        <v>#DIV/0!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3">AVERAGE(J38:J47)</f>
        <v>16</v>
      </c>
      <c r="K48" s="155">
        <f t="shared" si="23"/>
        <v>1675</v>
      </c>
      <c r="L48" s="158">
        <f t="shared" si="23"/>
        <v>105.25098039215686</v>
      </c>
      <c r="M48" s="155">
        <f t="shared" si="23"/>
        <v>16</v>
      </c>
      <c r="N48" s="155">
        <f t="shared" si="23"/>
        <v>1583.7965260545848</v>
      </c>
      <c r="O48" s="158">
        <f t="shared" si="23"/>
        <v>99.613584391572601</v>
      </c>
      <c r="P48" s="221">
        <f>M48-J48</f>
        <v>0</v>
      </c>
      <c r="Q48" s="222">
        <f>N48-K48</f>
        <v>-91.203473945415226</v>
      </c>
      <c r="R48" s="223">
        <f>O48/L48</f>
        <v>0.94643854166887786</v>
      </c>
      <c r="S48" s="443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24">N48-K48</f>
        <v>-91.203473945415226</v>
      </c>
      <c r="AG48" s="162">
        <f t="shared" ref="AG48:AG53" si="25">N48/K48</f>
        <v>0.94555016480870735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1869</v>
      </c>
      <c r="H49" s="134">
        <f>F49*G49</f>
        <v>92552.88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16</v>
      </c>
      <c r="N49" s="140">
        <f>G49/W49*60</f>
        <v>1602.0000000000041</v>
      </c>
      <c r="O49" s="141">
        <f>N49/M49</f>
        <v>100.12500000000026</v>
      </c>
      <c r="P49" s="229">
        <f>M49-J49</f>
        <v>-1</v>
      </c>
      <c r="Q49" s="230">
        <f>O49-L49</f>
        <v>-5.7573529411762081</v>
      </c>
      <c r="R49" s="52">
        <f>O49/L49</f>
        <v>0.94562500000000249</v>
      </c>
      <c r="S49" s="439">
        <f>R58</f>
        <v>0.92400523245608335</v>
      </c>
      <c r="T49" s="191">
        <v>0.29166666666666702</v>
      </c>
      <c r="U49" s="191">
        <v>0.34027777777777801</v>
      </c>
      <c r="V49" s="55"/>
      <c r="W49" s="193">
        <f t="shared" si="4"/>
        <v>69.999999999999829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24"/>
        <v>-197.99999999999591</v>
      </c>
      <c r="AG49" s="52">
        <f t="shared" si="25"/>
        <v>0.89000000000000223</v>
      </c>
      <c r="AH49" s="403">
        <f>AG58</f>
        <v>0.86842691879894085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2352</v>
      </c>
      <c r="H50" s="231">
        <f>F50*G50</f>
        <v>118279.728</v>
      </c>
      <c r="I50" s="232"/>
      <c r="J50" s="79">
        <v>17</v>
      </c>
      <c r="K50" s="80">
        <f>VLOOKUP(D50,產線配置圖!$A$3:$C$40,3,0)</f>
        <v>1565</v>
      </c>
      <c r="L50" s="81">
        <f>K50/J50</f>
        <v>92.058823529411768</v>
      </c>
      <c r="M50" s="233">
        <v>16</v>
      </c>
      <c r="N50" s="234">
        <f>G50/W50*60</f>
        <v>1383.5294117647118</v>
      </c>
      <c r="O50" s="235">
        <f>N50/M50</f>
        <v>86.470588235294485</v>
      </c>
      <c r="P50" s="74">
        <f>M50-J50</f>
        <v>-1</v>
      </c>
      <c r="Q50" s="83">
        <f>O50-L50</f>
        <v>-5.5882352941172826</v>
      </c>
      <c r="R50" s="72">
        <f>O50/L50</f>
        <v>0.93929712460064296</v>
      </c>
      <c r="S50" s="440"/>
      <c r="T50" s="21">
        <v>0.34652777777777799</v>
      </c>
      <c r="U50" s="21">
        <v>0.41736111111111102</v>
      </c>
      <c r="V50" s="30">
        <f>(T50-U49)*24*60</f>
        <v>8.999999999999968</v>
      </c>
      <c r="W50" s="236">
        <f t="shared" si="4"/>
        <v>101.99999999999956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24"/>
        <v>-181.47058823528823</v>
      </c>
      <c r="AG50" s="72">
        <f t="shared" si="25"/>
        <v>0.884044352565311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f>VLOOKUP(D51,廠價表!$C$1:$E$43,3,0)</f>
        <v>49.97</v>
      </c>
      <c r="G51" s="202">
        <v>1271</v>
      </c>
      <c r="H51" s="231">
        <f>F51*G51</f>
        <v>63511.869999999995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1525.2000000000103</v>
      </c>
      <c r="O51" s="235">
        <f>N51/M51</f>
        <v>101.68000000000069</v>
      </c>
      <c r="P51" s="74">
        <f>M51-J51</f>
        <v>-1</v>
      </c>
      <c r="Q51" s="83">
        <f>O51-L51</f>
        <v>-10.819999999999311</v>
      </c>
      <c r="R51" s="72">
        <f>O51/L51</f>
        <v>0.9038222222222283</v>
      </c>
      <c r="S51" s="440"/>
      <c r="T51" s="21">
        <v>0.42361111111111099</v>
      </c>
      <c r="U51" s="19">
        <v>0.45833333333333298</v>
      </c>
      <c r="V51" s="30">
        <f>(T51-U50)*24*60</f>
        <v>8.999999999999968</v>
      </c>
      <c r="W51" s="236">
        <f t="shared" si="4"/>
        <v>49.999999999999659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24"/>
        <v>-274.79999999998972</v>
      </c>
      <c r="AG51" s="72">
        <f t="shared" si="25"/>
        <v>0.84733333333333904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f>VLOOKUP(D52,廠價表!$C$1:$E$43,3,0)</f>
        <v>49.97</v>
      </c>
      <c r="G52" s="202">
        <v>2640</v>
      </c>
      <c r="H52" s="231">
        <f>F52*G52</f>
        <v>131920.79999999999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>G52/W52*60</f>
        <v>1537.8640776698965</v>
      </c>
      <c r="O52" s="235">
        <f>N52/M52</f>
        <v>102.52427184465976</v>
      </c>
      <c r="P52" s="74">
        <f>M52-J52</f>
        <v>-1</v>
      </c>
      <c r="Q52" s="83">
        <f>O52-L52</f>
        <v>-9.975728155340235</v>
      </c>
      <c r="R52" s="72">
        <f>O52/L52</f>
        <v>0.91132686084142012</v>
      </c>
      <c r="S52" s="440"/>
      <c r="T52" s="21">
        <v>0.51527777777777795</v>
      </c>
      <c r="U52" s="21">
        <v>0.58680555555555602</v>
      </c>
      <c r="V52" s="30">
        <f>(T52-U51)*24*60</f>
        <v>82.000000000000753</v>
      </c>
      <c r="W52" s="236">
        <f t="shared" si="4"/>
        <v>103.00000000000043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24"/>
        <v>-262.13592233010354</v>
      </c>
      <c r="AG52" s="72">
        <f t="shared" si="25"/>
        <v>0.85436893203883135</v>
      </c>
      <c r="AH52" s="404"/>
    </row>
    <row r="53" spans="1:34" ht="15" customHeight="1">
      <c r="A53" s="46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40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24"/>
        <v>0</v>
      </c>
      <c r="AG53" s="72" t="e">
        <f t="shared" si="25"/>
        <v>#DIV/0!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26">AVERAGE(J49:J57)</f>
        <v>16.5</v>
      </c>
      <c r="K58" s="120">
        <f t="shared" si="26"/>
        <v>1741.25</v>
      </c>
      <c r="L58" s="117">
        <f t="shared" si="26"/>
        <v>105.73529411764706</v>
      </c>
      <c r="M58" s="120">
        <f t="shared" si="26"/>
        <v>15.5</v>
      </c>
      <c r="N58" s="120">
        <f t="shared" si="26"/>
        <v>1512.1483723586557</v>
      </c>
      <c r="O58" s="117">
        <f t="shared" si="26"/>
        <v>97.699965019988809</v>
      </c>
      <c r="P58" s="121">
        <f>M58-J58</f>
        <v>-1</v>
      </c>
      <c r="Q58" s="122">
        <f>N58-K58</f>
        <v>-229.10162764134429</v>
      </c>
      <c r="R58" s="123">
        <f>O58/L58</f>
        <v>0.92400523245608335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-229.10162764134429</v>
      </c>
      <c r="AG58" s="124">
        <f>N58/K58</f>
        <v>0.86842691879894085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2576</v>
      </c>
      <c r="H59" s="243">
        <f>F59*G59</f>
        <v>69526.239999999991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1471.999999999993</v>
      </c>
      <c r="O59" s="138">
        <f>N59/M59</f>
        <v>98.133333333332857</v>
      </c>
      <c r="P59" s="56">
        <f>M59-J59</f>
        <v>0</v>
      </c>
      <c r="Q59" s="230">
        <f>O59-L59</f>
        <v>-6.2000000000004718</v>
      </c>
      <c r="R59" s="52">
        <f>O59/L59</f>
        <v>0.9405750798721999</v>
      </c>
      <c r="S59" s="439">
        <f>R69</f>
        <v>0.92864428328051685</v>
      </c>
      <c r="T59" s="245">
        <v>0.28819444444444398</v>
      </c>
      <c r="U59" s="245">
        <v>0.36111111111111099</v>
      </c>
      <c r="V59" s="55"/>
      <c r="W59" s="54">
        <f t="shared" si="4"/>
        <v>105.00000000000051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-93.000000000007049</v>
      </c>
      <c r="AG59" s="246">
        <f>N59/K59</f>
        <v>0.94057507987220001</v>
      </c>
      <c r="AH59" s="403">
        <f>AG69</f>
        <v>0.92920671178450276</v>
      </c>
    </row>
    <row r="60" spans="1:34" ht="15" customHeight="1">
      <c r="A60" s="464"/>
      <c r="B60" s="75" t="s">
        <v>125</v>
      </c>
      <c r="C60" s="86"/>
      <c r="D60" s="175" t="s">
        <v>192</v>
      </c>
      <c r="E60" s="87"/>
      <c r="F60" s="75">
        <f>VLOOKUP(D60,廠價表!$C$1:$E$43,3,0)</f>
        <v>28.26</v>
      </c>
      <c r="G60" s="30">
        <v>1353</v>
      </c>
      <c r="H60" s="78">
        <f>F60*G60</f>
        <v>38235.78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1476.0000000000182</v>
      </c>
      <c r="O60" s="81">
        <f>N60/M60</f>
        <v>134.18181818181984</v>
      </c>
      <c r="P60" s="74">
        <f>M60-J60</f>
        <v>0</v>
      </c>
      <c r="Q60" s="83">
        <f>O60-L60</f>
        <v>-14.545454545452884</v>
      </c>
      <c r="R60" s="72">
        <f>O60/L60</f>
        <v>0.90220048899756622</v>
      </c>
      <c r="S60" s="467"/>
      <c r="T60" s="22">
        <v>0.36805555555555602</v>
      </c>
      <c r="U60" s="22">
        <v>0.40625</v>
      </c>
      <c r="V60" s="30">
        <f>(T60-U59)*24*60</f>
        <v>10.000000000000844</v>
      </c>
      <c r="W60" s="248">
        <f t="shared" si="4"/>
        <v>54.999999999999325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-159.99999999998181</v>
      </c>
      <c r="AG60" s="249">
        <f>N60/K60</f>
        <v>0.90220048899756611</v>
      </c>
      <c r="AH60" s="475"/>
    </row>
    <row r="61" spans="1:34" ht="15" customHeight="1">
      <c r="A61" s="465"/>
      <c r="B61" s="250" t="s">
        <v>125</v>
      </c>
      <c r="C61" s="251"/>
      <c r="D61" s="252" t="s">
        <v>135</v>
      </c>
      <c r="E61" s="253"/>
      <c r="F61" s="250">
        <f>VLOOKUP(D61,廠價表!$C$1:$E$43,3,0)</f>
        <v>28.26</v>
      </c>
      <c r="G61" s="38">
        <v>1556</v>
      </c>
      <c r="H61" s="254">
        <f>F61*G61</f>
        <v>43972.560000000005</v>
      </c>
      <c r="I61" s="182"/>
      <c r="J61" s="106">
        <f>VLOOKUP(D61,產線配置圖!$A$3:$C$40,2,0)</f>
        <v>12</v>
      </c>
      <c r="K61" s="107">
        <f>VLOOKUP(D61,產線配置圖!$A$3:$C$40,3,0)</f>
        <v>1565</v>
      </c>
      <c r="L61" s="238">
        <f>K61/J61</f>
        <v>130.41666666666666</v>
      </c>
      <c r="M61" s="108">
        <v>12</v>
      </c>
      <c r="N61" s="107">
        <f>G61/W61*60</f>
        <v>1436.3076923076885</v>
      </c>
      <c r="O61" s="238">
        <f>N61/M61</f>
        <v>119.69230769230738</v>
      </c>
      <c r="P61" s="111">
        <f>M61-J61</f>
        <v>0</v>
      </c>
      <c r="Q61" s="255">
        <f>O61-L61</f>
        <v>-10.724358974359276</v>
      </c>
      <c r="R61" s="85">
        <f>O61/L61</f>
        <v>0.91776849348734102</v>
      </c>
      <c r="S61" s="440"/>
      <c r="T61" s="22">
        <v>0.41319444444444398</v>
      </c>
      <c r="U61" s="22">
        <v>0.45833333333333298</v>
      </c>
      <c r="V61" s="30">
        <f>(T61-U60)*24*60</f>
        <v>9.999999999999325</v>
      </c>
      <c r="W61" s="256">
        <f t="shared" si="4"/>
        <v>65.000000000000171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-128.69230769231149</v>
      </c>
      <c r="AG61" s="247">
        <f>N61/K61</f>
        <v>0.91776849348734091</v>
      </c>
      <c r="AH61" s="404"/>
    </row>
    <row r="62" spans="1:34" ht="15" customHeight="1">
      <c r="A62" s="465"/>
      <c r="B62" s="250" t="s">
        <v>125</v>
      </c>
      <c r="C62" s="251"/>
      <c r="D62" s="257" t="s">
        <v>126</v>
      </c>
      <c r="E62" s="253"/>
      <c r="F62" s="250">
        <f>VLOOKUP(D62,廠價表!$C$1:$E$43,3,0)</f>
        <v>28.26</v>
      </c>
      <c r="G62" s="38">
        <v>999</v>
      </c>
      <c r="H62" s="254">
        <f>F62*G62</f>
        <v>28231.74</v>
      </c>
      <c r="I62" s="182"/>
      <c r="J62" s="106">
        <f>VLOOKUP(D62,產線配置圖!$A$3:$C$40,2,0)</f>
        <v>11</v>
      </c>
      <c r="K62" s="107">
        <f>VLOOKUP(D62,產線配置圖!$A$3:$C$40,3,0)</f>
        <v>1565</v>
      </c>
      <c r="L62" s="238">
        <f>K62/J62</f>
        <v>142.27272727272728</v>
      </c>
      <c r="M62" s="108">
        <v>11</v>
      </c>
      <c r="N62" s="107">
        <f>G62/W62*60</f>
        <v>1498.4999999999873</v>
      </c>
      <c r="O62" s="238">
        <f>N62/M62</f>
        <v>136.22727272727158</v>
      </c>
      <c r="P62" s="111">
        <f>M62-J62</f>
        <v>0</v>
      </c>
      <c r="Q62" s="255">
        <f>O62-L62</f>
        <v>-6.0454545454556978</v>
      </c>
      <c r="R62" s="85">
        <f>O62/L62</f>
        <v>0.95750798722043917</v>
      </c>
      <c r="S62" s="440"/>
      <c r="T62" s="22">
        <v>0.46527777777777801</v>
      </c>
      <c r="U62" s="22">
        <v>0.49305555555555602</v>
      </c>
      <c r="V62" s="30">
        <f>(T62-U61)*24*60</f>
        <v>10.000000000000844</v>
      </c>
      <c r="W62" s="248">
        <f t="shared" si="4"/>
        <v>40.000000000000341</v>
      </c>
      <c r="X62" s="22"/>
      <c r="Y62" s="84"/>
      <c r="Z62" s="90"/>
      <c r="AA62" s="90"/>
      <c r="AB62" s="407"/>
      <c r="AC62" s="407"/>
      <c r="AD62" s="92"/>
      <c r="AE62" s="92"/>
      <c r="AF62" s="317">
        <f>N62-K62</f>
        <v>-66.500000000012733</v>
      </c>
      <c r="AG62" s="247">
        <f>N62/K62</f>
        <v>0.95750798722043917</v>
      </c>
      <c r="AH62" s="404"/>
    </row>
    <row r="63" spans="1:34" ht="15" customHeight="1">
      <c r="A63" s="46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40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/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27">AVERAGE(J59:J68)</f>
        <v>12.25</v>
      </c>
      <c r="K69" s="240">
        <f t="shared" si="27"/>
        <v>1582.75</v>
      </c>
      <c r="L69" s="268">
        <f t="shared" si="27"/>
        <v>131.4375</v>
      </c>
      <c r="M69" s="240">
        <f t="shared" si="27"/>
        <v>12.25</v>
      </c>
      <c r="N69" s="240">
        <f t="shared" si="27"/>
        <v>1470.7019230769217</v>
      </c>
      <c r="O69" s="268">
        <f t="shared" si="27"/>
        <v>122.05868298368293</v>
      </c>
      <c r="P69" s="269">
        <f>M69-J69</f>
        <v>0</v>
      </c>
      <c r="Q69" s="222">
        <f>N69-K69</f>
        <v>-112.04807692307827</v>
      </c>
      <c r="R69" s="123">
        <f>O69/L69</f>
        <v>0.92864428328051685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-112.04807692307827</v>
      </c>
      <c r="AG69" s="124">
        <f>N69/K69</f>
        <v>0.92920671178450276</v>
      </c>
      <c r="AH69" s="406"/>
    </row>
    <row r="70" spans="1:36" ht="15" customHeight="1">
      <c r="A70" s="471" t="s">
        <v>55</v>
      </c>
      <c r="B70" s="75" t="s">
        <v>125</v>
      </c>
      <c r="C70" s="86"/>
      <c r="D70" s="175" t="s">
        <v>192</v>
      </c>
      <c r="E70" s="87"/>
      <c r="F70" s="75">
        <f>VLOOKUP(D70,廠價表!$C$1:$E$43,3,0)</f>
        <v>28.26</v>
      </c>
      <c r="G70" s="30">
        <v>1197</v>
      </c>
      <c r="H70" s="78">
        <f>F70*G70</f>
        <v>33827.22</v>
      </c>
      <c r="I70" s="30"/>
      <c r="J70" s="79">
        <f>VLOOKUP(D70,產線配置圖!$A$3:$C$40,2,0)</f>
        <v>11</v>
      </c>
      <c r="K70" s="80">
        <f>VLOOKUP(D70,產線配置圖!$A$3:$C$40,3,0)</f>
        <v>1636</v>
      </c>
      <c r="L70" s="81">
        <f>K70/J70</f>
        <v>148.72727272727272</v>
      </c>
      <c r="M70" s="82">
        <v>7</v>
      </c>
      <c r="N70" s="80">
        <f>G70/W70*60</f>
        <v>957.59999999998718</v>
      </c>
      <c r="O70" s="81">
        <f>N70/M70</f>
        <v>136.79999999999816</v>
      </c>
      <c r="P70" s="74">
        <f>M70-J70</f>
        <v>-4</v>
      </c>
      <c r="Q70" s="83">
        <f>O70-L70</f>
        <v>-11.927272727274556</v>
      </c>
      <c r="R70" s="72">
        <f>O70/L70</f>
        <v>0.91980440097798277</v>
      </c>
      <c r="S70" s="439">
        <f>R79</f>
        <v>0.92362294705835801</v>
      </c>
      <c r="T70" s="245">
        <v>0.40972222222222199</v>
      </c>
      <c r="U70" s="245">
        <v>0.46180555555555602</v>
      </c>
      <c r="V70" s="55"/>
      <c r="W70" s="54">
        <f t="shared" si="4"/>
        <v>75.000000000001009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-678.40000000001282</v>
      </c>
      <c r="AG70" s="246">
        <f>N70/K70</f>
        <v>0.58533007334962539</v>
      </c>
      <c r="AH70" s="403">
        <f>AG79</f>
        <v>0.69976523084962561</v>
      </c>
    </row>
    <row r="71" spans="1:36" ht="15" customHeight="1">
      <c r="A71" s="472"/>
      <c r="B71" s="250" t="s">
        <v>125</v>
      </c>
      <c r="C71" s="251"/>
      <c r="D71" s="257" t="s">
        <v>126</v>
      </c>
      <c r="E71" s="253"/>
      <c r="F71" s="250">
        <f>VLOOKUP(D71,廠價表!$C$1:$E$43,3,0)</f>
        <v>28.26</v>
      </c>
      <c r="G71" s="38">
        <v>1149</v>
      </c>
      <c r="H71" s="254">
        <f>F71*G71</f>
        <v>32470.74</v>
      </c>
      <c r="I71" s="182"/>
      <c r="J71" s="106">
        <f>VLOOKUP(D71,產線配置圖!$A$3:$C$40,2,0)</f>
        <v>11</v>
      </c>
      <c r="K71" s="107">
        <f>VLOOKUP(D71,產線配置圖!$A$3:$C$40,3,0)</f>
        <v>1565</v>
      </c>
      <c r="L71" s="238">
        <f>K71/J71</f>
        <v>142.27272727272728</v>
      </c>
      <c r="M71" s="108">
        <v>7</v>
      </c>
      <c r="N71" s="107">
        <f>G71/W71*60</f>
        <v>919.19999999998765</v>
      </c>
      <c r="O71" s="238">
        <f>N71/M71</f>
        <v>131.31428571428395</v>
      </c>
      <c r="P71" s="111">
        <f>M71-J71</f>
        <v>-4</v>
      </c>
      <c r="Q71" s="255">
        <f>O71-L71</f>
        <v>-10.958441558443326</v>
      </c>
      <c r="R71" s="85">
        <f>O71/L71</f>
        <v>0.9229758101323472</v>
      </c>
      <c r="S71" s="440"/>
      <c r="T71" s="22">
        <v>0.53472222222222199</v>
      </c>
      <c r="U71" s="22">
        <v>0.58680555555555602</v>
      </c>
      <c r="V71" s="30">
        <f>(T71-U70)*24*60</f>
        <v>104.99999999999899</v>
      </c>
      <c r="W71" s="73">
        <f t="shared" si="4"/>
        <v>75.000000000001009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/>
      <c r="D79" s="430" t="s">
        <v>42</v>
      </c>
      <c r="E79" s="430"/>
      <c r="F79" s="116"/>
      <c r="G79" s="117"/>
      <c r="H79" s="118"/>
      <c r="I79" s="267"/>
      <c r="J79" s="240">
        <f t="shared" ref="J79:O79" si="28">AVERAGE(J69:J78)</f>
        <v>11.416666666666666</v>
      </c>
      <c r="K79" s="240">
        <f t="shared" si="28"/>
        <v>1594.5833333333333</v>
      </c>
      <c r="L79" s="268">
        <f t="shared" si="28"/>
        <v>140.8125</v>
      </c>
      <c r="M79" s="240">
        <f t="shared" si="28"/>
        <v>8.75</v>
      </c>
      <c r="N79" s="240">
        <f t="shared" si="28"/>
        <v>1115.8339743589654</v>
      </c>
      <c r="O79" s="268">
        <f t="shared" si="28"/>
        <v>130.05765623265503</v>
      </c>
      <c r="P79" s="269">
        <f>M79-J79</f>
        <v>-2.6666666666666661</v>
      </c>
      <c r="Q79" s="222">
        <f>N79-K79</f>
        <v>-478.74935897436785</v>
      </c>
      <c r="R79" s="123">
        <f>O79/L79</f>
        <v>0.92362294705835801</v>
      </c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-478.74935897436785</v>
      </c>
      <c r="AG79" s="124">
        <f>N79/K79</f>
        <v>0.69976523084962561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70:A79"/>
    <mergeCell ref="S70:S79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70:AH79"/>
    <mergeCell ref="AB58:AC58"/>
    <mergeCell ref="AB59:AC59"/>
    <mergeCell ref="D69:E69"/>
    <mergeCell ref="AB69:AC69"/>
    <mergeCell ref="AB62:AC62"/>
    <mergeCell ref="AB63:AC63"/>
    <mergeCell ref="AB64:AC64"/>
    <mergeCell ref="AB65:AC65"/>
    <mergeCell ref="AH59:AH69"/>
    <mergeCell ref="AB66:AC66"/>
    <mergeCell ref="AH49:AH58"/>
    <mergeCell ref="AB50:AC50"/>
    <mergeCell ref="AB67:AC67"/>
    <mergeCell ref="AB68:AC68"/>
    <mergeCell ref="D79:E79"/>
    <mergeCell ref="AB79:AC79"/>
    <mergeCell ref="AB60:AC60"/>
    <mergeCell ref="AB61:AC61"/>
    <mergeCell ref="D58:E58"/>
    <mergeCell ref="A59:A69"/>
    <mergeCell ref="S59:S69"/>
    <mergeCell ref="AB56:AC56"/>
    <mergeCell ref="AB57:AC57"/>
    <mergeCell ref="AB51:AC51"/>
    <mergeCell ref="AB52:AC52"/>
    <mergeCell ref="AB53:AC53"/>
    <mergeCell ref="AB54:AC54"/>
    <mergeCell ref="AB55:AC55"/>
    <mergeCell ref="D48:E48"/>
    <mergeCell ref="AB48:AC48"/>
    <mergeCell ref="AB39:AC39"/>
    <mergeCell ref="AB40:AC40"/>
    <mergeCell ref="AB41:AC41"/>
    <mergeCell ref="AB47:AC47"/>
    <mergeCell ref="A49:A58"/>
    <mergeCell ref="S49:S58"/>
    <mergeCell ref="AB49:AC49"/>
    <mergeCell ref="AH38:AH48"/>
    <mergeCell ref="AB42:AC42"/>
    <mergeCell ref="AB43:AC43"/>
    <mergeCell ref="AB44:AC44"/>
    <mergeCell ref="AB45:AC45"/>
    <mergeCell ref="AB46:AC46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AB26:AC26"/>
    <mergeCell ref="AB25:AC25"/>
    <mergeCell ref="P3:P4"/>
    <mergeCell ref="Q3:Q4"/>
    <mergeCell ref="R3:R4"/>
    <mergeCell ref="AH5:AH15"/>
    <mergeCell ref="AB6:AC6"/>
    <mergeCell ref="AB7:AC7"/>
    <mergeCell ref="AB3:AC4"/>
    <mergeCell ref="AB14:AC14"/>
    <mergeCell ref="AB13:AC13"/>
    <mergeCell ref="AD3:AE3"/>
    <mergeCell ref="AF3:AF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16:A26"/>
    <mergeCell ref="T3:U3"/>
    <mergeCell ref="V3:V4"/>
    <mergeCell ref="W3:W4"/>
    <mergeCell ref="X3:Y3"/>
    <mergeCell ref="A5:A15"/>
    <mergeCell ref="S5:S15"/>
    <mergeCell ref="AB5:AC5"/>
    <mergeCell ref="Z3:AA3"/>
    <mergeCell ref="AB8:AC8"/>
    <mergeCell ref="AB9:AC9"/>
    <mergeCell ref="AB10:AC10"/>
    <mergeCell ref="AB11:AC11"/>
    <mergeCell ref="AB12:AC12"/>
    <mergeCell ref="D15:E15"/>
    <mergeCell ref="AB15:AC15"/>
    <mergeCell ref="S16:S26"/>
    <mergeCell ref="AB16:AC16"/>
    <mergeCell ref="D26:E26"/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G3:AG4"/>
    <mergeCell ref="AH3:AH4"/>
  </mergeCells>
  <phoneticPr fontId="0" type="noConversion"/>
  <conditionalFormatting sqref="P5:P79">
    <cfRule type="cellIs" dxfId="108" priority="1" operator="greaterThan">
      <formula>0</formula>
    </cfRule>
  </conditionalFormatting>
  <conditionalFormatting sqref="Q5:Q79 AF5:AF79">
    <cfRule type="cellIs" dxfId="107" priority="4" operator="lessThan">
      <formula>0</formula>
    </cfRule>
  </conditionalFormatting>
  <conditionalFormatting sqref="R5:R79 AG5:AG79">
    <cfRule type="cellIs" dxfId="106" priority="2" operator="greaterThan">
      <formula>1</formula>
    </cfRule>
    <cfRule type="cellIs" dxfId="105" priority="3" operator="lessThan">
      <formula>0.8</formula>
    </cfRule>
  </conditionalFormatting>
  <conditionalFormatting sqref="S5:S10 S37:S62 AH59:AH62 S69:S76 AH69:AH76">
    <cfRule type="cellIs" dxfId="104" priority="7" operator="lessThan">
      <formula>0.8</formula>
    </cfRule>
  </conditionalFormatting>
  <conditionalFormatting sqref="S19:S25 AH19:AH25">
    <cfRule type="cellIs" dxfId="103" priority="6" operator="lessThan">
      <formula>0.8</formula>
    </cfRule>
  </conditionalFormatting>
  <conditionalFormatting sqref="S79">
    <cfRule type="cellIs" dxfId="102" priority="5" operator="lessThan">
      <formula>0.8</formula>
    </cfRule>
  </conditionalFormatting>
  <conditionalFormatting sqref="AH5:AH8 S15:S16 AH15:AH16 AH49 AH79">
    <cfRule type="cellIs" dxfId="101" priority="9" operator="lessThan">
      <formula>0.8</formula>
    </cfRule>
  </conditionalFormatting>
  <conditionalFormatting sqref="AH27 S27:S28">
    <cfRule type="cellIs" dxfId="1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7676CC-9A9C-45C8-9731-B2B33C47C9FB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F960-4E1F-4FAC-9CB0-3B3A848A565C}">
  <dimension ref="B1:O26"/>
  <sheetViews>
    <sheetView zoomScale="70" zoomScaleNormal="70" workbookViewId="0">
      <selection activeCell="U71" sqref="U7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46194</v>
      </c>
      <c r="E3" s="510"/>
      <c r="F3" s="3" t="s">
        <v>72</v>
      </c>
      <c r="G3" s="511">
        <f>'0621'!E1</f>
        <v>65708</v>
      </c>
      <c r="H3" s="511"/>
      <c r="I3" s="3" t="s">
        <v>2</v>
      </c>
      <c r="J3" s="512">
        <f>'0621'!G1</f>
        <v>3048434.5449999999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123.49151532563297</v>
      </c>
      <c r="G6" s="507"/>
      <c r="H6" s="508">
        <f>AVERAGE(D13:H13)</f>
        <v>122.11296990591109</v>
      </c>
      <c r="I6" s="508"/>
      <c r="J6" s="508">
        <f>AVERAGE(I13:J13)</f>
        <v>134.97</v>
      </c>
      <c r="K6" s="508"/>
      <c r="L6" s="516">
        <f>SUM(D18:J18)</f>
        <v>2</v>
      </c>
      <c r="M6" s="499">
        <f>SUM(D19:J19)</f>
        <v>55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113.55102169452088</v>
      </c>
      <c r="G7" s="496"/>
      <c r="H7" s="497">
        <f>AVERAGE(D14:H14)</f>
        <v>111.81060681348615</v>
      </c>
      <c r="I7" s="497"/>
      <c r="J7" s="497">
        <f>AVERAGE(I14:J14)</f>
        <v>121.57578698705146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0.91950464285015743</v>
      </c>
      <c r="G8" s="502"/>
      <c r="H8" s="502">
        <f>H7/H6</f>
        <v>0.91563252371666182</v>
      </c>
      <c r="I8" s="502"/>
      <c r="J8" s="502">
        <f>J7/J6</f>
        <v>0.9007615543235642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VALUE('0621'!L15)</f>
        <v>150</v>
      </c>
      <c r="E13" s="13">
        <f>VALUE('0621'!L26)</f>
        <v>158.32255979314803</v>
      </c>
      <c r="F13" s="13">
        <f>VALUE('0621'!L37)</f>
        <v>93.929217840982545</v>
      </c>
      <c r="G13" s="13">
        <f>VALUE('0621'!L48)</f>
        <v>102.57777777777778</v>
      </c>
      <c r="H13" s="13">
        <f>VALUE('0621'!L58)</f>
        <v>105.73529411764706</v>
      </c>
      <c r="I13" s="13">
        <f>VALUE('0621'!L69)</f>
        <v>130.38424242424242</v>
      </c>
      <c r="J13" s="13">
        <f>'0621'!L79</f>
        <v>139.55575757575758</v>
      </c>
    </row>
    <row r="14" spans="2:15" ht="39.950000000000003" customHeight="1">
      <c r="B14" s="490"/>
      <c r="C14" s="12" t="s">
        <v>100</v>
      </c>
      <c r="D14" s="13">
        <f>VALUE('0621'!O15)</f>
        <v>139.28842818892073</v>
      </c>
      <c r="E14" s="13">
        <f>VALUE('0621'!O26)</f>
        <v>143.01297753805531</v>
      </c>
      <c r="F14" s="13">
        <f>VALUE('0621'!O37)</f>
        <v>89.258520197357839</v>
      </c>
      <c r="G14" s="13">
        <f>VALUE('0621'!O48)</f>
        <v>93.119759450170804</v>
      </c>
      <c r="H14" s="13">
        <f>VALUE('0621'!O58)</f>
        <v>94.373348692926086</v>
      </c>
      <c r="I14" s="13">
        <f>VALUE('0621'!O69)</f>
        <v>122.25309609969452</v>
      </c>
      <c r="J14" s="13">
        <f>'0621'!O79</f>
        <v>120.8984778744084</v>
      </c>
    </row>
    <row r="15" spans="2:15" ht="39.950000000000003" customHeight="1">
      <c r="B15" s="491"/>
      <c r="C15" s="10" t="s">
        <v>26</v>
      </c>
      <c r="D15" s="14">
        <f t="shared" ref="D15:I15" si="1">D14/D13</f>
        <v>0.92858952125947158</v>
      </c>
      <c r="E15" s="14">
        <f t="shared" si="1"/>
        <v>0.90330132183881418</v>
      </c>
      <c r="F15" s="14">
        <f t="shared" si="1"/>
        <v>0.95027428364694821</v>
      </c>
      <c r="G15" s="14">
        <f t="shared" si="1"/>
        <v>0.90779661509048659</v>
      </c>
      <c r="H15" s="14">
        <f t="shared" si="1"/>
        <v>0.89254349250611598</v>
      </c>
      <c r="I15" s="14">
        <f t="shared" si="1"/>
        <v>0.93763704744250542</v>
      </c>
      <c r="J15" s="15">
        <f>'0621'!S70</f>
        <v>0.86630949503304355</v>
      </c>
    </row>
    <row r="16" spans="2:15" ht="17.25" customHeight="1">
      <c r="B16" s="492" t="s">
        <v>101</v>
      </c>
      <c r="C16" s="10" t="s">
        <v>34</v>
      </c>
      <c r="D16" s="16">
        <f>'0621'!T5</f>
        <v>0.29166666666666702</v>
      </c>
      <c r="E16" s="16">
        <f>'0621'!T16</f>
        <v>0.29444444444444401</v>
      </c>
      <c r="F16" s="16">
        <f>'0621'!T27</f>
        <v>0.29166666666666702</v>
      </c>
      <c r="G16" s="16">
        <f>'0621'!T38</f>
        <v>0.33333333333333298</v>
      </c>
      <c r="H16" s="16">
        <f>'0621'!T49</f>
        <v>0.29027777777777802</v>
      </c>
      <c r="I16" s="16">
        <f>'0621'!T59</f>
        <v>0.28819444444444398</v>
      </c>
      <c r="J16" s="16">
        <f>'0621'!T70</f>
        <v>0.32986111111111099</v>
      </c>
    </row>
    <row r="17" spans="2:10" ht="17.25" customHeight="1">
      <c r="B17" s="493"/>
      <c r="C17" s="10" t="s">
        <v>35</v>
      </c>
      <c r="D17" s="16">
        <v>0.60972222222222205</v>
      </c>
      <c r="E17" s="19">
        <v>0.62291666666666701</v>
      </c>
      <c r="F17" s="19">
        <v>0.63888888888888895</v>
      </c>
      <c r="G17" s="210">
        <v>0.64930555555555602</v>
      </c>
      <c r="H17" s="21">
        <v>0.61875000000000002</v>
      </c>
      <c r="I17" s="22">
        <v>0.65972222222222199</v>
      </c>
      <c r="J17" s="22">
        <v>0.46180555555555602</v>
      </c>
    </row>
    <row r="18" spans="2:10" ht="17.25" customHeight="1">
      <c r="B18" s="494" t="s">
        <v>102</v>
      </c>
      <c r="C18" s="330" t="s">
        <v>36</v>
      </c>
      <c r="D18" s="358">
        <f>'0621'!Z15</f>
        <v>1</v>
      </c>
      <c r="E18" s="359">
        <f>'0621'!Z26</f>
        <v>1</v>
      </c>
      <c r="F18" s="359">
        <f>'0621'!Z37</f>
        <v>0</v>
      </c>
      <c r="G18" s="360">
        <f>'0621'!Z48</f>
        <v>0</v>
      </c>
      <c r="H18" s="360">
        <f>'0621'!Z58</f>
        <v>0</v>
      </c>
      <c r="I18" s="359">
        <f>'0621'!Z69</f>
        <v>0</v>
      </c>
      <c r="J18" s="359">
        <f>'0621'!AA79</f>
        <v>0</v>
      </c>
    </row>
    <row r="19" spans="2:10" ht="17.25" customHeight="1">
      <c r="B19" s="495"/>
      <c r="C19" s="330" t="s">
        <v>37</v>
      </c>
      <c r="D19" s="358">
        <f>'0621'!AA15</f>
        <v>11</v>
      </c>
      <c r="E19" s="359">
        <f>'0621'!AA26</f>
        <v>44</v>
      </c>
      <c r="F19" s="359">
        <f>'0621'!AA37</f>
        <v>0</v>
      </c>
      <c r="G19" s="360">
        <f>'0621'!AA48</f>
        <v>0</v>
      </c>
      <c r="H19" s="360">
        <f>'0621'!AA58</f>
        <v>0</v>
      </c>
      <c r="I19" s="359">
        <f>'0621'!AA69</f>
        <v>0</v>
      </c>
      <c r="J19" s="359">
        <f>'0621'!AB79</f>
        <v>0</v>
      </c>
    </row>
    <row r="20" spans="2:10" ht="17.25" customHeight="1">
      <c r="B20" s="494" t="s">
        <v>103</v>
      </c>
      <c r="C20" s="330" t="s">
        <v>36</v>
      </c>
      <c r="D20" s="358">
        <f>'0621'!AD15</f>
        <v>0</v>
      </c>
      <c r="E20" s="359">
        <f>'0621'!AD26</f>
        <v>0</v>
      </c>
      <c r="F20" s="359">
        <f>'0621'!AD37</f>
        <v>0</v>
      </c>
      <c r="G20" s="360">
        <f>'0621'!AD48</f>
        <v>0</v>
      </c>
      <c r="H20" s="360">
        <f>'0621'!AD58</f>
        <v>0</v>
      </c>
      <c r="I20" s="359">
        <f>'0621'!AD69</f>
        <v>0</v>
      </c>
      <c r="J20" s="359">
        <f>'0621'!AD79</f>
        <v>0</v>
      </c>
    </row>
    <row r="21" spans="2:10" ht="17.25" customHeight="1">
      <c r="B21" s="495"/>
      <c r="C21" s="330" t="s">
        <v>85</v>
      </c>
      <c r="D21" s="358">
        <f>'0621'!AE15</f>
        <v>0</v>
      </c>
      <c r="E21" s="359">
        <f>'0621'!AE26</f>
        <v>0</v>
      </c>
      <c r="F21" s="359">
        <f>'0621'!AE37</f>
        <v>0</v>
      </c>
      <c r="G21" s="360">
        <f>'0621'!AE48</f>
        <v>0</v>
      </c>
      <c r="H21" s="360">
        <f>'0621'!AE58</f>
        <v>0</v>
      </c>
      <c r="I21" s="359">
        <f>'0621'!AE69</f>
        <v>0</v>
      </c>
      <c r="J21" s="359">
        <f>'0621'!AE79</f>
        <v>0</v>
      </c>
    </row>
    <row r="22" spans="2:10" ht="17.25" customHeight="1">
      <c r="B22" s="477" t="s">
        <v>104</v>
      </c>
      <c r="C22" s="478"/>
      <c r="D22" s="23">
        <f>VALUE('0621'!M15)</f>
        <v>15</v>
      </c>
      <c r="E22" s="23">
        <f>VALUE('0621'!M26)</f>
        <v>14.333333333333334</v>
      </c>
      <c r="F22" s="23">
        <f>VALUE('0621'!M37)</f>
        <v>16</v>
      </c>
      <c r="G22" s="23">
        <f>VALUE('0621'!M48)</f>
        <v>16.5</v>
      </c>
      <c r="H22" s="23">
        <f>VALUE('0621'!M58)</f>
        <v>16.5</v>
      </c>
      <c r="I22" s="23">
        <f>VALUE('0621'!M69)</f>
        <v>12.8</v>
      </c>
      <c r="J22" s="23">
        <f>'0621'!M79</f>
        <v>10.9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5F4D-2BA9-4D1C-997A-2318C4748A7A}">
  <sheetPr>
    <tabColor theme="9" tint="0.79998168889431442"/>
  </sheetPr>
  <dimension ref="A1:AJ92"/>
  <sheetViews>
    <sheetView zoomScale="69" zoomScaleNormal="69" workbookViewId="0">
      <pane xSplit="5" ySplit="4" topLeftCell="Q5" activePane="bottomRight" state="frozen"/>
      <selection activeCell="U71" sqref="U71"/>
      <selection pane="topRight" activeCell="U71" sqref="U71"/>
      <selection pane="bottomLeft" activeCell="U71" sqref="U71"/>
      <selection pane="bottomRight" activeCell="U71" sqref="U7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65708</v>
      </c>
      <c r="F1" s="30" t="s">
        <v>2</v>
      </c>
      <c r="G1" s="31">
        <f>SUM(H5:H79)</f>
        <v>3048434.5449999999</v>
      </c>
      <c r="H1" s="32" t="s">
        <v>3</v>
      </c>
      <c r="I1" s="33">
        <f>M15+M26+M48+M58+M69+M79+M37</f>
        <v>102.03333333333335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13</v>
      </c>
      <c r="B2" s="381"/>
      <c r="C2" s="28"/>
      <c r="D2" s="28" t="s">
        <v>14</v>
      </c>
      <c r="E2" s="35">
        <f>AVERAGE(O15,O26,O37,O48,O58,O69,O79)</f>
        <v>114.60065829164766</v>
      </c>
      <c r="F2" s="36" t="s">
        <v>15</v>
      </c>
      <c r="G2" s="37">
        <f>G1/E1</f>
        <v>46.393658991294821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2</v>
      </c>
      <c r="AA2" s="339">
        <f>AA15+AA26+AA37+AA48+AA58+AA69+AA79</f>
        <v>55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3121</v>
      </c>
      <c r="H5" s="43">
        <f>F5*G5</f>
        <v>177491.27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2080.6666666666665</v>
      </c>
      <c r="O5" s="47">
        <f>N5/M5</f>
        <v>138.71111111111111</v>
      </c>
      <c r="P5" s="49">
        <f>M5-J5</f>
        <v>0</v>
      </c>
      <c r="Q5" s="50">
        <f>O5-L5</f>
        <v>-11.288888888888891</v>
      </c>
      <c r="R5" s="51">
        <f>O5/L5</f>
        <v>0.92474074074074075</v>
      </c>
      <c r="S5" s="439">
        <f>R15</f>
        <v>0.92858952125947158</v>
      </c>
      <c r="T5" s="319">
        <v>0.29166666666666702</v>
      </c>
      <c r="U5" s="320">
        <v>0.35416666666666702</v>
      </c>
      <c r="V5" s="53"/>
      <c r="W5" s="54">
        <f t="shared" ref="W5:W14" si="0">(U5-T5)*24*60</f>
        <v>90</v>
      </c>
      <c r="X5" s="55"/>
      <c r="Y5" s="290"/>
      <c r="Z5" s="169">
        <v>1</v>
      </c>
      <c r="AA5" s="169">
        <v>11</v>
      </c>
      <c r="AB5" s="429" t="s">
        <v>197</v>
      </c>
      <c r="AC5" s="429"/>
      <c r="AD5" s="135"/>
      <c r="AE5" s="135"/>
      <c r="AF5" s="229">
        <f t="shared" ref="AF5:AF11" si="1">N5-K5</f>
        <v>-169.33333333333348</v>
      </c>
      <c r="AG5" s="52">
        <f t="shared" ref="AG5:AG11" si="2">N5/K5</f>
        <v>0.92474074074074064</v>
      </c>
      <c r="AH5" s="403">
        <f>AG15</f>
        <v>0.9285895212594717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3035</v>
      </c>
      <c r="H6" s="63">
        <f>F6*G6</f>
        <v>176545.95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2093.1034482758505</v>
      </c>
      <c r="O6" s="67">
        <f>N6/M6</f>
        <v>139.5402298850567</v>
      </c>
      <c r="P6" s="69">
        <f>M6-J6</f>
        <v>0</v>
      </c>
      <c r="Q6" s="70">
        <f>O6-L6</f>
        <v>-10.459770114943296</v>
      </c>
      <c r="R6" s="71">
        <f>O6/L6</f>
        <v>0.9302681992337114</v>
      </c>
      <c r="S6" s="440"/>
      <c r="T6" s="16">
        <v>0.359722222222222</v>
      </c>
      <c r="U6" s="16">
        <v>0.42013888888888901</v>
      </c>
      <c r="V6" s="30">
        <f>(T6-U5)*24*60</f>
        <v>7.9999999999991722</v>
      </c>
      <c r="W6" s="73">
        <f t="shared" si="0"/>
        <v>87.000000000000483</v>
      </c>
      <c r="X6" s="22"/>
      <c r="Y6" s="84"/>
      <c r="Z6" s="90"/>
      <c r="AA6" s="90"/>
      <c r="AB6" s="434"/>
      <c r="AC6" s="434"/>
      <c r="AD6" s="149"/>
      <c r="AE6" s="149"/>
      <c r="AF6" s="307">
        <f t="shared" si="1"/>
        <v>-156.8965517241495</v>
      </c>
      <c r="AG6" s="72">
        <f t="shared" si="2"/>
        <v>0.93026819923371129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2652</v>
      </c>
      <c r="H7" s="78">
        <f>F7*G7</f>
        <v>130319.28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2150.2702702702641</v>
      </c>
      <c r="O7" s="81">
        <f>N7/M7</f>
        <v>143.35135135135093</v>
      </c>
      <c r="P7" s="74">
        <f>M7-J7</f>
        <v>0</v>
      </c>
      <c r="Q7" s="83">
        <f>O7-L7</f>
        <v>-6.6486486486490719</v>
      </c>
      <c r="R7" s="72">
        <f>O7/L7</f>
        <v>0.95567567567567291</v>
      </c>
      <c r="S7" s="440"/>
      <c r="T7" s="18">
        <v>0.42708333333333298</v>
      </c>
      <c r="U7" s="18">
        <v>0.47847222222222202</v>
      </c>
      <c r="V7" s="30">
        <f>(T7-U6)*24*60</f>
        <v>9.999999999999325</v>
      </c>
      <c r="W7" s="73">
        <f t="shared" si="0"/>
        <v>74.000000000000213</v>
      </c>
      <c r="X7" s="22"/>
      <c r="Y7" s="84"/>
      <c r="Z7" s="90"/>
      <c r="AA7" s="90"/>
      <c r="AB7" s="407"/>
      <c r="AC7" s="407"/>
      <c r="AD7" s="92"/>
      <c r="AE7" s="92"/>
      <c r="AF7" s="307">
        <f t="shared" si="1"/>
        <v>-99.729729729735936</v>
      </c>
      <c r="AG7" s="72">
        <f t="shared" si="2"/>
        <v>0.95567567567567291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3321</v>
      </c>
      <c r="H8" s="78">
        <f>F8*G8</f>
        <v>163193.94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2033.2653061224628</v>
      </c>
      <c r="O8" s="81">
        <f>N8/M8</f>
        <v>135.55102040816419</v>
      </c>
      <c r="P8" s="74">
        <f>M8-J8</f>
        <v>0</v>
      </c>
      <c r="Q8" s="83">
        <f>O8-L8</f>
        <v>-14.448979591835808</v>
      </c>
      <c r="R8" s="72">
        <f>O8/L8</f>
        <v>0.90367346938776127</v>
      </c>
      <c r="S8" s="440"/>
      <c r="T8" s="16">
        <v>0.54166666666666696</v>
      </c>
      <c r="U8" s="16">
        <v>0.60972222222222205</v>
      </c>
      <c r="V8" s="30">
        <f>(T8-U7)*24*60</f>
        <v>91.000000000000711</v>
      </c>
      <c r="W8" s="73">
        <f t="shared" si="0"/>
        <v>97.999999999999332</v>
      </c>
      <c r="X8" s="22"/>
      <c r="Y8" s="84"/>
      <c r="Z8" s="90"/>
      <c r="AA8" s="90"/>
      <c r="AB8" s="434"/>
      <c r="AC8" s="434"/>
      <c r="AD8" s="149"/>
      <c r="AE8" s="149"/>
      <c r="AF8" s="307">
        <f t="shared" si="1"/>
        <v>-216.73469387753721</v>
      </c>
      <c r="AG8" s="72">
        <f t="shared" si="2"/>
        <v>0.90367346938776127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0</v>
      </c>
      <c r="AG9" s="72" t="e">
        <f t="shared" si="2"/>
        <v>#DIV/0!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2089.3264228338112</v>
      </c>
      <c r="O15" s="117">
        <f t="shared" si="3"/>
        <v>139.28842818892073</v>
      </c>
      <c r="P15" s="121">
        <f>M15-J15</f>
        <v>0</v>
      </c>
      <c r="Q15" s="122">
        <f>O15-L15</f>
        <v>-10.711571811079267</v>
      </c>
      <c r="R15" s="123">
        <f>O15/L15</f>
        <v>0.92858952125947158</v>
      </c>
      <c r="S15" s="443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11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-160.67357716618881</v>
      </c>
      <c r="AG15" s="124">
        <f>N15/K15</f>
        <v>0.9285895212594717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2221</v>
      </c>
      <c r="H16" s="134">
        <f>F16*G16</f>
        <v>112538.07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1903.7142857142514</v>
      </c>
      <c r="O16" s="141">
        <f>N16/M16</f>
        <v>135.97959183673225</v>
      </c>
      <c r="P16" s="142">
        <f>M16-J16</f>
        <v>0</v>
      </c>
      <c r="Q16" s="143">
        <f>O16-L16</f>
        <v>-24.734693877553468</v>
      </c>
      <c r="R16" s="144">
        <f>O16/L16</f>
        <v>0.84609523809522291</v>
      </c>
      <c r="S16" s="425">
        <f>R26</f>
        <v>0.90330132183881418</v>
      </c>
      <c r="T16" s="145">
        <v>0.29444444444444401</v>
      </c>
      <c r="U16" s="145">
        <v>0.343055555555556</v>
      </c>
      <c r="V16" s="135"/>
      <c r="W16" s="146">
        <f t="shared" ref="W16:W78" si="4">(U16-T16)*24*60</f>
        <v>70.000000000001265</v>
      </c>
      <c r="X16" s="141"/>
      <c r="Y16" s="296"/>
      <c r="Z16" s="169">
        <v>1</v>
      </c>
      <c r="AA16" s="169">
        <v>44</v>
      </c>
      <c r="AB16" s="429" t="s">
        <v>198</v>
      </c>
      <c r="AC16" s="429"/>
      <c r="AD16" s="135"/>
      <c r="AE16" s="135"/>
      <c r="AF16" s="229">
        <f>N16-K16</f>
        <v>-346.28571428574855</v>
      </c>
      <c r="AG16" s="52">
        <f>N16/K16</f>
        <v>0.84609523809522291</v>
      </c>
      <c r="AH16" s="403">
        <f>AG26</f>
        <v>0.90156642974382206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1720</v>
      </c>
      <c r="H17" s="78">
        <f>F17*G17</f>
        <v>98401.2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1984.6153846153886</v>
      </c>
      <c r="O17" s="96">
        <f>N17/M17</f>
        <v>116.74208144796404</v>
      </c>
      <c r="P17" s="97">
        <f>M17-J17</f>
        <v>0</v>
      </c>
      <c r="Q17" s="98">
        <f>O17-L17</f>
        <v>-15.61085972850654</v>
      </c>
      <c r="R17" s="99">
        <f>O17/L17</f>
        <v>0.88205128205128391</v>
      </c>
      <c r="S17" s="426"/>
      <c r="T17" s="19">
        <v>0.35138888888888897</v>
      </c>
      <c r="U17" s="19">
        <v>0.38750000000000001</v>
      </c>
      <c r="V17" s="30">
        <f>(T17-U16)*24*60</f>
        <v>11.999999999999478</v>
      </c>
      <c r="W17" s="149">
        <f t="shared" si="4"/>
        <v>51.999999999999893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-265.38461538461138</v>
      </c>
      <c r="AG17" s="72">
        <f>N17/K17</f>
        <v>0.8820512820512838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1024</v>
      </c>
      <c r="H18" s="78">
        <f t="shared" ref="H18:H21" si="5">F18*G18</f>
        <v>57968.639999999999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 t="shared" ref="L18:L21" si="6">K18/J18</f>
        <v>150</v>
      </c>
      <c r="M18" s="148">
        <v>15</v>
      </c>
      <c r="N18" s="95">
        <f t="shared" ref="N18:N21" si="7">G18/W18*60</f>
        <v>1981.9354838709442</v>
      </c>
      <c r="O18" s="96">
        <f t="shared" ref="O18:O21" si="8">N18/M18</f>
        <v>132.12903225806295</v>
      </c>
      <c r="P18" s="97">
        <f t="shared" ref="P18:P21" si="9">M18-J18</f>
        <v>0</v>
      </c>
      <c r="Q18" s="98">
        <f t="shared" ref="Q18:Q21" si="10">O18-L18</f>
        <v>-17.870967741937051</v>
      </c>
      <c r="R18" s="99">
        <f t="shared" ref="R18:R21" si="11">O18/L18</f>
        <v>0.880860215053753</v>
      </c>
      <c r="S18" s="426"/>
      <c r="T18" s="19">
        <v>0.39513888888888898</v>
      </c>
      <c r="U18" s="19">
        <v>0.41666666666666702</v>
      </c>
      <c r="V18" s="30">
        <f>(T18-U17)*24*60</f>
        <v>11.000000000000121</v>
      </c>
      <c r="W18" s="149">
        <f t="shared" si="4"/>
        <v>31.000000000000369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-268.06451612905585</v>
      </c>
      <c r="AG18" s="72">
        <f>N18/K18</f>
        <v>0.880860215053753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2846</v>
      </c>
      <c r="H19" s="78">
        <f t="shared" si="5"/>
        <v>143409.94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si="6"/>
        <v>173.07692307692307</v>
      </c>
      <c r="M19" s="148">
        <v>13</v>
      </c>
      <c r="N19" s="95">
        <f t="shared" si="7"/>
        <v>2082.4390243902226</v>
      </c>
      <c r="O19" s="96">
        <f t="shared" si="8"/>
        <v>160.18761726078634</v>
      </c>
      <c r="P19" s="97">
        <f t="shared" si="9"/>
        <v>0</v>
      </c>
      <c r="Q19" s="98">
        <f t="shared" si="10"/>
        <v>-12.889305816136726</v>
      </c>
      <c r="R19" s="99">
        <f t="shared" si="11"/>
        <v>0.92552845528454331</v>
      </c>
      <c r="S19" s="426"/>
      <c r="T19" s="19">
        <v>0.422222222222222</v>
      </c>
      <c r="U19" s="19">
        <v>0.47916666666666702</v>
      </c>
      <c r="V19" s="30">
        <f>(T19-U18)*24*60</f>
        <v>7.9999999999991722</v>
      </c>
      <c r="W19" s="149">
        <f t="shared" si="4"/>
        <v>82.000000000000824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-167.56097560977742</v>
      </c>
      <c r="AG19" s="72">
        <f>N19/K19</f>
        <v>0.92552845528454342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2169</v>
      </c>
      <c r="H20" s="78">
        <f t="shared" si="5"/>
        <v>109295.91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2133.4426229508217</v>
      </c>
      <c r="O20" s="96">
        <f t="shared" si="8"/>
        <v>164.11097099621705</v>
      </c>
      <c r="P20" s="97">
        <f t="shared" si="9"/>
        <v>0</v>
      </c>
      <c r="Q20" s="98">
        <f t="shared" si="10"/>
        <v>-8.9659520807060176</v>
      </c>
      <c r="R20" s="99">
        <f t="shared" si="11"/>
        <v>0.94819672131147636</v>
      </c>
      <c r="S20" s="426"/>
      <c r="T20" s="19">
        <v>0.54166666666666696</v>
      </c>
      <c r="U20" s="19">
        <v>0.58402777777777803</v>
      </c>
      <c r="V20" s="30">
        <f>(T20-U19)*24*60</f>
        <v>89.999999999999915</v>
      </c>
      <c r="W20" s="149">
        <f t="shared" si="4"/>
        <v>60.999999999999943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30" t="s">
        <v>81</v>
      </c>
      <c r="C21" s="151"/>
      <c r="D21" s="59" t="s">
        <v>116</v>
      </c>
      <c r="E21" s="87"/>
      <c r="F21" s="75">
        <f>VLOOKUP(D21,廠價表!$C$1:$E$43,3,0)</f>
        <v>50.67</v>
      </c>
      <c r="G21" s="95">
        <v>1529</v>
      </c>
      <c r="H21" s="78">
        <f t="shared" si="5"/>
        <v>77474.430000000008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2084.9999999999695</v>
      </c>
      <c r="O21" s="96">
        <f t="shared" si="8"/>
        <v>148.92857142856926</v>
      </c>
      <c r="P21" s="97">
        <f t="shared" si="9"/>
        <v>0</v>
      </c>
      <c r="Q21" s="98">
        <f t="shared" si="10"/>
        <v>-11.785714285716466</v>
      </c>
      <c r="R21" s="99">
        <f t="shared" si="11"/>
        <v>0.92666666666665309</v>
      </c>
      <c r="S21" s="426"/>
      <c r="T21" s="19">
        <v>0.59236111111111101</v>
      </c>
      <c r="U21" s="19">
        <v>0.62291666666666701</v>
      </c>
      <c r="V21" s="30">
        <f>(T21-U20)*24*60</f>
        <v>11.999999999999478</v>
      </c>
      <c r="W21" s="149">
        <f t="shared" si="4"/>
        <v>44.000000000000639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/>
      <c r="C22" s="151"/>
      <c r="D22" s="59"/>
      <c r="E22" s="87"/>
      <c r="F22" s="75"/>
      <c r="G22" s="95"/>
      <c r="H22" s="78"/>
      <c r="I22" s="30"/>
      <c r="J22" s="79"/>
      <c r="K22" s="80"/>
      <c r="L22" s="81"/>
      <c r="M22" s="148"/>
      <c r="N22" s="95"/>
      <c r="O22" s="96"/>
      <c r="P22" s="97"/>
      <c r="Q22" s="98"/>
      <c r="R22" s="99"/>
      <c r="S22" s="426"/>
      <c r="T22" s="19"/>
      <c r="U22" s="19"/>
      <c r="V22" s="30"/>
      <c r="W22" s="149">
        <f t="shared" si="4"/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4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2">AVERAGE(J16:J25)</f>
        <v>14.333333333333334</v>
      </c>
      <c r="K26" s="155">
        <f t="shared" si="12"/>
        <v>2250</v>
      </c>
      <c r="L26" s="158">
        <f t="shared" si="12"/>
        <v>158.32255979314803</v>
      </c>
      <c r="M26" s="155">
        <f t="shared" si="12"/>
        <v>14.333333333333334</v>
      </c>
      <c r="N26" s="155">
        <f t="shared" si="12"/>
        <v>2028.5244669235997</v>
      </c>
      <c r="O26" s="158">
        <f t="shared" si="12"/>
        <v>143.01297753805531</v>
      </c>
      <c r="P26" s="159">
        <f>M26-J26</f>
        <v>0</v>
      </c>
      <c r="Q26" s="160">
        <f>O26-L26</f>
        <v>-15.309582255092721</v>
      </c>
      <c r="R26" s="161">
        <f>O26/L26</f>
        <v>0.90330132183881418</v>
      </c>
      <c r="S26" s="427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44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3">N26-K26</f>
        <v>-221.47553307640032</v>
      </c>
      <c r="AG26" s="124">
        <f t="shared" ref="AG26:AG31" si="14">N26/K26</f>
        <v>0.90156642974382206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57.21</v>
      </c>
      <c r="G27" s="169">
        <v>494</v>
      </c>
      <c r="H27" s="134">
        <f>F27*G27</f>
        <v>28261.74</v>
      </c>
      <c r="I27" s="135"/>
      <c r="J27" s="136">
        <f>VLOOKUP(D27,產線配置圖!$A$3:$C$40,2,0)</f>
        <v>18</v>
      </c>
      <c r="K27" s="137">
        <f>VLOOKUP(D27,產線配置圖!$A$3:$C$40,3,0)</f>
        <v>1565</v>
      </c>
      <c r="L27" s="138">
        <f>K27/J27</f>
        <v>86.944444444444443</v>
      </c>
      <c r="M27" s="170">
        <v>16</v>
      </c>
      <c r="N27" s="140">
        <f>G27/W27*60</f>
        <v>1288.695652173931</v>
      </c>
      <c r="O27" s="141">
        <f>N27/M27</f>
        <v>80.543478260870685</v>
      </c>
      <c r="P27" s="142">
        <f>M27-J27</f>
        <v>-2</v>
      </c>
      <c r="Q27" s="143">
        <f>O27-L27</f>
        <v>-6.4009661835737575</v>
      </c>
      <c r="R27" s="144">
        <f>O27/L27</f>
        <v>0.92637866370330502</v>
      </c>
      <c r="S27" s="425">
        <f>R37</f>
        <v>0.95027428364694821</v>
      </c>
      <c r="T27" s="171">
        <v>0.29166666666666702</v>
      </c>
      <c r="U27" s="171">
        <v>0.30763888888888902</v>
      </c>
      <c r="V27" s="135"/>
      <c r="W27" s="146">
        <f t="shared" si="4"/>
        <v>22.99999999999968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13"/>
        <v>-276.30434782606903</v>
      </c>
      <c r="AG27" s="172">
        <f t="shared" si="14"/>
        <v>0.82344770106960441</v>
      </c>
      <c r="AH27" s="403">
        <f>AG37</f>
        <v>0.88914022721601282</v>
      </c>
    </row>
    <row r="28" spans="1:34" ht="15" customHeight="1">
      <c r="A28" s="457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1875</v>
      </c>
      <c r="H28" s="91">
        <f>F28*G28</f>
        <v>107268.75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16</v>
      </c>
      <c r="N28" s="95">
        <f>G28/W28*60</f>
        <v>1406.2499999999882</v>
      </c>
      <c r="O28" s="96">
        <f>N28/M28</f>
        <v>87.890624999999261</v>
      </c>
      <c r="P28" s="97">
        <f>M28-J28</f>
        <v>-2</v>
      </c>
      <c r="Q28" s="98">
        <f>O28-L28</f>
        <v>-2.9982638888896247</v>
      </c>
      <c r="R28" s="99">
        <f>O28/L28</f>
        <v>0.96701176650365939</v>
      </c>
      <c r="S28" s="426"/>
      <c r="T28" s="19">
        <v>0.3125</v>
      </c>
      <c r="U28" s="19">
        <v>0.36805555555555602</v>
      </c>
      <c r="V28" s="92">
        <f>(T28-U27)*24*60</f>
        <v>6.9999999999998153</v>
      </c>
      <c r="W28" s="149">
        <f t="shared" si="4"/>
        <v>80.000000000000682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13"/>
        <v>-229.75000000001182</v>
      </c>
      <c r="AG28" s="99">
        <f t="shared" si="14"/>
        <v>0.85956601466991944</v>
      </c>
      <c r="AH28" s="445"/>
    </row>
    <row r="29" spans="1:34" ht="15" customHeight="1">
      <c r="A29" s="457"/>
      <c r="B29" s="75" t="s">
        <v>81</v>
      </c>
      <c r="C29" s="173"/>
      <c r="D29" s="59" t="s">
        <v>168</v>
      </c>
      <c r="E29" s="104"/>
      <c r="F29" s="75">
        <f>VLOOKUP(D29,廠價表!$C$1:$E$43,3,0)</f>
        <v>57.21</v>
      </c>
      <c r="G29" s="90">
        <v>1374</v>
      </c>
      <c r="H29" s="91">
        <f>F29*G29</f>
        <v>78606.540000000008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17</v>
      </c>
      <c r="N29" s="95">
        <f>G29/W29*60</f>
        <v>1446.3157894736976</v>
      </c>
      <c r="O29" s="96">
        <f>N29/M29</f>
        <v>85.077399380805744</v>
      </c>
      <c r="P29" s="97">
        <f>M29-J29</f>
        <v>-1</v>
      </c>
      <c r="Q29" s="98">
        <f>O29-L29</f>
        <v>-5.8114895080831417</v>
      </c>
      <c r="R29" s="99">
        <f>O29/L29</f>
        <v>0.93605940639028329</v>
      </c>
      <c r="S29" s="426"/>
      <c r="T29" s="19">
        <v>0.37361111111111101</v>
      </c>
      <c r="U29" s="19">
        <v>0.41319444444444398</v>
      </c>
      <c r="V29" s="92">
        <f>(T29-U28)*24*60</f>
        <v>7.9999999999991722</v>
      </c>
      <c r="W29" s="149">
        <f t="shared" si="4"/>
        <v>56.999999999999474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13"/>
        <v>-189.68421052630242</v>
      </c>
      <c r="AG29" s="99">
        <f t="shared" si="14"/>
        <v>0.88405610603526752</v>
      </c>
      <c r="AH29" s="445"/>
    </row>
    <row r="30" spans="1:34" ht="15" customHeight="1">
      <c r="A30" s="457"/>
      <c r="B30" s="75" t="s">
        <v>81</v>
      </c>
      <c r="C30" s="88"/>
      <c r="D30" s="59" t="s">
        <v>123</v>
      </c>
      <c r="E30" s="89"/>
      <c r="F30" s="75">
        <f>VLOOKUP(D30,廠價表!$C$1:$E$43,3,0)</f>
        <v>50.67</v>
      </c>
      <c r="G30" s="90">
        <v>1327</v>
      </c>
      <c r="H30" s="91">
        <f t="shared" ref="H30:H33" si="15">F30*G30</f>
        <v>67239.09</v>
      </c>
      <c r="I30" s="92"/>
      <c r="J30" s="79">
        <f>VLOOKUP(D30,產線配置圖!$A$3:$C$40,2,0)</f>
        <v>13</v>
      </c>
      <c r="K30" s="80">
        <f>VLOOKUP(D30,產線配置圖!$A$3:$C$40,3,0)</f>
        <v>1440</v>
      </c>
      <c r="L30" s="93">
        <f t="shared" ref="L30:L33" si="16">K30/J30</f>
        <v>110.76923076923077</v>
      </c>
      <c r="M30" s="94">
        <v>13</v>
      </c>
      <c r="N30" s="95">
        <f t="shared" ref="N30:N33" si="17">G30/W30*60</f>
        <v>1372.7586206896826</v>
      </c>
      <c r="O30" s="96">
        <f t="shared" ref="O30:O33" si="18">N30/M30</f>
        <v>105.59681697612943</v>
      </c>
      <c r="P30" s="97">
        <f t="shared" ref="P30:P33" si="19">M30-J30</f>
        <v>0</v>
      </c>
      <c r="Q30" s="98">
        <f t="shared" ref="Q30:Q33" si="20">O30-L30</f>
        <v>-5.1724137931013416</v>
      </c>
      <c r="R30" s="99">
        <f t="shared" ref="R30:R33" si="21">O30/L30</f>
        <v>0.95330459770116849</v>
      </c>
      <c r="S30" s="426"/>
      <c r="T30" s="19">
        <v>0.41805555555555601</v>
      </c>
      <c r="U30" s="19">
        <v>0.45833333333333298</v>
      </c>
      <c r="V30" s="92">
        <f t="shared" ref="V30:V33" si="22">(T30-U29)*24*60</f>
        <v>7.000000000001334</v>
      </c>
      <c r="W30" s="149">
        <f t="shared" si="4"/>
        <v>57.999999999998835</v>
      </c>
      <c r="X30" s="174"/>
      <c r="Y30" s="301"/>
      <c r="Z30" s="335"/>
      <c r="AA30" s="335"/>
      <c r="AB30" s="407"/>
      <c r="AC30" s="407"/>
      <c r="AD30" s="92"/>
      <c r="AE30" s="92"/>
      <c r="AF30" s="312">
        <f t="shared" si="13"/>
        <v>-67.24137931031737</v>
      </c>
      <c r="AG30" s="99">
        <f t="shared" si="14"/>
        <v>0.95330459770116849</v>
      </c>
      <c r="AH30" s="446"/>
    </row>
    <row r="31" spans="1:34" ht="15" customHeight="1">
      <c r="A31" s="457"/>
      <c r="B31" s="75" t="s">
        <v>81</v>
      </c>
      <c r="C31" s="88"/>
      <c r="D31" s="59" t="s">
        <v>168</v>
      </c>
      <c r="E31" s="89"/>
      <c r="F31" s="75">
        <f>VLOOKUP(D31,廠價表!$C$1:$E$43,3,0)</f>
        <v>57.21</v>
      </c>
      <c r="G31" s="90">
        <v>1260</v>
      </c>
      <c r="H31" s="91">
        <f t="shared" si="15"/>
        <v>72084.600000000006</v>
      </c>
      <c r="I31" s="92"/>
      <c r="J31" s="79">
        <f>VLOOKUP(D31,產線配置圖!$A$3:$C$40,2,0)</f>
        <v>18</v>
      </c>
      <c r="K31" s="80">
        <v>1636</v>
      </c>
      <c r="L31" s="93">
        <f t="shared" si="16"/>
        <v>90.888888888888886</v>
      </c>
      <c r="M31" s="94">
        <v>16</v>
      </c>
      <c r="N31" s="95">
        <f t="shared" si="17"/>
        <v>1374.5454545454675</v>
      </c>
      <c r="O31" s="96">
        <f t="shared" si="18"/>
        <v>85.909090909091717</v>
      </c>
      <c r="P31" s="97">
        <f t="shared" si="19"/>
        <v>-2</v>
      </c>
      <c r="Q31" s="98">
        <f t="shared" si="20"/>
        <v>-4.9797979797971692</v>
      </c>
      <c r="R31" s="99">
        <f t="shared" si="21"/>
        <v>0.94521004667704822</v>
      </c>
      <c r="S31" s="426"/>
      <c r="T31" s="19">
        <v>0.51527777777777795</v>
      </c>
      <c r="U31" s="19">
        <v>0.55347222222222203</v>
      </c>
      <c r="V31" s="92">
        <f t="shared" si="22"/>
        <v>82.000000000000753</v>
      </c>
      <c r="W31" s="149">
        <f t="shared" si="4"/>
        <v>54.999999999999488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3"/>
        <v>-261.45454545453254</v>
      </c>
      <c r="AG31" s="99">
        <f t="shared" si="14"/>
        <v>0.84018670815737617</v>
      </c>
      <c r="AH31" s="405"/>
    </row>
    <row r="32" spans="1:34" ht="15" customHeight="1">
      <c r="A32" s="457"/>
      <c r="B32" s="75" t="s">
        <v>81</v>
      </c>
      <c r="C32" s="102"/>
      <c r="D32" s="175" t="s">
        <v>124</v>
      </c>
      <c r="E32" s="176"/>
      <c r="F32" s="75">
        <f>VLOOKUP(D32,廠價表!$C$1:$E$43,3,0)</f>
        <v>57.21</v>
      </c>
      <c r="G32" s="90">
        <v>1324</v>
      </c>
      <c r="H32" s="91">
        <f t="shared" si="15"/>
        <v>75746.040000000008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6"/>
        <v>90.888888888888886</v>
      </c>
      <c r="M32" s="94">
        <v>17</v>
      </c>
      <c r="N32" s="95">
        <f t="shared" si="17"/>
        <v>1498.8679245283251</v>
      </c>
      <c r="O32" s="96">
        <f t="shared" si="18"/>
        <v>88.168701442842661</v>
      </c>
      <c r="P32" s="97">
        <f t="shared" si="19"/>
        <v>-1</v>
      </c>
      <c r="Q32" s="98">
        <f t="shared" si="20"/>
        <v>-2.720187446046225</v>
      </c>
      <c r="R32" s="99">
        <f t="shared" si="21"/>
        <v>0.97007128726844005</v>
      </c>
      <c r="S32" s="426"/>
      <c r="T32" s="19">
        <v>0.55902777777777801</v>
      </c>
      <c r="U32" s="19">
        <v>0.59583333333333299</v>
      </c>
      <c r="V32" s="92">
        <f t="shared" si="22"/>
        <v>8.0000000000006111</v>
      </c>
      <c r="W32" s="149">
        <f t="shared" si="4"/>
        <v>52.999999999999176</v>
      </c>
      <c r="X32" s="174"/>
      <c r="Y32" s="301"/>
      <c r="Z32" s="335"/>
      <c r="AA32" s="335"/>
      <c r="AB32" s="407"/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 t="s">
        <v>81</v>
      </c>
      <c r="C33" s="177"/>
      <c r="D33" s="59" t="s">
        <v>133</v>
      </c>
      <c r="E33" s="178"/>
      <c r="F33" s="75">
        <f>VLOOKUP(D33,廠價表!$C$1:$E$43,3,0)</f>
        <v>50.289000000000001</v>
      </c>
      <c r="G33" s="90">
        <v>1298</v>
      </c>
      <c r="H33" s="91">
        <f t="shared" si="15"/>
        <v>65275.122000000003</v>
      </c>
      <c r="I33" s="92"/>
      <c r="J33" s="79">
        <v>17</v>
      </c>
      <c r="K33" s="80">
        <v>1636</v>
      </c>
      <c r="L33" s="93">
        <f t="shared" si="16"/>
        <v>96.235294117647058</v>
      </c>
      <c r="M33" s="94">
        <v>17</v>
      </c>
      <c r="N33" s="95">
        <f t="shared" si="17"/>
        <v>1557.6000000000108</v>
      </c>
      <c r="O33" s="96">
        <f t="shared" si="18"/>
        <v>91.623529411765347</v>
      </c>
      <c r="P33" s="97">
        <f t="shared" si="19"/>
        <v>0</v>
      </c>
      <c r="Q33" s="98">
        <f t="shared" si="20"/>
        <v>-4.6117647058817113</v>
      </c>
      <c r="R33" s="99">
        <f t="shared" si="21"/>
        <v>0.95207823960880866</v>
      </c>
      <c r="S33" s="426"/>
      <c r="T33" s="19">
        <v>0.60416666666666696</v>
      </c>
      <c r="U33" s="19">
        <v>0.63888888888888895</v>
      </c>
      <c r="V33" s="92">
        <f t="shared" si="22"/>
        <v>12.000000000000917</v>
      </c>
      <c r="W33" s="149">
        <f t="shared" si="4"/>
        <v>49.999999999999659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3">AVERAGE(J27:J36)</f>
        <v>17.142857142857142</v>
      </c>
      <c r="K37" s="155">
        <f t="shared" si="23"/>
        <v>1597.8571428571429</v>
      </c>
      <c r="L37" s="158">
        <f t="shared" si="23"/>
        <v>93.929217840982545</v>
      </c>
      <c r="M37" s="155">
        <f t="shared" si="23"/>
        <v>16</v>
      </c>
      <c r="N37" s="155">
        <f t="shared" si="23"/>
        <v>1420.719063058729</v>
      </c>
      <c r="O37" s="158">
        <f t="shared" si="23"/>
        <v>89.258520197357839</v>
      </c>
      <c r="P37" s="159">
        <f>M37-J37</f>
        <v>-1.1428571428571423</v>
      </c>
      <c r="Q37" s="160">
        <f>N37-K37</f>
        <v>-177.13807979841386</v>
      </c>
      <c r="R37" s="161">
        <f>O37/L37</f>
        <v>0.95027428364694821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-177.13807979841386</v>
      </c>
      <c r="AG37" s="124">
        <f>N37/K37</f>
        <v>0.88914022721601282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2629</v>
      </c>
      <c r="H38" s="134">
        <f>F38*G38</f>
        <v>131213.38999999998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1626.1855670103109</v>
      </c>
      <c r="O38" s="141">
        <f>N38/M38</f>
        <v>108.41237113402073</v>
      </c>
      <c r="P38" s="142">
        <f>M38-J38</f>
        <v>0</v>
      </c>
      <c r="Q38" s="143">
        <f>O38-L38</f>
        <v>-5.8542955326459349</v>
      </c>
      <c r="R38" s="144">
        <f>O38/L38</f>
        <v>0.94876637515187334</v>
      </c>
      <c r="S38" s="453">
        <f>R48</f>
        <v>0.90779661509048659</v>
      </c>
      <c r="T38" s="191">
        <v>0.33333333333333298</v>
      </c>
      <c r="U38" s="191">
        <v>0.40069444444444402</v>
      </c>
      <c r="V38" s="192"/>
      <c r="W38" s="193">
        <f t="shared" si="4"/>
        <v>96.999999999999901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-87.814432989689067</v>
      </c>
      <c r="AG38" s="195">
        <f>N38/K38</f>
        <v>0.94876637515187334</v>
      </c>
      <c r="AH38" s="459">
        <f>AG48</f>
        <v>0.90778889059854417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2684</v>
      </c>
      <c r="H39" s="91">
        <f>F39*G39</f>
        <v>118901.2</v>
      </c>
      <c r="I39" s="200"/>
      <c r="J39" s="148"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1463.9999999999977</v>
      </c>
      <c r="O39" s="203">
        <f>N39/M39</f>
        <v>81.333333333333201</v>
      </c>
      <c r="P39" s="97">
        <f>M39-J39</f>
        <v>0</v>
      </c>
      <c r="Q39" s="98">
        <f>O39-L39</f>
        <v>-9.555555555555685</v>
      </c>
      <c r="R39" s="99">
        <f>O39/L39</f>
        <v>0.89486552567237021</v>
      </c>
      <c r="S39" s="454"/>
      <c r="T39" s="20">
        <v>0.40625</v>
      </c>
      <c r="U39" s="20">
        <v>0.48263888888888901</v>
      </c>
      <c r="V39" s="92">
        <f>(T39-U38)*24*60</f>
        <v>8.0000000000006111</v>
      </c>
      <c r="W39" s="205">
        <f t="shared" si="4"/>
        <v>110.00000000000017</v>
      </c>
      <c r="X39" s="22"/>
      <c r="Y39" s="84"/>
      <c r="Z39" s="90"/>
      <c r="AA39" s="90"/>
      <c r="AB39" s="462"/>
      <c r="AC39" s="462"/>
      <c r="AD39" s="200"/>
      <c r="AE39" s="200"/>
      <c r="AF39" s="314">
        <f>N39-K39</f>
        <v>-172.00000000000227</v>
      </c>
      <c r="AG39" s="206">
        <f>N39/K39</f>
        <v>0.89486552567237021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3012</v>
      </c>
      <c r="H40" s="91">
        <f>F40*G40</f>
        <v>133431.6</v>
      </c>
      <c r="I40" s="200"/>
      <c r="J40" s="148"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1505.9999999999873</v>
      </c>
      <c r="O40" s="203">
        <f>N40/M40</f>
        <v>83.666666666665961</v>
      </c>
      <c r="P40" s="97">
        <f>M40-J40</f>
        <v>0</v>
      </c>
      <c r="Q40" s="98">
        <f>O40-L40</f>
        <v>-7.2222222222229249</v>
      </c>
      <c r="R40" s="99">
        <f>O40/L40</f>
        <v>0.92053789731050573</v>
      </c>
      <c r="S40" s="440"/>
      <c r="T40" s="20">
        <v>0.53819444444444398</v>
      </c>
      <c r="U40" s="20">
        <v>0.62152777777777801</v>
      </c>
      <c r="V40" s="92">
        <f>(T40-U39)*24*60</f>
        <v>79.999999999999162</v>
      </c>
      <c r="W40" s="205">
        <f t="shared" si="4"/>
        <v>120.00000000000101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-130.00000000001273</v>
      </c>
      <c r="AG40" s="206">
        <f>N40/K40</f>
        <v>0.92053789731050562</v>
      </c>
      <c r="AH40" s="460"/>
    </row>
    <row r="41" spans="1:34" ht="15" customHeight="1">
      <c r="A41" s="451"/>
      <c r="B41" s="75" t="s">
        <v>128</v>
      </c>
      <c r="C41" s="207"/>
      <c r="D41" s="198" t="s">
        <v>129</v>
      </c>
      <c r="E41" s="178"/>
      <c r="F41" s="75">
        <f>VLOOKUP(D41,廠價表!$C$1:$E$43,3,0)</f>
        <v>49.91</v>
      </c>
      <c r="G41" s="199">
        <v>743</v>
      </c>
      <c r="H41" s="91">
        <f>F41*G41</f>
        <v>37083.129999999997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15</v>
      </c>
      <c r="N41" s="202">
        <f>G41/W41*60</f>
        <v>1485.9999999999498</v>
      </c>
      <c r="O41" s="203">
        <f>N41/M41</f>
        <v>99.066666666663323</v>
      </c>
      <c r="P41" s="97">
        <f>M41-J41</f>
        <v>0</v>
      </c>
      <c r="Q41" s="98">
        <f>O41-L41</f>
        <v>-15.200000000003342</v>
      </c>
      <c r="R41" s="99">
        <f>O41/L41</f>
        <v>0.86697782963824377</v>
      </c>
      <c r="S41" s="440"/>
      <c r="T41" s="20">
        <v>0.62847222222222199</v>
      </c>
      <c r="U41" s="210">
        <v>0.64930555555555602</v>
      </c>
      <c r="V41" s="92">
        <f>(T41-U40)*24*60</f>
        <v>9.999999999999325</v>
      </c>
      <c r="W41" s="205">
        <f t="shared" si="4"/>
        <v>30.000000000001013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-228.00000000005025</v>
      </c>
      <c r="AG41" s="206">
        <f>N41/K41</f>
        <v>0.86697782963824377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4">AVERAGE(J38:J47)</f>
        <v>16.5</v>
      </c>
      <c r="K48" s="155">
        <f t="shared" si="24"/>
        <v>1675</v>
      </c>
      <c r="L48" s="158">
        <f t="shared" si="24"/>
        <v>102.57777777777778</v>
      </c>
      <c r="M48" s="155">
        <f t="shared" si="24"/>
        <v>16.5</v>
      </c>
      <c r="N48" s="155">
        <f t="shared" si="24"/>
        <v>1520.5463917525615</v>
      </c>
      <c r="O48" s="158">
        <f t="shared" si="24"/>
        <v>93.119759450170804</v>
      </c>
      <c r="P48" s="221">
        <f>M48-J48</f>
        <v>0</v>
      </c>
      <c r="Q48" s="222">
        <f>N48-K48</f>
        <v>-154.45360824743852</v>
      </c>
      <c r="R48" s="223">
        <f>O48/L48</f>
        <v>0.90779661509048659</v>
      </c>
      <c r="S48" s="443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25">N48-K48</f>
        <v>-154.45360824743852</v>
      </c>
      <c r="AG48" s="162">
        <f t="shared" ref="AG48:AG53" si="26">N48/K48</f>
        <v>0.90778889059854417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2171</v>
      </c>
      <c r="H49" s="134">
        <f>F49*G49</f>
        <v>107507.92000000001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1628.2500000000171</v>
      </c>
      <c r="O49" s="141">
        <f>N49/M49</f>
        <v>95.779411764706879</v>
      </c>
      <c r="P49" s="229">
        <f>M49-J49</f>
        <v>0</v>
      </c>
      <c r="Q49" s="230">
        <f>O49-L49</f>
        <v>-10.102941176469585</v>
      </c>
      <c r="R49" s="52">
        <f>O49/L49</f>
        <v>0.90458333333334284</v>
      </c>
      <c r="S49" s="439">
        <f>R58</f>
        <v>0.89254349250611598</v>
      </c>
      <c r="T49" s="191">
        <v>0.29027777777777802</v>
      </c>
      <c r="U49" s="191">
        <v>0.34583333333333299</v>
      </c>
      <c r="V49" s="55"/>
      <c r="W49" s="193">
        <f t="shared" si="4"/>
        <v>79.999999999999162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25"/>
        <v>-171.74999999998295</v>
      </c>
      <c r="AG49" s="52">
        <f t="shared" si="26"/>
        <v>0.90458333333334284</v>
      </c>
      <c r="AH49" s="403">
        <f>AG58</f>
        <v>0.8921533625703727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1927</v>
      </c>
      <c r="H50" s="231">
        <f>F50*G50</f>
        <v>96906.903000000006</v>
      </c>
      <c r="I50" s="232"/>
      <c r="J50" s="79">
        <v>17</v>
      </c>
      <c r="K50" s="80">
        <f>VLOOKUP(D50,產線配置圖!$A$3:$C$40,3,0)</f>
        <v>1565</v>
      </c>
      <c r="L50" s="81">
        <f>K50/J50</f>
        <v>92.058823529411768</v>
      </c>
      <c r="M50" s="233">
        <v>17</v>
      </c>
      <c r="N50" s="234">
        <f>G50/W50*60</f>
        <v>1328.9655172413718</v>
      </c>
      <c r="O50" s="235">
        <f>N50/M50</f>
        <v>78.174442190668927</v>
      </c>
      <c r="P50" s="74">
        <f>M50-J50</f>
        <v>0</v>
      </c>
      <c r="Q50" s="83">
        <f>O50-L50</f>
        <v>-13.884381338742841</v>
      </c>
      <c r="R50" s="72">
        <f>O50/L50</f>
        <v>0.84917924424368796</v>
      </c>
      <c r="S50" s="440"/>
      <c r="T50" s="21">
        <v>0.35069444444444398</v>
      </c>
      <c r="U50" s="21">
        <v>0.41111111111111098</v>
      </c>
      <c r="V50" s="30">
        <f>(T50-U49)*24*60</f>
        <v>6.9999999999998153</v>
      </c>
      <c r="W50" s="236">
        <f t="shared" si="4"/>
        <v>87.000000000000483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25"/>
        <v>-236.0344827586282</v>
      </c>
      <c r="AG50" s="72">
        <f t="shared" si="26"/>
        <v>0.84917924424368807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f>VLOOKUP(D51,廠價表!$C$1:$E$43,3,0)</f>
        <v>49.97</v>
      </c>
      <c r="G51" s="202">
        <v>1575</v>
      </c>
      <c r="H51" s="231">
        <f>F51*G51</f>
        <v>78702.75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1575.0000000000264</v>
      </c>
      <c r="O51" s="235">
        <f>N51/M51</f>
        <v>98.437500000001648</v>
      </c>
      <c r="P51" s="74">
        <f>M51-J51</f>
        <v>0</v>
      </c>
      <c r="Q51" s="83">
        <f>O51-L51</f>
        <v>-14.062499999998352</v>
      </c>
      <c r="R51" s="72">
        <f>O51/L51</f>
        <v>0.87500000000001465</v>
      </c>
      <c r="S51" s="440"/>
      <c r="T51" s="21">
        <v>0.41666666666666702</v>
      </c>
      <c r="U51" s="19">
        <v>0.45833333333333298</v>
      </c>
      <c r="V51" s="30">
        <f>(T51-U50)*24*60</f>
        <v>8.000000000000691</v>
      </c>
      <c r="W51" s="236">
        <f t="shared" si="4"/>
        <v>59.999999999998991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25"/>
        <v>-224.99999999997362</v>
      </c>
      <c r="AG51" s="72">
        <f t="shared" si="26"/>
        <v>0.87500000000001465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f>VLOOKUP(D52,廠價表!$C$1:$E$43,3,0)</f>
        <v>49.97</v>
      </c>
      <c r="G52" s="202">
        <v>4120</v>
      </c>
      <c r="H52" s="231">
        <f>F52*G52</f>
        <v>205876.4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1681.6326530612303</v>
      </c>
      <c r="O52" s="235">
        <f>N52/M52</f>
        <v>105.10204081632689</v>
      </c>
      <c r="P52" s="74">
        <f>M52-J52</f>
        <v>0</v>
      </c>
      <c r="Q52" s="83">
        <f>O52-L52</f>
        <v>-7.3979591836731089</v>
      </c>
      <c r="R52" s="72">
        <f>O52/L52</f>
        <v>0.93424036281179457</v>
      </c>
      <c r="S52" s="440"/>
      <c r="T52" s="21">
        <v>0.51666666666666705</v>
      </c>
      <c r="U52" s="21">
        <v>0.61875000000000002</v>
      </c>
      <c r="V52" s="30">
        <f>(T52-U51)*24*60</f>
        <v>84.000000000001066</v>
      </c>
      <c r="W52" s="236">
        <f t="shared" si="4"/>
        <v>146.99999999999949</v>
      </c>
      <c r="X52" s="22">
        <v>0.47916666666666702</v>
      </c>
      <c r="Y52" s="84">
        <v>0.52083333333333304</v>
      </c>
      <c r="Z52" s="90"/>
      <c r="AA52" s="90"/>
      <c r="AB52" s="407"/>
      <c r="AC52" s="407"/>
      <c r="AD52" s="92"/>
      <c r="AE52" s="92"/>
      <c r="AF52" s="307">
        <f t="shared" si="25"/>
        <v>-118.36734693876974</v>
      </c>
      <c r="AG52" s="72">
        <f t="shared" si="26"/>
        <v>0.93424036281179457</v>
      </c>
      <c r="AH52" s="404"/>
    </row>
    <row r="53" spans="1:34" ht="15" customHeight="1">
      <c r="A53" s="46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40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25"/>
        <v>0</v>
      </c>
      <c r="AG53" s="72" t="e">
        <f t="shared" si="26"/>
        <v>#DIV/0!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1741.25</v>
      </c>
      <c r="L58" s="117">
        <f t="shared" si="27"/>
        <v>105.73529411764706</v>
      </c>
      <c r="M58" s="120">
        <f t="shared" si="27"/>
        <v>16.5</v>
      </c>
      <c r="N58" s="120">
        <f t="shared" si="27"/>
        <v>1553.4620425756614</v>
      </c>
      <c r="O58" s="117">
        <f t="shared" si="27"/>
        <v>94.373348692926086</v>
      </c>
      <c r="P58" s="121">
        <f>M58-J58</f>
        <v>0</v>
      </c>
      <c r="Q58" s="122">
        <f>N58-K58</f>
        <v>-187.78795742433863</v>
      </c>
      <c r="R58" s="123">
        <f>O58/L58</f>
        <v>0.89254349250611598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-187.78795742433863</v>
      </c>
      <c r="AG58" s="124">
        <f>N58/K58</f>
        <v>0.8921533625703727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2399</v>
      </c>
      <c r="H59" s="243">
        <f>F59*G59</f>
        <v>64749.009999999995</v>
      </c>
      <c r="I59" s="55"/>
      <c r="J59" s="136">
        <f>VLOOKUP(D59,產線配置圖!$A$3:$C$40,2,0)</f>
        <v>15</v>
      </c>
      <c r="K59" s="137">
        <v>1636</v>
      </c>
      <c r="L59" s="138">
        <f>K59/J59</f>
        <v>109.06666666666666</v>
      </c>
      <c r="M59" s="244">
        <v>15</v>
      </c>
      <c r="N59" s="137">
        <f>G59/W59*60</f>
        <v>1599.3333333333333</v>
      </c>
      <c r="O59" s="138">
        <f>N59/M59</f>
        <v>106.62222222222222</v>
      </c>
      <c r="P59" s="56">
        <f>M59-J59</f>
        <v>0</v>
      </c>
      <c r="Q59" s="230">
        <f>O59-L59</f>
        <v>-2.4444444444444429</v>
      </c>
      <c r="R59" s="52">
        <f>O59/L59</f>
        <v>0.97758761206193967</v>
      </c>
      <c r="S59" s="439">
        <f>R69</f>
        <v>0.93763704744250542</v>
      </c>
      <c r="T59" s="245">
        <v>0.28819444444444398</v>
      </c>
      <c r="U59" s="245">
        <v>0.35069444444444398</v>
      </c>
      <c r="V59" s="55"/>
      <c r="W59" s="54">
        <f t="shared" si="4"/>
        <v>90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-36.666666666666742</v>
      </c>
      <c r="AG59" s="246">
        <f>N59/K59</f>
        <v>0.97758761206193967</v>
      </c>
      <c r="AH59" s="403">
        <f>AG69</f>
        <v>0.94139382421325135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1827</v>
      </c>
      <c r="H60" s="78">
        <f>F60*G60</f>
        <v>51631.020000000004</v>
      </c>
      <c r="I60" s="30"/>
      <c r="J60" s="79">
        <f>VLOOKUP(D60,產線配置圖!$A$3:$C$40,2,0)</f>
        <v>12</v>
      </c>
      <c r="K60" s="80">
        <v>1636</v>
      </c>
      <c r="L60" s="81">
        <f>K60/J60</f>
        <v>136.33333333333334</v>
      </c>
      <c r="M60" s="82">
        <v>12</v>
      </c>
      <c r="N60" s="80">
        <f>G60/W60*60</f>
        <v>1566.0000000000036</v>
      </c>
      <c r="O60" s="81">
        <f>N60/M60</f>
        <v>130.50000000000031</v>
      </c>
      <c r="P60" s="74">
        <f>M60-J60</f>
        <v>0</v>
      </c>
      <c r="Q60" s="83">
        <f>O60-L60</f>
        <v>-5.8333333333330302</v>
      </c>
      <c r="R60" s="72">
        <f>O60/L60</f>
        <v>0.95721271393643259</v>
      </c>
      <c r="S60" s="467"/>
      <c r="T60" s="22">
        <v>0.35763888888888901</v>
      </c>
      <c r="U60" s="22">
        <v>0.40625</v>
      </c>
      <c r="V60" s="30">
        <f>(T60-U59)*24*60</f>
        <v>10.000000000000844</v>
      </c>
      <c r="W60" s="248">
        <f t="shared" si="4"/>
        <v>69.999999999999829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-69.999999999996362</v>
      </c>
      <c r="AG60" s="249">
        <f>N60/K60</f>
        <v>0.95721271393643259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2774</v>
      </c>
      <c r="H61" s="254">
        <f>F61*G61</f>
        <v>78393.240000000005</v>
      </c>
      <c r="I61" s="182"/>
      <c r="J61" s="106">
        <f>VLOOKUP(D61,產線配置圖!$A$3:$C$40,2,0)</f>
        <v>11</v>
      </c>
      <c r="K61" s="107">
        <v>1636</v>
      </c>
      <c r="L61" s="238">
        <f>K61/J61</f>
        <v>148.72727272727272</v>
      </c>
      <c r="M61" s="108">
        <v>11</v>
      </c>
      <c r="N61" s="107">
        <f>G61/W61*60</f>
        <v>1447.304347826089</v>
      </c>
      <c r="O61" s="238">
        <f>N61/M61</f>
        <v>131.57312252964445</v>
      </c>
      <c r="P61" s="111">
        <f>M61-J61</f>
        <v>0</v>
      </c>
      <c r="Q61" s="255">
        <f>O61-L61</f>
        <v>-17.154150197628269</v>
      </c>
      <c r="R61" s="85">
        <f>O61/L61</f>
        <v>0.88466035930690035</v>
      </c>
      <c r="S61" s="440"/>
      <c r="T61" s="22">
        <v>0.41666666666666702</v>
      </c>
      <c r="U61" s="22">
        <v>0.49652777777777801</v>
      </c>
      <c r="V61" s="30">
        <f>(T61-U60)*24*60</f>
        <v>15.000000000000506</v>
      </c>
      <c r="W61" s="256">
        <f t="shared" si="4"/>
        <v>114.99999999999983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-188.69565217391096</v>
      </c>
      <c r="AG61" s="247">
        <f>N61/K61</f>
        <v>0.88466035930690035</v>
      </c>
      <c r="AH61" s="404"/>
    </row>
    <row r="62" spans="1:34" ht="15" customHeight="1">
      <c r="A62" s="465"/>
      <c r="B62" s="250" t="s">
        <v>125</v>
      </c>
      <c r="C62" s="251"/>
      <c r="D62" s="257" t="s">
        <v>134</v>
      </c>
      <c r="E62" s="253"/>
      <c r="F62" s="250">
        <f>VLOOKUP(D62,廠價表!$C$1:$E$43,3,0)</f>
        <v>26.99</v>
      </c>
      <c r="G62" s="38">
        <v>1705</v>
      </c>
      <c r="H62" s="254">
        <f t="shared" ref="H62:H63" si="28">F62*G62</f>
        <v>46017.95</v>
      </c>
      <c r="I62" s="182"/>
      <c r="J62" s="106">
        <f>VLOOKUP(D62,產線配置圖!$A$3:$C$40,2,0)</f>
        <v>15</v>
      </c>
      <c r="K62" s="107">
        <v>1636</v>
      </c>
      <c r="L62" s="238">
        <f t="shared" ref="L62:L63" si="29">K62/J62</f>
        <v>109.06666666666666</v>
      </c>
      <c r="M62" s="108">
        <v>15</v>
      </c>
      <c r="N62" s="107">
        <f t="shared" ref="N62:N63" si="30">G62/W62*60</f>
        <v>1573.846153846152</v>
      </c>
      <c r="O62" s="238">
        <f t="shared" ref="O62:O63" si="31">N62/M62</f>
        <v>104.92307692307681</v>
      </c>
      <c r="P62" s="111">
        <f t="shared" ref="P62:P63" si="32">M62-J62</f>
        <v>0</v>
      </c>
      <c r="Q62" s="255">
        <f t="shared" ref="Q62:Q63" si="33">O62-L62</f>
        <v>-4.1435897435898568</v>
      </c>
      <c r="R62" s="85">
        <f t="shared" ref="R62:R63" si="34">O62/L62</f>
        <v>0.96200865149520298</v>
      </c>
      <c r="S62" s="440"/>
      <c r="T62" s="22">
        <v>0.54861111111111105</v>
      </c>
      <c r="U62" s="22">
        <v>0.59375</v>
      </c>
      <c r="V62" s="30">
        <f t="shared" ref="V62:V63" si="35">(T62-U61)*24*60</f>
        <v>74.999999999999574</v>
      </c>
      <c r="W62" s="248">
        <f t="shared" si="4"/>
        <v>65.000000000000085</v>
      </c>
      <c r="X62" s="22">
        <v>0.50347222222222199</v>
      </c>
      <c r="Y62" s="84">
        <v>0.54513888888888895</v>
      </c>
      <c r="Z62" s="90"/>
      <c r="AA62" s="90"/>
      <c r="AB62" s="407"/>
      <c r="AC62" s="407"/>
      <c r="AD62" s="92"/>
      <c r="AE62" s="92"/>
      <c r="AF62" s="317">
        <f>N62-K62</f>
        <v>-62.153846153848008</v>
      </c>
      <c r="AG62" s="247">
        <f>N62/K62</f>
        <v>0.96200865149520298</v>
      </c>
      <c r="AH62" s="404"/>
    </row>
    <row r="63" spans="1:34" ht="15" customHeight="1">
      <c r="A63" s="465"/>
      <c r="B63" s="258" t="s">
        <v>125</v>
      </c>
      <c r="C63" s="58"/>
      <c r="D63" s="259" t="s">
        <v>192</v>
      </c>
      <c r="E63" s="60"/>
      <c r="F63" s="250">
        <f>VLOOKUP(D63,廠價表!$C$1:$E$43,3,0)</f>
        <v>28.26</v>
      </c>
      <c r="G63" s="260">
        <v>2145</v>
      </c>
      <c r="H63" s="254">
        <f t="shared" si="28"/>
        <v>60617.700000000004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29"/>
        <v>148.72727272727272</v>
      </c>
      <c r="M63" s="68">
        <v>11</v>
      </c>
      <c r="N63" s="107">
        <f t="shared" si="30"/>
        <v>1514.1176470588175</v>
      </c>
      <c r="O63" s="238">
        <f t="shared" si="31"/>
        <v>137.64705882352885</v>
      </c>
      <c r="P63" s="111">
        <f t="shared" si="32"/>
        <v>0</v>
      </c>
      <c r="Q63" s="255">
        <f t="shared" si="33"/>
        <v>-11.080213903743868</v>
      </c>
      <c r="R63" s="85">
        <f t="shared" si="34"/>
        <v>0.92549978426578083</v>
      </c>
      <c r="S63" s="440"/>
      <c r="T63" s="22">
        <v>0.60069444444444398</v>
      </c>
      <c r="U63" s="22">
        <v>0.65972222222222199</v>
      </c>
      <c r="V63" s="30">
        <f t="shared" si="35"/>
        <v>9.999999999999325</v>
      </c>
      <c r="W63" s="248">
        <f t="shared" si="4"/>
        <v>85.000000000000341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36">AVERAGE(J59:J68)</f>
        <v>12.8</v>
      </c>
      <c r="K69" s="240">
        <f t="shared" si="36"/>
        <v>1636</v>
      </c>
      <c r="L69" s="268">
        <f t="shared" si="36"/>
        <v>130.38424242424242</v>
      </c>
      <c r="M69" s="240">
        <f t="shared" si="36"/>
        <v>12.8</v>
      </c>
      <c r="N69" s="240">
        <f t="shared" si="36"/>
        <v>1540.1202964128793</v>
      </c>
      <c r="O69" s="268">
        <f t="shared" si="36"/>
        <v>122.25309609969452</v>
      </c>
      <c r="P69" s="269">
        <f>M69-J69</f>
        <v>0</v>
      </c>
      <c r="Q69" s="222">
        <f>N69-K69</f>
        <v>-95.87970358712073</v>
      </c>
      <c r="R69" s="123">
        <f>O69/L69</f>
        <v>0.93763704744250542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-95.87970358712073</v>
      </c>
      <c r="AG69" s="124">
        <f>N69/K69</f>
        <v>0.94139382421325135</v>
      </c>
      <c r="AH69" s="406"/>
    </row>
    <row r="70" spans="1:36" ht="15" customHeight="1">
      <c r="A70" s="471" t="s">
        <v>55</v>
      </c>
      <c r="B70" s="258" t="s">
        <v>125</v>
      </c>
      <c r="C70" s="58"/>
      <c r="D70" s="259" t="s">
        <v>192</v>
      </c>
      <c r="E70" s="60"/>
      <c r="F70" s="250">
        <f>VLOOKUP(D70,廠價表!$C$1:$E$43,3,0)</f>
        <v>28.26</v>
      </c>
      <c r="G70" s="260">
        <v>3407</v>
      </c>
      <c r="H70" s="254">
        <f>F70*G70</f>
        <v>96281.82</v>
      </c>
      <c r="I70" s="182"/>
      <c r="J70" s="106">
        <f>VLOOKUP(D70,產線配置圖!$A$3:$C$40,2,0)</f>
        <v>11</v>
      </c>
      <c r="K70" s="107">
        <f>VLOOKUP(D70,產線配置圖!$A$3:$C$40,3,0)</f>
        <v>1636</v>
      </c>
      <c r="L70" s="238">
        <f>K70/J70</f>
        <v>148.72727272727272</v>
      </c>
      <c r="M70" s="68">
        <v>9</v>
      </c>
      <c r="N70" s="107">
        <f>G70/W70*60</f>
        <v>1075.8947368421004</v>
      </c>
      <c r="O70" s="238">
        <f>N70/M70</f>
        <v>119.54385964912227</v>
      </c>
      <c r="P70" s="111">
        <f>M70-J70</f>
        <v>-2</v>
      </c>
      <c r="Q70" s="255">
        <f>O70-L70</f>
        <v>-29.183413078150451</v>
      </c>
      <c r="R70" s="85">
        <f>O70/L70</f>
        <v>0.80377900742074881</v>
      </c>
      <c r="S70" s="439">
        <f>R79</f>
        <v>0.86630949503304355</v>
      </c>
      <c r="T70" s="245">
        <v>0.32986111111111099</v>
      </c>
      <c r="U70" s="245">
        <v>0.46180555555555602</v>
      </c>
      <c r="V70" s="55"/>
      <c r="W70" s="54">
        <f t="shared" si="4"/>
        <v>190.00000000000085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-560.10526315789957</v>
      </c>
      <c r="AG70" s="246">
        <f>N70/K70</f>
        <v>0.65763736970788533</v>
      </c>
      <c r="AH70" s="403">
        <f>AG79</f>
        <v>0.7995155969605684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/>
      <c r="D79" s="430" t="s">
        <v>42</v>
      </c>
      <c r="E79" s="430"/>
      <c r="F79" s="116"/>
      <c r="G79" s="117"/>
      <c r="H79" s="118"/>
      <c r="I79" s="267"/>
      <c r="J79" s="240">
        <f t="shared" ref="J79:O79" si="37">AVERAGE(J69:J78)</f>
        <v>11.9</v>
      </c>
      <c r="K79" s="240">
        <f t="shared" si="37"/>
        <v>1636</v>
      </c>
      <c r="L79" s="268">
        <f t="shared" si="37"/>
        <v>139.55575757575758</v>
      </c>
      <c r="M79" s="240">
        <f t="shared" si="37"/>
        <v>10.9</v>
      </c>
      <c r="N79" s="240">
        <f t="shared" si="37"/>
        <v>1308.0075166274898</v>
      </c>
      <c r="O79" s="268">
        <f t="shared" si="37"/>
        <v>120.8984778744084</v>
      </c>
      <c r="P79" s="269">
        <f>M79-J79</f>
        <v>-1</v>
      </c>
      <c r="Q79" s="222">
        <f>N79-K79</f>
        <v>-327.99248337251015</v>
      </c>
      <c r="R79" s="123">
        <f>O79/L79</f>
        <v>0.86630949503304355</v>
      </c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-327.99248337251015</v>
      </c>
      <c r="AG79" s="124">
        <f>N79/K79</f>
        <v>0.7995155969605684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J1:L2"/>
    <mergeCell ref="M1:O2"/>
    <mergeCell ref="AD3:AE3"/>
    <mergeCell ref="AF3:AF4"/>
    <mergeCell ref="N3:N4"/>
    <mergeCell ref="O3:O4"/>
    <mergeCell ref="P3:P4"/>
    <mergeCell ref="Q3:Q4"/>
    <mergeCell ref="AF1:AH2"/>
    <mergeCell ref="J3:J4"/>
    <mergeCell ref="K3:K4"/>
    <mergeCell ref="P1:S2"/>
    <mergeCell ref="T1:Y2"/>
    <mergeCell ref="AB1:AC2"/>
    <mergeCell ref="R3:R4"/>
    <mergeCell ref="S3:S4"/>
    <mergeCell ref="L3:L4"/>
    <mergeCell ref="M3:M4"/>
    <mergeCell ref="G3:G4"/>
    <mergeCell ref="H3:H4"/>
    <mergeCell ref="I3:I4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AB15:AC15"/>
    <mergeCell ref="AB8:AC8"/>
    <mergeCell ref="AB9:AC9"/>
    <mergeCell ref="AH3:AH4"/>
    <mergeCell ref="AG3:AG4"/>
    <mergeCell ref="A5:A15"/>
    <mergeCell ref="S5:S15"/>
    <mergeCell ref="AB5:AC5"/>
    <mergeCell ref="D15:E15"/>
    <mergeCell ref="AB14:AC14"/>
    <mergeCell ref="AB12:AC12"/>
    <mergeCell ref="AB10:AC10"/>
    <mergeCell ref="AB11:AC11"/>
    <mergeCell ref="AB13:AC1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25:AC25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16:A26"/>
    <mergeCell ref="S16:S26"/>
    <mergeCell ref="AB16:AC16"/>
    <mergeCell ref="D26:E26"/>
    <mergeCell ref="AB26:AC26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98" priority="1" operator="greaterThan">
      <formula>0</formula>
    </cfRule>
  </conditionalFormatting>
  <conditionalFormatting sqref="Q5:Q79 AF5:AF79">
    <cfRule type="cellIs" dxfId="97" priority="4" operator="lessThan">
      <formula>0</formula>
    </cfRule>
  </conditionalFormatting>
  <conditionalFormatting sqref="R5:R79 AG5:AG79">
    <cfRule type="cellIs" dxfId="96" priority="2" operator="greaterThan">
      <formula>1</formula>
    </cfRule>
    <cfRule type="cellIs" dxfId="95" priority="3" operator="lessThan">
      <formula>0.8</formula>
    </cfRule>
  </conditionalFormatting>
  <conditionalFormatting sqref="S5:S10 S37:S62 AH59:AH62 S69:S76 AH69:AH76">
    <cfRule type="cellIs" dxfId="94" priority="7" operator="lessThan">
      <formula>0.8</formula>
    </cfRule>
  </conditionalFormatting>
  <conditionalFormatting sqref="S19:S25 AH19:AH25">
    <cfRule type="cellIs" dxfId="93" priority="6" operator="lessThan">
      <formula>0.8</formula>
    </cfRule>
  </conditionalFormatting>
  <conditionalFormatting sqref="S79">
    <cfRule type="cellIs" dxfId="92" priority="5" operator="lessThan">
      <formula>0.8</formula>
    </cfRule>
  </conditionalFormatting>
  <conditionalFormatting sqref="AH5:AH8 S15:S16 AH15:AH16 AH49 AH79">
    <cfRule type="cellIs" dxfId="91" priority="9" operator="lessThan">
      <formula>0.8</formula>
    </cfRule>
  </conditionalFormatting>
  <conditionalFormatting sqref="AH27 S27:S28">
    <cfRule type="cellIs" dxfId="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D0594B-9159-4721-9AFD-C71D67F6CA31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61E6-74B6-4DCE-8A0D-D6B1C23FFA8A}">
  <dimension ref="B1:O26"/>
  <sheetViews>
    <sheetView zoomScale="70" zoomScaleNormal="70" workbookViewId="0">
      <selection activeCell="M17" sqref="M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46195</v>
      </c>
      <c r="E3" s="510"/>
      <c r="F3" s="3" t="s">
        <v>72</v>
      </c>
      <c r="G3" s="511">
        <f>'0622'!E1</f>
        <v>63493</v>
      </c>
      <c r="H3" s="511"/>
      <c r="I3" s="3" t="s">
        <v>2</v>
      </c>
      <c r="J3" s="512">
        <f>'0622'!G1</f>
        <v>2984003.1000000015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123.39501756413519</v>
      </c>
      <c r="G6" s="507"/>
      <c r="H6" s="508">
        <f>AVERAGE(D13:H13)</f>
        <v>121.99717259211374</v>
      </c>
      <c r="I6" s="508"/>
      <c r="J6" s="508">
        <f>AVERAGE(I13:J13)</f>
        <v>139.55575757575758</v>
      </c>
      <c r="K6" s="508"/>
      <c r="L6" s="516">
        <f>SUM(D18:J18)</f>
        <v>0</v>
      </c>
      <c r="M6" s="499">
        <f>SUM(D19:J19)</f>
        <v>0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114.93627144807949</v>
      </c>
      <c r="G7" s="496"/>
      <c r="H7" s="497">
        <f>AVERAGE(D14:H14)</f>
        <v>114.124408551851</v>
      </c>
      <c r="I7" s="497"/>
      <c r="J7" s="497">
        <f>AVERAGE(I14:J14)</f>
        <v>120.23112629794412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0.93144985686590454</v>
      </c>
      <c r="G8" s="502"/>
      <c r="H8" s="502">
        <f>H7/H6</f>
        <v>0.93546765164316881</v>
      </c>
      <c r="I8" s="502"/>
      <c r="J8" s="502">
        <f>J7/J6</f>
        <v>0.86152752409858024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VALUE('0622'!L15)</f>
        <v>150</v>
      </c>
      <c r="E13" s="13">
        <f>VALUE('0622'!L26)</f>
        <v>158.32255979314803</v>
      </c>
      <c r="F13" s="13">
        <f>VALUE('0622'!L37)</f>
        <v>93.544871794871781</v>
      </c>
      <c r="G13" s="13">
        <f>VALUE('0622'!L48)</f>
        <v>103.44784313725491</v>
      </c>
      <c r="H13" s="13">
        <f>VALUE('0622'!L58)</f>
        <v>104.67058823529412</v>
      </c>
      <c r="I13" s="13">
        <f>VALUE('0622'!L69)</f>
        <v>130.38424242424242</v>
      </c>
      <c r="J13" s="13">
        <f>'0622'!L79</f>
        <v>148.72727272727272</v>
      </c>
    </row>
    <row r="14" spans="2:15" ht="39.950000000000003" customHeight="1">
      <c r="B14" s="490"/>
      <c r="C14" s="12" t="s">
        <v>100</v>
      </c>
      <c r="D14" s="13">
        <f>VALUE('0622'!O15)</f>
        <v>144.55050801662591</v>
      </c>
      <c r="E14" s="13">
        <f>VALUE('0622'!O26)</f>
        <v>145.63371110425916</v>
      </c>
      <c r="F14" s="13">
        <f>VALUE('0622'!O37)</f>
        <v>87.294932920480235</v>
      </c>
      <c r="G14" s="13">
        <f>VALUE('0622'!O48)</f>
        <v>94.813030166017768</v>
      </c>
      <c r="H14" s="13">
        <f>VALUE('0622'!O58)</f>
        <v>98.329860551871889</v>
      </c>
      <c r="I14" s="13">
        <f>VALUE('0622'!O69)</f>
        <v>118.99558592922195</v>
      </c>
      <c r="J14" s="13">
        <f>'0622'!O79</f>
        <v>121.46666666666627</v>
      </c>
    </row>
    <row r="15" spans="2:15" ht="39.950000000000003" customHeight="1">
      <c r="B15" s="491"/>
      <c r="C15" s="10" t="s">
        <v>26</v>
      </c>
      <c r="D15" s="14">
        <f t="shared" ref="D15:I15" si="1">D14/D13</f>
        <v>0.96367005344417278</v>
      </c>
      <c r="E15" s="14">
        <f t="shared" si="1"/>
        <v>0.91985444964086527</v>
      </c>
      <c r="F15" s="14">
        <f t="shared" si="1"/>
        <v>0.93318779795757678</v>
      </c>
      <c r="G15" s="14">
        <f t="shared" si="1"/>
        <v>0.91652979212161589</v>
      </c>
      <c r="H15" s="14">
        <f t="shared" si="1"/>
        <v>0.93942206888941338</v>
      </c>
      <c r="I15" s="14">
        <f t="shared" si="1"/>
        <v>0.91265312216207672</v>
      </c>
      <c r="J15" s="15">
        <f>'0622'!S70</f>
        <v>0.81670741646291511</v>
      </c>
    </row>
    <row r="16" spans="2:15" ht="17.25" customHeight="1">
      <c r="B16" s="492" t="s">
        <v>101</v>
      </c>
      <c r="C16" s="10" t="s">
        <v>34</v>
      </c>
      <c r="D16" s="16">
        <f>'0622'!T5</f>
        <v>0.29375000000000001</v>
      </c>
      <c r="E16" s="16">
        <f>'0622'!T16</f>
        <v>0.29166666666666702</v>
      </c>
      <c r="F16" s="16">
        <f>'0622'!T27</f>
        <v>0.29166666666666702</v>
      </c>
      <c r="G16" s="16">
        <f>'0622'!T38</f>
        <v>0.33263888888888898</v>
      </c>
      <c r="H16" s="16">
        <f>'0622'!T49</f>
        <v>0.29027777777777802</v>
      </c>
      <c r="I16" s="16">
        <f>'0622'!T59</f>
        <v>0.28819444444444398</v>
      </c>
      <c r="J16" s="16">
        <f>'0622'!T70</f>
        <v>0.36111111111111099</v>
      </c>
    </row>
    <row r="17" spans="2:10" ht="17.25" customHeight="1">
      <c r="B17" s="493"/>
      <c r="C17" s="10" t="s">
        <v>35</v>
      </c>
      <c r="D17" s="16">
        <v>0.60416666666666696</v>
      </c>
      <c r="E17" s="19">
        <v>0.625</v>
      </c>
      <c r="F17" s="19">
        <v>0.63888888888888895</v>
      </c>
      <c r="G17" s="210">
        <v>0.65625</v>
      </c>
      <c r="H17" s="21">
        <v>0.66666666666666696</v>
      </c>
      <c r="I17" s="22">
        <v>0.63541666666666696</v>
      </c>
      <c r="J17" s="22">
        <v>0.46527777777777801</v>
      </c>
    </row>
    <row r="18" spans="2:10" ht="17.25" customHeight="1">
      <c r="B18" s="494" t="s">
        <v>102</v>
      </c>
      <c r="C18" s="330" t="s">
        <v>36</v>
      </c>
      <c r="D18" s="358">
        <f>'0622'!Z15</f>
        <v>0</v>
      </c>
      <c r="E18" s="359">
        <f>'0622'!Z26</f>
        <v>0</v>
      </c>
      <c r="F18" s="359">
        <f>'0622'!Z37</f>
        <v>0</v>
      </c>
      <c r="G18" s="360">
        <f>'0622'!Z48</f>
        <v>0</v>
      </c>
      <c r="H18" s="360">
        <f>'0622'!Z58</f>
        <v>0</v>
      </c>
      <c r="I18" s="359">
        <f>'0622'!Z69</f>
        <v>0</v>
      </c>
      <c r="J18" s="359">
        <f>'0622'!AA79</f>
        <v>0</v>
      </c>
    </row>
    <row r="19" spans="2:10" ht="17.25" customHeight="1">
      <c r="B19" s="495"/>
      <c r="C19" s="330" t="s">
        <v>37</v>
      </c>
      <c r="D19" s="358">
        <f>'0622'!AA15</f>
        <v>0</v>
      </c>
      <c r="E19" s="359">
        <f>'0622'!AA26</f>
        <v>0</v>
      </c>
      <c r="F19" s="359">
        <f>'0622'!AA37</f>
        <v>0</v>
      </c>
      <c r="G19" s="360">
        <f>'0622'!AA48</f>
        <v>0</v>
      </c>
      <c r="H19" s="360">
        <f>'0622'!AA58</f>
        <v>0</v>
      </c>
      <c r="I19" s="359">
        <f>'0622'!AA69</f>
        <v>0</v>
      </c>
      <c r="J19" s="359">
        <f>'0622'!AB79</f>
        <v>0</v>
      </c>
    </row>
    <row r="20" spans="2:10" ht="17.25" customHeight="1">
      <c r="B20" s="494" t="s">
        <v>103</v>
      </c>
      <c r="C20" s="330" t="s">
        <v>36</v>
      </c>
      <c r="D20" s="358">
        <f>'0622'!AD15</f>
        <v>0</v>
      </c>
      <c r="E20" s="359">
        <f>'0622'!AD26</f>
        <v>0</v>
      </c>
      <c r="F20" s="359">
        <f>'0622'!AD37</f>
        <v>0</v>
      </c>
      <c r="G20" s="360">
        <f>'0622'!AD48</f>
        <v>0</v>
      </c>
      <c r="H20" s="360">
        <f>'0622'!AD58</f>
        <v>0</v>
      </c>
      <c r="I20" s="359">
        <f>'0622'!AD69</f>
        <v>0</v>
      </c>
      <c r="J20" s="359">
        <f>'0622'!AD79</f>
        <v>0</v>
      </c>
    </row>
    <row r="21" spans="2:10" ht="17.25" customHeight="1">
      <c r="B21" s="495"/>
      <c r="C21" s="330" t="s">
        <v>85</v>
      </c>
      <c r="D21" s="358">
        <f>'0622'!AE15</f>
        <v>0</v>
      </c>
      <c r="E21" s="359">
        <f>'0622'!AE26</f>
        <v>0</v>
      </c>
      <c r="F21" s="359">
        <f>'0622'!AE37</f>
        <v>0</v>
      </c>
      <c r="G21" s="360">
        <f>'0622'!AE48</f>
        <v>0</v>
      </c>
      <c r="H21" s="360">
        <f>'0622'!AE58</f>
        <v>0</v>
      </c>
      <c r="I21" s="359">
        <f>'0622'!AE69</f>
        <v>0</v>
      </c>
      <c r="J21" s="359">
        <f>'0622'!AE79</f>
        <v>0</v>
      </c>
    </row>
    <row r="22" spans="2:10" ht="17.25" customHeight="1">
      <c r="B22" s="477" t="s">
        <v>104</v>
      </c>
      <c r="C22" s="478"/>
      <c r="D22" s="23">
        <f>VALUE('0622'!M15)</f>
        <v>15</v>
      </c>
      <c r="E22" s="23">
        <f>VALUE('0622'!M26)</f>
        <v>14.333333333333334</v>
      </c>
      <c r="F22" s="23">
        <f>VALUE('0622'!M37)</f>
        <v>15.833333333333334</v>
      </c>
      <c r="G22" s="23">
        <f>VALUE('0622'!M48)</f>
        <v>16.2</v>
      </c>
      <c r="H22" s="23">
        <f>VALUE('0622'!M58)</f>
        <v>15.6</v>
      </c>
      <c r="I22" s="23">
        <f>VALUE('0622'!M69)</f>
        <v>12.2</v>
      </c>
      <c r="J22" s="23">
        <f>'0622'!M79</f>
        <v>9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41DA-4B78-4733-8E1C-065E3FC89028}">
  <sheetPr>
    <tabColor theme="9" tint="0.79998168889431442"/>
  </sheetPr>
  <dimension ref="A1:AJ92"/>
  <sheetViews>
    <sheetView zoomScale="69" zoomScaleNormal="69" workbookViewId="0">
      <pane xSplit="5" ySplit="4" topLeftCell="G53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63493</v>
      </c>
      <c r="F1" s="30" t="s">
        <v>2</v>
      </c>
      <c r="G1" s="31">
        <f>SUM(H5:H79)</f>
        <v>2984003.1000000015</v>
      </c>
      <c r="H1" s="32" t="s">
        <v>3</v>
      </c>
      <c r="I1" s="33">
        <f>M15+M26+M48+M58+M69+M79+M37</f>
        <v>98.166666666666657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199</v>
      </c>
      <c r="B2" s="381"/>
      <c r="C2" s="28"/>
      <c r="D2" s="28" t="s">
        <v>14</v>
      </c>
      <c r="E2" s="35">
        <f>AVERAGE(O15,O26,O37,O48,O58,O69,O79)</f>
        <v>115.86918505073474</v>
      </c>
      <c r="F2" s="36" t="s">
        <v>15</v>
      </c>
      <c r="G2" s="37">
        <f>G1/E1</f>
        <v>46.997355614004718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3185</v>
      </c>
      <c r="H5" s="43">
        <f>F5*G5</f>
        <v>181130.94999999998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2222.0930232558221</v>
      </c>
      <c r="O5" s="47">
        <f>N5/M5</f>
        <v>148.13953488372147</v>
      </c>
      <c r="P5" s="49">
        <f>M5-J5</f>
        <v>0</v>
      </c>
      <c r="Q5" s="50">
        <f>O5-L5</f>
        <v>-1.8604651162785331</v>
      </c>
      <c r="R5" s="51">
        <f>O5/L5</f>
        <v>0.98759689922480975</v>
      </c>
      <c r="S5" s="439">
        <f>R15</f>
        <v>0.96367005344417278</v>
      </c>
      <c r="T5" s="319">
        <v>0.29375000000000001</v>
      </c>
      <c r="U5" s="320">
        <v>0.35347222222222202</v>
      </c>
      <c r="V5" s="53"/>
      <c r="W5" s="54">
        <f t="shared" ref="W5:W14" si="0">(U5-T5)*24*60</f>
        <v>85.999999999999687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-27.906976744177882</v>
      </c>
      <c r="AG5" s="52">
        <f t="shared" ref="AG5:AG11" si="2">N5/K5</f>
        <v>0.98759689922480987</v>
      </c>
      <c r="AH5" s="403">
        <f>AG15</f>
        <v>0.96367005344417256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3031</v>
      </c>
      <c r="H6" s="63">
        <f>F6*G6</f>
        <v>176313.27000000002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2139.529411764734</v>
      </c>
      <c r="O6" s="67">
        <f>N6/M6</f>
        <v>142.63529411764893</v>
      </c>
      <c r="P6" s="69">
        <f>M6-J6</f>
        <v>0</v>
      </c>
      <c r="Q6" s="70">
        <f>O6-L6</f>
        <v>-7.3647058823510747</v>
      </c>
      <c r="R6" s="71">
        <f>O6/L6</f>
        <v>0.95090196078432621</v>
      </c>
      <c r="S6" s="440"/>
      <c r="T6" s="16">
        <v>0.36180555555555599</v>
      </c>
      <c r="U6" s="16">
        <v>0.420833333333333</v>
      </c>
      <c r="V6" s="30">
        <f>(T6-U5)*24*60</f>
        <v>12.000000000000917</v>
      </c>
      <c r="W6" s="73">
        <f t="shared" si="0"/>
        <v>84.999999999998892</v>
      </c>
      <c r="X6" s="22"/>
      <c r="Y6" s="84"/>
      <c r="Z6" s="90"/>
      <c r="AA6" s="90"/>
      <c r="AB6" s="434"/>
      <c r="AC6" s="434"/>
      <c r="AD6" s="149"/>
      <c r="AE6" s="149"/>
      <c r="AF6" s="307">
        <f t="shared" si="1"/>
        <v>-110.47058823526595</v>
      </c>
      <c r="AG6" s="72">
        <f t="shared" si="2"/>
        <v>0.95090196078432621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2585</v>
      </c>
      <c r="H7" s="78">
        <f>F7*G7</f>
        <v>127026.90000000001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2154.1666666666652</v>
      </c>
      <c r="O7" s="81">
        <f>N7/M7</f>
        <v>143.611111111111</v>
      </c>
      <c r="P7" s="74">
        <f>M7-J7</f>
        <v>0</v>
      </c>
      <c r="Q7" s="83">
        <f>O7-L7</f>
        <v>-6.3888888888889994</v>
      </c>
      <c r="R7" s="72">
        <f>O7/L7</f>
        <v>0.95740740740740671</v>
      </c>
      <c r="S7" s="440"/>
      <c r="T7" s="18">
        <v>0.42777777777777798</v>
      </c>
      <c r="U7" s="18">
        <v>0.47777777777777802</v>
      </c>
      <c r="V7" s="30">
        <f>(T7-U6)*24*60</f>
        <v>10.000000000000764</v>
      </c>
      <c r="W7" s="73">
        <f t="shared" si="0"/>
        <v>72.000000000000057</v>
      </c>
      <c r="X7" s="22"/>
      <c r="Y7" s="84"/>
      <c r="Z7" s="90"/>
      <c r="AA7" s="90"/>
      <c r="AB7" s="407"/>
      <c r="AC7" s="407"/>
      <c r="AD7" s="92"/>
      <c r="AE7" s="92"/>
      <c r="AF7" s="307">
        <f t="shared" si="1"/>
        <v>-95.833333333334849</v>
      </c>
      <c r="AG7" s="72">
        <f t="shared" si="2"/>
        <v>0.95740740740740671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3128</v>
      </c>
      <c r="H8" s="78">
        <f>F8*G8</f>
        <v>153709.92000000001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2157.2413793103328</v>
      </c>
      <c r="O8" s="81">
        <f>N8/M8</f>
        <v>143.8160919540222</v>
      </c>
      <c r="P8" s="74">
        <f>M8-J8</f>
        <v>0</v>
      </c>
      <c r="Q8" s="83">
        <f>O8-L8</f>
        <v>-6.1839080459778017</v>
      </c>
      <c r="R8" s="72">
        <f>O8/L8</f>
        <v>0.95877394636014801</v>
      </c>
      <c r="S8" s="440"/>
      <c r="T8" s="16">
        <v>0.54374999999999996</v>
      </c>
      <c r="U8" s="16">
        <v>0.60416666666666696</v>
      </c>
      <c r="V8" s="30">
        <f>(T8-U7)*24*60</f>
        <v>94.999999999999588</v>
      </c>
      <c r="W8" s="73">
        <f t="shared" si="0"/>
        <v>87.000000000000483</v>
      </c>
      <c r="X8" s="22"/>
      <c r="Y8" s="84"/>
      <c r="Z8" s="90"/>
      <c r="AA8" s="90"/>
      <c r="AB8" s="434"/>
      <c r="AC8" s="434"/>
      <c r="AD8" s="149"/>
      <c r="AE8" s="149"/>
      <c r="AF8" s="307">
        <f t="shared" si="1"/>
        <v>-92.758620689667168</v>
      </c>
      <c r="AG8" s="72">
        <f t="shared" si="2"/>
        <v>0.9587739463601479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0</v>
      </c>
      <c r="AG9" s="72" t="e">
        <f t="shared" si="2"/>
        <v>#DIV/0!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2168.2576202493883</v>
      </c>
      <c r="O15" s="117">
        <f t="shared" si="3"/>
        <v>144.55050801662591</v>
      </c>
      <c r="P15" s="121">
        <f>M15-J15</f>
        <v>0</v>
      </c>
      <c r="Q15" s="122">
        <f>O15-L15</f>
        <v>-5.449491983374088</v>
      </c>
      <c r="R15" s="123">
        <f>O15/L15</f>
        <v>0.96367005344417278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-81.74237975061169</v>
      </c>
      <c r="AG15" s="124">
        <f>N15/K15</f>
        <v>0.96367005344417256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2345</v>
      </c>
      <c r="H16" s="134">
        <f>F16*G16</f>
        <v>118821.15000000001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2100.0000000000355</v>
      </c>
      <c r="O16" s="141">
        <f>N16/M16</f>
        <v>150.00000000000253</v>
      </c>
      <c r="P16" s="142">
        <f>M16-J16</f>
        <v>0</v>
      </c>
      <c r="Q16" s="143">
        <f>O16-L16</f>
        <v>-10.714285714283193</v>
      </c>
      <c r="R16" s="144">
        <f>O16/L16</f>
        <v>0.933333333333349</v>
      </c>
      <c r="S16" s="425">
        <f>R26</f>
        <v>0.91985444964086527</v>
      </c>
      <c r="T16" s="145">
        <v>0.29166666666666702</v>
      </c>
      <c r="U16" s="145">
        <v>0.33819444444444402</v>
      </c>
      <c r="V16" s="135"/>
      <c r="W16" s="146">
        <f t="shared" ref="W16:W78" si="4">(U16-T16)*24*60</f>
        <v>66.999999999998877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-149.99999999996453</v>
      </c>
      <c r="AG16" s="52">
        <f>N16/K16</f>
        <v>0.93333333333334911</v>
      </c>
      <c r="AH16" s="403">
        <f>AG26</f>
        <v>0.9201869011571544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1951</v>
      </c>
      <c r="H17" s="78">
        <f>F17*G17</f>
        <v>111616.71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2128.3636363636597</v>
      </c>
      <c r="O17" s="96">
        <f>N17/M17</f>
        <v>125.19786096256821</v>
      </c>
      <c r="P17" s="97">
        <f>M17-J17</f>
        <v>0</v>
      </c>
      <c r="Q17" s="98">
        <f>O17-L17</f>
        <v>-7.1550802139023659</v>
      </c>
      <c r="R17" s="99">
        <f>O17/L17</f>
        <v>0.94593939393940429</v>
      </c>
      <c r="S17" s="426"/>
      <c r="T17" s="19">
        <v>0.34652777777777799</v>
      </c>
      <c r="U17" s="19">
        <v>0.38472222222222202</v>
      </c>
      <c r="V17" s="30">
        <f>(T17-U16)*24*60</f>
        <v>12.000000000000917</v>
      </c>
      <c r="W17" s="149">
        <f t="shared" si="4"/>
        <v>54.999999999999403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-121.63636363634032</v>
      </c>
      <c r="AG17" s="72">
        <f>N17/K17</f>
        <v>0.94593939393940429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1153</v>
      </c>
      <c r="H18" s="78">
        <f>F18*G18</f>
        <v>65271.33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1976.5714285713907</v>
      </c>
      <c r="O18" s="96">
        <f>N18/M18</f>
        <v>131.77142857142604</v>
      </c>
      <c r="P18" s="97">
        <f>M18-J18</f>
        <v>0</v>
      </c>
      <c r="Q18" s="98">
        <f>O18-L18</f>
        <v>-18.228571428573957</v>
      </c>
      <c r="R18" s="99">
        <f>O18/L18</f>
        <v>0.87847619047617365</v>
      </c>
      <c r="S18" s="426"/>
      <c r="T18" s="19">
        <v>0.39444444444444399</v>
      </c>
      <c r="U18" s="19">
        <v>0.41875000000000001</v>
      </c>
      <c r="V18" s="30">
        <f>(T18-U17)*24*60</f>
        <v>13.999999999999631</v>
      </c>
      <c r="W18" s="149">
        <f t="shared" si="4"/>
        <v>35.000000000000675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-273.4285714286093</v>
      </c>
      <c r="AG18" s="72">
        <f>N18/K18</f>
        <v>0.87847619047617365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2784</v>
      </c>
      <c r="H19" s="78">
        <f t="shared" ref="H19:H21" si="5">F19*G19</f>
        <v>140285.76000000001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2087.9999999999823</v>
      </c>
      <c r="O19" s="96">
        <f t="shared" ref="O19:O21" si="8">N19/M19</f>
        <v>160.61538461538325</v>
      </c>
      <c r="P19" s="97">
        <f t="shared" ref="P19:P21" si="9">M19-J19</f>
        <v>0</v>
      </c>
      <c r="Q19" s="98">
        <f t="shared" ref="Q19:Q21" si="10">O19-L19</f>
        <v>-12.461538461539817</v>
      </c>
      <c r="R19" s="99">
        <f t="shared" ref="R19:R21" si="11">O19/L19</f>
        <v>0.92799999999999216</v>
      </c>
      <c r="S19" s="426"/>
      <c r="T19" s="19">
        <v>0.42361111111111099</v>
      </c>
      <c r="U19" s="19">
        <v>0.47916666666666702</v>
      </c>
      <c r="V19" s="30">
        <f>(T19-U18)*24*60</f>
        <v>6.9999999999998153</v>
      </c>
      <c r="W19" s="149">
        <f t="shared" si="4"/>
        <v>80.000000000000682</v>
      </c>
      <c r="X19" s="22"/>
      <c r="Y19" s="84"/>
      <c r="Z19" s="90"/>
      <c r="AA19" s="90"/>
      <c r="AB19" s="434"/>
      <c r="AC19" s="434"/>
      <c r="AD19" s="149"/>
      <c r="AE19" s="149"/>
      <c r="AF19" s="307">
        <f>N19-K19</f>
        <v>-162.00000000001774</v>
      </c>
      <c r="AG19" s="72">
        <f>N19/K19</f>
        <v>0.92799999999999216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2354</v>
      </c>
      <c r="H20" s="78">
        <f t="shared" si="5"/>
        <v>118618.06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2046.9565217391564</v>
      </c>
      <c r="O20" s="96">
        <f t="shared" si="8"/>
        <v>157.45819397993512</v>
      </c>
      <c r="P20" s="97">
        <f t="shared" si="9"/>
        <v>0</v>
      </c>
      <c r="Q20" s="98">
        <f t="shared" si="10"/>
        <v>-15.618729096987948</v>
      </c>
      <c r="R20" s="99">
        <f t="shared" si="11"/>
        <v>0.90975845410629186</v>
      </c>
      <c r="S20" s="426"/>
      <c r="T20" s="19">
        <v>0.54166666666666696</v>
      </c>
      <c r="U20" s="19">
        <v>0.58958333333333302</v>
      </c>
      <c r="V20" s="30">
        <f>(T20-U19)*24*60</f>
        <v>89.999999999999915</v>
      </c>
      <c r="W20" s="149">
        <f t="shared" si="4"/>
        <v>68.999999999999119</v>
      </c>
      <c r="X20" s="19"/>
      <c r="Y20" s="297"/>
      <c r="Z20" s="90"/>
      <c r="AA20" s="90"/>
      <c r="AB20" s="407"/>
      <c r="AC20" s="407"/>
      <c r="AD20" s="92"/>
      <c r="AE20" s="92"/>
      <c r="AF20" s="307"/>
      <c r="AG20" s="72"/>
      <c r="AH20" s="405"/>
    </row>
    <row r="21" spans="1:34" ht="15" customHeight="1">
      <c r="A21" s="423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v>1319</v>
      </c>
      <c r="H21" s="78">
        <f t="shared" si="5"/>
        <v>66833.73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2082.6315789473583</v>
      </c>
      <c r="O21" s="96">
        <f t="shared" si="8"/>
        <v>148.75939849623987</v>
      </c>
      <c r="P21" s="97">
        <f t="shared" si="9"/>
        <v>0</v>
      </c>
      <c r="Q21" s="98">
        <f t="shared" si="10"/>
        <v>-11.954887218045855</v>
      </c>
      <c r="R21" s="99">
        <f t="shared" si="11"/>
        <v>0.92561403508771467</v>
      </c>
      <c r="S21" s="426"/>
      <c r="T21" s="19">
        <v>0.59861111111111098</v>
      </c>
      <c r="U21" s="19">
        <v>0.625</v>
      </c>
      <c r="V21" s="30">
        <f>(T21-U20)*24*60</f>
        <v>13.000000000000274</v>
      </c>
      <c r="W21" s="149">
        <f t="shared" si="4"/>
        <v>38.000000000000185</v>
      </c>
      <c r="X21" s="92"/>
      <c r="Y21" s="298"/>
      <c r="Z21" s="90"/>
      <c r="AA21" s="90"/>
      <c r="AB21" s="407"/>
      <c r="AC21" s="407"/>
      <c r="AD21" s="92"/>
      <c r="AE21" s="92"/>
      <c r="AF21" s="308"/>
      <c r="AG21" s="85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9"/>
      <c r="U22" s="19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4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2">AVERAGE(J16:J25)</f>
        <v>14.333333333333334</v>
      </c>
      <c r="K26" s="155">
        <f t="shared" si="12"/>
        <v>2250</v>
      </c>
      <c r="L26" s="158">
        <f t="shared" si="12"/>
        <v>158.32255979314803</v>
      </c>
      <c r="M26" s="155">
        <f t="shared" si="12"/>
        <v>14.333333333333334</v>
      </c>
      <c r="N26" s="155">
        <f t="shared" si="12"/>
        <v>2070.4205276035973</v>
      </c>
      <c r="O26" s="158">
        <f t="shared" si="12"/>
        <v>145.63371110425916</v>
      </c>
      <c r="P26" s="159">
        <f>M26-J26</f>
        <v>0</v>
      </c>
      <c r="Q26" s="160">
        <f>O26-L26</f>
        <v>-12.688848688888868</v>
      </c>
      <c r="R26" s="161">
        <f>O26/L26</f>
        <v>0.91985444964086527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3">N26-K26</f>
        <v>-179.57947239640271</v>
      </c>
      <c r="AG26" s="124">
        <f t="shared" ref="AG26:AG31" si="14">N26/K26</f>
        <v>0.9201869011571544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57.21</v>
      </c>
      <c r="G27" s="169">
        <v>675</v>
      </c>
      <c r="H27" s="134">
        <f>F27*G27</f>
        <v>38616.75</v>
      </c>
      <c r="I27" s="135"/>
      <c r="J27" s="136">
        <f>VLOOKUP(D27,產線配置圖!$A$3:$C$40,2,0)</f>
        <v>18</v>
      </c>
      <c r="K27" s="137">
        <f>VLOOKUP(D27,產線配置圖!$A$3:$C$40,3,0)</f>
        <v>1565</v>
      </c>
      <c r="L27" s="138">
        <f>K27/J27</f>
        <v>86.944444444444443</v>
      </c>
      <c r="M27" s="170">
        <v>16</v>
      </c>
      <c r="N27" s="140">
        <f>G27/W27*60</f>
        <v>1265.6250000000141</v>
      </c>
      <c r="O27" s="141">
        <f>N27/M27</f>
        <v>79.101562500000881</v>
      </c>
      <c r="P27" s="142">
        <f>M27-J27</f>
        <v>-2</v>
      </c>
      <c r="Q27" s="143">
        <f>O27-L27</f>
        <v>-7.8428819444435618</v>
      </c>
      <c r="R27" s="144">
        <f>O27/L27</f>
        <v>0.90979432907349256</v>
      </c>
      <c r="S27" s="425">
        <f>R37</f>
        <v>0.93318779795757678</v>
      </c>
      <c r="T27" s="171">
        <v>0.29166666666666702</v>
      </c>
      <c r="U27" s="171">
        <v>0.31388888888888899</v>
      </c>
      <c r="V27" s="135"/>
      <c r="W27" s="146">
        <f t="shared" si="4"/>
        <v>31.999999999999645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13"/>
        <v>-299.3749999999859</v>
      </c>
      <c r="AG27" s="172">
        <f t="shared" si="14"/>
        <v>0.80870607028754893</v>
      </c>
      <c r="AH27" s="403">
        <f>AG37</f>
        <v>0.86155725043723475</v>
      </c>
    </row>
    <row r="28" spans="1:34" ht="15" customHeight="1">
      <c r="A28" s="457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1874</v>
      </c>
      <c r="H28" s="91">
        <f>F28*G28</f>
        <v>107211.54000000001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16</v>
      </c>
      <c r="N28" s="95">
        <f>G28/W28*60</f>
        <v>1405.4999999999882</v>
      </c>
      <c r="O28" s="96">
        <f>N28/M28</f>
        <v>87.843749999999261</v>
      </c>
      <c r="P28" s="97">
        <f>M28-J28</f>
        <v>-2</v>
      </c>
      <c r="Q28" s="98">
        <f>O28-L28</f>
        <v>-3.0451388888896247</v>
      </c>
      <c r="R28" s="99">
        <f>O28/L28</f>
        <v>0.96649602689485747</v>
      </c>
      <c r="S28" s="426"/>
      <c r="T28" s="19">
        <v>0.31944444444444398</v>
      </c>
      <c r="U28" s="19">
        <v>0.375</v>
      </c>
      <c r="V28" s="92">
        <f>(T28-U27)*24*60</f>
        <v>7.9999999999991722</v>
      </c>
      <c r="W28" s="149">
        <f t="shared" si="4"/>
        <v>80.000000000000682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13"/>
        <v>-230.50000000001182</v>
      </c>
      <c r="AG28" s="99">
        <f t="shared" si="14"/>
        <v>0.85910757946209548</v>
      </c>
      <c r="AH28" s="445"/>
    </row>
    <row r="29" spans="1:34" ht="15" customHeight="1">
      <c r="A29" s="457"/>
      <c r="B29" s="75" t="s">
        <v>81</v>
      </c>
      <c r="C29" s="173"/>
      <c r="D29" s="59" t="s">
        <v>168</v>
      </c>
      <c r="E29" s="104"/>
      <c r="F29" s="75">
        <f>VLOOKUP(D29,廠價表!$C$1:$E$43,3,0)</f>
        <v>57.21</v>
      </c>
      <c r="G29" s="90">
        <v>985</v>
      </c>
      <c r="H29" s="91">
        <f>F29*G29</f>
        <v>56351.85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17</v>
      </c>
      <c r="N29" s="95">
        <f>G29/W29*60</f>
        <v>1407.1428571428892</v>
      </c>
      <c r="O29" s="96">
        <f>N29/M29</f>
        <v>82.773109243699366</v>
      </c>
      <c r="P29" s="97">
        <f>M29-J29</f>
        <v>-1</v>
      </c>
      <c r="Q29" s="98">
        <f>O29-L29</f>
        <v>-8.1157796451895194</v>
      </c>
      <c r="R29" s="99">
        <f>O29/L29</f>
        <v>0.91070658092089773</v>
      </c>
      <c r="S29" s="426"/>
      <c r="T29" s="19">
        <v>0.38055555555555598</v>
      </c>
      <c r="U29" s="19">
        <v>0.40972222222222199</v>
      </c>
      <c r="V29" s="92">
        <f>(T29-U28)*24*60</f>
        <v>8.0000000000006111</v>
      </c>
      <c r="W29" s="149">
        <f t="shared" si="4"/>
        <v>41.999999999999048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13"/>
        <v>-228.85714285711083</v>
      </c>
      <c r="AG29" s="99">
        <f t="shared" si="14"/>
        <v>0.86011177086973667</v>
      </c>
      <c r="AH29" s="445"/>
    </row>
    <row r="30" spans="1:34" ht="15" customHeight="1">
      <c r="A30" s="457"/>
      <c r="B30" s="75" t="s">
        <v>81</v>
      </c>
      <c r="C30" s="88"/>
      <c r="D30" s="59" t="s">
        <v>123</v>
      </c>
      <c r="E30" s="89"/>
      <c r="F30" s="75">
        <f>VLOOKUP(D30,廠價表!$C$1:$E$43,3,0)</f>
        <v>50.67</v>
      </c>
      <c r="G30" s="90">
        <v>1437</v>
      </c>
      <c r="H30" s="91">
        <f t="shared" ref="H30:H32" si="15">F30*G30</f>
        <v>72812.790000000008</v>
      </c>
      <c r="I30" s="92"/>
      <c r="J30" s="79">
        <f>VLOOKUP(D30,產線配置圖!$A$3:$C$40,2,0)</f>
        <v>13</v>
      </c>
      <c r="K30" s="80">
        <f>VLOOKUP(D30,產線配置圖!$A$3:$C$40,3,0)</f>
        <v>1440</v>
      </c>
      <c r="L30" s="93">
        <f t="shared" ref="L30:L32" si="16">K30/J30</f>
        <v>110.76923076923077</v>
      </c>
      <c r="M30" s="94">
        <v>13</v>
      </c>
      <c r="N30" s="95">
        <f t="shared" ref="N30:N32" si="17">G30/W30*60</f>
        <v>1390.645161290342</v>
      </c>
      <c r="O30" s="96">
        <f t="shared" ref="O30:O32" si="18">N30/M30</f>
        <v>106.97270471464169</v>
      </c>
      <c r="P30" s="97">
        <f t="shared" ref="P30:P32" si="19">M30-J30</f>
        <v>0</v>
      </c>
      <c r="Q30" s="98">
        <f t="shared" ref="Q30:Q32" si="20">O30-L30</f>
        <v>-3.79652605458908</v>
      </c>
      <c r="R30" s="99">
        <f t="shared" ref="R30:R32" si="21">O30/L30</f>
        <v>0.96572580645162631</v>
      </c>
      <c r="S30" s="426"/>
      <c r="T30" s="19">
        <v>0.41527777777777802</v>
      </c>
      <c r="U30" s="19">
        <v>0.45833333333333298</v>
      </c>
      <c r="V30" s="92">
        <f>(T30-U29)*24*60</f>
        <v>8.000000000000691</v>
      </c>
      <c r="W30" s="149">
        <f t="shared" si="4"/>
        <v>61.99999999999914</v>
      </c>
      <c r="X30" s="174"/>
      <c r="Y30" s="301"/>
      <c r="Z30" s="335"/>
      <c r="AA30" s="335"/>
      <c r="AB30" s="407" t="s">
        <v>200</v>
      </c>
      <c r="AC30" s="407"/>
      <c r="AD30" s="92"/>
      <c r="AE30" s="92"/>
      <c r="AF30" s="312">
        <f t="shared" si="13"/>
        <v>-49.354838709657997</v>
      </c>
      <c r="AG30" s="99">
        <f t="shared" si="14"/>
        <v>0.96572580645162642</v>
      </c>
      <c r="AH30" s="446"/>
    </row>
    <row r="31" spans="1:34" ht="15" customHeight="1">
      <c r="A31" s="457"/>
      <c r="B31" s="75" t="s">
        <v>81</v>
      </c>
      <c r="C31" s="88"/>
      <c r="D31" s="175" t="s">
        <v>168</v>
      </c>
      <c r="E31" s="176"/>
      <c r="F31" s="75">
        <f>VLOOKUP(D31,廠價表!$C$1:$E$43,3,0)</f>
        <v>57.21</v>
      </c>
      <c r="G31" s="90">
        <v>1250</v>
      </c>
      <c r="H31" s="91">
        <f t="shared" si="15"/>
        <v>71512.5</v>
      </c>
      <c r="I31" s="92"/>
      <c r="J31" s="79">
        <f>VLOOKUP(D31,產線配置圖!$A$3:$C$40,2,0)</f>
        <v>18</v>
      </c>
      <c r="K31" s="80">
        <v>1636</v>
      </c>
      <c r="L31" s="93">
        <f t="shared" si="16"/>
        <v>90.888888888888886</v>
      </c>
      <c r="M31" s="94">
        <v>17</v>
      </c>
      <c r="N31" s="95">
        <f t="shared" si="17"/>
        <v>1442.3076923076976</v>
      </c>
      <c r="O31" s="96">
        <f t="shared" si="18"/>
        <v>84.841628959276335</v>
      </c>
      <c r="P31" s="97">
        <f t="shared" si="19"/>
        <v>-1</v>
      </c>
      <c r="Q31" s="98">
        <f t="shared" si="20"/>
        <v>-6.0472599296125509</v>
      </c>
      <c r="R31" s="99">
        <f t="shared" si="21"/>
        <v>0.93346535529766139</v>
      </c>
      <c r="S31" s="426"/>
      <c r="T31" s="19">
        <v>0.52083333333333304</v>
      </c>
      <c r="U31" s="19">
        <v>0.55694444444444402</v>
      </c>
      <c r="V31" s="92">
        <f t="shared" ref="V31:V32" si="22">(T31-U30)*24*60</f>
        <v>90.000000000000085</v>
      </c>
      <c r="W31" s="149">
        <f t="shared" si="4"/>
        <v>51.999999999999815</v>
      </c>
      <c r="X31" s="174"/>
      <c r="Y31" s="301"/>
      <c r="Z31" s="335"/>
      <c r="AA31" s="335"/>
      <c r="AB31" s="407" t="s">
        <v>201</v>
      </c>
      <c r="AC31" s="407"/>
      <c r="AD31" s="92"/>
      <c r="AE31" s="92"/>
      <c r="AF31" s="312">
        <f t="shared" si="13"/>
        <v>-193.69230769230239</v>
      </c>
      <c r="AG31" s="99">
        <f t="shared" si="14"/>
        <v>0.88160616889223575</v>
      </c>
      <c r="AH31" s="405"/>
    </row>
    <row r="32" spans="1:34" ht="15" customHeight="1">
      <c r="A32" s="457"/>
      <c r="B32" s="75" t="s">
        <v>81</v>
      </c>
      <c r="C32" s="102"/>
      <c r="D32" s="59" t="s">
        <v>124</v>
      </c>
      <c r="E32" s="176"/>
      <c r="F32" s="75">
        <f>VLOOKUP(D32,廠價表!$C$1:$E$43,3,0)</f>
        <v>57.21</v>
      </c>
      <c r="G32" s="90">
        <v>1250</v>
      </c>
      <c r="H32" s="91">
        <f t="shared" si="15"/>
        <v>71512.5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6"/>
        <v>90.888888888888886</v>
      </c>
      <c r="M32" s="94">
        <v>16</v>
      </c>
      <c r="N32" s="95">
        <f t="shared" si="17"/>
        <v>1315.7894736842227</v>
      </c>
      <c r="O32" s="96">
        <f t="shared" si="18"/>
        <v>82.236842105263918</v>
      </c>
      <c r="P32" s="97">
        <f t="shared" si="19"/>
        <v>-2</v>
      </c>
      <c r="Q32" s="98">
        <f t="shared" si="20"/>
        <v>-8.6520467836249679</v>
      </c>
      <c r="R32" s="99">
        <f t="shared" si="21"/>
        <v>0.90480633123151011</v>
      </c>
      <c r="S32" s="426"/>
      <c r="T32" s="19">
        <v>0.59930555555555598</v>
      </c>
      <c r="U32" s="19">
        <v>0.63888888888888895</v>
      </c>
      <c r="V32" s="92">
        <f t="shared" si="22"/>
        <v>61.000000000001222</v>
      </c>
      <c r="W32" s="149">
        <f t="shared" si="4"/>
        <v>56.999999999999474</v>
      </c>
      <c r="X32" s="174"/>
      <c r="Y32" s="301"/>
      <c r="Z32" s="335"/>
      <c r="AA32" s="335"/>
      <c r="AB32" s="407" t="s">
        <v>202</v>
      </c>
      <c r="AC32" s="407"/>
      <c r="AD32" s="92"/>
      <c r="AE32" s="92"/>
      <c r="AF32" s="307"/>
      <c r="AG32" s="72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3">AVERAGE(J27:J36)</f>
        <v>17.166666666666668</v>
      </c>
      <c r="K37" s="155">
        <f t="shared" si="23"/>
        <v>1591.5</v>
      </c>
      <c r="L37" s="158">
        <f t="shared" si="23"/>
        <v>93.544871794871781</v>
      </c>
      <c r="M37" s="155">
        <f t="shared" si="23"/>
        <v>15.833333333333334</v>
      </c>
      <c r="N37" s="155">
        <f t="shared" si="23"/>
        <v>1371.1683640708591</v>
      </c>
      <c r="O37" s="158">
        <f t="shared" si="23"/>
        <v>87.294932920480235</v>
      </c>
      <c r="P37" s="159">
        <f>M37-J37</f>
        <v>-1.3333333333333339</v>
      </c>
      <c r="Q37" s="160">
        <f>N37-K37</f>
        <v>-220.33163592914093</v>
      </c>
      <c r="R37" s="161">
        <f t="shared" ref="R37:R42" si="24">O37/L37</f>
        <v>0.93318779795757678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-220.33163592914093</v>
      </c>
      <c r="AG37" s="124">
        <f>N37/K37</f>
        <v>0.86155725043723475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2796</v>
      </c>
      <c r="H38" s="134">
        <f>F38*G38</f>
        <v>139548.35999999999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1660.9900990098977</v>
      </c>
      <c r="O38" s="141">
        <f>N38/M38</f>
        <v>110.73267326732652</v>
      </c>
      <c r="P38" s="142">
        <f>M38-J38</f>
        <v>0</v>
      </c>
      <c r="Q38" s="143">
        <f>O38-L38</f>
        <v>-3.5339933993401473</v>
      </c>
      <c r="R38" s="144">
        <f t="shared" si="24"/>
        <v>0.96907240315629972</v>
      </c>
      <c r="S38" s="453">
        <f>R48</f>
        <v>0.91652979212161589</v>
      </c>
      <c r="T38" s="191">
        <v>0.33263888888888898</v>
      </c>
      <c r="U38" s="191">
        <v>0.40277777777777801</v>
      </c>
      <c r="V38" s="192"/>
      <c r="W38" s="193">
        <f t="shared" si="4"/>
        <v>101.0000000000002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-53.009900990102324</v>
      </c>
      <c r="AG38" s="195">
        <f>N38/K38</f>
        <v>0.96907240315629972</v>
      </c>
      <c r="AH38" s="459">
        <f>AG48</f>
        <v>0.91456286753007543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2638</v>
      </c>
      <c r="H39" s="91">
        <f>F39*G39</f>
        <v>116863.4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1465.5555555555554</v>
      </c>
      <c r="O39" s="203">
        <f>N39/M39</f>
        <v>86.209150326797385</v>
      </c>
      <c r="P39" s="97">
        <f>M39-J39</f>
        <v>0</v>
      </c>
      <c r="Q39" s="98">
        <f>O39-L39</f>
        <v>-10.026143790849673</v>
      </c>
      <c r="R39" s="99">
        <f t="shared" si="24"/>
        <v>0.89581635425156203</v>
      </c>
      <c r="S39" s="454"/>
      <c r="T39" s="20">
        <v>0.40763888888888899</v>
      </c>
      <c r="U39" s="20">
        <v>0.48263888888888901</v>
      </c>
      <c r="V39" s="92">
        <f>(T39-U38)*24*60</f>
        <v>6.9999999999998153</v>
      </c>
      <c r="W39" s="205">
        <f t="shared" si="4"/>
        <v>108.00000000000001</v>
      </c>
      <c r="X39" s="22"/>
      <c r="Y39" s="84"/>
      <c r="Z39" s="90"/>
      <c r="AA39" s="90"/>
      <c r="AB39" s="462"/>
      <c r="AC39" s="462"/>
      <c r="AD39" s="200"/>
      <c r="AE39" s="200"/>
      <c r="AF39" s="314">
        <f>N39-K39</f>
        <v>-170.44444444444457</v>
      </c>
      <c r="AG39" s="206">
        <f>N39/K39</f>
        <v>0.89581635425156203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1645</v>
      </c>
      <c r="H40" s="91">
        <f>F40*G40</f>
        <v>72873.5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1410.0000000000018</v>
      </c>
      <c r="O40" s="203">
        <f>N40/M40</f>
        <v>82.941176470588346</v>
      </c>
      <c r="P40" s="97">
        <f>M40-J40</f>
        <v>0</v>
      </c>
      <c r="Q40" s="98">
        <f>O40-L40</f>
        <v>-13.294117647058712</v>
      </c>
      <c r="R40" s="99">
        <f t="shared" si="24"/>
        <v>0.86185819070904757</v>
      </c>
      <c r="S40" s="440"/>
      <c r="T40" s="20">
        <v>0.54166666666666696</v>
      </c>
      <c r="U40" s="20">
        <v>0.59027777777777801</v>
      </c>
      <c r="V40" s="92">
        <f t="shared" ref="V40:V42" si="25">(T40-U39)*24*60</f>
        <v>85.000000000000256</v>
      </c>
      <c r="W40" s="205">
        <f t="shared" si="4"/>
        <v>69.999999999999915</v>
      </c>
      <c r="X40" s="208"/>
      <c r="Y40" s="209"/>
      <c r="Z40" s="337"/>
      <c r="AA40" s="337"/>
      <c r="AB40" s="407"/>
      <c r="AC40" s="407"/>
      <c r="AD40" s="92"/>
      <c r="AE40" s="92"/>
      <c r="AF40" s="314">
        <f>N40-K40</f>
        <v>-225.99999999999818</v>
      </c>
      <c r="AG40" s="206">
        <f>N40/K40</f>
        <v>0.86185819070904757</v>
      </c>
      <c r="AH40" s="460"/>
    </row>
    <row r="41" spans="1:34" ht="15" customHeight="1">
      <c r="A41" s="451"/>
      <c r="B41" s="75" t="s">
        <v>128</v>
      </c>
      <c r="C41" s="207"/>
      <c r="D41" s="198" t="s">
        <v>129</v>
      </c>
      <c r="E41" s="178"/>
      <c r="F41" s="75">
        <f>VLOOKUP(D41,廠價表!$C$1:$E$43,3,0)</f>
        <v>49.91</v>
      </c>
      <c r="G41" s="199">
        <v>695</v>
      </c>
      <c r="H41" s="91">
        <f t="shared" ref="H41:H42" si="26">F41*G41</f>
        <v>34687.449999999997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 t="shared" ref="L41:L42" si="27">K41/J41</f>
        <v>114.26666666666667</v>
      </c>
      <c r="M41" s="201">
        <v>15</v>
      </c>
      <c r="N41" s="202">
        <f>G41/W41*60</f>
        <v>1603.8461538461104</v>
      </c>
      <c r="O41" s="203">
        <f>N41/M41</f>
        <v>106.92307692307402</v>
      </c>
      <c r="P41" s="97">
        <f>M41-J41</f>
        <v>0</v>
      </c>
      <c r="Q41" s="98">
        <f>O41-L41</f>
        <v>-7.3435897435926449</v>
      </c>
      <c r="R41" s="99">
        <f t="shared" si="24"/>
        <v>0.9357328785566571</v>
      </c>
      <c r="S41" s="440"/>
      <c r="T41" s="20">
        <v>0.59722222222222199</v>
      </c>
      <c r="U41" s="210">
        <v>0.61527777777777803</v>
      </c>
      <c r="V41" s="92">
        <f t="shared" si="25"/>
        <v>9.999999999999325</v>
      </c>
      <c r="W41" s="205">
        <f t="shared" si="4"/>
        <v>26.000000000000707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-110.15384615388962</v>
      </c>
      <c r="AG41" s="206">
        <f>N41/K41</f>
        <v>0.93573287855665721</v>
      </c>
      <c r="AH41" s="460"/>
    </row>
    <row r="42" spans="1:34" ht="15" customHeight="1">
      <c r="A42" s="451"/>
      <c r="B42" s="75" t="s">
        <v>128</v>
      </c>
      <c r="C42" s="86"/>
      <c r="D42" s="198" t="s">
        <v>130</v>
      </c>
      <c r="E42" s="87"/>
      <c r="F42" s="75">
        <f>VLOOKUP(D42,廠價表!$C$1:$E$43,3,0)</f>
        <v>44.3</v>
      </c>
      <c r="G42" s="199">
        <v>1162</v>
      </c>
      <c r="H42" s="91">
        <f t="shared" si="26"/>
        <v>51476.6</v>
      </c>
      <c r="I42" s="200"/>
      <c r="J42" s="148">
        <f>VLOOKUP(D42,產線配置圖!$A$3:$C$40,2,0)</f>
        <v>17</v>
      </c>
      <c r="K42" s="95">
        <f>VLOOKUP(D42,產線配置圖!$A$3:$C$40,3,0)</f>
        <v>1636</v>
      </c>
      <c r="L42" s="96">
        <f t="shared" si="27"/>
        <v>96.235294117647058</v>
      </c>
      <c r="M42" s="201">
        <v>17</v>
      </c>
      <c r="N42" s="202">
        <f>G42/W42*60</f>
        <v>1483.4042553191441</v>
      </c>
      <c r="O42" s="203">
        <f>N42/M42</f>
        <v>87.259073842302598</v>
      </c>
      <c r="P42" s="97">
        <f>M42-J42</f>
        <v>0</v>
      </c>
      <c r="Q42" s="98">
        <f>O42-L42</f>
        <v>-8.9762202753444598</v>
      </c>
      <c r="R42" s="99">
        <f t="shared" si="24"/>
        <v>0.90672631743223975</v>
      </c>
      <c r="S42" s="440"/>
      <c r="T42" s="210">
        <v>0.62361111111111101</v>
      </c>
      <c r="U42" s="210">
        <v>0.65625</v>
      </c>
      <c r="V42" s="92">
        <f t="shared" si="25"/>
        <v>11.999999999999478</v>
      </c>
      <c r="W42" s="205">
        <f t="shared" si="4"/>
        <v>47.000000000000156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8">AVERAGE(J38:J47)</f>
        <v>16.2</v>
      </c>
      <c r="K48" s="155">
        <f t="shared" si="28"/>
        <v>1667.2</v>
      </c>
      <c r="L48" s="158">
        <f t="shared" si="28"/>
        <v>103.44784313725491</v>
      </c>
      <c r="M48" s="155">
        <f t="shared" si="28"/>
        <v>16.2</v>
      </c>
      <c r="N48" s="155">
        <f t="shared" si="28"/>
        <v>1524.7592127461419</v>
      </c>
      <c r="O48" s="158">
        <f t="shared" si="28"/>
        <v>94.813030166017768</v>
      </c>
      <c r="P48" s="221">
        <f>M48-J48</f>
        <v>0</v>
      </c>
      <c r="Q48" s="222">
        <f>N48-K48</f>
        <v>-142.44078725385816</v>
      </c>
      <c r="R48" s="223">
        <f t="shared" ref="R48:R53" si="29">O48/L48</f>
        <v>0.91652979212161589</v>
      </c>
      <c r="S48" s="443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30">N48-K48</f>
        <v>-142.44078725385816</v>
      </c>
      <c r="AG48" s="162">
        <f t="shared" ref="AG48:AG53" si="31">N48/K48</f>
        <v>0.91456286753007543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2345</v>
      </c>
      <c r="H49" s="134">
        <f>F49*G49</f>
        <v>116124.40000000001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16</v>
      </c>
      <c r="N49" s="140">
        <f>G49/W49*60</f>
        <v>1563.3333333333335</v>
      </c>
      <c r="O49" s="141">
        <f>N49/M49</f>
        <v>97.708333333333343</v>
      </c>
      <c r="P49" s="229">
        <f>M49-J49</f>
        <v>-1</v>
      </c>
      <c r="Q49" s="230">
        <f>O49-L49</f>
        <v>-8.1740196078431211</v>
      </c>
      <c r="R49" s="52">
        <f t="shared" si="29"/>
        <v>0.92280092592592611</v>
      </c>
      <c r="S49" s="439">
        <f>R58</f>
        <v>0.93942206888941338</v>
      </c>
      <c r="T49" s="191">
        <v>0.29027777777777802</v>
      </c>
      <c r="U49" s="191">
        <v>0.35277777777777802</v>
      </c>
      <c r="V49" s="55"/>
      <c r="W49" s="193">
        <f t="shared" si="4"/>
        <v>90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30"/>
        <v>-236.66666666666652</v>
      </c>
      <c r="AG49" s="52">
        <f t="shared" si="31"/>
        <v>0.86851851851851858</v>
      </c>
      <c r="AH49" s="403">
        <f>AG58</f>
        <v>0.88224748619754567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1962</v>
      </c>
      <c r="H50" s="231">
        <f>F50*G50</f>
        <v>98667.017999999996</v>
      </c>
      <c r="I50" s="232"/>
      <c r="J50" s="79">
        <v>17</v>
      </c>
      <c r="K50" s="80">
        <v>1636</v>
      </c>
      <c r="L50" s="81">
        <f>K50/J50</f>
        <v>96.235294117647058</v>
      </c>
      <c r="M50" s="233">
        <v>16</v>
      </c>
      <c r="N50" s="234">
        <f>G50/W50*60</f>
        <v>1368.8372093023074</v>
      </c>
      <c r="O50" s="235">
        <f>N50/M50</f>
        <v>85.552325581394214</v>
      </c>
      <c r="P50" s="74">
        <f>M50-J50</f>
        <v>-1</v>
      </c>
      <c r="Q50" s="83">
        <f>O50-L50</f>
        <v>-10.682968536252844</v>
      </c>
      <c r="R50" s="72">
        <f t="shared" si="29"/>
        <v>0.88899115824187147</v>
      </c>
      <c r="S50" s="440"/>
      <c r="T50" s="21">
        <v>0.358333333333333</v>
      </c>
      <c r="U50" s="21">
        <v>0.41805555555555601</v>
      </c>
      <c r="V50" s="30">
        <f>(T50-U49)*24*60</f>
        <v>7.9999999999991722</v>
      </c>
      <c r="W50" s="236">
        <f t="shared" si="4"/>
        <v>86.000000000001137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30"/>
        <v>-267.16279069769257</v>
      </c>
      <c r="AG50" s="72">
        <f t="shared" si="31"/>
        <v>0.83669756069823198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f>VLOOKUP(D51,廠價表!$C$1:$E$43,3,0)</f>
        <v>49.97</v>
      </c>
      <c r="G51" s="202">
        <v>1336</v>
      </c>
      <c r="H51" s="231">
        <f>F51*G51</f>
        <v>66759.92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1635.9183673469286</v>
      </c>
      <c r="O51" s="235">
        <f>N51/M51</f>
        <v>109.06122448979524</v>
      </c>
      <c r="P51" s="74">
        <f>M51-J51</f>
        <v>-1</v>
      </c>
      <c r="Q51" s="83">
        <f>O51-L51</f>
        <v>-3.4387755102047635</v>
      </c>
      <c r="R51" s="72">
        <f t="shared" si="29"/>
        <v>0.9694331065759576</v>
      </c>
      <c r="S51" s="440"/>
      <c r="T51" s="21">
        <v>0.42499999999999999</v>
      </c>
      <c r="U51" s="19">
        <v>0.45902777777777798</v>
      </c>
      <c r="V51" s="30">
        <f>(T51-U50)*24*60</f>
        <v>9.999999999999325</v>
      </c>
      <c r="W51" s="236">
        <f t="shared" si="4"/>
        <v>49.000000000000306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30"/>
        <v>-164.08163265307144</v>
      </c>
      <c r="AG51" s="72">
        <f t="shared" si="31"/>
        <v>0.90884353741496027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f>VLOOKUP(D52,廠價表!$C$1:$E$43,3,0)</f>
        <v>49.97</v>
      </c>
      <c r="G52" s="202">
        <v>4126</v>
      </c>
      <c r="H52" s="231">
        <f t="shared" ref="H52:H53" si="32">F52*G52</f>
        <v>206176.22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33">K52/J52</f>
        <v>112.5</v>
      </c>
      <c r="M52" s="233">
        <v>15</v>
      </c>
      <c r="N52" s="234">
        <f>G52/W52*60</f>
        <v>1597.1612903225796</v>
      </c>
      <c r="O52" s="235">
        <f>N52/M52</f>
        <v>106.47741935483864</v>
      </c>
      <c r="P52" s="74">
        <f>M52-J52</f>
        <v>-1</v>
      </c>
      <c r="Q52" s="83">
        <f>O52-L52</f>
        <v>-6.0225806451613551</v>
      </c>
      <c r="R52" s="72">
        <f t="shared" si="29"/>
        <v>0.94646594982078791</v>
      </c>
      <c r="S52" s="440"/>
      <c r="T52" s="21">
        <v>0.51736111111111105</v>
      </c>
      <c r="U52" s="21">
        <v>0.625</v>
      </c>
      <c r="V52" s="30">
        <f>(T52-U51)*24*60</f>
        <v>83.999999999999616</v>
      </c>
      <c r="W52" s="236">
        <f t="shared" si="4"/>
        <v>155.00000000000009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30"/>
        <v>-202.83870967742041</v>
      </c>
      <c r="AG52" s="72">
        <f t="shared" si="31"/>
        <v>0.88731182795698871</v>
      </c>
      <c r="AH52" s="404"/>
    </row>
    <row r="53" spans="1:34" ht="15" customHeight="1">
      <c r="A53" s="469"/>
      <c r="B53" s="101" t="s">
        <v>81</v>
      </c>
      <c r="C53" s="102"/>
      <c r="D53" s="103" t="s">
        <v>133</v>
      </c>
      <c r="E53" s="104"/>
      <c r="F53" s="75">
        <f>VLOOKUP(D53,廠價表!$C$1:$E$43,3,0)</f>
        <v>50.289000000000001</v>
      </c>
      <c r="G53" s="202">
        <v>1238</v>
      </c>
      <c r="H53" s="231">
        <f t="shared" si="32"/>
        <v>62257.781999999999</v>
      </c>
      <c r="I53" s="232"/>
      <c r="J53" s="79">
        <v>17</v>
      </c>
      <c r="K53" s="80">
        <v>1636</v>
      </c>
      <c r="L53" s="81">
        <f t="shared" si="33"/>
        <v>96.235294117647058</v>
      </c>
      <c r="M53" s="108">
        <v>16</v>
      </c>
      <c r="N53" s="234">
        <f>G53/W53*60</f>
        <v>1485.5999999999672</v>
      </c>
      <c r="O53" s="235">
        <f>N53/M53</f>
        <v>92.849999999997948</v>
      </c>
      <c r="P53" s="74">
        <f>M53-J53</f>
        <v>-1</v>
      </c>
      <c r="Q53" s="83">
        <f>O53-L53</f>
        <v>-3.38529411764911</v>
      </c>
      <c r="R53" s="72">
        <f t="shared" si="29"/>
        <v>0.96482273838628674</v>
      </c>
      <c r="S53" s="440"/>
      <c r="T53" s="21">
        <v>0.63194444444444398</v>
      </c>
      <c r="U53" s="21">
        <v>0.66666666666666696</v>
      </c>
      <c r="V53" s="30">
        <f>(T53-U52)*24*60</f>
        <v>9.999999999999325</v>
      </c>
      <c r="W53" s="236">
        <f t="shared" si="4"/>
        <v>50.000000000001101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30"/>
        <v>-150.40000000003283</v>
      </c>
      <c r="AG53" s="72">
        <f t="shared" si="31"/>
        <v>0.90806845965768168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34">AVERAGE(J49:J57)</f>
        <v>16.600000000000001</v>
      </c>
      <c r="K58" s="120">
        <f t="shared" si="34"/>
        <v>1734.4</v>
      </c>
      <c r="L58" s="117">
        <f t="shared" si="34"/>
        <v>104.67058823529412</v>
      </c>
      <c r="M58" s="120">
        <f t="shared" si="34"/>
        <v>15.6</v>
      </c>
      <c r="N58" s="120">
        <f t="shared" si="34"/>
        <v>1530.1700400610232</v>
      </c>
      <c r="O58" s="117">
        <f t="shared" si="34"/>
        <v>98.329860551871889</v>
      </c>
      <c r="P58" s="121">
        <f>M58-J58</f>
        <v>-1.0000000000000018</v>
      </c>
      <c r="Q58" s="122">
        <f>N58-K58</f>
        <v>-204.22995993897689</v>
      </c>
      <c r="R58" s="123">
        <f>O58/L58</f>
        <v>0.93942206888941338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>N58-K58</f>
        <v>-204.22995993897689</v>
      </c>
      <c r="AG58" s="124">
        <f>N58/K58</f>
        <v>0.88224748619754567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2280</v>
      </c>
      <c r="H59" s="243">
        <f>F59*G59</f>
        <v>61537.2</v>
      </c>
      <c r="I59" s="55"/>
      <c r="J59" s="136">
        <f>VLOOKUP(D59,產線配置圖!$A$3:$C$40,2,0)</f>
        <v>15</v>
      </c>
      <c r="K59" s="137">
        <v>1636</v>
      </c>
      <c r="L59" s="138">
        <f>K59/J59</f>
        <v>109.06666666666666</v>
      </c>
      <c r="M59" s="244">
        <v>15</v>
      </c>
      <c r="N59" s="137">
        <f>G59/W59*60</f>
        <v>1520</v>
      </c>
      <c r="O59" s="138">
        <f>N59/M59</f>
        <v>101.33333333333333</v>
      </c>
      <c r="P59" s="56">
        <f>M59-J59</f>
        <v>0</v>
      </c>
      <c r="Q59" s="230">
        <f>O59-L59</f>
        <v>-7.7333333333333343</v>
      </c>
      <c r="R59" s="52">
        <f>O59/L59</f>
        <v>0.92909535452322733</v>
      </c>
      <c r="S59" s="439">
        <f>R69</f>
        <v>0.91265312216207672</v>
      </c>
      <c r="T59" s="245">
        <v>0.28819444444444398</v>
      </c>
      <c r="U59" s="245">
        <v>0.35069444444444398</v>
      </c>
      <c r="V59" s="55"/>
      <c r="W59" s="54">
        <f t="shared" si="4"/>
        <v>90</v>
      </c>
      <c r="X59" s="55"/>
      <c r="Y59" s="290"/>
      <c r="Z59" s="169"/>
      <c r="AA59" s="169"/>
      <c r="AB59" s="429"/>
      <c r="AC59" s="429"/>
      <c r="AD59" s="135"/>
      <c r="AE59" s="135"/>
      <c r="AF59" s="310">
        <f>N59-K59</f>
        <v>-116</v>
      </c>
      <c r="AG59" s="246">
        <f>N59/K59</f>
        <v>0.92909535452322733</v>
      </c>
      <c r="AH59" s="403">
        <f>AG69</f>
        <v>0.87079910920375281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1883</v>
      </c>
      <c r="H60" s="78">
        <f>F60*G60</f>
        <v>53213.58</v>
      </c>
      <c r="I60" s="30"/>
      <c r="J60" s="79">
        <f>VLOOKUP(D60,產線配置圖!$A$3:$C$40,2,0)</f>
        <v>12</v>
      </c>
      <c r="K60" s="80">
        <v>1636</v>
      </c>
      <c r="L60" s="81">
        <f>K60/J60</f>
        <v>136.33333333333334</v>
      </c>
      <c r="M60" s="82">
        <v>11</v>
      </c>
      <c r="N60" s="80">
        <f>G60/W60*60</f>
        <v>1412.2500000000148</v>
      </c>
      <c r="O60" s="81">
        <f>N60/M60</f>
        <v>128.38636363636499</v>
      </c>
      <c r="P60" s="74">
        <f>M60-J60</f>
        <v>-1</v>
      </c>
      <c r="Q60" s="83">
        <f>O60-L60</f>
        <v>-7.9469696969683525</v>
      </c>
      <c r="R60" s="72">
        <f>O60/L60</f>
        <v>0.94170926872639349</v>
      </c>
      <c r="S60" s="467"/>
      <c r="T60" s="22">
        <v>0.35763888888888901</v>
      </c>
      <c r="U60" s="22">
        <v>0.41319444444444398</v>
      </c>
      <c r="V60" s="30">
        <f>(T60-U59)*24*60</f>
        <v>10.000000000000844</v>
      </c>
      <c r="W60" s="248">
        <f t="shared" si="4"/>
        <v>79.999999999999162</v>
      </c>
      <c r="X60" s="232"/>
      <c r="Y60" s="177"/>
      <c r="Z60" s="90"/>
      <c r="AA60" s="90"/>
      <c r="AB60" s="407"/>
      <c r="AC60" s="407"/>
      <c r="AD60" s="92"/>
      <c r="AE60" s="92"/>
      <c r="AF60" s="316">
        <f>N60-K60</f>
        <v>-223.74999999998522</v>
      </c>
      <c r="AG60" s="249">
        <f>N60/K60</f>
        <v>0.86323349633252733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2670</v>
      </c>
      <c r="H61" s="254">
        <f>F61*G61</f>
        <v>75454.2</v>
      </c>
      <c r="I61" s="182"/>
      <c r="J61" s="106">
        <f>VLOOKUP(D61,產線配置圖!$A$3:$C$40,2,0)</f>
        <v>11</v>
      </c>
      <c r="K61" s="107">
        <v>1636</v>
      </c>
      <c r="L61" s="238">
        <f>K61/J61</f>
        <v>148.72727272727272</v>
      </c>
      <c r="M61" s="108">
        <v>11</v>
      </c>
      <c r="N61" s="107">
        <f>G61/W61*60</f>
        <v>1456.363636363634</v>
      </c>
      <c r="O61" s="238">
        <f>N61/M61</f>
        <v>132.39669421487582</v>
      </c>
      <c r="P61" s="111">
        <f>M61-J61</f>
        <v>0</v>
      </c>
      <c r="Q61" s="255">
        <f>O61-L61</f>
        <v>-16.330578512396897</v>
      </c>
      <c r="R61" s="85">
        <f>O61/L61</f>
        <v>0.89019782173816264</v>
      </c>
      <c r="S61" s="440"/>
      <c r="T61" s="22">
        <v>0.42013888888888901</v>
      </c>
      <c r="U61" s="22">
        <v>0.49652777777777801</v>
      </c>
      <c r="V61" s="30">
        <f>(T61-U60)*24*60</f>
        <v>10.000000000000844</v>
      </c>
      <c r="W61" s="256">
        <f t="shared" si="4"/>
        <v>110.00000000000017</v>
      </c>
      <c r="X61" s="22"/>
      <c r="Y61" s="84"/>
      <c r="Z61" s="90"/>
      <c r="AA61" s="90"/>
      <c r="AB61" s="407"/>
      <c r="AC61" s="407"/>
      <c r="AD61" s="92"/>
      <c r="AE61" s="92"/>
      <c r="AF61" s="317">
        <f>N61-K61</f>
        <v>-179.63636363636601</v>
      </c>
      <c r="AG61" s="247">
        <f>N61/K61</f>
        <v>0.89019782173816253</v>
      </c>
      <c r="AH61" s="404"/>
    </row>
    <row r="62" spans="1:34" ht="15" customHeight="1">
      <c r="A62" s="465"/>
      <c r="B62" s="250" t="s">
        <v>125</v>
      </c>
      <c r="C62" s="251"/>
      <c r="D62" s="257" t="s">
        <v>134</v>
      </c>
      <c r="E62" s="253"/>
      <c r="F62" s="250">
        <f>VLOOKUP(D62,廠價表!$C$1:$E$43,3,0)</f>
        <v>26.99</v>
      </c>
      <c r="G62" s="38">
        <v>1730</v>
      </c>
      <c r="H62" s="254">
        <f t="shared" ref="H62:H63" si="35">F62*G62</f>
        <v>46692.7</v>
      </c>
      <c r="I62" s="182"/>
      <c r="J62" s="106">
        <f>VLOOKUP(D62,產線配置圖!$A$3:$C$40,2,0)</f>
        <v>15</v>
      </c>
      <c r="K62" s="107">
        <v>1636</v>
      </c>
      <c r="L62" s="238">
        <f t="shared" ref="L62:L63" si="36">K62/J62</f>
        <v>109.06666666666666</v>
      </c>
      <c r="M62" s="108">
        <v>15</v>
      </c>
      <c r="N62" s="107">
        <f t="shared" ref="N62:N63" si="37">G62/W62*60</f>
        <v>1596.9230769230749</v>
      </c>
      <c r="O62" s="238">
        <f t="shared" ref="O62:O63" si="38">N62/M62</f>
        <v>106.46153846153832</v>
      </c>
      <c r="P62" s="111">
        <f t="shared" ref="P62:P63" si="39">M62-J62</f>
        <v>0</v>
      </c>
      <c r="Q62" s="255">
        <f t="shared" ref="Q62:Q63" si="40">O62-L62</f>
        <v>-2.605128205128338</v>
      </c>
      <c r="R62" s="85">
        <f t="shared" ref="R62:R63" si="41">O62/L62</f>
        <v>0.97611435019747861</v>
      </c>
      <c r="S62" s="440"/>
      <c r="T62" s="22">
        <v>0.54861111111111105</v>
      </c>
      <c r="U62" s="22">
        <v>0.59375</v>
      </c>
      <c r="V62" s="30">
        <f t="shared" ref="V62:V63" si="42">(T62-U61)*24*60</f>
        <v>74.999999999999574</v>
      </c>
      <c r="W62" s="248">
        <f t="shared" si="4"/>
        <v>65.000000000000085</v>
      </c>
      <c r="X62" s="22"/>
      <c r="Y62" s="84"/>
      <c r="Z62" s="90"/>
      <c r="AA62" s="90"/>
      <c r="AB62" s="407"/>
      <c r="AC62" s="407"/>
      <c r="AD62" s="92"/>
      <c r="AE62" s="92"/>
      <c r="AF62" s="317">
        <f>N62-K62</f>
        <v>-39.076923076925141</v>
      </c>
      <c r="AG62" s="247">
        <f>N62/K62</f>
        <v>0.9761143501974785</v>
      </c>
      <c r="AH62" s="404"/>
    </row>
    <row r="63" spans="1:34" ht="15" customHeight="1">
      <c r="A63" s="465"/>
      <c r="B63" s="258" t="s">
        <v>125</v>
      </c>
      <c r="C63" s="58"/>
      <c r="D63" s="259" t="s">
        <v>192</v>
      </c>
      <c r="E63" s="60"/>
      <c r="F63" s="250">
        <f>VLOOKUP(D63,廠價表!$C$1:$E$43,3,0)</f>
        <v>28.26</v>
      </c>
      <c r="G63" s="260">
        <v>948</v>
      </c>
      <c r="H63" s="254">
        <f t="shared" si="35"/>
        <v>26790.480000000003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36"/>
        <v>148.72727272727272</v>
      </c>
      <c r="M63" s="68">
        <v>9</v>
      </c>
      <c r="N63" s="107">
        <f t="shared" si="37"/>
        <v>1137.5999999999749</v>
      </c>
      <c r="O63" s="238">
        <f t="shared" si="38"/>
        <v>126.39999999999721</v>
      </c>
      <c r="P63" s="111">
        <f t="shared" si="39"/>
        <v>-2</v>
      </c>
      <c r="Q63" s="255">
        <f t="shared" si="40"/>
        <v>-22.327272727275513</v>
      </c>
      <c r="R63" s="85">
        <f t="shared" si="41"/>
        <v>0.84987775061122817</v>
      </c>
      <c r="S63" s="440"/>
      <c r="T63" s="22">
        <v>0.60069444444444398</v>
      </c>
      <c r="U63" s="22">
        <v>0.63541666666666696</v>
      </c>
      <c r="V63" s="30">
        <f t="shared" si="42"/>
        <v>9.999999999999325</v>
      </c>
      <c r="W63" s="248">
        <f t="shared" si="4"/>
        <v>50.000000000001101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43">AVERAGE(J59:J68)</f>
        <v>12.8</v>
      </c>
      <c r="K69" s="240">
        <f t="shared" si="43"/>
        <v>1636</v>
      </c>
      <c r="L69" s="268">
        <f t="shared" si="43"/>
        <v>130.38424242424242</v>
      </c>
      <c r="M69" s="240">
        <f t="shared" si="43"/>
        <v>12.2</v>
      </c>
      <c r="N69" s="240">
        <f t="shared" si="43"/>
        <v>1424.6273426573396</v>
      </c>
      <c r="O69" s="268">
        <f t="shared" si="43"/>
        <v>118.99558592922195</v>
      </c>
      <c r="P69" s="269">
        <f>M69-J69</f>
        <v>-0.60000000000000142</v>
      </c>
      <c r="Q69" s="222">
        <f>N69-K69</f>
        <v>-211.37265734266043</v>
      </c>
      <c r="R69" s="123">
        <f>O69/L69</f>
        <v>0.91265312216207672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-211.37265734266043</v>
      </c>
      <c r="AG69" s="124">
        <f>N69/K69</f>
        <v>0.87079910920375281</v>
      </c>
      <c r="AH69" s="406"/>
    </row>
    <row r="70" spans="1:36" ht="15" customHeight="1">
      <c r="A70" s="471" t="s">
        <v>55</v>
      </c>
      <c r="B70" s="258" t="s">
        <v>125</v>
      </c>
      <c r="C70" s="58"/>
      <c r="D70" s="259" t="s">
        <v>192</v>
      </c>
      <c r="E70" s="60"/>
      <c r="F70" s="250">
        <f>VLOOKUP(D70,廠價表!$C$1:$E$43,3,0)</f>
        <v>28.26</v>
      </c>
      <c r="G70" s="260">
        <v>2733</v>
      </c>
      <c r="H70" s="254">
        <f>F70*G70</f>
        <v>77234.58</v>
      </c>
      <c r="I70" s="260"/>
      <c r="J70" s="106">
        <f>VLOOKUP(D70,產線配置圖!$A$3:$C$40,2,0)</f>
        <v>11</v>
      </c>
      <c r="K70" s="107">
        <f>VLOOKUP(D70,產線配置圖!$A$3:$C$40,3,0)</f>
        <v>1636</v>
      </c>
      <c r="L70" s="238">
        <f>K70/J70</f>
        <v>148.72727272727272</v>
      </c>
      <c r="M70" s="68">
        <v>9</v>
      </c>
      <c r="N70" s="107">
        <f>G70/W70*60</f>
        <v>1093.1999999999964</v>
      </c>
      <c r="O70" s="238">
        <f>N70/M70</f>
        <v>121.46666666666627</v>
      </c>
      <c r="P70" s="111">
        <f>M70-J70</f>
        <v>-2</v>
      </c>
      <c r="Q70" s="255">
        <f>O70-L70</f>
        <v>-27.260606060606449</v>
      </c>
      <c r="R70" s="85">
        <f>O70/L70</f>
        <v>0.81670741646291511</v>
      </c>
      <c r="S70" s="439">
        <f>R79</f>
        <v>0.81670741646291511</v>
      </c>
      <c r="T70" s="245">
        <v>0.36111111111111099</v>
      </c>
      <c r="U70" s="245">
        <v>0.46527777777777801</v>
      </c>
      <c r="V70" s="55"/>
      <c r="W70" s="54">
        <f t="shared" si="4"/>
        <v>150.00000000000051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-542.80000000000359</v>
      </c>
      <c r="AG70" s="246">
        <f>N70/K70</f>
        <v>0.66821515892420313</v>
      </c>
      <c r="AH70" s="403">
        <f>AG79</f>
        <v>0.66821515892420313</v>
      </c>
    </row>
    <row r="71" spans="1:36" ht="15" customHeight="1">
      <c r="A71" s="47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40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40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40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 t="s">
        <v>56</v>
      </c>
      <c r="D79" s="430" t="s">
        <v>42</v>
      </c>
      <c r="E79" s="430"/>
      <c r="F79" s="116"/>
      <c r="G79" s="117"/>
      <c r="H79" s="282"/>
      <c r="I79" s="268"/>
      <c r="J79" s="240">
        <f t="shared" ref="J79:O79" si="44">AVERAGE(J70:J78)</f>
        <v>11</v>
      </c>
      <c r="K79" s="240">
        <f t="shared" si="44"/>
        <v>1636</v>
      </c>
      <c r="L79" s="268">
        <f t="shared" si="44"/>
        <v>148.72727272727272</v>
      </c>
      <c r="M79" s="240">
        <f t="shared" si="44"/>
        <v>9</v>
      </c>
      <c r="N79" s="240">
        <f t="shared" si="44"/>
        <v>1093.1999999999964</v>
      </c>
      <c r="O79" s="268">
        <f t="shared" si="44"/>
        <v>121.46666666666627</v>
      </c>
      <c r="P79" s="269">
        <f>M79-J79</f>
        <v>-2</v>
      </c>
      <c r="Q79" s="222">
        <f>N79-K79</f>
        <v>-542.80000000000359</v>
      </c>
      <c r="R79" s="223">
        <f>O79/L79</f>
        <v>0.81670741646291511</v>
      </c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-542.80000000000359</v>
      </c>
      <c r="AG79" s="124">
        <f>N79/K79</f>
        <v>0.66821515892420313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J1:L2"/>
    <mergeCell ref="M1:O2"/>
    <mergeCell ref="AD3:AE3"/>
    <mergeCell ref="AF3:AF4"/>
    <mergeCell ref="N3:N4"/>
    <mergeCell ref="O3:O4"/>
    <mergeCell ref="P3:P4"/>
    <mergeCell ref="Q3:Q4"/>
    <mergeCell ref="AF1:AH2"/>
    <mergeCell ref="J3:J4"/>
    <mergeCell ref="K3:K4"/>
    <mergeCell ref="P1:S2"/>
    <mergeCell ref="T1:Y2"/>
    <mergeCell ref="AB1:AC2"/>
    <mergeCell ref="R3:R4"/>
    <mergeCell ref="S3:S4"/>
    <mergeCell ref="L3:L4"/>
    <mergeCell ref="M3:M4"/>
    <mergeCell ref="G3:G4"/>
    <mergeCell ref="H3:H4"/>
    <mergeCell ref="I3:I4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AB15:AC15"/>
    <mergeCell ref="AB8:AC8"/>
    <mergeCell ref="AB9:AC9"/>
    <mergeCell ref="AH3:AH4"/>
    <mergeCell ref="AG3:AG4"/>
    <mergeCell ref="A5:A15"/>
    <mergeCell ref="S5:S15"/>
    <mergeCell ref="AB5:AC5"/>
    <mergeCell ref="D15:E15"/>
    <mergeCell ref="AB14:AC14"/>
    <mergeCell ref="AB12:AC12"/>
    <mergeCell ref="AB10:AC10"/>
    <mergeCell ref="AB11:AC11"/>
    <mergeCell ref="AB13:AC1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25:AC25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16:A26"/>
    <mergeCell ref="S16:S26"/>
    <mergeCell ref="AB16:AC16"/>
    <mergeCell ref="D26:E26"/>
    <mergeCell ref="AB26:AC26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88" priority="1" operator="greaterThan">
      <formula>0</formula>
    </cfRule>
  </conditionalFormatting>
  <conditionalFormatting sqref="Q5:Q79 AF5:AF79">
    <cfRule type="cellIs" dxfId="87" priority="4" operator="lessThan">
      <formula>0</formula>
    </cfRule>
  </conditionalFormatting>
  <conditionalFormatting sqref="R5:R79 AG5:AG79">
    <cfRule type="cellIs" dxfId="86" priority="2" operator="greaterThan">
      <formula>1</formula>
    </cfRule>
    <cfRule type="cellIs" dxfId="85" priority="3" operator="lessThan">
      <formula>0.8</formula>
    </cfRule>
  </conditionalFormatting>
  <conditionalFormatting sqref="S5:S10 S37:S62 AH59:AH62 S69:S76 AH69:AH76">
    <cfRule type="cellIs" dxfId="84" priority="7" operator="lessThan">
      <formula>0.8</formula>
    </cfRule>
  </conditionalFormatting>
  <conditionalFormatting sqref="S19:S25 AH19:AH25">
    <cfRule type="cellIs" dxfId="83" priority="6" operator="lessThan">
      <formula>0.8</formula>
    </cfRule>
  </conditionalFormatting>
  <conditionalFormatting sqref="S79">
    <cfRule type="cellIs" dxfId="82" priority="5" operator="lessThan">
      <formula>0.8</formula>
    </cfRule>
  </conditionalFormatting>
  <conditionalFormatting sqref="AH5:AH8 S15:S16 AH15:AH16 AH49 AH79">
    <cfRule type="cellIs" dxfId="81" priority="9" operator="lessThan">
      <formula>0.8</formula>
    </cfRule>
  </conditionalFormatting>
  <conditionalFormatting sqref="AH27 S27:S28">
    <cfRule type="cellIs" dxfId="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BFC776-AEF4-4944-ACAC-719507B2F40F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63DB-1324-4542-922E-08326FB31AE1}">
  <dimension ref="B1:O26"/>
  <sheetViews>
    <sheetView zoomScale="70" zoomScaleNormal="70" workbookViewId="0">
      <selection activeCell="K15" sqref="K15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46196</v>
      </c>
      <c r="E3" s="510"/>
      <c r="F3" s="3" t="s">
        <v>72</v>
      </c>
      <c r="G3" s="511">
        <f>'0623'!E1</f>
        <v>71426</v>
      </c>
      <c r="H3" s="511"/>
      <c r="I3" s="3" t="s">
        <v>2</v>
      </c>
      <c r="J3" s="512">
        <f>'0623'!G1</f>
        <v>3339415.1870000008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123.41686019862489</v>
      </c>
      <c r="G6" s="507"/>
      <c r="H6" s="508">
        <f>AVERAGE(D13:H13)</f>
        <v>122.21271708683473</v>
      </c>
      <c r="I6" s="508"/>
      <c r="J6" s="508">
        <f>AVERAGE(I13:J13)</f>
        <v>116.39793226381462</v>
      </c>
      <c r="K6" s="508"/>
      <c r="L6" s="516">
        <f>SUM(D18:J18)</f>
        <v>0</v>
      </c>
      <c r="M6" s="499">
        <f>SUM(D19:J19)</f>
        <v>0</v>
      </c>
      <c r="N6" s="517">
        <f>SUM(D20:J20)</f>
        <v>2</v>
      </c>
      <c r="O6" s="499">
        <f>SUM(D20:J20)</f>
        <v>2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110.13359135576701</v>
      </c>
      <c r="G7" s="496"/>
      <c r="H7" s="497">
        <f>AVERAGE(D14:H14)</f>
        <v>107.4902985944746</v>
      </c>
      <c r="I7" s="497"/>
      <c r="J7" s="497">
        <f>AVERAGE(I14:J14)</f>
        <v>108.84181040317773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0.89237071157473924</v>
      </c>
      <c r="G8" s="502"/>
      <c r="H8" s="502">
        <f>H7/H6</f>
        <v>0.8795344801809819</v>
      </c>
      <c r="I8" s="502"/>
      <c r="J8" s="502">
        <f>J7/J6</f>
        <v>0.93508371056359463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VALUE('0623'!L15)</f>
        <v>150</v>
      </c>
      <c r="E13" s="13">
        <f>VALUE('0623'!L26)</f>
        <v>158.32255979314803</v>
      </c>
      <c r="F13" s="13">
        <f>VALUE('0623'!L37)</f>
        <v>94.958019105077938</v>
      </c>
      <c r="G13" s="13">
        <f>VALUE('0623'!L48)</f>
        <v>105.25098039215686</v>
      </c>
      <c r="H13" s="13">
        <f>VALUE('0623'!L58)</f>
        <v>102.53202614379086</v>
      </c>
      <c r="I13" s="13">
        <f>VALUE('0623'!L69)</f>
        <v>129.43757575757576</v>
      </c>
      <c r="J13" s="13">
        <f>'0623'!L79</f>
        <v>103.35828877005348</v>
      </c>
    </row>
    <row r="14" spans="2:15" ht="39.950000000000003" customHeight="1">
      <c r="B14" s="490"/>
      <c r="C14" s="12" t="s">
        <v>100</v>
      </c>
      <c r="D14" s="13">
        <f>VALUE('0623'!O15)</f>
        <v>132.44781493538514</v>
      </c>
      <c r="E14" s="13">
        <f>VALUE('0623'!O26)</f>
        <v>133.95957506124634</v>
      </c>
      <c r="F14" s="13">
        <f>VALUE('0623'!O37)</f>
        <v>84.523169749451668</v>
      </c>
      <c r="G14" s="13">
        <f>VALUE('0623'!O48)</f>
        <v>90.874344096032871</v>
      </c>
      <c r="H14" s="13">
        <f>VALUE('0623'!O58)</f>
        <v>95.64658913025697</v>
      </c>
      <c r="I14" s="13">
        <f>VALUE('0623'!O69)</f>
        <v>123.35005516222907</v>
      </c>
      <c r="J14" s="13">
        <f>'0623'!O79</f>
        <v>94.333565644126381</v>
      </c>
    </row>
    <row r="15" spans="2:15" ht="39.950000000000003" customHeight="1">
      <c r="B15" s="491"/>
      <c r="C15" s="10" t="s">
        <v>26</v>
      </c>
      <c r="D15" s="14">
        <f t="shared" ref="D15:I15" si="1">D14/D13</f>
        <v>0.88298543290256759</v>
      </c>
      <c r="E15" s="14">
        <f t="shared" si="1"/>
        <v>0.84611804682963387</v>
      </c>
      <c r="F15" s="14">
        <f t="shared" si="1"/>
        <v>0.89011092002583425</v>
      </c>
      <c r="G15" s="14">
        <f t="shared" si="1"/>
        <v>0.86340615315355951</v>
      </c>
      <c r="H15" s="14">
        <f t="shared" si="1"/>
        <v>0.93284598702967447</v>
      </c>
      <c r="I15" s="14">
        <f t="shared" si="1"/>
        <v>0.95296944832505182</v>
      </c>
      <c r="J15" s="15">
        <f>'0623'!S70</f>
        <v>0.91268505667692634</v>
      </c>
    </row>
    <row r="16" spans="2:15" ht="17.25" customHeight="1">
      <c r="B16" s="492" t="s">
        <v>101</v>
      </c>
      <c r="C16" s="10" t="s">
        <v>34</v>
      </c>
      <c r="D16" s="16">
        <f>'0623'!T5</f>
        <v>0.297916666666667</v>
      </c>
      <c r="E16" s="16">
        <f>'0623'!T16</f>
        <v>0.295833333333333</v>
      </c>
      <c r="F16" s="16">
        <f>'0623'!T27</f>
        <v>0.29027777777777802</v>
      </c>
      <c r="G16" s="16">
        <f>'0623'!T38</f>
        <v>0.33333333333333298</v>
      </c>
      <c r="H16" s="16">
        <f>'0623'!T49</f>
        <v>0.29027777777777802</v>
      </c>
      <c r="I16" s="16">
        <f>'0623'!T59</f>
        <v>0.29166666666666702</v>
      </c>
      <c r="J16" s="16">
        <f>'0623'!T70</f>
        <v>0.30555555555555602</v>
      </c>
    </row>
    <row r="17" spans="2:10" ht="17.25" customHeight="1">
      <c r="B17" s="493"/>
      <c r="C17" s="10" t="s">
        <v>35</v>
      </c>
      <c r="D17" s="16">
        <v>0.62152777777777801</v>
      </c>
      <c r="E17" s="19">
        <v>0.64305555555555605</v>
      </c>
      <c r="F17" s="19">
        <v>0.69791666666666696</v>
      </c>
      <c r="G17" s="210">
        <v>0.66458333333333297</v>
      </c>
      <c r="H17" s="21">
        <v>0.66458333333333297</v>
      </c>
      <c r="I17" s="22">
        <v>0.65277777777777801</v>
      </c>
      <c r="J17" s="22">
        <v>0.70138888888888895</v>
      </c>
    </row>
    <row r="18" spans="2:10" ht="17.25" customHeight="1">
      <c r="B18" s="494" t="s">
        <v>102</v>
      </c>
      <c r="C18" s="330" t="s">
        <v>36</v>
      </c>
      <c r="D18" s="358">
        <f>'0623'!Z15</f>
        <v>0</v>
      </c>
      <c r="E18" s="359">
        <f>'0623'!Z26</f>
        <v>0</v>
      </c>
      <c r="F18" s="359">
        <f>'0623'!Z37</f>
        <v>0</v>
      </c>
      <c r="G18" s="360">
        <f>'0623'!Z48</f>
        <v>0</v>
      </c>
      <c r="H18" s="360">
        <f>'0623'!Z58</f>
        <v>0</v>
      </c>
      <c r="I18" s="359">
        <f>'0623'!Z69</f>
        <v>0</v>
      </c>
      <c r="J18" s="359">
        <f>'0623'!AA79</f>
        <v>0</v>
      </c>
    </row>
    <row r="19" spans="2:10" ht="17.25" customHeight="1">
      <c r="B19" s="495"/>
      <c r="C19" s="330" t="s">
        <v>37</v>
      </c>
      <c r="D19" s="358">
        <f>'0623'!AA15</f>
        <v>0</v>
      </c>
      <c r="E19" s="359">
        <f>'0623'!AA26</f>
        <v>0</v>
      </c>
      <c r="F19" s="359">
        <f>'0623'!AA37</f>
        <v>0</v>
      </c>
      <c r="G19" s="360">
        <f>'0623'!AA48</f>
        <v>0</v>
      </c>
      <c r="H19" s="360">
        <f>'0623'!AA58</f>
        <v>0</v>
      </c>
      <c r="I19" s="359">
        <f>'0623'!AA69</f>
        <v>0</v>
      </c>
      <c r="J19" s="359">
        <f>'0623'!AB79</f>
        <v>0</v>
      </c>
    </row>
    <row r="20" spans="2:10" ht="17.25" customHeight="1">
      <c r="B20" s="494" t="s">
        <v>103</v>
      </c>
      <c r="C20" s="330" t="s">
        <v>36</v>
      </c>
      <c r="D20" s="358">
        <f>'0623'!AD15</f>
        <v>2</v>
      </c>
      <c r="E20" s="359">
        <f>'0623'!AD26</f>
        <v>0</v>
      </c>
      <c r="F20" s="359">
        <f>'0623'!AD37</f>
        <v>0</v>
      </c>
      <c r="G20" s="360">
        <f>'0623'!AD48</f>
        <v>0</v>
      </c>
      <c r="H20" s="360">
        <f>'0623'!AD58</f>
        <v>0</v>
      </c>
      <c r="I20" s="359">
        <f>'0623'!AD69</f>
        <v>0</v>
      </c>
      <c r="J20" s="359">
        <f>'0623'!AD79</f>
        <v>0</v>
      </c>
    </row>
    <row r="21" spans="2:10" ht="17.25" customHeight="1">
      <c r="B21" s="495"/>
      <c r="C21" s="330" t="s">
        <v>85</v>
      </c>
      <c r="D21" s="358">
        <f>'0623'!AE15</f>
        <v>2</v>
      </c>
      <c r="E21" s="359">
        <f>'0623'!AE26</f>
        <v>0</v>
      </c>
      <c r="F21" s="359">
        <f>'0623'!AE37</f>
        <v>0</v>
      </c>
      <c r="G21" s="360">
        <f>'0623'!AE48</f>
        <v>0</v>
      </c>
      <c r="H21" s="360">
        <f>'0623'!AE58</f>
        <v>0</v>
      </c>
      <c r="I21" s="359">
        <f>'0623'!AE69</f>
        <v>0</v>
      </c>
      <c r="J21" s="359">
        <f>'0623'!AE79</f>
        <v>0</v>
      </c>
    </row>
    <row r="22" spans="2:10" ht="17.25" customHeight="1">
      <c r="B22" s="477" t="s">
        <v>104</v>
      </c>
      <c r="C22" s="478"/>
      <c r="D22" s="23">
        <f>VALUE('0623'!M15)</f>
        <v>15</v>
      </c>
      <c r="E22" s="23">
        <f>VALUE('0623'!M26)</f>
        <v>14.333333333333334</v>
      </c>
      <c r="F22" s="23">
        <f>VALUE('0623'!M37)</f>
        <v>16.666666666666668</v>
      </c>
      <c r="G22" s="23">
        <f>VALUE('0623'!M48)</f>
        <v>16</v>
      </c>
      <c r="H22" s="23">
        <f>VALUE('0623'!M58)</f>
        <v>15.6</v>
      </c>
      <c r="I22" s="23">
        <f>VALUE('0623'!M69)</f>
        <v>12.8</v>
      </c>
      <c r="J22" s="23">
        <f>'0623'!M79</f>
        <v>14.25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AB79-A014-4BD1-9BBB-5638020F5CB4}">
  <sheetPr>
    <tabColor theme="9" tint="0.79998168889431442"/>
  </sheetPr>
  <dimension ref="A1:AJ92"/>
  <sheetViews>
    <sheetView zoomScale="69" zoomScaleNormal="69" workbookViewId="0">
      <pane xSplit="5" ySplit="4" topLeftCell="F32" activePane="bottomRight" state="frozen"/>
      <selection activeCell="M17" sqref="M17"/>
      <selection pane="topRight" activeCell="M17" sqref="M17"/>
      <selection pane="bottomLeft" activeCell="M17" sqref="M17"/>
      <selection pane="bottomRight" activeCell="J58" sqref="J5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71426</v>
      </c>
      <c r="F1" s="30" t="s">
        <v>2</v>
      </c>
      <c r="G1" s="31">
        <f>SUM(H5:H79)</f>
        <v>3339415.1870000008</v>
      </c>
      <c r="H1" s="32" t="s">
        <v>3</v>
      </c>
      <c r="I1" s="33">
        <f>M15+M26+M48+M58+M69+M79+M37</f>
        <v>104.65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203</v>
      </c>
      <c r="B2" s="381"/>
      <c r="C2" s="28"/>
      <c r="D2" s="28" t="s">
        <v>14</v>
      </c>
      <c r="E2" s="35">
        <f>AVERAGE(O15,O26,O37,O48,O58,O69,O79)</f>
        <v>107.87644482553263</v>
      </c>
      <c r="F2" s="36" t="s">
        <v>15</v>
      </c>
      <c r="G2" s="37">
        <f>G1/E1</f>
        <v>46.753495743846791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2</v>
      </c>
      <c r="AE2" s="340">
        <f>AE15+AE26+AE37+AE48+AE58+AE69+AE79</f>
        <v>2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3065</v>
      </c>
      <c r="H5" s="43">
        <f>F5*G5</f>
        <v>174306.55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1977.4193548387202</v>
      </c>
      <c r="O5" s="47">
        <f>N5/M5</f>
        <v>131.82795698924801</v>
      </c>
      <c r="P5" s="49">
        <f>M5-J5</f>
        <v>0</v>
      </c>
      <c r="Q5" s="50">
        <f>O5-L5</f>
        <v>-18.172043010751992</v>
      </c>
      <c r="R5" s="51">
        <f>O5/L5</f>
        <v>0.87885304659498675</v>
      </c>
      <c r="S5" s="439">
        <f>R15</f>
        <v>0.88298543290256759</v>
      </c>
      <c r="T5" s="319">
        <v>0.297916666666667</v>
      </c>
      <c r="U5" s="320">
        <v>0.36249999999999999</v>
      </c>
      <c r="V5" s="53"/>
      <c r="W5" s="54">
        <f t="shared" ref="W5:W14" si="0">(U5-T5)*24*60</f>
        <v>92.999999999999517</v>
      </c>
      <c r="X5" s="55"/>
      <c r="Y5" s="290"/>
      <c r="Z5" s="169"/>
      <c r="AA5" s="169"/>
      <c r="AB5" s="429"/>
      <c r="AC5" s="429"/>
      <c r="AD5" s="135"/>
      <c r="AE5" s="135"/>
      <c r="AF5" s="229">
        <f t="shared" ref="AF5:AF11" si="1">N5-K5</f>
        <v>-272.58064516127979</v>
      </c>
      <c r="AG5" s="52">
        <f t="shared" ref="AG5:AG11" si="2">N5/K5</f>
        <v>0.87885304659498675</v>
      </c>
      <c r="AH5" s="403">
        <f>AG15</f>
        <v>0.88298543290256748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f>2615+115</f>
        <v>2730</v>
      </c>
      <c r="H6" s="63">
        <f>F6*G6</f>
        <v>158804.1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1950.0000000000123</v>
      </c>
      <c r="O6" s="67">
        <f>N6/M6</f>
        <v>130.00000000000082</v>
      </c>
      <c r="P6" s="69">
        <f>M6-J6</f>
        <v>0</v>
      </c>
      <c r="Q6" s="70">
        <f>O6-L6</f>
        <v>-19.999999999999176</v>
      </c>
      <c r="R6" s="71">
        <f>O6/L6</f>
        <v>0.86666666666667214</v>
      </c>
      <c r="S6" s="440"/>
      <c r="T6" s="16">
        <v>0.37013888888888902</v>
      </c>
      <c r="U6" s="16">
        <v>0.42847222222222198</v>
      </c>
      <c r="V6" s="30">
        <f>(T6-U5)*24*60</f>
        <v>11.000000000000201</v>
      </c>
      <c r="W6" s="73">
        <f t="shared" si="0"/>
        <v>83.99999999999946</v>
      </c>
      <c r="X6" s="22"/>
      <c r="Y6" s="84"/>
      <c r="Z6" s="90"/>
      <c r="AA6" s="90"/>
      <c r="AB6" s="429" t="s">
        <v>204</v>
      </c>
      <c r="AC6" s="429"/>
      <c r="AD6" s="149">
        <v>1</v>
      </c>
      <c r="AE6" s="149">
        <v>1</v>
      </c>
      <c r="AF6" s="307">
        <f t="shared" si="1"/>
        <v>-299.99999999998772</v>
      </c>
      <c r="AG6" s="72">
        <f t="shared" si="2"/>
        <v>0.86666666666667214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1972</v>
      </c>
      <c r="H7" s="78">
        <f>F7*G7</f>
        <v>96904.08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2039.9999999999877</v>
      </c>
      <c r="O7" s="81">
        <f>N7/M7</f>
        <v>135.99999999999918</v>
      </c>
      <c r="P7" s="74">
        <f>M7-J7</f>
        <v>0</v>
      </c>
      <c r="Q7" s="83">
        <f>O7-L7</f>
        <v>-14.000000000000824</v>
      </c>
      <c r="R7" s="72">
        <f>O7/L7</f>
        <v>0.90666666666666118</v>
      </c>
      <c r="S7" s="440"/>
      <c r="T7" s="18">
        <v>0.4375</v>
      </c>
      <c r="U7" s="18">
        <v>0.47777777777777802</v>
      </c>
      <c r="V7" s="30">
        <f>(T7-U6)*24*60</f>
        <v>13.000000000000353</v>
      </c>
      <c r="W7" s="73">
        <f t="shared" si="0"/>
        <v>58.000000000000355</v>
      </c>
      <c r="X7" s="22">
        <v>0.48611111111111099</v>
      </c>
      <c r="Y7" s="84">
        <v>0.52777777777777801</v>
      </c>
      <c r="Z7" s="90"/>
      <c r="AA7" s="90"/>
      <c r="AB7" s="407" t="s">
        <v>205</v>
      </c>
      <c r="AC7" s="407"/>
      <c r="AD7" s="92">
        <v>1</v>
      </c>
      <c r="AE7" s="92">
        <v>1</v>
      </c>
      <c r="AF7" s="307">
        <f t="shared" si="1"/>
        <v>-210.00000000001228</v>
      </c>
      <c r="AG7" s="72">
        <f t="shared" si="2"/>
        <v>0.90666666666666118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f>3447+149</f>
        <v>3596</v>
      </c>
      <c r="H8" s="78">
        <f>F8*G8</f>
        <v>176707.44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1979.4495412843874</v>
      </c>
      <c r="O8" s="81">
        <f>N8/M8</f>
        <v>131.96330275229249</v>
      </c>
      <c r="P8" s="74">
        <f>M8-J8</f>
        <v>0</v>
      </c>
      <c r="Q8" s="83">
        <f>O8-L8</f>
        <v>-18.036697247707508</v>
      </c>
      <c r="R8" s="72">
        <f>O8/L8</f>
        <v>0.87975535168194996</v>
      </c>
      <c r="S8" s="440"/>
      <c r="T8" s="16">
        <v>0.54583333333333295</v>
      </c>
      <c r="U8" s="16">
        <v>0.62152777777777801</v>
      </c>
      <c r="V8" s="30">
        <f>(T8-U7)*24*60</f>
        <v>97.999999999999091</v>
      </c>
      <c r="W8" s="73">
        <f t="shared" si="0"/>
        <v>109.0000000000009</v>
      </c>
      <c r="X8" s="22"/>
      <c r="Y8" s="84"/>
      <c r="Z8" s="90"/>
      <c r="AA8" s="90"/>
      <c r="AD8" s="149"/>
      <c r="AE8" s="149"/>
      <c r="AF8" s="307">
        <f t="shared" si="1"/>
        <v>-270.55045871561265</v>
      </c>
      <c r="AG8" s="72">
        <f t="shared" si="2"/>
        <v>0.87975535168194996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>
        <f t="shared" si="1"/>
        <v>0</v>
      </c>
      <c r="AG9" s="72" t="e">
        <f t="shared" si="2"/>
        <v>#DIV/0!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>
        <f t="shared" si="1"/>
        <v>0</v>
      </c>
      <c r="AG10" s="72" t="e">
        <f t="shared" si="2"/>
        <v>#DIV/0!</v>
      </c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>
        <f t="shared" si="1"/>
        <v>0</v>
      </c>
      <c r="AG11" s="72" t="e">
        <f t="shared" si="2"/>
        <v>#DIV/0!</v>
      </c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1986.7172240307768</v>
      </c>
      <c r="O15" s="117">
        <f t="shared" si="3"/>
        <v>132.44781493538514</v>
      </c>
      <c r="P15" s="121">
        <f>M15-J15</f>
        <v>0</v>
      </c>
      <c r="Q15" s="122">
        <f>O15-L15</f>
        <v>-17.552185064614861</v>
      </c>
      <c r="R15" s="123">
        <f>O15/L15</f>
        <v>0.88298543290256759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2</v>
      </c>
      <c r="AE15" s="323">
        <f>SUM(AE5:AE14)</f>
        <v>2</v>
      </c>
      <c r="AF15" s="309">
        <f>N15-K15</f>
        <v>-263.28277596922317</v>
      </c>
      <c r="AG15" s="124">
        <f>N15/K15</f>
        <v>0.88298543290256748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1879</v>
      </c>
      <c r="H16" s="134">
        <f>F16*G16</f>
        <v>95208.930000000008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1943.7931034482638</v>
      </c>
      <c r="O16" s="141">
        <f>N16/M16</f>
        <v>138.84236453201885</v>
      </c>
      <c r="P16" s="142">
        <f>M16-J16</f>
        <v>0</v>
      </c>
      <c r="Q16" s="143">
        <f>O16-L16</f>
        <v>-21.871921182266874</v>
      </c>
      <c r="R16" s="144">
        <f>O16/L16</f>
        <v>0.8639080459770061</v>
      </c>
      <c r="S16" s="425">
        <f>R26</f>
        <v>0.84611804682963387</v>
      </c>
      <c r="T16" s="145">
        <v>0.295833333333333</v>
      </c>
      <c r="U16" s="145">
        <v>0.33611111111111103</v>
      </c>
      <c r="V16" s="135"/>
      <c r="W16" s="146">
        <f t="shared" ref="W16:W78" si="4">(U16-T16)*24*60</f>
        <v>58.000000000000355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-306.20689655173624</v>
      </c>
      <c r="AG16" s="52">
        <f>N16/K16</f>
        <v>0.8639080459770061</v>
      </c>
      <c r="AH16" s="403">
        <f>AG26</f>
        <v>0.84727662348513699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1734</v>
      </c>
      <c r="H17" s="78">
        <f>F17*G17</f>
        <v>99202.14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1926.6666666666677</v>
      </c>
      <c r="O17" s="96">
        <f>N17/M17</f>
        <v>113.33333333333339</v>
      </c>
      <c r="P17" s="97">
        <f>M17-J17</f>
        <v>0</v>
      </c>
      <c r="Q17" s="98">
        <f>O17-L17</f>
        <v>-19.019607843137194</v>
      </c>
      <c r="R17" s="99">
        <f>O17/L17</f>
        <v>0.85629629629629678</v>
      </c>
      <c r="S17" s="426"/>
      <c r="T17" s="19">
        <v>0.34375</v>
      </c>
      <c r="U17" s="19">
        <v>0.38124999999999998</v>
      </c>
      <c r="V17" s="30">
        <f>(T17-U16)*24*60</f>
        <v>11.000000000000121</v>
      </c>
      <c r="W17" s="149">
        <f t="shared" si="4"/>
        <v>53.999999999999972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-323.33333333333235</v>
      </c>
      <c r="AG17" s="72">
        <f>N17/K17</f>
        <v>0.85629629629629678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1058</v>
      </c>
      <c r="H18" s="78">
        <f>F18*G18</f>
        <v>59893.38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1983.7500000000223</v>
      </c>
      <c r="O18" s="96">
        <f>N18/M18</f>
        <v>132.25000000000148</v>
      </c>
      <c r="P18" s="97">
        <f>M18-J18</f>
        <v>0</v>
      </c>
      <c r="Q18" s="98">
        <f>O18-L18</f>
        <v>-17.749999999998522</v>
      </c>
      <c r="R18" s="99">
        <f>O18/L18</f>
        <v>0.88166666666667648</v>
      </c>
      <c r="S18" s="426"/>
      <c r="T18" s="19">
        <v>0.38750000000000001</v>
      </c>
      <c r="U18" s="19">
        <v>0.40972222222222199</v>
      </c>
      <c r="V18" s="30">
        <f>(T18-U17)*24*60</f>
        <v>9.000000000000048</v>
      </c>
      <c r="W18" s="149">
        <f t="shared" si="4"/>
        <v>31.999999999999645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-266.24999999997772</v>
      </c>
      <c r="AG18" s="72">
        <f>N18/K18</f>
        <v>0.88166666666667659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2727</v>
      </c>
      <c r="H19" s="78">
        <f t="shared" ref="H19:H21" si="5">F19*G19</f>
        <v>137413.53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1838.4269662921215</v>
      </c>
      <c r="O19" s="96">
        <f t="shared" ref="O19:O21" si="8">N19/M19</f>
        <v>141.41745894554782</v>
      </c>
      <c r="P19" s="97">
        <f t="shared" ref="P19:P21" si="9">M19-J19</f>
        <v>0</v>
      </c>
      <c r="Q19" s="98">
        <f t="shared" ref="Q19:Q21" si="10">O19-L19</f>
        <v>-31.659464131375245</v>
      </c>
      <c r="R19" s="99">
        <f t="shared" ref="R19:R21" si="11">O19/L19</f>
        <v>0.81707865168538751</v>
      </c>
      <c r="S19" s="426"/>
      <c r="T19" s="19">
        <v>0.41597222222222202</v>
      </c>
      <c r="U19" s="19">
        <v>0.47777777777777802</v>
      </c>
      <c r="V19" s="30">
        <f>(T19-U18)*24*60</f>
        <v>9.000000000000048</v>
      </c>
      <c r="W19" s="149">
        <f t="shared" si="4"/>
        <v>89.000000000000639</v>
      </c>
      <c r="X19" s="22">
        <v>0.48611111111111099</v>
      </c>
      <c r="Y19" s="84">
        <v>0.52777777777777801</v>
      </c>
      <c r="Z19" s="90"/>
      <c r="AA19" s="90"/>
      <c r="AB19" s="434"/>
      <c r="AC19" s="434"/>
      <c r="AD19" s="149"/>
      <c r="AE19" s="149"/>
      <c r="AF19" s="307">
        <f>N19-K19</f>
        <v>-411.57303370787849</v>
      </c>
      <c r="AG19" s="72">
        <f>N19/K19</f>
        <v>0.81707865168538729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f>2221+170</f>
        <v>2391</v>
      </c>
      <c r="H20" s="78">
        <f t="shared" si="5"/>
        <v>120482.49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1887.6315789473949</v>
      </c>
      <c r="O20" s="96">
        <f t="shared" si="8"/>
        <v>145.2024291497996</v>
      </c>
      <c r="P20" s="97">
        <f t="shared" si="9"/>
        <v>0</v>
      </c>
      <c r="Q20" s="98">
        <f t="shared" si="10"/>
        <v>-27.874493927123467</v>
      </c>
      <c r="R20" s="99">
        <f t="shared" si="11"/>
        <v>0.83894736842106443</v>
      </c>
      <c r="S20" s="426"/>
      <c r="T20" s="19">
        <v>0.54166666666666696</v>
      </c>
      <c r="U20" s="19">
        <v>0.594444444444444</v>
      </c>
      <c r="V20" s="30">
        <f>(T20-U19)*24*60</f>
        <v>92.000000000000071</v>
      </c>
      <c r="W20" s="149">
        <f t="shared" si="4"/>
        <v>75.999999999998934</v>
      </c>
      <c r="X20" s="19"/>
      <c r="Y20" s="297"/>
      <c r="Z20" s="90"/>
      <c r="AA20" s="90"/>
      <c r="AB20" s="407"/>
      <c r="AC20" s="407"/>
      <c r="AD20" s="92"/>
      <c r="AE20" s="92"/>
      <c r="AF20" s="307">
        <f t="shared" ref="AF20:AF21" si="12">N20-K20</f>
        <v>-362.36842105260507</v>
      </c>
      <c r="AG20" s="72">
        <f t="shared" ref="AG20:AG21" si="13">N20/K20</f>
        <v>0.83894736842106443</v>
      </c>
      <c r="AH20" s="405"/>
    </row>
    <row r="21" spans="1:34" ht="15" customHeight="1">
      <c r="A21" s="423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v>1827</v>
      </c>
      <c r="H21" s="78">
        <f t="shared" si="5"/>
        <v>92574.09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1857.9661016948767</v>
      </c>
      <c r="O21" s="96">
        <f t="shared" si="8"/>
        <v>132.7118644067769</v>
      </c>
      <c r="P21" s="97">
        <f t="shared" si="9"/>
        <v>0</v>
      </c>
      <c r="Q21" s="98">
        <f t="shared" si="10"/>
        <v>-28.002421307508826</v>
      </c>
      <c r="R21" s="99">
        <f t="shared" si="11"/>
        <v>0.82576271186438954</v>
      </c>
      <c r="S21" s="426"/>
      <c r="T21" s="19">
        <v>0.60208333333333297</v>
      </c>
      <c r="U21" s="19">
        <v>0.64305555555555605</v>
      </c>
      <c r="V21" s="30">
        <f>(T21-U20)*24*60</f>
        <v>11.000000000000121</v>
      </c>
      <c r="W21" s="149">
        <f t="shared" si="4"/>
        <v>59.000000000001229</v>
      </c>
      <c r="X21" s="92"/>
      <c r="Y21" s="298"/>
      <c r="Z21" s="90"/>
      <c r="AA21" s="90"/>
      <c r="AB21" s="407"/>
      <c r="AC21" s="407"/>
      <c r="AD21" s="92"/>
      <c r="AE21" s="92"/>
      <c r="AF21" s="307">
        <f t="shared" si="12"/>
        <v>-392.03389830512333</v>
      </c>
      <c r="AG21" s="72">
        <f t="shared" si="13"/>
        <v>0.82576271186438965</v>
      </c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9"/>
      <c r="U22" s="19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4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4">AVERAGE(J16:J25)</f>
        <v>14.333333333333334</v>
      </c>
      <c r="K26" s="155">
        <f t="shared" si="14"/>
        <v>2250</v>
      </c>
      <c r="L26" s="158">
        <f t="shared" si="14"/>
        <v>158.32255979314803</v>
      </c>
      <c r="M26" s="155">
        <f t="shared" si="14"/>
        <v>14.333333333333334</v>
      </c>
      <c r="N26" s="155">
        <f t="shared" si="14"/>
        <v>1906.3724028415581</v>
      </c>
      <c r="O26" s="158">
        <f t="shared" si="14"/>
        <v>133.95957506124634</v>
      </c>
      <c r="P26" s="159">
        <f>M26-J26</f>
        <v>0</v>
      </c>
      <c r="Q26" s="160">
        <f>O26-L26</f>
        <v>-24.36298473190169</v>
      </c>
      <c r="R26" s="161">
        <f>O26/L26</f>
        <v>0.84611804682963387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5">N26-K26</f>
        <v>-343.62759715844186</v>
      </c>
      <c r="AG26" s="124">
        <f t="shared" ref="AG26:AG31" si="16">N26/K26</f>
        <v>0.84727662348513699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124</v>
      </c>
      <c r="E27" s="132"/>
      <c r="F27" s="129">
        <f>VLOOKUP(D27,廠價表!$C$1:$E$43,3,0)</f>
        <v>57.21</v>
      </c>
      <c r="G27" s="169">
        <v>2826</v>
      </c>
      <c r="H27" s="134">
        <f>F27*G27</f>
        <v>161675.46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18</v>
      </c>
      <c r="N27" s="140">
        <f>G27/W27*60</f>
        <v>1584.6728971962743</v>
      </c>
      <c r="O27" s="141">
        <f>N27/M27</f>
        <v>88.037383177570803</v>
      </c>
      <c r="P27" s="142">
        <f>M27-J27</f>
        <v>0</v>
      </c>
      <c r="Q27" s="143">
        <f>O27-L27</f>
        <v>-2.8515057113180831</v>
      </c>
      <c r="R27" s="144">
        <f>O27/L27</f>
        <v>0.9686264652788964</v>
      </c>
      <c r="S27" s="425">
        <f>R37</f>
        <v>0.89011092002583425</v>
      </c>
      <c r="T27" s="171">
        <v>0.29027777777777802</v>
      </c>
      <c r="U27" s="171">
        <v>0.36458333333333298</v>
      </c>
      <c r="V27" s="135"/>
      <c r="W27" s="146">
        <f t="shared" si="4"/>
        <v>106.99999999999915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15"/>
        <v>-51.327102803725666</v>
      </c>
      <c r="AG27" s="172">
        <f t="shared" si="16"/>
        <v>0.96862646527889629</v>
      </c>
      <c r="AH27" s="403">
        <f>AG37</f>
        <v>0.87794251985102956</v>
      </c>
    </row>
    <row r="28" spans="1:34" ht="15" customHeight="1">
      <c r="A28" s="457"/>
      <c r="B28" s="75" t="s">
        <v>81</v>
      </c>
      <c r="C28" s="173"/>
      <c r="D28" s="59" t="s">
        <v>168</v>
      </c>
      <c r="E28" s="104"/>
      <c r="F28" s="75">
        <f>VLOOKUP(D28,廠價表!$C$1:$E$43,3,0)</f>
        <v>57.21</v>
      </c>
      <c r="G28" s="90">
        <v>745</v>
      </c>
      <c r="H28" s="91">
        <f>F28*G28</f>
        <v>42621.45</v>
      </c>
      <c r="I28" s="92"/>
      <c r="J28" s="79">
        <f>VLOOKUP(D28,產線配置圖!$A$3:$C$40,2,0)</f>
        <v>18</v>
      </c>
      <c r="K28" s="80">
        <f>VLOOKUP(D28,產線配置圖!$A$3:$C$40,3,0)</f>
        <v>1565</v>
      </c>
      <c r="L28" s="93">
        <f>K28/J28</f>
        <v>86.944444444444443</v>
      </c>
      <c r="M28" s="94">
        <v>18</v>
      </c>
      <c r="N28" s="95">
        <f>G28/W28*60</f>
        <v>1441.9354838709542</v>
      </c>
      <c r="O28" s="96">
        <f>N28/M28</f>
        <v>80.107526881719679</v>
      </c>
      <c r="P28" s="97">
        <f>M28-J28</f>
        <v>0</v>
      </c>
      <c r="Q28" s="98">
        <f>O28-L28</f>
        <v>-6.8369175627247643</v>
      </c>
      <c r="R28" s="99">
        <f>O28/L28</f>
        <v>0.92136452643511457</v>
      </c>
      <c r="S28" s="426"/>
      <c r="T28" s="19">
        <v>0.37083333333333302</v>
      </c>
      <c r="U28" s="19">
        <v>0.39236111111111099</v>
      </c>
      <c r="V28" s="92">
        <f>(T28-U27)*24*60</f>
        <v>9.000000000000048</v>
      </c>
      <c r="W28" s="149">
        <f t="shared" si="4"/>
        <v>31.000000000000291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15"/>
        <v>-123.06451612904584</v>
      </c>
      <c r="AG28" s="99">
        <f t="shared" si="16"/>
        <v>0.92136452643511446</v>
      </c>
      <c r="AH28" s="445"/>
    </row>
    <row r="29" spans="1:34" ht="15" customHeight="1">
      <c r="A29" s="457"/>
      <c r="B29" s="75" t="s">
        <v>81</v>
      </c>
      <c r="C29" s="173"/>
      <c r="D29" s="59" t="s">
        <v>123</v>
      </c>
      <c r="E29" s="104"/>
      <c r="F29" s="75">
        <f>VLOOKUP(D29,廠價表!$C$1:$E$43,3,0)</f>
        <v>50.67</v>
      </c>
      <c r="G29" s="90">
        <v>1424</v>
      </c>
      <c r="H29" s="91">
        <f>F29*G29</f>
        <v>72154.080000000002</v>
      </c>
      <c r="I29" s="92"/>
      <c r="J29" s="79">
        <f>VLOOKUP(D29,產線配置圖!$A$3:$C$40,2,0)</f>
        <v>13</v>
      </c>
      <c r="K29" s="80">
        <v>1636</v>
      </c>
      <c r="L29" s="93">
        <f>K29/J29</f>
        <v>125.84615384615384</v>
      </c>
      <c r="M29" s="94">
        <v>13</v>
      </c>
      <c r="N29" s="95">
        <f>G29/W29*60</f>
        <v>1378.0645161290192</v>
      </c>
      <c r="O29" s="96">
        <f>N29/M29</f>
        <v>106.00496277915532</v>
      </c>
      <c r="P29" s="97">
        <f>M29-J29</f>
        <v>0</v>
      </c>
      <c r="Q29" s="98">
        <f>O29-L29</f>
        <v>-19.841191066998519</v>
      </c>
      <c r="R29" s="99">
        <f>O29/L29</f>
        <v>0.84233772379524408</v>
      </c>
      <c r="S29" s="426"/>
      <c r="T29" s="19">
        <v>0.39861111111111103</v>
      </c>
      <c r="U29" s="19">
        <v>0.44166666666666698</v>
      </c>
      <c r="V29" s="92">
        <f>(T29-U28)*24*60</f>
        <v>9.000000000000048</v>
      </c>
      <c r="W29" s="149">
        <f t="shared" si="4"/>
        <v>62.000000000000583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15"/>
        <v>-257.93548387098076</v>
      </c>
      <c r="AG29" s="99">
        <f t="shared" si="16"/>
        <v>0.84233772379524408</v>
      </c>
      <c r="AH29" s="445"/>
    </row>
    <row r="30" spans="1:34" ht="15" customHeight="1">
      <c r="A30" s="457"/>
      <c r="B30" s="75" t="s">
        <v>81</v>
      </c>
      <c r="C30" s="88"/>
      <c r="D30" s="59" t="s">
        <v>122</v>
      </c>
      <c r="E30" s="89"/>
      <c r="F30" s="75">
        <f>VLOOKUP(D30,廠價表!$C$1:$E$43,3,0)</f>
        <v>57.21</v>
      </c>
      <c r="G30" s="90">
        <v>581</v>
      </c>
      <c r="H30" s="91">
        <f t="shared" ref="H30:H32" si="17">F30*G30</f>
        <v>33239.01</v>
      </c>
      <c r="I30" s="92"/>
      <c r="J30" s="79">
        <f>VLOOKUP(D30,產線配置圖!$A$3:$C$40,2,0)</f>
        <v>18</v>
      </c>
      <c r="K30" s="80">
        <f>VLOOKUP(D30,產線配置圖!$A$3:$C$40,3,0)</f>
        <v>1565</v>
      </c>
      <c r="L30" s="93">
        <f t="shared" ref="L30:L32" si="18">K30/J30</f>
        <v>86.944444444444443</v>
      </c>
      <c r="M30" s="94">
        <v>16</v>
      </c>
      <c r="N30" s="95">
        <f t="shared" ref="N30:N32" si="19">G30/W30*60</f>
        <v>1162.0000000000196</v>
      </c>
      <c r="O30" s="96">
        <f t="shared" ref="O30:O32" si="20">N30/M30</f>
        <v>72.625000000001222</v>
      </c>
      <c r="P30" s="97">
        <f t="shared" ref="P30:P32" si="21">M30-J30</f>
        <v>-2</v>
      </c>
      <c r="Q30" s="98">
        <f t="shared" ref="Q30:Q32" si="22">O30-L30</f>
        <v>-14.319444444443221</v>
      </c>
      <c r="R30" s="99">
        <f t="shared" ref="R30:R32" si="23">O30/L30</f>
        <v>0.83530351437701089</v>
      </c>
      <c r="S30" s="426"/>
      <c r="T30" s="19">
        <v>0.44791666666666702</v>
      </c>
      <c r="U30" s="19">
        <v>0.46875</v>
      </c>
      <c r="V30" s="92">
        <f>(T30-U29)*24*60</f>
        <v>9.000000000000048</v>
      </c>
      <c r="W30" s="149">
        <f t="shared" si="4"/>
        <v>29.999999999999496</v>
      </c>
      <c r="X30" s="174">
        <v>0.47222222222222199</v>
      </c>
      <c r="Y30" s="301">
        <v>0.51388888888888895</v>
      </c>
      <c r="Z30" s="335"/>
      <c r="AA30" s="335"/>
      <c r="AB30" s="407" t="s">
        <v>140</v>
      </c>
      <c r="AC30" s="407"/>
      <c r="AD30" s="92"/>
      <c r="AE30" s="92"/>
      <c r="AF30" s="312">
        <f t="shared" si="15"/>
        <v>-402.99999999998045</v>
      </c>
      <c r="AG30" s="99">
        <f t="shared" si="16"/>
        <v>0.74249201277956522</v>
      </c>
      <c r="AH30" s="446"/>
    </row>
    <row r="31" spans="1:34" ht="15" customHeight="1">
      <c r="A31" s="457"/>
      <c r="B31" s="75" t="s">
        <v>81</v>
      </c>
      <c r="C31" s="88"/>
      <c r="D31" s="175" t="s">
        <v>168</v>
      </c>
      <c r="E31" s="176"/>
      <c r="F31" s="75">
        <f>VLOOKUP(D31,廠價表!$C$1:$E$43,3,0)</f>
        <v>57.21</v>
      </c>
      <c r="G31" s="90">
        <v>1700</v>
      </c>
      <c r="H31" s="91">
        <f t="shared" si="17"/>
        <v>97257</v>
      </c>
      <c r="I31" s="92"/>
      <c r="J31" s="79">
        <f>VLOOKUP(D31,產線配置圖!$A$3:$C$40,2,0)</f>
        <v>18</v>
      </c>
      <c r="K31" s="80">
        <v>1636</v>
      </c>
      <c r="L31" s="93">
        <f t="shared" si="18"/>
        <v>90.888888888888886</v>
      </c>
      <c r="M31" s="94">
        <v>18</v>
      </c>
      <c r="N31" s="95">
        <f t="shared" si="19"/>
        <v>1457.1428571428623</v>
      </c>
      <c r="O31" s="96">
        <f t="shared" si="20"/>
        <v>80.952380952381247</v>
      </c>
      <c r="P31" s="97">
        <f t="shared" si="21"/>
        <v>0</v>
      </c>
      <c r="Q31" s="98">
        <f t="shared" si="22"/>
        <v>-9.9365079365076383</v>
      </c>
      <c r="R31" s="99">
        <f t="shared" si="23"/>
        <v>0.89067411805798447</v>
      </c>
      <c r="S31" s="426"/>
      <c r="T31" s="19">
        <v>0.52222222222222203</v>
      </c>
      <c r="U31" s="19">
        <v>0.57083333333333297</v>
      </c>
      <c r="V31" s="92">
        <f t="shared" ref="V31:V32" si="24">(T31-U30)*24*60</f>
        <v>76.99999999999973</v>
      </c>
      <c r="W31" s="149">
        <f t="shared" si="4"/>
        <v>69.999999999999744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5"/>
        <v>-178.85714285713766</v>
      </c>
      <c r="AG31" s="99">
        <f t="shared" si="16"/>
        <v>0.89067411805798435</v>
      </c>
      <c r="AH31" s="405"/>
    </row>
    <row r="32" spans="1:34" ht="15" customHeight="1">
      <c r="A32" s="457"/>
      <c r="B32" s="75" t="s">
        <v>81</v>
      </c>
      <c r="C32" s="102"/>
      <c r="D32" s="59" t="s">
        <v>206</v>
      </c>
      <c r="E32" s="176"/>
      <c r="F32" s="75">
        <f>VLOOKUP(D32,廠價表!$C$1:$E$43,3,0)</f>
        <v>45.66</v>
      </c>
      <c r="G32" s="90">
        <v>1350</v>
      </c>
      <c r="H32" s="91">
        <f t="shared" si="17"/>
        <v>61640.999999999993</v>
      </c>
      <c r="I32" s="92"/>
      <c r="J32" s="79">
        <f>VLOOKUP(D32,產線配置圖!$A$3:$C$40,2,0)</f>
        <v>17</v>
      </c>
      <c r="K32" s="80">
        <f>VLOOKUP(D32,產線配置圖!$A$3:$C$40,3,0)</f>
        <v>1500</v>
      </c>
      <c r="L32" s="93">
        <f t="shared" si="18"/>
        <v>88.235294117647058</v>
      </c>
      <c r="M32" s="94">
        <v>17</v>
      </c>
      <c r="N32" s="95">
        <f t="shared" si="19"/>
        <v>1349.9999999999905</v>
      </c>
      <c r="O32" s="96">
        <f t="shared" si="20"/>
        <v>79.411764705881794</v>
      </c>
      <c r="P32" s="97">
        <f t="shared" si="21"/>
        <v>0</v>
      </c>
      <c r="Q32" s="98">
        <f t="shared" si="22"/>
        <v>-8.8235294117652643</v>
      </c>
      <c r="R32" s="99">
        <f t="shared" si="23"/>
        <v>0.89999999999999369</v>
      </c>
      <c r="S32" s="426"/>
      <c r="T32" s="19">
        <v>0.65625</v>
      </c>
      <c r="U32" s="19">
        <v>0.69791666666666696</v>
      </c>
      <c r="V32" s="92">
        <f t="shared" si="24"/>
        <v>123.00000000000053</v>
      </c>
      <c r="W32" s="149">
        <f t="shared" si="4"/>
        <v>60.000000000000426</v>
      </c>
      <c r="X32" s="174"/>
      <c r="Y32" s="301"/>
      <c r="Z32" s="335"/>
      <c r="AA32" s="335"/>
      <c r="AB32" s="407"/>
      <c r="AC32" s="407"/>
      <c r="AD32" s="92"/>
      <c r="AE32" s="92"/>
      <c r="AF32" s="312">
        <f>N32-K32</f>
        <v>-150.00000000000955</v>
      </c>
      <c r="AG32" s="99">
        <f>N32/K32</f>
        <v>0.89999999999999358</v>
      </c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5">AVERAGE(J27:J36)</f>
        <v>17</v>
      </c>
      <c r="K37" s="155">
        <f t="shared" si="25"/>
        <v>1589.6666666666667</v>
      </c>
      <c r="L37" s="158">
        <f t="shared" si="25"/>
        <v>94.958019105077938</v>
      </c>
      <c r="M37" s="155">
        <f t="shared" si="25"/>
        <v>16.666666666666668</v>
      </c>
      <c r="N37" s="155">
        <f t="shared" si="25"/>
        <v>1395.6359590565201</v>
      </c>
      <c r="O37" s="158">
        <f t="shared" si="25"/>
        <v>84.523169749451668</v>
      </c>
      <c r="P37" s="159">
        <f>M37-J37</f>
        <v>-0.33333333333333215</v>
      </c>
      <c r="Q37" s="160">
        <f>N37-K37</f>
        <v>-194.03070761014669</v>
      </c>
      <c r="R37" s="161">
        <f t="shared" ref="R37:R41" si="26">O37/L37</f>
        <v>0.89011092002583425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-194.03070761014669</v>
      </c>
      <c r="AG37" s="124">
        <f>N37/K37</f>
        <v>0.87794251985102956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2780</v>
      </c>
      <c r="H38" s="134">
        <f>F38*G38</f>
        <v>138749.79999999999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1635.2941176470429</v>
      </c>
      <c r="O38" s="141">
        <f>N38/M38</f>
        <v>109.01960784313619</v>
      </c>
      <c r="P38" s="142">
        <f>M38-J38</f>
        <v>0</v>
      </c>
      <c r="Q38" s="143">
        <f>O38-L38</f>
        <v>-5.2470588235304803</v>
      </c>
      <c r="R38" s="144">
        <f t="shared" si="26"/>
        <v>0.95408058205778457</v>
      </c>
      <c r="S38" s="453">
        <f>R48</f>
        <v>0.86340615315355951</v>
      </c>
      <c r="T38" s="191">
        <v>0.33333333333333298</v>
      </c>
      <c r="U38" s="191">
        <v>0.40416666666666701</v>
      </c>
      <c r="V38" s="192"/>
      <c r="W38" s="193">
        <f t="shared" si="4"/>
        <v>102.00000000000099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-78.705882352957133</v>
      </c>
      <c r="AG38" s="195">
        <f>N38/K38</f>
        <v>0.95408058205778468</v>
      </c>
      <c r="AH38" s="459">
        <f>AG48</f>
        <v>0.86214171883243185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2627</v>
      </c>
      <c r="H39" s="91">
        <f>F39*G39</f>
        <v>116376.09999999999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1358.7931034482676</v>
      </c>
      <c r="O39" s="203">
        <f>N39/M39</f>
        <v>79.929006085192214</v>
      </c>
      <c r="P39" s="97">
        <f>M39-J39</f>
        <v>0</v>
      </c>
      <c r="Q39" s="98">
        <f>O39-L39</f>
        <v>-16.306288032454844</v>
      </c>
      <c r="R39" s="99">
        <f t="shared" si="26"/>
        <v>0.83055813169209514</v>
      </c>
      <c r="S39" s="454"/>
      <c r="T39" s="20">
        <v>0.41249999999999998</v>
      </c>
      <c r="U39" s="20">
        <v>0.49305555555555602</v>
      </c>
      <c r="V39" s="92">
        <f>(T39-U38)*24*60</f>
        <v>11.999999999999478</v>
      </c>
      <c r="W39" s="205">
        <f t="shared" si="4"/>
        <v>116.00000000000071</v>
      </c>
      <c r="X39" s="22"/>
      <c r="Y39" s="84"/>
      <c r="Z39" s="90"/>
      <c r="AA39" s="90"/>
      <c r="AD39" s="200"/>
      <c r="AE39" s="200"/>
      <c r="AF39" s="314">
        <f>N39-K39</f>
        <v>-277.20689655173237</v>
      </c>
      <c r="AG39" s="206">
        <f>N39/K39</f>
        <v>0.83055813169209514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2835</v>
      </c>
      <c r="H40" s="91">
        <f>F40*G40</f>
        <v>125590.49999999999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1394.2622950819557</v>
      </c>
      <c r="O40" s="203">
        <f>N40/M40</f>
        <v>82.015429122467978</v>
      </c>
      <c r="P40" s="97">
        <f>M40-J40</f>
        <v>0</v>
      </c>
      <c r="Q40" s="98">
        <f>O40-L40</f>
        <v>-14.21986499517908</v>
      </c>
      <c r="R40" s="99">
        <f t="shared" si="26"/>
        <v>0.85223856667601205</v>
      </c>
      <c r="S40" s="440"/>
      <c r="T40" s="20">
        <v>0.55069444444444404</v>
      </c>
      <c r="U40" s="20">
        <v>0.63541666666666696</v>
      </c>
      <c r="V40" s="92">
        <f t="shared" ref="V40:V41" si="27">(T40-U39)*24*60</f>
        <v>82.999999999998749</v>
      </c>
      <c r="W40" s="205">
        <f t="shared" si="4"/>
        <v>122.00000000000101</v>
      </c>
      <c r="X40" s="208"/>
      <c r="Y40" s="209"/>
      <c r="Z40" s="337"/>
      <c r="AA40" s="337"/>
      <c r="AB40" s="462" t="s">
        <v>207</v>
      </c>
      <c r="AC40" s="462"/>
      <c r="AD40" s="92"/>
      <c r="AE40" s="92"/>
      <c r="AF40" s="314">
        <f>N40-K40</f>
        <v>-241.7377049180443</v>
      </c>
      <c r="AG40" s="206">
        <f>N40/K40</f>
        <v>0.85223856667601205</v>
      </c>
      <c r="AH40" s="460"/>
    </row>
    <row r="41" spans="1:34" ht="15" customHeight="1">
      <c r="A41" s="451"/>
      <c r="B41" s="75" t="s">
        <v>128</v>
      </c>
      <c r="C41" s="207"/>
      <c r="D41" s="198" t="s">
        <v>129</v>
      </c>
      <c r="E41" s="178"/>
      <c r="F41" s="75">
        <f>VLOOKUP(D41,廠價表!$C$1:$E$43,3,0)</f>
        <v>49.91</v>
      </c>
      <c r="G41" s="199">
        <v>694</v>
      </c>
      <c r="H41" s="91">
        <f>F41*G41</f>
        <v>34637.54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15</v>
      </c>
      <c r="N41" s="202">
        <f>G41/W41*60</f>
        <v>1388.0000000000271</v>
      </c>
      <c r="O41" s="203">
        <f>N41/M41</f>
        <v>92.533333333335136</v>
      </c>
      <c r="P41" s="97">
        <f>M41-J41</f>
        <v>0</v>
      </c>
      <c r="Q41" s="98">
        <f>O41-L41</f>
        <v>-21.73333333333153</v>
      </c>
      <c r="R41" s="99">
        <f t="shared" si="26"/>
        <v>0.80980163360561674</v>
      </c>
      <c r="S41" s="440"/>
      <c r="T41" s="20">
        <v>0.64375000000000004</v>
      </c>
      <c r="U41" s="210">
        <v>0.66458333333333297</v>
      </c>
      <c r="V41" s="92">
        <f t="shared" si="27"/>
        <v>11.999999999999638</v>
      </c>
      <c r="W41" s="205">
        <f t="shared" si="4"/>
        <v>29.999999999999414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-325.99999999997294</v>
      </c>
      <c r="AG41" s="206">
        <f>N41/K41</f>
        <v>0.80980163360561674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369">
        <f t="shared" ref="J48:O48" si="28">AVERAGE(J38:J47)</f>
        <v>16</v>
      </c>
      <c r="K48" s="155">
        <f t="shared" si="28"/>
        <v>1675</v>
      </c>
      <c r="L48" s="158">
        <f t="shared" si="28"/>
        <v>105.25098039215686</v>
      </c>
      <c r="M48" s="155">
        <f t="shared" si="28"/>
        <v>16</v>
      </c>
      <c r="N48" s="155">
        <f t="shared" si="28"/>
        <v>1444.0873790443234</v>
      </c>
      <c r="O48" s="158">
        <f t="shared" si="28"/>
        <v>90.874344096032871</v>
      </c>
      <c r="P48" s="221">
        <f>M48-J48</f>
        <v>0</v>
      </c>
      <c r="Q48" s="222">
        <f>N48-K48</f>
        <v>-230.91262095567663</v>
      </c>
      <c r="R48" s="223">
        <f t="shared" ref="R48:R53" si="29">O48/L48</f>
        <v>0.86340615315355951</v>
      </c>
      <c r="S48" s="443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30">N48-K48</f>
        <v>-230.91262095567663</v>
      </c>
      <c r="AG48" s="162">
        <f t="shared" ref="AG48:AG53" si="31">N48/K48</f>
        <v>0.86214171883243185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2431</v>
      </c>
      <c r="H49" s="134">
        <f>F49*G49</f>
        <v>120383.12000000001</v>
      </c>
      <c r="I49" s="300"/>
      <c r="J49" s="148">
        <f>VLOOKUP(D49,產線配置圖!$A$3:$C$40,2,0)</f>
        <v>17</v>
      </c>
      <c r="K49" s="368">
        <f>VLOOKUP(D49,產線配置圖!$A$3:$C$40,3,0)</f>
        <v>1800</v>
      </c>
      <c r="L49" s="138">
        <f>K49/J49</f>
        <v>105.88235294117646</v>
      </c>
      <c r="M49" s="170">
        <v>16</v>
      </c>
      <c r="N49" s="140">
        <f>G49/W49*60</f>
        <v>1620.6666666666667</v>
      </c>
      <c r="O49" s="141">
        <f>N49/M49</f>
        <v>101.29166666666667</v>
      </c>
      <c r="P49" s="229">
        <f>M49-J49</f>
        <v>-1</v>
      </c>
      <c r="Q49" s="230">
        <f>O49-L49</f>
        <v>-4.5906862745097925</v>
      </c>
      <c r="R49" s="52">
        <f t="shared" si="29"/>
        <v>0.95664351851851859</v>
      </c>
      <c r="S49" s="439">
        <f>R58</f>
        <v>0.93284598702967447</v>
      </c>
      <c r="T49" s="191">
        <v>0.29027777777777802</v>
      </c>
      <c r="U49" s="191">
        <v>0.35277777777777802</v>
      </c>
      <c r="V49" s="55"/>
      <c r="W49" s="193">
        <f t="shared" si="4"/>
        <v>90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30"/>
        <v>-179.33333333333326</v>
      </c>
      <c r="AG49" s="52">
        <f t="shared" si="31"/>
        <v>0.90037037037037038</v>
      </c>
      <c r="AH49" s="403">
        <f>AG58</f>
        <v>0.85828258501411347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2409</v>
      </c>
      <c r="H50" s="231">
        <f>F50*G50</f>
        <v>121146.201</v>
      </c>
      <c r="I50" s="177"/>
      <c r="J50" s="148">
        <f>VLOOKUP(D50,產線配置圖!$A$3:$C$40,2,0)</f>
        <v>18</v>
      </c>
      <c r="K50" s="62">
        <v>1636</v>
      </c>
      <c r="L50" s="81">
        <f>K50/J50</f>
        <v>90.888888888888886</v>
      </c>
      <c r="M50" s="233">
        <v>16</v>
      </c>
      <c r="N50" s="234">
        <f>G50/W50*60</f>
        <v>1445.3999999999889</v>
      </c>
      <c r="O50" s="235">
        <f>N50/M50</f>
        <v>90.337499999999309</v>
      </c>
      <c r="P50" s="74">
        <f>M50-J50</f>
        <v>-2</v>
      </c>
      <c r="Q50" s="83">
        <f>O50-L50</f>
        <v>-0.55138888888957638</v>
      </c>
      <c r="R50" s="72">
        <f t="shared" si="29"/>
        <v>0.99393337408312199</v>
      </c>
      <c r="S50" s="440"/>
      <c r="T50" s="21">
        <v>0.359722222222222</v>
      </c>
      <c r="U50" s="21">
        <v>0.42916666666666697</v>
      </c>
      <c r="V50" s="30">
        <f>(T50-U49)*24*60</f>
        <v>9.999999999999325</v>
      </c>
      <c r="W50" s="236">
        <f t="shared" si="4"/>
        <v>100.00000000000077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30"/>
        <v>-190.60000000001105</v>
      </c>
      <c r="AG50" s="72">
        <f t="shared" si="31"/>
        <v>0.88349633251833071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f>VLOOKUP(D51,廠價表!$C$1:$E$43,3,0)</f>
        <v>49.97</v>
      </c>
      <c r="G51" s="202">
        <v>1720</v>
      </c>
      <c r="H51" s="231">
        <f>F51*G51</f>
        <v>85948.4</v>
      </c>
      <c r="I51" s="232"/>
      <c r="J51" s="367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1540.298507462679</v>
      </c>
      <c r="O51" s="235">
        <f>N51/M51</f>
        <v>102.6865671641786</v>
      </c>
      <c r="P51" s="74">
        <f>M51-J51</f>
        <v>-1</v>
      </c>
      <c r="Q51" s="83">
        <f>O51-L51</f>
        <v>-9.813432835821402</v>
      </c>
      <c r="R51" s="72">
        <f t="shared" si="29"/>
        <v>0.9127694859038098</v>
      </c>
      <c r="S51" s="440"/>
      <c r="T51" s="21">
        <v>0.43472222222222201</v>
      </c>
      <c r="U51" s="19">
        <v>0.48125000000000001</v>
      </c>
      <c r="V51" s="30">
        <f>(T51-U50)*24*60</f>
        <v>7.9999999999992522</v>
      </c>
      <c r="W51" s="236">
        <f t="shared" si="4"/>
        <v>67.000000000000327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30"/>
        <v>-259.70149253732097</v>
      </c>
      <c r="AG51" s="72">
        <f t="shared" si="31"/>
        <v>0.85572139303482164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f>VLOOKUP(D52,廠價表!$C$1:$E$43,3,0)</f>
        <v>49.97</v>
      </c>
      <c r="G52" s="202">
        <v>3790</v>
      </c>
      <c r="H52" s="231">
        <f t="shared" ref="H52:H53" si="32">F52*G52</f>
        <v>189386.3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33">K52/J52</f>
        <v>112.5</v>
      </c>
      <c r="M52" s="233">
        <v>15</v>
      </c>
      <c r="N52" s="234">
        <f>G52/W52*60</f>
        <v>1590.2097902097833</v>
      </c>
      <c r="O52" s="235">
        <f>N52/M52</f>
        <v>106.01398601398554</v>
      </c>
      <c r="P52" s="74">
        <f>M52-J52</f>
        <v>-1</v>
      </c>
      <c r="Q52" s="83">
        <f>O52-L52</f>
        <v>-6.4860139860144557</v>
      </c>
      <c r="R52" s="72">
        <f t="shared" si="29"/>
        <v>0.94234654234653814</v>
      </c>
      <c r="S52" s="440"/>
      <c r="T52" s="21">
        <v>0.53472222222222199</v>
      </c>
      <c r="U52" s="21">
        <v>0.63402777777777797</v>
      </c>
      <c r="V52" s="30">
        <f>(T52-U51)*24*60</f>
        <v>76.999999999999645</v>
      </c>
      <c r="W52" s="236">
        <f t="shared" si="4"/>
        <v>143.00000000000063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30"/>
        <v>-209.79020979021675</v>
      </c>
      <c r="AG52" s="72">
        <f t="shared" si="31"/>
        <v>0.88344988344987962</v>
      </c>
      <c r="AH52" s="404"/>
    </row>
    <row r="53" spans="1:34" ht="15" customHeight="1">
      <c r="A53" s="469"/>
      <c r="B53" s="101" t="s">
        <v>81</v>
      </c>
      <c r="C53" s="102"/>
      <c r="D53" s="103" t="s">
        <v>133</v>
      </c>
      <c r="E53" s="104"/>
      <c r="F53" s="75">
        <f>VLOOKUP(D53,廠價表!$C$1:$E$43,3,0)</f>
        <v>50.289000000000001</v>
      </c>
      <c r="G53" s="202">
        <v>644</v>
      </c>
      <c r="H53" s="231">
        <f t="shared" si="32"/>
        <v>32386.116000000002</v>
      </c>
      <c r="I53" s="232"/>
      <c r="J53" s="79">
        <f>VLOOKUP(D53,產線配置圖!$A$3:$C$40,2,0)</f>
        <v>18</v>
      </c>
      <c r="K53" s="80">
        <v>1636</v>
      </c>
      <c r="L53" s="81">
        <f t="shared" si="33"/>
        <v>90.888888888888886</v>
      </c>
      <c r="M53" s="108">
        <v>16</v>
      </c>
      <c r="N53" s="234">
        <f>G53/W53*60</f>
        <v>1246.4516129032752</v>
      </c>
      <c r="O53" s="235">
        <f>N53/M53</f>
        <v>77.903225806454699</v>
      </c>
      <c r="P53" s="74">
        <f>M53-J53</f>
        <v>-2</v>
      </c>
      <c r="Q53" s="83">
        <f>O53-L53</f>
        <v>-12.985663082434186</v>
      </c>
      <c r="R53" s="72">
        <f t="shared" si="29"/>
        <v>0.85712595630573629</v>
      </c>
      <c r="S53" s="440"/>
      <c r="T53" s="21">
        <v>0.64305555555555605</v>
      </c>
      <c r="U53" s="21">
        <v>0.66458333333333297</v>
      </c>
      <c r="V53" s="30">
        <f>(T53-U52)*24*60</f>
        <v>13.000000000000433</v>
      </c>
      <c r="W53" s="236">
        <f t="shared" si="4"/>
        <v>30.999999999998771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30"/>
        <v>-389.54838709672481</v>
      </c>
      <c r="AG53" s="72">
        <f t="shared" si="31"/>
        <v>0.76188973893843226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34">AVERAGE(J49:J57)</f>
        <v>17</v>
      </c>
      <c r="K58" s="120">
        <f t="shared" si="34"/>
        <v>1734.4</v>
      </c>
      <c r="L58" s="117">
        <f t="shared" si="34"/>
        <v>102.53202614379086</v>
      </c>
      <c r="M58" s="120">
        <f t="shared" si="34"/>
        <v>15.6</v>
      </c>
      <c r="N58" s="120">
        <f t="shared" si="34"/>
        <v>1488.6053154484784</v>
      </c>
      <c r="O58" s="117">
        <f t="shared" si="34"/>
        <v>95.64658913025697</v>
      </c>
      <c r="P58" s="121">
        <f>M58-J58</f>
        <v>-1.4000000000000004</v>
      </c>
      <c r="Q58" s="122">
        <f>N58-K58</f>
        <v>-245.79468455152164</v>
      </c>
      <c r="R58" s="123">
        <f>O58/L58</f>
        <v>0.93284598702967447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 t="shared" ref="AF58:AF63" si="35">N58-K58</f>
        <v>-245.79468455152164</v>
      </c>
      <c r="AG58" s="124">
        <f t="shared" ref="AG58:AG63" si="36">N58/K58</f>
        <v>0.85828258501411347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2430</v>
      </c>
      <c r="H59" s="243">
        <f>F59*G59</f>
        <v>65585.7</v>
      </c>
      <c r="I59" s="55"/>
      <c r="J59" s="136">
        <f>VLOOKUP(D59,產線配置圖!$A$3:$C$40,2,0)</f>
        <v>15</v>
      </c>
      <c r="K59" s="137">
        <v>1636</v>
      </c>
      <c r="L59" s="138">
        <f>K59/J59</f>
        <v>109.06666666666666</v>
      </c>
      <c r="M59" s="244">
        <v>15</v>
      </c>
      <c r="N59" s="137">
        <f>G59/W59*60</f>
        <v>1584.7826086956495</v>
      </c>
      <c r="O59" s="138">
        <f>N59/M59</f>
        <v>105.6521739130433</v>
      </c>
      <c r="P59" s="56">
        <f>M59-J59</f>
        <v>0</v>
      </c>
      <c r="Q59" s="230">
        <f>O59-L59</f>
        <v>-3.4144927536233638</v>
      </c>
      <c r="R59" s="52">
        <f>O59/L59</f>
        <v>0.9686935260975853</v>
      </c>
      <c r="S59" s="439">
        <f>R69</f>
        <v>0.95296944832505182</v>
      </c>
      <c r="T59" s="245">
        <v>0.29166666666666702</v>
      </c>
      <c r="U59" s="245">
        <v>0.35555555555555601</v>
      </c>
      <c r="V59" s="55"/>
      <c r="W59" s="54">
        <f t="shared" si="4"/>
        <v>92.000000000000156</v>
      </c>
      <c r="X59" s="55"/>
      <c r="Y59" s="290"/>
      <c r="Z59" s="169"/>
      <c r="AA59" s="169"/>
      <c r="AB59" s="429"/>
      <c r="AC59" s="429"/>
      <c r="AD59" s="135"/>
      <c r="AE59" s="135"/>
      <c r="AF59" s="310">
        <f t="shared" si="35"/>
        <v>-51.217391304350485</v>
      </c>
      <c r="AG59" s="246">
        <f t="shared" si="36"/>
        <v>0.9686935260975853</v>
      </c>
      <c r="AH59" s="403">
        <f>AG69</f>
        <v>0.95395296420244557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1986</v>
      </c>
      <c r="H60" s="78">
        <f>F60*G60</f>
        <v>56124.36</v>
      </c>
      <c r="I60" s="30"/>
      <c r="J60" s="79">
        <f>VLOOKUP(D60,產線配置圖!$A$3:$C$40,2,0)</f>
        <v>12</v>
      </c>
      <c r="K60" s="80">
        <v>1636</v>
      </c>
      <c r="L60" s="81">
        <f>K60/J60</f>
        <v>136.33333333333334</v>
      </c>
      <c r="M60" s="82">
        <v>12</v>
      </c>
      <c r="N60" s="80">
        <f>G60/W60*60</f>
        <v>1588.8000000000109</v>
      </c>
      <c r="O60" s="81">
        <f>N60/M60</f>
        <v>132.40000000000092</v>
      </c>
      <c r="P60" s="74">
        <f>M60-J60</f>
        <v>0</v>
      </c>
      <c r="Q60" s="83">
        <f>O60-L60</f>
        <v>-3.9333333333324276</v>
      </c>
      <c r="R60" s="72">
        <f>O60/L60</f>
        <v>0.97114914425428533</v>
      </c>
      <c r="S60" s="467"/>
      <c r="T60" s="22">
        <v>0.36805555555555602</v>
      </c>
      <c r="U60" s="22">
        <v>0.42013888888888901</v>
      </c>
      <c r="V60" s="30">
        <f>(T60-U59)*24*60</f>
        <v>18.000000000000014</v>
      </c>
      <c r="W60" s="248">
        <f t="shared" si="4"/>
        <v>74.999999999999488</v>
      </c>
      <c r="X60" s="232"/>
      <c r="Y60" s="177"/>
      <c r="Z60" s="90"/>
      <c r="AA60" s="90"/>
      <c r="AB60" s="407" t="s">
        <v>208</v>
      </c>
      <c r="AC60" s="407"/>
      <c r="AD60" s="92"/>
      <c r="AE60" s="92"/>
      <c r="AF60" s="316">
        <f t="shared" si="35"/>
        <v>-47.199999999989132</v>
      </c>
      <c r="AG60" s="249">
        <f t="shared" si="36"/>
        <v>0.97114914425428533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2617</v>
      </c>
      <c r="H61" s="254">
        <f>F61*G61</f>
        <v>73956.42</v>
      </c>
      <c r="I61" s="182"/>
      <c r="J61" s="106">
        <f>VLOOKUP(D61,產線配置圖!$A$3:$C$40,2,0)</f>
        <v>11</v>
      </c>
      <c r="K61" s="107">
        <v>1636</v>
      </c>
      <c r="L61" s="238">
        <f>K61/J61</f>
        <v>148.72727272727272</v>
      </c>
      <c r="M61" s="108">
        <v>11</v>
      </c>
      <c r="N61" s="107">
        <f>G61/W61*60</f>
        <v>1495.4285714285643</v>
      </c>
      <c r="O61" s="238">
        <f>N61/M61</f>
        <v>135.9480519480513</v>
      </c>
      <c r="P61" s="111">
        <f>M61-J61</f>
        <v>0</v>
      </c>
      <c r="Q61" s="255">
        <f>O61-L61</f>
        <v>-12.779220779221419</v>
      </c>
      <c r="R61" s="85">
        <f>O61/L61</f>
        <v>0.91407614390499048</v>
      </c>
      <c r="S61" s="440"/>
      <c r="T61" s="22">
        <v>0.42361111111111099</v>
      </c>
      <c r="U61" s="22">
        <v>0.49652777777777801</v>
      </c>
      <c r="V61" s="30">
        <f>(T61-U60)*24*60</f>
        <v>4.9999999999996625</v>
      </c>
      <c r="W61" s="256">
        <f t="shared" si="4"/>
        <v>105.00000000000051</v>
      </c>
      <c r="X61" s="22"/>
      <c r="Y61" s="84"/>
      <c r="Z61" s="90"/>
      <c r="AA61" s="90"/>
      <c r="AB61" s="407"/>
      <c r="AC61" s="407"/>
      <c r="AD61" s="92"/>
      <c r="AE61" s="92"/>
      <c r="AF61" s="317">
        <f t="shared" si="35"/>
        <v>-140.57142857143572</v>
      </c>
      <c r="AG61" s="247">
        <f t="shared" si="36"/>
        <v>0.91407614390499037</v>
      </c>
      <c r="AH61" s="404"/>
    </row>
    <row r="62" spans="1:34" ht="15" customHeight="1">
      <c r="A62" s="465"/>
      <c r="B62" s="250" t="s">
        <v>125</v>
      </c>
      <c r="C62" s="251"/>
      <c r="D62" s="257" t="s">
        <v>192</v>
      </c>
      <c r="E62" s="253"/>
      <c r="F62" s="250">
        <f>VLOOKUP(D62,廠價表!$C$1:$E$43,3,0)</f>
        <v>28.26</v>
      </c>
      <c r="G62" s="38">
        <f>1657+34+21</f>
        <v>1712</v>
      </c>
      <c r="H62" s="254">
        <f t="shared" ref="H62:H63" si="37">F62*G62</f>
        <v>48381.120000000003</v>
      </c>
      <c r="I62" s="182"/>
      <c r="J62" s="106">
        <f>VLOOKUP(D62,產線配置圖!$A$3:$C$40,2,0)</f>
        <v>11</v>
      </c>
      <c r="K62" s="107">
        <v>1636</v>
      </c>
      <c r="L62" s="238">
        <f t="shared" ref="L62:L63" si="38">K62/J62</f>
        <v>148.72727272727272</v>
      </c>
      <c r="M62" s="108">
        <v>11</v>
      </c>
      <c r="N62" s="107">
        <f t="shared" ref="N62:N63" si="39">G62/W62*60</f>
        <v>1580.3076923076903</v>
      </c>
      <c r="O62" s="238">
        <f t="shared" ref="O62:O63" si="40">N62/M62</f>
        <v>143.66433566433548</v>
      </c>
      <c r="P62" s="111">
        <f t="shared" ref="P62:P63" si="41">M62-J62</f>
        <v>0</v>
      </c>
      <c r="Q62" s="255">
        <f t="shared" ref="Q62:Q63" si="42">O62-L62</f>
        <v>-5.0629370629372374</v>
      </c>
      <c r="R62" s="85">
        <f t="shared" ref="R62:R63" si="43">O62/L62</f>
        <v>0.96595824713184009</v>
      </c>
      <c r="S62" s="440"/>
      <c r="T62" s="22">
        <v>0.54861111111111105</v>
      </c>
      <c r="U62" s="22">
        <v>0.59375</v>
      </c>
      <c r="V62" s="30">
        <f t="shared" ref="V62:V63" si="44">(T62-U61)*24*60</f>
        <v>74.999999999999574</v>
      </c>
      <c r="W62" s="248">
        <f t="shared" si="4"/>
        <v>65.000000000000085</v>
      </c>
      <c r="X62" s="22"/>
      <c r="Y62" s="84"/>
      <c r="Z62" s="90"/>
      <c r="AA62" s="90"/>
      <c r="AB62" s="407"/>
      <c r="AC62" s="407"/>
      <c r="AD62" s="92"/>
      <c r="AE62" s="92"/>
      <c r="AF62" s="317">
        <f t="shared" si="35"/>
        <v>-55.692307692309669</v>
      </c>
      <c r="AG62" s="247">
        <f t="shared" si="36"/>
        <v>0.96595824713184009</v>
      </c>
      <c r="AH62" s="404"/>
    </row>
    <row r="63" spans="1:34" ht="15" customHeight="1">
      <c r="A63" s="465"/>
      <c r="B63" s="258" t="s">
        <v>125</v>
      </c>
      <c r="C63" s="58"/>
      <c r="D63" s="259" t="s">
        <v>134</v>
      </c>
      <c r="E63" s="60"/>
      <c r="F63" s="250">
        <f>VLOOKUP(D63,廠價表!$C$1:$E$43,3,0)</f>
        <v>26.99</v>
      </c>
      <c r="G63" s="260">
        <v>1734</v>
      </c>
      <c r="H63" s="254">
        <f t="shared" si="37"/>
        <v>46800.659999999996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38"/>
        <v>104.33333333333333</v>
      </c>
      <c r="M63" s="68">
        <v>15</v>
      </c>
      <c r="N63" s="107">
        <f t="shared" si="39"/>
        <v>1486.285714285716</v>
      </c>
      <c r="O63" s="238">
        <f t="shared" si="40"/>
        <v>99.085714285714403</v>
      </c>
      <c r="P63" s="111">
        <f t="shared" si="41"/>
        <v>0</v>
      </c>
      <c r="Q63" s="255">
        <f t="shared" si="42"/>
        <v>-5.2476190476189259</v>
      </c>
      <c r="R63" s="85">
        <f t="shared" si="43"/>
        <v>0.94970333181195921</v>
      </c>
      <c r="S63" s="440"/>
      <c r="T63" s="22">
        <v>0.60416666666666696</v>
      </c>
      <c r="U63" s="22">
        <v>0.65277777777777801</v>
      </c>
      <c r="V63" s="30">
        <f t="shared" si="44"/>
        <v>15.000000000000426</v>
      </c>
      <c r="W63" s="248">
        <f t="shared" si="4"/>
        <v>69.999999999999915</v>
      </c>
      <c r="X63" s="261"/>
      <c r="Y63" s="291"/>
      <c r="Z63" s="335"/>
      <c r="AA63" s="335"/>
      <c r="AB63" s="407"/>
      <c r="AC63" s="407"/>
      <c r="AD63" s="92"/>
      <c r="AE63" s="92"/>
      <c r="AF63" s="317">
        <f t="shared" si="35"/>
        <v>-78.71428571428396</v>
      </c>
      <c r="AG63" s="247">
        <f t="shared" si="36"/>
        <v>0.94970333181195909</v>
      </c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45">AVERAGE(J59:J68)</f>
        <v>12.8</v>
      </c>
      <c r="K69" s="240">
        <f t="shared" si="45"/>
        <v>1621.8</v>
      </c>
      <c r="L69" s="268">
        <f t="shared" si="45"/>
        <v>129.43757575757576</v>
      </c>
      <c r="M69" s="240">
        <f t="shared" si="45"/>
        <v>12.8</v>
      </c>
      <c r="N69" s="240">
        <f t="shared" si="45"/>
        <v>1547.1209173435261</v>
      </c>
      <c r="O69" s="268">
        <f t="shared" si="45"/>
        <v>123.35005516222907</v>
      </c>
      <c r="P69" s="269">
        <f>M69-J69</f>
        <v>0</v>
      </c>
      <c r="Q69" s="222">
        <f>N69-K69</f>
        <v>-74.679082656473838</v>
      </c>
      <c r="R69" s="123">
        <f>O69/L69</f>
        <v>0.95296944832505182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-74.679082656473838</v>
      </c>
      <c r="AG69" s="124">
        <f>N69/K69</f>
        <v>0.95395296420244557</v>
      </c>
      <c r="AH69" s="406"/>
    </row>
    <row r="70" spans="1:36" ht="15" customHeight="1">
      <c r="A70" s="471" t="s">
        <v>55</v>
      </c>
      <c r="B70" s="258" t="s">
        <v>125</v>
      </c>
      <c r="C70" s="58"/>
      <c r="D70" s="259" t="s">
        <v>192</v>
      </c>
      <c r="E70" s="60"/>
      <c r="F70" s="250">
        <f>VLOOKUP(D70,廠價表!$C$1:$E$43,3,0)</f>
        <v>28.26</v>
      </c>
      <c r="G70" s="260">
        <v>1487</v>
      </c>
      <c r="H70" s="254">
        <f>F70*G70</f>
        <v>42022.62</v>
      </c>
      <c r="I70" s="260"/>
      <c r="J70" s="106">
        <f>VLOOKUP(D70,產線配置圖!$A$3:$C$40,2,0)</f>
        <v>11</v>
      </c>
      <c r="K70" s="107">
        <f>VLOOKUP(D70,產線配置圖!$A$3:$C$40,3,0)</f>
        <v>1636</v>
      </c>
      <c r="L70" s="238">
        <f>K70/J70</f>
        <v>148.72727272727272</v>
      </c>
      <c r="M70" s="68">
        <v>9</v>
      </c>
      <c r="N70" s="107">
        <f>G70/W70*60</f>
        <v>1274.5714285714316</v>
      </c>
      <c r="O70" s="238">
        <f>N70/M70</f>
        <v>141.61904761904796</v>
      </c>
      <c r="P70" s="111">
        <f>M70-J70</f>
        <v>-2</v>
      </c>
      <c r="Q70" s="255">
        <f>O70-L70</f>
        <v>-7.1082251082247581</v>
      </c>
      <c r="R70" s="85">
        <f>O70/L70</f>
        <v>0.95220631039702175</v>
      </c>
      <c r="S70" s="439">
        <f>R79</f>
        <v>0.91268505667692634</v>
      </c>
      <c r="T70" s="245">
        <v>0.30555555555555602</v>
      </c>
      <c r="U70" s="245">
        <v>0.35416666666666702</v>
      </c>
      <c r="V70" s="55"/>
      <c r="W70" s="54">
        <f t="shared" si="4"/>
        <v>69.999999999999829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-361.42857142856838</v>
      </c>
      <c r="AG70" s="246">
        <f>N70/K70</f>
        <v>0.77907789032483599</v>
      </c>
      <c r="AH70" s="403">
        <f>AG79</f>
        <v>0.82236226660540301</v>
      </c>
    </row>
    <row r="71" spans="1:36" ht="15" customHeight="1">
      <c r="A71" s="472"/>
      <c r="B71" s="75" t="s">
        <v>81</v>
      </c>
      <c r="C71" s="102"/>
      <c r="D71" s="59" t="s">
        <v>206</v>
      </c>
      <c r="E71" s="176"/>
      <c r="F71" s="75">
        <f>VLOOKUP(D71,廠價表!$C$1:$E$43,3,0)</f>
        <v>45.66</v>
      </c>
      <c r="G71" s="90">
        <v>2854</v>
      </c>
      <c r="H71" s="91">
        <f t="shared" ref="H71:H73" si="46">F71*G71</f>
        <v>130313.63999999998</v>
      </c>
      <c r="I71" s="92"/>
      <c r="J71" s="79">
        <f>VLOOKUP(D71,產線配置圖!$A$3:$C$40,2,0)</f>
        <v>17</v>
      </c>
      <c r="K71" s="80">
        <f>VLOOKUP(D71,產線配置圖!$A$3:$C$40,3,0)</f>
        <v>1500</v>
      </c>
      <c r="L71" s="93">
        <f t="shared" ref="L71:L73" si="47">K71/J71</f>
        <v>88.235294117647058</v>
      </c>
      <c r="M71" s="94">
        <v>16</v>
      </c>
      <c r="N71" s="95">
        <f t="shared" ref="N71:N73" si="48">G71/W71*60</f>
        <v>1180.9655172413848</v>
      </c>
      <c r="O71" s="96">
        <f t="shared" ref="O71:O73" si="49">N71/M71</f>
        <v>73.810344827586547</v>
      </c>
      <c r="P71" s="97">
        <f t="shared" ref="P71:P73" si="50">M71-J71</f>
        <v>-1</v>
      </c>
      <c r="Q71" s="98">
        <f t="shared" ref="Q71:Q73" si="51">O71-L71</f>
        <v>-14.424949290060511</v>
      </c>
      <c r="R71" s="99">
        <f t="shared" ref="R71:R73" si="52">O71/L71</f>
        <v>0.83651724137931416</v>
      </c>
      <c r="S71" s="440"/>
      <c r="T71" s="22">
        <v>0.375</v>
      </c>
      <c r="U71" s="22">
        <v>0.47569444444444398</v>
      </c>
      <c r="V71" s="30">
        <f>(T71-U70)*24*60</f>
        <v>29.999999999999496</v>
      </c>
      <c r="W71" s="73">
        <f t="shared" si="4"/>
        <v>144.99999999999932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 t="s">
        <v>81</v>
      </c>
      <c r="C72" s="102"/>
      <c r="D72" s="59" t="s">
        <v>206</v>
      </c>
      <c r="E72" s="176"/>
      <c r="F72" s="75">
        <f>VLOOKUP(D72,廠價表!$C$1:$E$43,3,0)</f>
        <v>45.66</v>
      </c>
      <c r="G72" s="90">
        <v>3573</v>
      </c>
      <c r="H72" s="91">
        <f t="shared" si="46"/>
        <v>163143.18</v>
      </c>
      <c r="I72" s="92"/>
      <c r="J72" s="79">
        <f>VLOOKUP(D72,產線配置圖!$A$3:$C$40,2,0)</f>
        <v>17</v>
      </c>
      <c r="K72" s="80">
        <f>VLOOKUP(D72,產線配置圖!$A$3:$C$40,3,0)</f>
        <v>1500</v>
      </c>
      <c r="L72" s="93">
        <f t="shared" si="47"/>
        <v>88.235294117647058</v>
      </c>
      <c r="M72" s="94">
        <v>16</v>
      </c>
      <c r="N72" s="95">
        <f t="shared" si="48"/>
        <v>1392.0779220779268</v>
      </c>
      <c r="O72" s="96">
        <f t="shared" si="49"/>
        <v>87.004870129870426</v>
      </c>
      <c r="P72" s="97">
        <f t="shared" si="50"/>
        <v>-1</v>
      </c>
      <c r="Q72" s="98">
        <f t="shared" si="51"/>
        <v>-1.2304239877766321</v>
      </c>
      <c r="R72" s="99">
        <f t="shared" si="52"/>
        <v>0.98605519480519821</v>
      </c>
      <c r="S72" s="440"/>
      <c r="T72" s="22">
        <v>0.53888888888888897</v>
      </c>
      <c r="U72" s="22">
        <v>0.64583333333333304</v>
      </c>
      <c r="V72" s="30">
        <f>(T72-U71)*24*60</f>
        <v>91.000000000000796</v>
      </c>
      <c r="W72" s="73">
        <f t="shared" si="4"/>
        <v>153.99999999999946</v>
      </c>
      <c r="X72" s="272"/>
      <c r="Y72" s="288"/>
      <c r="Z72" s="90"/>
      <c r="AA72" s="90"/>
      <c r="AB72" s="407" t="s">
        <v>209</v>
      </c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 t="s">
        <v>81</v>
      </c>
      <c r="C73" s="102"/>
      <c r="D73" s="59" t="s">
        <v>206</v>
      </c>
      <c r="E73" s="176"/>
      <c r="F73" s="75">
        <f>VLOOKUP(D73,廠價表!$C$1:$E$43,3,0)</f>
        <v>45.66</v>
      </c>
      <c r="G73" s="90">
        <f>1463+35</f>
        <v>1498</v>
      </c>
      <c r="H73" s="91">
        <f t="shared" si="46"/>
        <v>68398.679999999993</v>
      </c>
      <c r="I73" s="92"/>
      <c r="J73" s="79">
        <f>VLOOKUP(D73,產線配置圖!$A$3:$C$40,2,0)</f>
        <v>17</v>
      </c>
      <c r="K73" s="80">
        <f>VLOOKUP(D73,產線配置圖!$A$3:$C$40,3,0)</f>
        <v>1500</v>
      </c>
      <c r="L73" s="93">
        <f t="shared" si="47"/>
        <v>88.235294117647058</v>
      </c>
      <c r="M73" s="94">
        <v>16</v>
      </c>
      <c r="N73" s="95">
        <f t="shared" si="48"/>
        <v>1198.4000000000094</v>
      </c>
      <c r="O73" s="96">
        <f t="shared" si="49"/>
        <v>74.900000000000588</v>
      </c>
      <c r="P73" s="97">
        <f t="shared" si="50"/>
        <v>-1</v>
      </c>
      <c r="Q73" s="98">
        <f t="shared" si="51"/>
        <v>-13.33529411764647</v>
      </c>
      <c r="R73" s="99">
        <f t="shared" si="52"/>
        <v>0.84886666666667332</v>
      </c>
      <c r="S73" s="440"/>
      <c r="T73" s="22">
        <v>0.64930555555555602</v>
      </c>
      <c r="U73" s="22">
        <v>0.70138888888888895</v>
      </c>
      <c r="V73" s="30">
        <f>(T73-U72)*24*60</f>
        <v>5.0000000000011013</v>
      </c>
      <c r="W73" s="73">
        <f t="shared" si="4"/>
        <v>74.999999999999417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 t="s">
        <v>56</v>
      </c>
      <c r="D79" s="430" t="s">
        <v>42</v>
      </c>
      <c r="E79" s="430"/>
      <c r="F79" s="116"/>
      <c r="G79" s="117"/>
      <c r="H79" s="282"/>
      <c r="I79" s="268"/>
      <c r="J79" s="240">
        <f t="shared" ref="J79:O79" si="53">AVERAGE(J70:J78)</f>
        <v>15.5</v>
      </c>
      <c r="K79" s="240">
        <f t="shared" si="53"/>
        <v>1534</v>
      </c>
      <c r="L79" s="268">
        <f t="shared" si="53"/>
        <v>103.35828877005348</v>
      </c>
      <c r="M79" s="240">
        <f t="shared" si="53"/>
        <v>14.25</v>
      </c>
      <c r="N79" s="240">
        <f t="shared" si="53"/>
        <v>1261.5037169726882</v>
      </c>
      <c r="O79" s="268">
        <f t="shared" si="53"/>
        <v>94.333565644126381</v>
      </c>
      <c r="P79" s="269">
        <f>M79-J79</f>
        <v>-1.25</v>
      </c>
      <c r="Q79" s="222">
        <f>N79-K79</f>
        <v>-272.49628302731185</v>
      </c>
      <c r="R79" s="223">
        <f>O79/L79</f>
        <v>0.91268505667692634</v>
      </c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-272.49628302731185</v>
      </c>
      <c r="AG79" s="124">
        <f>N79/K79</f>
        <v>0.82236226660540301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5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I3:I4"/>
    <mergeCell ref="J3:J4"/>
    <mergeCell ref="K3:K4"/>
    <mergeCell ref="L3:L4"/>
    <mergeCell ref="M3:M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T3:U3"/>
    <mergeCell ref="V3:V4"/>
    <mergeCell ref="A16:A26"/>
    <mergeCell ref="S16:S26"/>
    <mergeCell ref="AB16:AC16"/>
    <mergeCell ref="D26:E26"/>
    <mergeCell ref="AB26:AC26"/>
    <mergeCell ref="AH5:AH15"/>
    <mergeCell ref="AB6:AC6"/>
    <mergeCell ref="AB7:AC7"/>
    <mergeCell ref="AB9:AC9"/>
    <mergeCell ref="AB10:AC10"/>
    <mergeCell ref="AB11:AC11"/>
    <mergeCell ref="AB12:AC12"/>
    <mergeCell ref="AB13:AC13"/>
    <mergeCell ref="AB14:AC14"/>
    <mergeCell ref="AB15:AC15"/>
    <mergeCell ref="G3:G4"/>
    <mergeCell ref="A5:A15"/>
    <mergeCell ref="S5:S15"/>
    <mergeCell ref="AB5:AC5"/>
    <mergeCell ref="D15:E15"/>
    <mergeCell ref="N3:N4"/>
    <mergeCell ref="H3:H4"/>
    <mergeCell ref="A2:B2"/>
    <mergeCell ref="A3:A4"/>
    <mergeCell ref="B3:B4"/>
    <mergeCell ref="D3:E4"/>
    <mergeCell ref="F3:F4"/>
    <mergeCell ref="P1:S2"/>
    <mergeCell ref="AF1:AH2"/>
    <mergeCell ref="AH3:AH4"/>
    <mergeCell ref="W3:W4"/>
    <mergeCell ref="AB3:AC4"/>
    <mergeCell ref="J1:L2"/>
    <mergeCell ref="M1:O2"/>
    <mergeCell ref="AD3:AE3"/>
    <mergeCell ref="AF3:AF4"/>
    <mergeCell ref="AG3:AG4"/>
    <mergeCell ref="X3:Y3"/>
    <mergeCell ref="Z3:AA3"/>
    <mergeCell ref="O3:O4"/>
    <mergeCell ref="T1:Y2"/>
    <mergeCell ref="AB1:AC2"/>
    <mergeCell ref="P3:P4"/>
    <mergeCell ref="Q3:Q4"/>
    <mergeCell ref="R3:R4"/>
    <mergeCell ref="S3:S4"/>
  </mergeCells>
  <phoneticPr fontId="0" type="noConversion"/>
  <conditionalFormatting sqref="P5:P79">
    <cfRule type="cellIs" dxfId="78" priority="1" operator="greaterThan">
      <formula>0</formula>
    </cfRule>
  </conditionalFormatting>
  <conditionalFormatting sqref="Q5:Q79 AF5:AF79">
    <cfRule type="cellIs" dxfId="77" priority="4" operator="lessThan">
      <formula>0</formula>
    </cfRule>
  </conditionalFormatting>
  <conditionalFormatting sqref="R5:R79 AG5:AG79">
    <cfRule type="cellIs" dxfId="76" priority="2" operator="greaterThan">
      <formula>1</formula>
    </cfRule>
    <cfRule type="cellIs" dxfId="75" priority="3" operator="lessThan">
      <formula>0.8</formula>
    </cfRule>
  </conditionalFormatting>
  <conditionalFormatting sqref="S5:S10 S37:S62 AH59:AH62 S69:S76 AH69:AH76">
    <cfRule type="cellIs" dxfId="74" priority="7" operator="lessThan">
      <formula>0.8</formula>
    </cfRule>
  </conditionalFormatting>
  <conditionalFormatting sqref="S19:S25 AH19:AH25">
    <cfRule type="cellIs" dxfId="73" priority="6" operator="lessThan">
      <formula>0.8</formula>
    </cfRule>
  </conditionalFormatting>
  <conditionalFormatting sqref="S79">
    <cfRule type="cellIs" dxfId="72" priority="5" operator="lessThan">
      <formula>0.8</formula>
    </cfRule>
  </conditionalFormatting>
  <conditionalFormatting sqref="AH5:AH8 S15:S16 AH15:AH16 AH49 AH79">
    <cfRule type="cellIs" dxfId="71" priority="9" operator="lessThan">
      <formula>0.8</formula>
    </cfRule>
  </conditionalFormatting>
  <conditionalFormatting sqref="AH27 S27:S28">
    <cfRule type="cellIs" dxfId="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4C293B-092E-4BA5-B4EA-77298ED78DE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9462-56D0-4634-BDF5-5D77525BAE39}">
  <dimension ref="B1:O26"/>
  <sheetViews>
    <sheetView zoomScale="70" zoomScaleNormal="70" workbookViewId="0">
      <selection activeCell="AF73" sqref="AF73:AG7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46197</v>
      </c>
      <c r="E3" s="510"/>
      <c r="F3" s="3" t="s">
        <v>72</v>
      </c>
      <c r="G3" s="511">
        <f>'0624'!E1</f>
        <v>62078</v>
      </c>
      <c r="H3" s="511"/>
      <c r="I3" s="3" t="s">
        <v>2</v>
      </c>
      <c r="J3" s="512">
        <f>'0624'!G1</f>
        <v>2885105.5750000011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122.97403612455082</v>
      </c>
      <c r="G6" s="507"/>
      <c r="H6" s="508">
        <f>AVERAGE(D13:H13)</f>
        <v>121.68132819794585</v>
      </c>
      <c r="I6" s="508"/>
      <c r="J6" s="508">
        <f>AVERAGE(I13:J13)</f>
        <v>118.91843137254901</v>
      </c>
      <c r="K6" s="508"/>
      <c r="L6" s="516">
        <f>SUM(D18:J18)</f>
        <v>0</v>
      </c>
      <c r="M6" s="499">
        <f>SUM(D19:J19)</f>
        <v>0</v>
      </c>
      <c r="N6" s="517">
        <f>SUM(D20:J20)</f>
        <v>1</v>
      </c>
      <c r="O6" s="499">
        <f>SUM(D20:J20)</f>
        <v>1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108.0298623168225</v>
      </c>
      <c r="G7" s="496"/>
      <c r="H7" s="497">
        <f>AVERAGE(D14:H14)</f>
        <v>106.9069980573167</v>
      </c>
      <c r="I7" s="497"/>
      <c r="J7" s="497">
        <f>AVERAGE(I14:J14)</f>
        <v>102.32971439440877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0.87847699987180605</v>
      </c>
      <c r="G8" s="502"/>
      <c r="H8" s="502">
        <f>H7/H6</f>
        <v>0.87858178112097107</v>
      </c>
      <c r="I8" s="502"/>
      <c r="J8" s="502">
        <f>J7/J6</f>
        <v>0.86050339895444028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VALUE('0624'!L15)</f>
        <v>150</v>
      </c>
      <c r="E13" s="13">
        <f>VALUE('0624'!L26)</f>
        <v>158.32255979314803</v>
      </c>
      <c r="F13" s="13">
        <f>VALUE('0624'!L37)</f>
        <v>94.958019105077938</v>
      </c>
      <c r="G13" s="13">
        <f>VALUE('0624'!L48)</f>
        <v>102.24575163398693</v>
      </c>
      <c r="H13" s="13">
        <f>VALUE('0624'!L58)</f>
        <v>102.88031045751634</v>
      </c>
      <c r="I13" s="13">
        <f>VALUE('0624'!L69)</f>
        <v>129.43757575757576</v>
      </c>
      <c r="J13" s="13">
        <f>'0624'!L79</f>
        <v>108.39928698752227</v>
      </c>
    </row>
    <row r="14" spans="2:15" ht="39.950000000000003" customHeight="1">
      <c r="B14" s="490"/>
      <c r="C14" s="12" t="s">
        <v>100</v>
      </c>
      <c r="D14" s="13">
        <f>VALUE('0624'!O15)</f>
        <v>137.4301656314702</v>
      </c>
      <c r="E14" s="13">
        <f>VALUE('0624'!O26)</f>
        <v>133.79361447639474</v>
      </c>
      <c r="F14" s="13">
        <f>VALUE('0624'!O37)</f>
        <v>79.88114689059752</v>
      </c>
      <c r="G14" s="13">
        <f>VALUE('0624'!O48)</f>
        <v>88.204215633903189</v>
      </c>
      <c r="H14" s="13">
        <f>VALUE('0624'!O58)</f>
        <v>95.22584765421783</v>
      </c>
      <c r="I14" s="13">
        <f>VALUE('0624'!O69)</f>
        <v>113.64418361435153</v>
      </c>
      <c r="J14" s="13">
        <f>'0624'!O79</f>
        <v>91.015245174465988</v>
      </c>
    </row>
    <row r="15" spans="2:15" ht="39.950000000000003" customHeight="1">
      <c r="B15" s="491"/>
      <c r="C15" s="10" t="s">
        <v>26</v>
      </c>
      <c r="D15" s="14">
        <f t="shared" ref="D15:I15" si="1">D14/D13</f>
        <v>0.91620110420980139</v>
      </c>
      <c r="E15" s="14">
        <f t="shared" si="1"/>
        <v>0.84506980338872162</v>
      </c>
      <c r="F15" s="14">
        <f t="shared" si="1"/>
        <v>0.84122591902641985</v>
      </c>
      <c r="G15" s="14">
        <f t="shared" si="1"/>
        <v>0.86266875859694625</v>
      </c>
      <c r="H15" s="14">
        <f t="shared" si="1"/>
        <v>0.92559836989936606</v>
      </c>
      <c r="I15" s="14">
        <f t="shared" si="1"/>
        <v>0.87798448749686298</v>
      </c>
      <c r="J15" s="15">
        <f>'0624'!S70</f>
        <v>0.83962955572708386</v>
      </c>
    </row>
    <row r="16" spans="2:15" ht="17.25" customHeight="1">
      <c r="B16" s="492" t="s">
        <v>101</v>
      </c>
      <c r="C16" s="10" t="s">
        <v>34</v>
      </c>
      <c r="D16" s="16">
        <f>'0624'!T5</f>
        <v>0.29166666666666702</v>
      </c>
      <c r="E16" s="16">
        <f>'0624'!T16</f>
        <v>0.29236111111111102</v>
      </c>
      <c r="F16" s="16">
        <f>'0624'!T27</f>
        <v>0.29027777777777802</v>
      </c>
      <c r="G16" s="16">
        <f>'0624'!T38</f>
        <v>0.33194444444444399</v>
      </c>
      <c r="H16" s="16">
        <f>'0624'!T49</f>
        <v>0.29027777777777802</v>
      </c>
      <c r="I16" s="16">
        <f>'0624'!T59</f>
        <v>0.29166666666666702</v>
      </c>
      <c r="J16" s="16">
        <f>'0624'!T70</f>
        <v>0.31944444444444398</v>
      </c>
    </row>
    <row r="17" spans="2:10" ht="17.25" customHeight="1">
      <c r="B17" s="493"/>
      <c r="C17" s="10" t="s">
        <v>35</v>
      </c>
      <c r="D17" s="16">
        <v>0.60763888888888895</v>
      </c>
      <c r="E17" s="19">
        <v>0.61875000000000002</v>
      </c>
      <c r="F17" s="19">
        <v>0.63055555555555598</v>
      </c>
      <c r="G17" s="20">
        <v>0.63055555555555598</v>
      </c>
      <c r="H17" s="21">
        <v>0.61458333333333304</v>
      </c>
      <c r="I17" s="22">
        <v>0.64722222222222203</v>
      </c>
      <c r="J17" s="22">
        <v>0.67083333333333295</v>
      </c>
    </row>
    <row r="18" spans="2:10" ht="17.25" customHeight="1">
      <c r="B18" s="494" t="s">
        <v>102</v>
      </c>
      <c r="C18" s="330" t="s">
        <v>36</v>
      </c>
      <c r="D18" s="358">
        <f>'0624'!Z15</f>
        <v>0</v>
      </c>
      <c r="E18" s="359">
        <f>'0624'!Z26</f>
        <v>0</v>
      </c>
      <c r="F18" s="359">
        <f>'0624'!Z37</f>
        <v>0</v>
      </c>
      <c r="G18" s="360">
        <f>'0624'!Z48</f>
        <v>0</v>
      </c>
      <c r="H18" s="360">
        <f>'0624'!Z58</f>
        <v>0</v>
      </c>
      <c r="I18" s="359">
        <f>'0624'!Z69</f>
        <v>0</v>
      </c>
      <c r="J18" s="359">
        <f>'0624'!AA79</f>
        <v>0</v>
      </c>
    </row>
    <row r="19" spans="2:10" ht="17.25" customHeight="1">
      <c r="B19" s="495"/>
      <c r="C19" s="330" t="s">
        <v>37</v>
      </c>
      <c r="D19" s="358">
        <f>'0624'!AA15</f>
        <v>0</v>
      </c>
      <c r="E19" s="359">
        <f>'0624'!AA26</f>
        <v>0</v>
      </c>
      <c r="F19" s="359">
        <f>'0624'!AA37</f>
        <v>0</v>
      </c>
      <c r="G19" s="360">
        <f>'0624'!AA48</f>
        <v>0</v>
      </c>
      <c r="H19" s="360">
        <f>'0624'!AA58</f>
        <v>0</v>
      </c>
      <c r="I19" s="359">
        <f>'0624'!AA69</f>
        <v>0</v>
      </c>
      <c r="J19" s="359">
        <f>'0624'!AB79</f>
        <v>0</v>
      </c>
    </row>
    <row r="20" spans="2:10" ht="17.25" customHeight="1">
      <c r="B20" s="494" t="s">
        <v>103</v>
      </c>
      <c r="C20" s="330" t="s">
        <v>36</v>
      </c>
      <c r="D20" s="358">
        <f>'0624'!AD15</f>
        <v>0</v>
      </c>
      <c r="E20" s="359">
        <f>'0624'!AD26</f>
        <v>0</v>
      </c>
      <c r="F20" s="359">
        <f>'0624'!AD37</f>
        <v>1</v>
      </c>
      <c r="G20" s="360">
        <f>'0624'!AD48</f>
        <v>0</v>
      </c>
      <c r="H20" s="360">
        <f>'0624'!AD58</f>
        <v>0</v>
      </c>
      <c r="I20" s="359">
        <f>'0624'!AD69</f>
        <v>0</v>
      </c>
      <c r="J20" s="359">
        <f>'0624'!AD79</f>
        <v>0</v>
      </c>
    </row>
    <row r="21" spans="2:10" ht="17.25" customHeight="1">
      <c r="B21" s="495"/>
      <c r="C21" s="330" t="s">
        <v>85</v>
      </c>
      <c r="D21" s="358">
        <f>'0624'!AE15</f>
        <v>0</v>
      </c>
      <c r="E21" s="359">
        <f>'0624'!AE26</f>
        <v>0</v>
      </c>
      <c r="F21" s="359">
        <f>'0624'!AE37</f>
        <v>1</v>
      </c>
      <c r="G21" s="360">
        <f>'0624'!AE48</f>
        <v>0</v>
      </c>
      <c r="H21" s="360">
        <f>'0624'!AE58</f>
        <v>0</v>
      </c>
      <c r="I21" s="359">
        <f>'0624'!AE69</f>
        <v>0</v>
      </c>
      <c r="J21" s="359">
        <f>'0624'!AE79</f>
        <v>0</v>
      </c>
    </row>
    <row r="22" spans="2:10" ht="17.25" customHeight="1">
      <c r="B22" s="477" t="s">
        <v>104</v>
      </c>
      <c r="C22" s="478"/>
      <c r="D22" s="23">
        <f>VALUE('0624'!M15)</f>
        <v>15</v>
      </c>
      <c r="E22" s="23">
        <f>VALUE('0624'!M26)</f>
        <v>14.333333333333334</v>
      </c>
      <c r="F22" s="23">
        <f>VALUE('0624'!M37)</f>
        <v>15</v>
      </c>
      <c r="G22" s="23">
        <f>VALUE('0624'!M48)</f>
        <v>15.666666666666666</v>
      </c>
      <c r="H22" s="23">
        <f>VALUE('0624'!M58)</f>
        <v>16.5</v>
      </c>
      <c r="I22" s="23">
        <f>VALUE('0624'!M69)</f>
        <v>12.4</v>
      </c>
      <c r="J22" s="23">
        <f>'0624'!M79</f>
        <v>11.333333333333334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B1A7-B701-4365-AC4B-F257660644DE}">
  <sheetPr>
    <tabColor theme="9" tint="0.79998168889431442"/>
  </sheetPr>
  <dimension ref="A1:AJ92"/>
  <sheetViews>
    <sheetView zoomScale="69" zoomScaleNormal="69" workbookViewId="0">
      <pane xSplit="5" ySplit="4" topLeftCell="F32" activePane="bottomRight" state="frozen"/>
      <selection activeCell="AF73" sqref="AF73:AG73"/>
      <selection pane="topRight" activeCell="AF73" sqref="AF73:AG73"/>
      <selection pane="bottomLeft" activeCell="AF73" sqref="AF73:AG73"/>
      <selection pane="bottomRight" activeCell="J62" sqref="J6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62078</v>
      </c>
      <c r="F1" s="30" t="s">
        <v>2</v>
      </c>
      <c r="G1" s="31">
        <f>SUM(H5:H79)</f>
        <v>2885105.5750000011</v>
      </c>
      <c r="H1" s="32" t="s">
        <v>3</v>
      </c>
      <c r="I1" s="33">
        <f>M15+M26+M48+M58+M69+M79+M37</f>
        <v>100.23333333333333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210</v>
      </c>
      <c r="B2" s="381"/>
      <c r="C2" s="28"/>
      <c r="D2" s="28" t="s">
        <v>14</v>
      </c>
      <c r="E2" s="35">
        <f>AVERAGE(O15,O26,O37,O48,O58,O69,O79)</f>
        <v>105.59920272505728</v>
      </c>
      <c r="F2" s="36" t="s">
        <v>15</v>
      </c>
      <c r="G2" s="37">
        <f>G1/E1</f>
        <v>46.475491720094091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1</v>
      </c>
      <c r="AE2" s="340">
        <f>AE15+AE26+AE37+AE48+AE58+AE69+AE79</f>
        <v>1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2857</v>
      </c>
      <c r="H5" s="43">
        <f>F5*G5</f>
        <v>162477.59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2040.7142857142987</v>
      </c>
      <c r="O5" s="47">
        <f>N5/M5</f>
        <v>136.04761904761992</v>
      </c>
      <c r="P5" s="49">
        <f>M5-J5</f>
        <v>0</v>
      </c>
      <c r="Q5" s="50">
        <f>O5-L5</f>
        <v>-13.952380952380082</v>
      </c>
      <c r="R5" s="51">
        <f>O5/L5</f>
        <v>0.90698412698413278</v>
      </c>
      <c r="S5" s="439">
        <f>R15</f>
        <v>0.91620110420980139</v>
      </c>
      <c r="T5" s="319">
        <v>0.29166666666666702</v>
      </c>
      <c r="U5" s="320">
        <v>0.35</v>
      </c>
      <c r="V5" s="53"/>
      <c r="W5" s="54">
        <f t="shared" ref="W5:W14" si="0">(U5-T5)*24*60</f>
        <v>83.99999999999946</v>
      </c>
      <c r="X5" s="55"/>
      <c r="Y5" s="290"/>
      <c r="Z5" s="169"/>
      <c r="AA5" s="169"/>
      <c r="AB5" s="444"/>
      <c r="AC5" s="444"/>
      <c r="AD5" s="135"/>
      <c r="AE5" s="135"/>
      <c r="AF5" s="229">
        <f t="shared" ref="AF5:AF8" si="1">N5-K5</f>
        <v>-209.28571428570126</v>
      </c>
      <c r="AG5" s="52">
        <f t="shared" ref="AG5:AG8" si="2">N5/K5</f>
        <v>0.90698412698413278</v>
      </c>
      <c r="AH5" s="403">
        <f>AG15</f>
        <v>0.91620110420980116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f>2372+53</f>
        <v>2425</v>
      </c>
      <c r="H6" s="63">
        <f>F6*G6</f>
        <v>141062.25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2108.6956521738989</v>
      </c>
      <c r="O6" s="67">
        <f>N6/M6</f>
        <v>140.57971014492659</v>
      </c>
      <c r="P6" s="69">
        <f>M6-J6</f>
        <v>0</v>
      </c>
      <c r="Q6" s="70">
        <f>O6-L6</f>
        <v>-9.4202898550734062</v>
      </c>
      <c r="R6" s="71">
        <f>O6/L6</f>
        <v>0.93719806763284397</v>
      </c>
      <c r="S6" s="440"/>
      <c r="T6" s="16">
        <v>0.35694444444444401</v>
      </c>
      <c r="U6" s="16">
        <v>0.40486111111111101</v>
      </c>
      <c r="V6" s="30">
        <f>(T6-U5)*24*60</f>
        <v>9.9999999999994049</v>
      </c>
      <c r="W6" s="73">
        <f t="shared" si="0"/>
        <v>69.000000000000469</v>
      </c>
      <c r="X6" s="22"/>
      <c r="Y6" s="84"/>
      <c r="Z6" s="90"/>
      <c r="AA6" s="90"/>
      <c r="AB6" s="407"/>
      <c r="AC6" s="407"/>
      <c r="AD6" s="149"/>
      <c r="AE6" s="149"/>
      <c r="AF6" s="307">
        <f t="shared" si="1"/>
        <v>-141.30434782610109</v>
      </c>
      <c r="AG6" s="72">
        <f t="shared" si="2"/>
        <v>0.93719806763284397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3045</v>
      </c>
      <c r="H7" s="78">
        <f>F7*G7</f>
        <v>149631.29999999999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2030.0000000000002</v>
      </c>
      <c r="O7" s="81">
        <f>N7/M7</f>
        <v>135.33333333333334</v>
      </c>
      <c r="P7" s="74">
        <f>M7-J7</f>
        <v>0</v>
      </c>
      <c r="Q7" s="83">
        <f>O7-L7</f>
        <v>-14.666666666666657</v>
      </c>
      <c r="R7" s="72">
        <f>O7/L7</f>
        <v>0.90222222222222226</v>
      </c>
      <c r="S7" s="440"/>
      <c r="T7" s="18">
        <v>0.41388888888888897</v>
      </c>
      <c r="U7" s="18">
        <v>0.47638888888888897</v>
      </c>
      <c r="V7" s="30">
        <f>(T7-U6)*24*60</f>
        <v>13.000000000000274</v>
      </c>
      <c r="W7" s="73">
        <f t="shared" si="0"/>
        <v>90</v>
      </c>
      <c r="X7" s="22">
        <v>0.48611111111111099</v>
      </c>
      <c r="Y7" s="84">
        <v>0.52777777777777801</v>
      </c>
      <c r="Z7" s="90"/>
      <c r="AA7" s="90"/>
      <c r="AB7" s="407"/>
      <c r="AC7" s="407"/>
      <c r="AD7" s="92"/>
      <c r="AE7" s="92"/>
      <c r="AF7" s="307">
        <f t="shared" si="1"/>
        <v>-219.99999999999977</v>
      </c>
      <c r="AG7" s="72">
        <f t="shared" si="2"/>
        <v>0.90222222222222237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f>1708+14</f>
        <v>1722</v>
      </c>
      <c r="H8" s="78">
        <f>F8*G8</f>
        <v>84619.08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2066.4000000000137</v>
      </c>
      <c r="O8" s="81">
        <f>N8/M8</f>
        <v>137.76000000000093</v>
      </c>
      <c r="P8" s="74">
        <f>M8-J8</f>
        <v>0</v>
      </c>
      <c r="Q8" s="83">
        <f>O8-L8</f>
        <v>-12.239999999999071</v>
      </c>
      <c r="R8" s="72">
        <f>O8/L8</f>
        <v>0.91840000000000621</v>
      </c>
      <c r="S8" s="440"/>
      <c r="T8" s="16">
        <v>0.57291666666666696</v>
      </c>
      <c r="U8" s="16">
        <v>0.60763888888888895</v>
      </c>
      <c r="V8" s="30">
        <f>(T8-U7)*24*60</f>
        <v>139.00000000000031</v>
      </c>
      <c r="W8" s="73">
        <f t="shared" si="0"/>
        <v>49.999999999999659</v>
      </c>
      <c r="X8" s="22"/>
      <c r="Y8" s="84"/>
      <c r="Z8" s="90"/>
      <c r="AA8" s="90"/>
      <c r="AB8" s="520" t="s">
        <v>211</v>
      </c>
      <c r="AC8" s="520"/>
      <c r="AD8" s="149"/>
      <c r="AE8" s="149"/>
      <c r="AF8" s="307">
        <f t="shared" si="1"/>
        <v>-183.59999999998627</v>
      </c>
      <c r="AG8" s="72">
        <f t="shared" si="2"/>
        <v>0.9184000000000061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/>
      <c r="AG9" s="72"/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/>
      <c r="AG10" s="72"/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/>
      <c r="AG11" s="72"/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2061.4524844720527</v>
      </c>
      <c r="O15" s="117">
        <f t="shared" si="3"/>
        <v>137.4301656314702</v>
      </c>
      <c r="P15" s="121">
        <f>M15-J15</f>
        <v>0</v>
      </c>
      <c r="Q15" s="122">
        <f>O15-L15</f>
        <v>-12.569834368529797</v>
      </c>
      <c r="R15" s="123">
        <f>O15/L15</f>
        <v>0.91620110420980139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>N15-K15</f>
        <v>-188.54751552794733</v>
      </c>
      <c r="AG15" s="124">
        <f>N15/K15</f>
        <v>0.91620110420980116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1890</v>
      </c>
      <c r="H16" s="134">
        <f>F16*G16</f>
        <v>95766.3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1829.0322580644988</v>
      </c>
      <c r="O16" s="141">
        <f>N16/M16</f>
        <v>130.64516129032134</v>
      </c>
      <c r="P16" s="142">
        <f>M16-J16</f>
        <v>0</v>
      </c>
      <c r="Q16" s="143">
        <f>O16-L16</f>
        <v>-30.069124423964382</v>
      </c>
      <c r="R16" s="144">
        <f>O16/L16</f>
        <v>0.81290322580644381</v>
      </c>
      <c r="S16" s="425">
        <f>R26</f>
        <v>0.84506980338872162</v>
      </c>
      <c r="T16" s="145">
        <v>0.29236111111111102</v>
      </c>
      <c r="U16" s="145">
        <v>0.33541666666666697</v>
      </c>
      <c r="V16" s="135"/>
      <c r="W16" s="146">
        <f t="shared" ref="W16:W78" si="4">(U16-T16)*24*60</f>
        <v>62.000000000000583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-420.96774193550118</v>
      </c>
      <c r="AG16" s="52">
        <f>N16/K16</f>
        <v>0.81290322580644392</v>
      </c>
      <c r="AH16" s="403">
        <f>AG26</f>
        <v>0.84514500009482341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1727</v>
      </c>
      <c r="H17" s="78">
        <f>F17*G17</f>
        <v>98801.67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1918.8888888888898</v>
      </c>
      <c r="O17" s="96">
        <f>N17/M17</f>
        <v>112.87581699346411</v>
      </c>
      <c r="P17" s="97">
        <f>M17-J17</f>
        <v>0</v>
      </c>
      <c r="Q17" s="98">
        <f>O17-L17</f>
        <v>-19.477124183006467</v>
      </c>
      <c r="R17" s="99">
        <f>O17/L17</f>
        <v>0.85283950617283999</v>
      </c>
      <c r="S17" s="426"/>
      <c r="T17" s="19">
        <v>0.34166666666666701</v>
      </c>
      <c r="U17" s="19">
        <v>0.37916666666666698</v>
      </c>
      <c r="V17" s="30">
        <f>(T17-U16)*24*60</f>
        <v>9.000000000000048</v>
      </c>
      <c r="W17" s="149">
        <f t="shared" si="4"/>
        <v>53.999999999999972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-331.11111111111018</v>
      </c>
      <c r="AG17" s="72">
        <f>N17/K17</f>
        <v>0.85283950617283988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f>1056+40</f>
        <v>1096</v>
      </c>
      <c r="H18" s="78">
        <f>F18*G18</f>
        <v>62044.56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1878.8571428571881</v>
      </c>
      <c r="O18" s="96">
        <f>N18/M18</f>
        <v>125.25714285714588</v>
      </c>
      <c r="P18" s="97">
        <f>M18-J18</f>
        <v>0</v>
      </c>
      <c r="Q18" s="98">
        <f>O18-L18</f>
        <v>-24.74285714285412</v>
      </c>
      <c r="R18" s="99">
        <f>O18/L18</f>
        <v>0.83504761904763924</v>
      </c>
      <c r="S18" s="426"/>
      <c r="T18" s="19">
        <v>0.38888888888888901</v>
      </c>
      <c r="U18" s="19">
        <v>0.41319444444444398</v>
      </c>
      <c r="V18" s="30">
        <f>(T18-U17)*24*60</f>
        <v>13.99999999999971</v>
      </c>
      <c r="W18" s="149">
        <f t="shared" si="4"/>
        <v>34.999999999999154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-371.14285714281186</v>
      </c>
      <c r="AG18" s="72">
        <f>N18/K18</f>
        <v>0.83504761904763913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2685</v>
      </c>
      <c r="H19" s="78">
        <f t="shared" ref="H19:H21" si="5">F19*G19</f>
        <v>135297.15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1988.8888888888901</v>
      </c>
      <c r="O19" s="96">
        <f t="shared" ref="O19:O21" si="8">N19/M19</f>
        <v>152.99145299145309</v>
      </c>
      <c r="P19" s="97">
        <f t="shared" ref="P19:P21" si="9">M19-J19</f>
        <v>0</v>
      </c>
      <c r="Q19" s="98">
        <f t="shared" ref="Q19:Q21" si="10">O19-L19</f>
        <v>-20.085470085469979</v>
      </c>
      <c r="R19" s="99">
        <f t="shared" ref="R19:R21" si="11">O19/L19</f>
        <v>0.88395061728395119</v>
      </c>
      <c r="S19" s="426"/>
      <c r="T19" s="19">
        <v>0.42013888888888901</v>
      </c>
      <c r="U19" s="19">
        <v>0.47638888888888897</v>
      </c>
      <c r="V19" s="30">
        <f>(T19-U18)*24*60</f>
        <v>10.000000000000844</v>
      </c>
      <c r="W19" s="149">
        <f t="shared" si="4"/>
        <v>80.999999999999957</v>
      </c>
      <c r="X19" s="22">
        <v>0.48611111111111099</v>
      </c>
      <c r="Y19" s="84">
        <v>0.52777777777777801</v>
      </c>
      <c r="Z19" s="90"/>
      <c r="AA19" s="90"/>
      <c r="AB19" s="434"/>
      <c r="AC19" s="434"/>
      <c r="AD19" s="149"/>
      <c r="AE19" s="149"/>
      <c r="AF19" s="307">
        <f>N19-K19</f>
        <v>-261.11111111110995</v>
      </c>
      <c r="AG19" s="72">
        <f>N19/K19</f>
        <v>0.88395061728395108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1882</v>
      </c>
      <c r="H20" s="78">
        <f t="shared" si="5"/>
        <v>94833.98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1821.2903225806656</v>
      </c>
      <c r="O20" s="96">
        <f t="shared" si="8"/>
        <v>140.09925558312813</v>
      </c>
      <c r="P20" s="97">
        <f t="shared" si="9"/>
        <v>0</v>
      </c>
      <c r="Q20" s="98">
        <f t="shared" si="10"/>
        <v>-32.977667493794939</v>
      </c>
      <c r="R20" s="99">
        <f t="shared" si="11"/>
        <v>0.80946236559140705</v>
      </c>
      <c r="S20" s="426"/>
      <c r="T20" s="19">
        <v>0.54166666666666696</v>
      </c>
      <c r="U20" s="19">
        <v>0.58472222222222203</v>
      </c>
      <c r="V20" s="30">
        <f>(T20-U19)*24*60</f>
        <v>94.000000000000313</v>
      </c>
      <c r="W20" s="149">
        <f t="shared" si="4"/>
        <v>61.999999999999304</v>
      </c>
      <c r="X20" s="19"/>
      <c r="Y20" s="297"/>
      <c r="Z20" s="90"/>
      <c r="AA20" s="90"/>
      <c r="AB20" s="407"/>
      <c r="AC20" s="407"/>
      <c r="AD20" s="92"/>
      <c r="AE20" s="92"/>
      <c r="AF20" s="307">
        <f t="shared" ref="AF20:AF21" si="12">N20-K20</f>
        <v>-428.70967741933441</v>
      </c>
      <c r="AG20" s="72">
        <f t="shared" ref="AG20:AG21" si="13">N20/K20</f>
        <v>0.80946236559140694</v>
      </c>
      <c r="AH20" s="405"/>
    </row>
    <row r="21" spans="1:34" ht="15" customHeight="1">
      <c r="A21" s="423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v>1315</v>
      </c>
      <c r="H21" s="78">
        <f t="shared" si="5"/>
        <v>66631.05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1972.4999999999834</v>
      </c>
      <c r="O21" s="96">
        <f t="shared" si="8"/>
        <v>140.89285714285595</v>
      </c>
      <c r="P21" s="97">
        <f t="shared" si="9"/>
        <v>0</v>
      </c>
      <c r="Q21" s="98">
        <f t="shared" si="10"/>
        <v>-19.821428571429777</v>
      </c>
      <c r="R21" s="99">
        <f t="shared" si="11"/>
        <v>0.87666666666665916</v>
      </c>
      <c r="S21" s="426"/>
      <c r="T21" s="19">
        <v>0.59097222222222201</v>
      </c>
      <c r="U21" s="19">
        <v>0.61875000000000002</v>
      </c>
      <c r="V21" s="30">
        <f>(T21-U20)*24*60</f>
        <v>8.999999999999968</v>
      </c>
      <c r="W21" s="149">
        <f t="shared" si="4"/>
        <v>40.000000000000341</v>
      </c>
      <c r="X21" s="92"/>
      <c r="Y21" s="298"/>
      <c r="Z21" s="90"/>
      <c r="AA21" s="90"/>
      <c r="AB21" s="407"/>
      <c r="AC21" s="407"/>
      <c r="AD21" s="92"/>
      <c r="AE21" s="92"/>
      <c r="AF21" s="307">
        <f t="shared" si="12"/>
        <v>-277.5000000000166</v>
      </c>
      <c r="AG21" s="72">
        <f t="shared" si="13"/>
        <v>0.87666666666665927</v>
      </c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9"/>
      <c r="U22" s="19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4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4">AVERAGE(J16:J25)</f>
        <v>14.333333333333334</v>
      </c>
      <c r="K26" s="155">
        <f t="shared" si="14"/>
        <v>2250</v>
      </c>
      <c r="L26" s="158">
        <f t="shared" si="14"/>
        <v>158.32255979314803</v>
      </c>
      <c r="M26" s="155">
        <f t="shared" si="14"/>
        <v>14.333333333333334</v>
      </c>
      <c r="N26" s="155">
        <f t="shared" si="14"/>
        <v>1901.5762502133528</v>
      </c>
      <c r="O26" s="158">
        <f t="shared" si="14"/>
        <v>133.79361447639474</v>
      </c>
      <c r="P26" s="159">
        <f>M26-J26</f>
        <v>0</v>
      </c>
      <c r="Q26" s="160">
        <f>O26-L26</f>
        <v>-24.528945316753294</v>
      </c>
      <c r="R26" s="161">
        <f>O26/L26</f>
        <v>0.84506980338872162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5">N26-K26</f>
        <v>-348.42374978664725</v>
      </c>
      <c r="AG26" s="124">
        <f t="shared" ref="AG26:AG31" si="16">N26/K26</f>
        <v>0.84514500009482341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124</v>
      </c>
      <c r="E27" s="132"/>
      <c r="F27" s="129">
        <f>VLOOKUP(D27,廠價表!$C$1:$E$43,3,0)</f>
        <v>57.21</v>
      </c>
      <c r="G27" s="169">
        <v>2498</v>
      </c>
      <c r="H27" s="134">
        <f>F27*G27</f>
        <v>142910.58000000002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1375.0458715596419</v>
      </c>
      <c r="O27" s="141">
        <f>N27/M27</f>
        <v>80.885051268214227</v>
      </c>
      <c r="P27" s="142">
        <f>M27-J27</f>
        <v>-1</v>
      </c>
      <c r="Q27" s="143">
        <f>O27-L27</f>
        <v>-10.003837620674659</v>
      </c>
      <c r="R27" s="144">
        <f>O27/L27</f>
        <v>0.88993332691189253</v>
      </c>
      <c r="S27" s="425">
        <f>R37</f>
        <v>0.84122591902641985</v>
      </c>
      <c r="T27" s="171">
        <v>0.29027777777777802</v>
      </c>
      <c r="U27" s="171">
        <v>0.36597222222222198</v>
      </c>
      <c r="V27" s="135"/>
      <c r="W27" s="146">
        <f t="shared" si="4"/>
        <v>108.99999999999929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15"/>
        <v>-260.95412844035809</v>
      </c>
      <c r="AG27" s="172">
        <f t="shared" si="16"/>
        <v>0.84049258652789849</v>
      </c>
      <c r="AH27" s="403">
        <f>AG37</f>
        <v>0.74993327103318164</v>
      </c>
    </row>
    <row r="28" spans="1:34" ht="15" customHeight="1">
      <c r="A28" s="457"/>
      <c r="B28" s="75" t="s">
        <v>81</v>
      </c>
      <c r="C28" s="173"/>
      <c r="D28" s="59" t="s">
        <v>168</v>
      </c>
      <c r="E28" s="104"/>
      <c r="F28" s="75">
        <f>VLOOKUP(D28,廠價表!$C$1:$E$43,3,0)</f>
        <v>57.21</v>
      </c>
      <c r="G28" s="90">
        <v>888</v>
      </c>
      <c r="H28" s="91">
        <f>F28*G28</f>
        <v>50802.48</v>
      </c>
      <c r="I28" s="92"/>
      <c r="J28" s="79">
        <f>VLOOKUP(D28,產線配置圖!$A$3:$C$40,2,0)</f>
        <v>18</v>
      </c>
      <c r="K28" s="80">
        <f>VLOOKUP(D28,產線配置圖!$A$3:$C$40,3,0)</f>
        <v>1565</v>
      </c>
      <c r="L28" s="93">
        <f>K28/J28</f>
        <v>86.944444444444443</v>
      </c>
      <c r="M28" s="94">
        <v>17</v>
      </c>
      <c r="N28" s="95">
        <f>G28/W28*60</f>
        <v>1299.512195121961</v>
      </c>
      <c r="O28" s="96">
        <f>N28/M28</f>
        <v>76.441893830703592</v>
      </c>
      <c r="P28" s="97">
        <f>M28-J28</f>
        <v>-1</v>
      </c>
      <c r="Q28" s="98">
        <f>O28-L28</f>
        <v>-10.502550613740851</v>
      </c>
      <c r="R28" s="99">
        <f>O28/L28</f>
        <v>0.87920389070457805</v>
      </c>
      <c r="S28" s="426"/>
      <c r="T28" s="19">
        <v>0.37291666666666701</v>
      </c>
      <c r="U28" s="19">
        <v>0.40138888888888902</v>
      </c>
      <c r="V28" s="92">
        <f>(T28-U27)*24*60</f>
        <v>10.000000000000844</v>
      </c>
      <c r="W28" s="149">
        <f t="shared" si="4"/>
        <v>40.999999999999694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15"/>
        <v>-265.48780487803901</v>
      </c>
      <c r="AG28" s="99">
        <f t="shared" si="16"/>
        <v>0.83035923010987922</v>
      </c>
      <c r="AH28" s="445"/>
    </row>
    <row r="29" spans="1:34" ht="15" customHeight="1">
      <c r="A29" s="457"/>
      <c r="B29" s="75" t="s">
        <v>81</v>
      </c>
      <c r="C29" s="173"/>
      <c r="D29" s="59" t="s">
        <v>123</v>
      </c>
      <c r="E29" s="104"/>
      <c r="F29" s="75">
        <f>VLOOKUP(D29,廠價表!$C$1:$E$43,3,0)</f>
        <v>50.67</v>
      </c>
      <c r="G29" s="90">
        <f>1015+118</f>
        <v>1133</v>
      </c>
      <c r="H29" s="91">
        <f>F29*G29</f>
        <v>57409.11</v>
      </c>
      <c r="I29" s="92"/>
      <c r="J29" s="79">
        <f>VLOOKUP(D29,產線配置圖!$A$3:$C$40,2,0)</f>
        <v>13</v>
      </c>
      <c r="K29" s="80">
        <v>1636</v>
      </c>
      <c r="L29" s="93">
        <f>K29/J29</f>
        <v>125.84615384615384</v>
      </c>
      <c r="M29" s="94">
        <v>13</v>
      </c>
      <c r="N29" s="95">
        <f>G29/W29*60</f>
        <v>1359.6000000000092</v>
      </c>
      <c r="O29" s="96">
        <f>N29/M29</f>
        <v>104.5846153846161</v>
      </c>
      <c r="P29" s="97">
        <f>M29-J29</f>
        <v>0</v>
      </c>
      <c r="Q29" s="98">
        <f>O29-L29</f>
        <v>-21.261538461537739</v>
      </c>
      <c r="R29" s="99">
        <f>O29/L29</f>
        <v>0.83105134474328202</v>
      </c>
      <c r="S29" s="426"/>
      <c r="T29" s="19">
        <v>0.40972222222222199</v>
      </c>
      <c r="U29" s="19">
        <v>0.44444444444444398</v>
      </c>
      <c r="V29" s="92">
        <f>(T29-U28)*24*60</f>
        <v>11.999999999999478</v>
      </c>
      <c r="W29" s="149">
        <f t="shared" si="4"/>
        <v>49.999999999999659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15"/>
        <v>-276.39999999999077</v>
      </c>
      <c r="AG29" s="99">
        <f t="shared" si="16"/>
        <v>0.83105134474328191</v>
      </c>
      <c r="AH29" s="445"/>
    </row>
    <row r="30" spans="1:34" ht="15" customHeight="1">
      <c r="A30" s="457"/>
      <c r="B30" s="75" t="s">
        <v>81</v>
      </c>
      <c r="C30" s="88"/>
      <c r="D30" s="59" t="s">
        <v>122</v>
      </c>
      <c r="E30" s="89"/>
      <c r="F30" s="75">
        <f>VLOOKUP(D30,廠價表!$C$1:$E$43,3,0)</f>
        <v>57.21</v>
      </c>
      <c r="G30" s="90">
        <v>560</v>
      </c>
      <c r="H30" s="91">
        <f t="shared" ref="H30:H32" si="17">F30*G30</f>
        <v>32037.600000000002</v>
      </c>
      <c r="I30" s="92"/>
      <c r="J30" s="79">
        <f>VLOOKUP(D30,產線配置圖!$A$3:$C$40,2,0)</f>
        <v>18</v>
      </c>
      <c r="K30" s="80">
        <f>VLOOKUP(D30,產線配置圖!$A$3:$C$40,3,0)</f>
        <v>1565</v>
      </c>
      <c r="L30" s="93">
        <f t="shared" ref="L30:L32" si="18">K30/J30</f>
        <v>86.944444444444443</v>
      </c>
      <c r="M30" s="94">
        <v>14</v>
      </c>
      <c r="N30" s="95">
        <f t="shared" ref="N30:N32" si="19">G30/W30*60</f>
        <v>819.51219512195723</v>
      </c>
      <c r="O30" s="96">
        <f t="shared" ref="O30:O32" si="20">N30/M30</f>
        <v>58.536585365854087</v>
      </c>
      <c r="P30" s="97">
        <f t="shared" ref="P30:P32" si="21">M30-J30</f>
        <v>-4</v>
      </c>
      <c r="Q30" s="98">
        <f t="shared" ref="Q30:Q32" si="22">O30-L30</f>
        <v>-28.407859078590356</v>
      </c>
      <c r="R30" s="99">
        <f t="shared" ref="R30:R32" si="23">O30/L30</f>
        <v>0.67326424062963164</v>
      </c>
      <c r="S30" s="426"/>
      <c r="T30" s="19">
        <v>0.45138888888888901</v>
      </c>
      <c r="U30" s="19">
        <v>0.47986111111111102</v>
      </c>
      <c r="V30" s="92">
        <f>(T30-U29)*24*60</f>
        <v>10.000000000000844</v>
      </c>
      <c r="W30" s="149">
        <f t="shared" si="4"/>
        <v>40.999999999999694</v>
      </c>
      <c r="X30" s="174">
        <v>0.48611111111111099</v>
      </c>
      <c r="Y30" s="301">
        <v>0.52777777777777801</v>
      </c>
      <c r="Z30" s="335"/>
      <c r="AA30" s="335"/>
      <c r="AB30" s="407" t="s">
        <v>212</v>
      </c>
      <c r="AC30" s="407"/>
      <c r="AD30" s="92">
        <v>1</v>
      </c>
      <c r="AE30" s="92">
        <v>1</v>
      </c>
      <c r="AF30" s="312">
        <f t="shared" si="15"/>
        <v>-745.48780487804277</v>
      </c>
      <c r="AG30" s="99">
        <f t="shared" si="16"/>
        <v>0.52364996493415794</v>
      </c>
      <c r="AH30" s="446"/>
    </row>
    <row r="31" spans="1:34" ht="15" customHeight="1">
      <c r="A31" s="457"/>
      <c r="B31" s="75" t="s">
        <v>81</v>
      </c>
      <c r="C31" s="88"/>
      <c r="D31" s="175" t="s">
        <v>168</v>
      </c>
      <c r="E31" s="176"/>
      <c r="F31" s="75">
        <f>VLOOKUP(D31,廠價表!$C$1:$E$43,3,0)</f>
        <v>57.21</v>
      </c>
      <c r="G31" s="90">
        <v>1362</v>
      </c>
      <c r="H31" s="91">
        <f t="shared" si="17"/>
        <v>77920.02</v>
      </c>
      <c r="I31" s="92"/>
      <c r="J31" s="79">
        <f>VLOOKUP(D31,產線配置圖!$A$3:$C$40,2,0)</f>
        <v>18</v>
      </c>
      <c r="K31" s="80">
        <v>1636</v>
      </c>
      <c r="L31" s="93">
        <f t="shared" si="18"/>
        <v>90.888888888888886</v>
      </c>
      <c r="M31" s="94">
        <v>14</v>
      </c>
      <c r="N31" s="95">
        <f t="shared" si="19"/>
        <v>1167.4285714285729</v>
      </c>
      <c r="O31" s="96">
        <f t="shared" si="20"/>
        <v>83.387755102040927</v>
      </c>
      <c r="P31" s="97">
        <f t="shared" si="21"/>
        <v>-4</v>
      </c>
      <c r="Q31" s="98">
        <f t="shared" si="22"/>
        <v>-7.5011337868479586</v>
      </c>
      <c r="R31" s="99">
        <f t="shared" si="23"/>
        <v>0.91746918816426448</v>
      </c>
      <c r="S31" s="426"/>
      <c r="T31" s="19">
        <v>0.53958333333333297</v>
      </c>
      <c r="U31" s="19">
        <v>0.58819444444444402</v>
      </c>
      <c r="V31" s="92">
        <f t="shared" ref="V31:V32" si="24">(T31-U30)*24*60</f>
        <v>85.999999999999616</v>
      </c>
      <c r="W31" s="149">
        <f t="shared" si="4"/>
        <v>69.999999999999915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5"/>
        <v>-468.57142857142708</v>
      </c>
      <c r="AG31" s="99">
        <f t="shared" si="16"/>
        <v>0.71358714634998344</v>
      </c>
      <c r="AH31" s="405"/>
    </row>
    <row r="32" spans="1:34" ht="15" customHeight="1">
      <c r="A32" s="457"/>
      <c r="B32" s="75" t="s">
        <v>81</v>
      </c>
      <c r="C32" s="102"/>
      <c r="D32" s="59" t="s">
        <v>206</v>
      </c>
      <c r="E32" s="176"/>
      <c r="F32" s="75">
        <f>VLOOKUP(D32,廠價表!$C$1:$E$43,3,0)</f>
        <v>45.66</v>
      </c>
      <c r="G32" s="90">
        <v>962</v>
      </c>
      <c r="H32" s="91">
        <f t="shared" si="17"/>
        <v>43924.92</v>
      </c>
      <c r="I32" s="92"/>
      <c r="J32" s="79">
        <f>VLOOKUP(D32,產線配置圖!$A$3:$C$40,2,0)</f>
        <v>17</v>
      </c>
      <c r="K32" s="80">
        <f>VLOOKUP(D32,產線配置圖!$A$3:$C$40,3,0)</f>
        <v>1500</v>
      </c>
      <c r="L32" s="93">
        <f t="shared" si="18"/>
        <v>88.235294117647058</v>
      </c>
      <c r="M32" s="94">
        <v>15</v>
      </c>
      <c r="N32" s="95">
        <f t="shared" si="19"/>
        <v>1131.7647058823429</v>
      </c>
      <c r="O32" s="96">
        <f t="shared" si="20"/>
        <v>75.450980392156197</v>
      </c>
      <c r="P32" s="97">
        <f t="shared" si="21"/>
        <v>-2</v>
      </c>
      <c r="Q32" s="98">
        <f t="shared" si="22"/>
        <v>-12.784313725490861</v>
      </c>
      <c r="R32" s="99">
        <f t="shared" si="23"/>
        <v>0.85511111111110361</v>
      </c>
      <c r="S32" s="426"/>
      <c r="T32" s="19">
        <v>0.59513888888888899</v>
      </c>
      <c r="U32" s="19">
        <v>0.63055555555555598</v>
      </c>
      <c r="V32" s="92">
        <f t="shared" si="24"/>
        <v>10.000000000000764</v>
      </c>
      <c r="W32" s="149">
        <f t="shared" si="4"/>
        <v>51.000000000000455</v>
      </c>
      <c r="X32" s="174"/>
      <c r="Y32" s="301"/>
      <c r="Z32" s="335"/>
      <c r="AA32" s="335"/>
      <c r="AB32" s="407"/>
      <c r="AC32" s="407"/>
      <c r="AD32" s="92"/>
      <c r="AE32" s="92"/>
      <c r="AF32" s="312">
        <f>N32-K32</f>
        <v>-368.23529411765708</v>
      </c>
      <c r="AG32" s="99">
        <f>N32/K32</f>
        <v>0.75450980392156197</v>
      </c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5">AVERAGE(J27:J36)</f>
        <v>17</v>
      </c>
      <c r="K37" s="155">
        <f t="shared" si="25"/>
        <v>1589.6666666666667</v>
      </c>
      <c r="L37" s="158">
        <f t="shared" si="25"/>
        <v>94.958019105077938</v>
      </c>
      <c r="M37" s="155">
        <f t="shared" si="25"/>
        <v>15</v>
      </c>
      <c r="N37" s="155">
        <f t="shared" si="25"/>
        <v>1192.1439231857478</v>
      </c>
      <c r="O37" s="158">
        <f t="shared" si="25"/>
        <v>79.88114689059752</v>
      </c>
      <c r="P37" s="159">
        <f>M37-J37</f>
        <v>-2</v>
      </c>
      <c r="Q37" s="160">
        <f>N37-K37</f>
        <v>-397.52274348091896</v>
      </c>
      <c r="R37" s="161">
        <f t="shared" ref="R37:R40" si="26">O37/L37</f>
        <v>0.84122591902641985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1</v>
      </c>
      <c r="AE37" s="324">
        <f>SUM(AE27:AE36)</f>
        <v>1</v>
      </c>
      <c r="AF37" s="309">
        <f>N37-K37</f>
        <v>-397.52274348091896</v>
      </c>
      <c r="AG37" s="124">
        <f>N37/K37</f>
        <v>0.74993327103318164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3083</v>
      </c>
      <c r="H38" s="134">
        <f>F38*G38</f>
        <v>153872.53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1581.0256410256411</v>
      </c>
      <c r="O38" s="141">
        <f>N38/M38</f>
        <v>105.40170940170941</v>
      </c>
      <c r="P38" s="142">
        <f>M38-J38</f>
        <v>0</v>
      </c>
      <c r="Q38" s="143">
        <f>O38-L38</f>
        <v>-8.8649572649572548</v>
      </c>
      <c r="R38" s="144">
        <f t="shared" si="26"/>
        <v>0.92241869371390972</v>
      </c>
      <c r="S38" s="453">
        <f>R48</f>
        <v>0.86266875859694625</v>
      </c>
      <c r="T38" s="191">
        <v>0.33194444444444399</v>
      </c>
      <c r="U38" s="191">
        <v>0.41319444444444398</v>
      </c>
      <c r="V38" s="192"/>
      <c r="W38" s="193">
        <f t="shared" si="4"/>
        <v>116.99999999999999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-132.97435897435889</v>
      </c>
      <c r="AG38" s="195">
        <f>N38/K38</f>
        <v>0.92241869371390961</v>
      </c>
      <c r="AH38" s="459">
        <f>AG48</f>
        <v>0.82799852407253194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2071</v>
      </c>
      <c r="H39" s="91">
        <f>F39*G39</f>
        <v>91745.299999999988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16</v>
      </c>
      <c r="N39" s="202">
        <f>G39/W39*60</f>
        <v>1308.0000000000048</v>
      </c>
      <c r="O39" s="203">
        <f>N39/M39</f>
        <v>81.750000000000298</v>
      </c>
      <c r="P39" s="97">
        <f>M39-J39</f>
        <v>-1</v>
      </c>
      <c r="Q39" s="98">
        <f>O39-L39</f>
        <v>-14.48529411764676</v>
      </c>
      <c r="R39" s="99">
        <f t="shared" si="26"/>
        <v>0.84948044009780266</v>
      </c>
      <c r="S39" s="454"/>
      <c r="T39" s="20">
        <v>0.41666666666666702</v>
      </c>
      <c r="U39" s="20">
        <v>0.48263888888888901</v>
      </c>
      <c r="V39" s="92">
        <f>(T39-U38)*24*60</f>
        <v>5.0000000000011813</v>
      </c>
      <c r="W39" s="205">
        <f t="shared" si="4"/>
        <v>94.999999999999659</v>
      </c>
      <c r="X39" s="22"/>
      <c r="Y39" s="84"/>
      <c r="Z39" s="90"/>
      <c r="AA39" s="90"/>
      <c r="AD39" s="200"/>
      <c r="AE39" s="200"/>
      <c r="AF39" s="314">
        <f>N39-K39</f>
        <v>-327.99999999999523</v>
      </c>
      <c r="AG39" s="206">
        <f>N39/K39</f>
        <v>0.79951100244499074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v>2644</v>
      </c>
      <c r="H40" s="91">
        <f>F40*G40</f>
        <v>117129.2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16</v>
      </c>
      <c r="N40" s="202">
        <f>G40/W40*60</f>
        <v>1239.3749999999982</v>
      </c>
      <c r="O40" s="203">
        <f>N40/M40</f>
        <v>77.460937499999886</v>
      </c>
      <c r="P40" s="97">
        <f>M40-J40</f>
        <v>-1</v>
      </c>
      <c r="Q40" s="98">
        <f>O40-L40</f>
        <v>-18.774356617647172</v>
      </c>
      <c r="R40" s="99">
        <f t="shared" si="26"/>
        <v>0.80491194223716267</v>
      </c>
      <c r="S40" s="440"/>
      <c r="T40" s="20">
        <v>0.54166666666666696</v>
      </c>
      <c r="U40" s="20">
        <v>0.63055555555555598</v>
      </c>
      <c r="V40" s="92">
        <f>(T40-U39)*24*60</f>
        <v>85.000000000000256</v>
      </c>
      <c r="W40" s="205">
        <f t="shared" si="4"/>
        <v>128.00000000000017</v>
      </c>
      <c r="X40" s="208"/>
      <c r="Y40" s="209"/>
      <c r="Z40" s="337"/>
      <c r="AA40" s="337"/>
      <c r="AB40" s="462" t="s">
        <v>207</v>
      </c>
      <c r="AC40" s="462"/>
      <c r="AD40" s="92"/>
      <c r="AE40" s="92"/>
      <c r="AF40" s="314">
        <f>N40-K40</f>
        <v>-396.62500000000182</v>
      </c>
      <c r="AG40" s="206">
        <f>N40/K40</f>
        <v>0.75756418092909428</v>
      </c>
      <c r="AH40" s="460"/>
    </row>
    <row r="41" spans="1:34" ht="15" customHeight="1">
      <c r="A41" s="45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40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0</v>
      </c>
      <c r="AG41" s="206" t="e">
        <f>N41/K41</f>
        <v>#DIV/0!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7">AVERAGE(J38:J47)</f>
        <v>16.333333333333332</v>
      </c>
      <c r="K48" s="155">
        <f t="shared" si="27"/>
        <v>1662</v>
      </c>
      <c r="L48" s="158">
        <f t="shared" si="27"/>
        <v>102.24575163398693</v>
      </c>
      <c r="M48" s="155">
        <f t="shared" si="27"/>
        <v>15.666666666666666</v>
      </c>
      <c r="N48" s="155">
        <f t="shared" si="27"/>
        <v>1376.133547008548</v>
      </c>
      <c r="O48" s="158">
        <f t="shared" si="27"/>
        <v>88.204215633903189</v>
      </c>
      <c r="P48" s="221">
        <f>M48-J48</f>
        <v>-0.66666666666666607</v>
      </c>
      <c r="Q48" s="222">
        <f>N48-K48</f>
        <v>-285.86645299145198</v>
      </c>
      <c r="R48" s="223">
        <f t="shared" ref="R48:R51" si="28">O48/L48</f>
        <v>0.86266875859694625</v>
      </c>
      <c r="S48" s="443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29">N48-K48</f>
        <v>-285.86645299145198</v>
      </c>
      <c r="AG48" s="162">
        <f t="shared" ref="AG48:AG53" si="30">N48/K48</f>
        <v>0.82799852407253194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f>2191+11</f>
        <v>2202</v>
      </c>
      <c r="H49" s="134">
        <f>F49*G49</f>
        <v>109043.04000000001</v>
      </c>
      <c r="I49" s="135"/>
      <c r="J49" s="36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16</v>
      </c>
      <c r="N49" s="140">
        <f>G49/W49*60</f>
        <v>1611.2195121951356</v>
      </c>
      <c r="O49" s="141">
        <f>N49/M49</f>
        <v>100.70121951219598</v>
      </c>
      <c r="P49" s="229">
        <f>M49-J49</f>
        <v>-1</v>
      </c>
      <c r="Q49" s="230">
        <f>O49-L49</f>
        <v>-5.1811334289804876</v>
      </c>
      <c r="R49" s="52">
        <f t="shared" si="28"/>
        <v>0.9510670731707398</v>
      </c>
      <c r="S49" s="439">
        <f>R58</f>
        <v>0.92559836989936606</v>
      </c>
      <c r="T49" s="191">
        <v>0.29027777777777802</v>
      </c>
      <c r="U49" s="191">
        <v>0.34722222222222199</v>
      </c>
      <c r="V49" s="55"/>
      <c r="W49" s="193">
        <f t="shared" si="4"/>
        <v>81.999999999999304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29"/>
        <v>-188.78048780486438</v>
      </c>
      <c r="AG49" s="52">
        <f t="shared" si="30"/>
        <v>0.89512195121951976</v>
      </c>
      <c r="AH49" s="403">
        <f>AG58</f>
        <v>0.91326773361744196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2725</v>
      </c>
      <c r="H50" s="231">
        <f>F50*G50</f>
        <v>137037.52499999999</v>
      </c>
      <c r="I50" s="177"/>
      <c r="J50" s="148">
        <f>VLOOKUP(D50,產線配置圖!$A$3:$C$40,2,0)</f>
        <v>18</v>
      </c>
      <c r="K50" s="62">
        <v>1636</v>
      </c>
      <c r="L50" s="81">
        <f>K50/J50</f>
        <v>90.888888888888886</v>
      </c>
      <c r="M50" s="233">
        <v>17</v>
      </c>
      <c r="N50" s="234">
        <f>G50/W50*60</f>
        <v>1542.4528301886824</v>
      </c>
      <c r="O50" s="235">
        <f>N50/M50</f>
        <v>90.732519422863675</v>
      </c>
      <c r="P50" s="74">
        <f>M50-J50</f>
        <v>-1</v>
      </c>
      <c r="Q50" s="83">
        <f>O50-L50</f>
        <v>-0.15636946602521107</v>
      </c>
      <c r="R50" s="72">
        <f t="shared" si="28"/>
        <v>0.99827955355228981</v>
      </c>
      <c r="S50" s="440"/>
      <c r="T50" s="21">
        <v>0.35347222222222202</v>
      </c>
      <c r="U50" s="21">
        <v>0.42708333333333298</v>
      </c>
      <c r="V50" s="30">
        <f>(T50-U49)*24*60</f>
        <v>9.000000000000048</v>
      </c>
      <c r="W50" s="236">
        <f t="shared" si="4"/>
        <v>105.99999999999979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29"/>
        <v>-93.547169811317644</v>
      </c>
      <c r="AG50" s="72">
        <f t="shared" si="30"/>
        <v>0.94281957835494035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v>49.97</v>
      </c>
      <c r="G51" s="202">
        <v>1421</v>
      </c>
      <c r="H51" s="231">
        <v>71007.37</v>
      </c>
      <c r="I51" s="177"/>
      <c r="J51" s="148">
        <f>VLOOKUP(D51,產線配置圖!$A$3:$C$40,2,0)</f>
        <v>16</v>
      </c>
      <c r="K51" s="62">
        <v>1800</v>
      </c>
      <c r="L51" s="81">
        <f t="shared" ref="L51:L52" si="31">K51/J51</f>
        <v>112.5</v>
      </c>
      <c r="M51" s="233">
        <v>16</v>
      </c>
      <c r="N51" s="234">
        <f t="shared" ref="N51:N52" si="32">G51/W51*60</f>
        <v>1578.8888888888896</v>
      </c>
      <c r="O51" s="235">
        <f t="shared" ref="O51:O52" si="33">N51/M51</f>
        <v>98.6805555555556</v>
      </c>
      <c r="P51" s="74">
        <v>-1</v>
      </c>
      <c r="Q51" s="83">
        <f t="shared" ref="Q51:Q52" si="34">O51-L51</f>
        <v>-13.8194444444444</v>
      </c>
      <c r="R51" s="72">
        <f t="shared" si="28"/>
        <v>0.87716049382716088</v>
      </c>
      <c r="S51" s="440"/>
      <c r="T51" s="21">
        <v>0.43263888888888902</v>
      </c>
      <c r="U51" s="19">
        <v>0.47013888888888899</v>
      </c>
      <c r="V51" s="30">
        <f>(T51-U50)*24*60</f>
        <v>8.000000000000691</v>
      </c>
      <c r="W51" s="236">
        <f t="shared" si="4"/>
        <v>53.999999999999972</v>
      </c>
      <c r="X51" s="22"/>
      <c r="Y51" s="84"/>
      <c r="Z51" s="90"/>
      <c r="AA51" s="90"/>
      <c r="AB51" s="407"/>
      <c r="AC51" s="407"/>
      <c r="AD51" s="92"/>
      <c r="AE51" s="92"/>
      <c r="AF51" s="307">
        <f t="shared" si="29"/>
        <v>-221.1111111111104</v>
      </c>
      <c r="AG51" s="72">
        <f t="shared" si="30"/>
        <v>0.87716049382716088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v>49.97</v>
      </c>
      <c r="G52" s="202">
        <v>3164</v>
      </c>
      <c r="H52" s="231">
        <v>158105.07999999999</v>
      </c>
      <c r="I52" s="177"/>
      <c r="J52" s="148">
        <f>VLOOKUP(D52,產線配置圖!$A$3:$C$40,2,0)</f>
        <v>16</v>
      </c>
      <c r="K52" s="62">
        <v>1636</v>
      </c>
      <c r="L52" s="81">
        <f t="shared" si="31"/>
        <v>102.25</v>
      </c>
      <c r="M52" s="233">
        <v>17</v>
      </c>
      <c r="N52" s="234">
        <f t="shared" si="32"/>
        <v>1543.4146341463529</v>
      </c>
      <c r="O52" s="235">
        <f t="shared" si="33"/>
        <v>90.789096126256055</v>
      </c>
      <c r="P52" s="74">
        <v>-2</v>
      </c>
      <c r="Q52" s="83">
        <f t="shared" si="34"/>
        <v>-11.460903873743945</v>
      </c>
      <c r="R52" s="72">
        <f>O52/L52</f>
        <v>0.88791292055018145</v>
      </c>
      <c r="S52" s="440"/>
      <c r="T52" s="21">
        <v>0.52916666666666701</v>
      </c>
      <c r="U52" s="21">
        <v>0.61458333333333304</v>
      </c>
      <c r="V52" s="30">
        <f>(T52-U51)*24*60</f>
        <v>85.000000000000341</v>
      </c>
      <c r="W52" s="236">
        <f t="shared" si="4"/>
        <v>122.99999999999909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29"/>
        <v>-92.58536585364709</v>
      </c>
      <c r="AG52" s="72">
        <f t="shared" si="30"/>
        <v>0.94340747808456782</v>
      </c>
      <c r="AH52" s="404"/>
    </row>
    <row r="53" spans="1:34" ht="15" customHeight="1">
      <c r="A53" s="469"/>
      <c r="B53" s="101"/>
      <c r="C53" s="102"/>
      <c r="D53" s="103"/>
      <c r="E53" s="104"/>
      <c r="F53" s="75"/>
      <c r="G53" s="202"/>
      <c r="H53" s="231"/>
      <c r="I53" s="232"/>
      <c r="J53" s="367"/>
      <c r="K53" s="80"/>
      <c r="L53" s="81"/>
      <c r="M53" s="108"/>
      <c r="N53" s="234"/>
      <c r="O53" s="235"/>
      <c r="P53" s="74"/>
      <c r="Q53" s="83"/>
      <c r="R53" s="72"/>
      <c r="S53" s="440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29"/>
        <v>0</v>
      </c>
      <c r="AG53" s="72" t="e">
        <f t="shared" si="30"/>
        <v>#DIV/0!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35">AVERAGE(J49:J57)</f>
        <v>16.75</v>
      </c>
      <c r="K58" s="120">
        <f t="shared" si="35"/>
        <v>1718</v>
      </c>
      <c r="L58" s="117">
        <f t="shared" si="35"/>
        <v>102.88031045751634</v>
      </c>
      <c r="M58" s="120">
        <f t="shared" si="35"/>
        <v>16.5</v>
      </c>
      <c r="N58" s="120">
        <f t="shared" si="35"/>
        <v>1568.9939663547652</v>
      </c>
      <c r="O58" s="117">
        <f t="shared" si="35"/>
        <v>95.22584765421783</v>
      </c>
      <c r="P58" s="121">
        <f>M58-J58</f>
        <v>-0.25</v>
      </c>
      <c r="Q58" s="122">
        <f>N58-K58</f>
        <v>-149.00603364523477</v>
      </c>
      <c r="R58" s="123">
        <f>O58/L58</f>
        <v>0.92559836989936606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 t="shared" ref="AF58:AF63" si="36">N58-K58</f>
        <v>-149.00603364523477</v>
      </c>
      <c r="AG58" s="124">
        <f t="shared" ref="AG58:AG63" si="37">N58/K58</f>
        <v>0.91326773361744196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2759</v>
      </c>
      <c r="H59" s="243">
        <f>F59*G59</f>
        <v>74465.409999999989</v>
      </c>
      <c r="I59" s="55"/>
      <c r="J59" s="136">
        <f>VLOOKUP(D59,產線配置圖!$A$3:$C$40,2,0)</f>
        <v>15</v>
      </c>
      <c r="K59" s="137">
        <v>1636</v>
      </c>
      <c r="L59" s="138">
        <f>K59/J59</f>
        <v>109.06666666666666</v>
      </c>
      <c r="M59" s="244">
        <v>15</v>
      </c>
      <c r="N59" s="137">
        <f>G59/W59*60</f>
        <v>1576.5714285714437</v>
      </c>
      <c r="O59" s="138">
        <f>N59/M59</f>
        <v>105.10476190476291</v>
      </c>
      <c r="P59" s="56">
        <f>M59-J59</f>
        <v>0</v>
      </c>
      <c r="Q59" s="230">
        <f>O59-L59</f>
        <v>-3.9619047619037531</v>
      </c>
      <c r="R59" s="52">
        <f>O59/L59</f>
        <v>0.96367446734195827</v>
      </c>
      <c r="S59" s="439">
        <f>R69</f>
        <v>0.87798448749686298</v>
      </c>
      <c r="T59" s="245">
        <v>0.29166666666666702</v>
      </c>
      <c r="U59" s="245">
        <v>0.36458333333333298</v>
      </c>
      <c r="V59" s="55"/>
      <c r="W59" s="54">
        <f t="shared" si="4"/>
        <v>104.99999999999899</v>
      </c>
      <c r="X59" s="55"/>
      <c r="Y59" s="290"/>
      <c r="Z59" s="169"/>
      <c r="AA59" s="169"/>
      <c r="AB59" s="429"/>
      <c r="AC59" s="429"/>
      <c r="AD59" s="135"/>
      <c r="AE59" s="135"/>
      <c r="AF59" s="310">
        <f t="shared" si="36"/>
        <v>-59.428571428556324</v>
      </c>
      <c r="AG59" s="246">
        <f t="shared" si="37"/>
        <v>0.96367446734195827</v>
      </c>
      <c r="AH59" s="403">
        <f>AG69</f>
        <v>0.86303731713818277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1725</v>
      </c>
      <c r="H60" s="78">
        <f>F60*G60</f>
        <v>48748.5</v>
      </c>
      <c r="I60" s="30"/>
      <c r="J60" s="79">
        <f>VLOOKUP(D60,產線配置圖!$A$3:$C$40,2,0)</f>
        <v>12</v>
      </c>
      <c r="K60" s="80">
        <v>1636</v>
      </c>
      <c r="L60" s="81">
        <f>K60/J60</f>
        <v>136.33333333333334</v>
      </c>
      <c r="M60" s="82">
        <v>12</v>
      </c>
      <c r="N60" s="80">
        <f>G60/W60*60</f>
        <v>1592.3076923076881</v>
      </c>
      <c r="O60" s="81">
        <f>N60/M60</f>
        <v>132.69230769230734</v>
      </c>
      <c r="P60" s="74">
        <f>M60-J60</f>
        <v>0</v>
      </c>
      <c r="Q60" s="83">
        <f>O60-L60</f>
        <v>-3.6410256410260047</v>
      </c>
      <c r="R60" s="72">
        <f>O60/L60</f>
        <v>0.973293210457022</v>
      </c>
      <c r="S60" s="467"/>
      <c r="T60" s="22">
        <v>0.37847222222222199</v>
      </c>
      <c r="U60" s="22">
        <v>0.42361111111111099</v>
      </c>
      <c r="V60" s="30">
        <f>(T60-U59)*24*60</f>
        <v>20.000000000000171</v>
      </c>
      <c r="W60" s="248">
        <f t="shared" si="4"/>
        <v>65.000000000000171</v>
      </c>
      <c r="X60" s="232"/>
      <c r="Y60" s="177"/>
      <c r="Z60" s="90"/>
      <c r="AA60" s="90"/>
      <c r="AB60" s="407"/>
      <c r="AC60" s="407"/>
      <c r="AD60" s="92"/>
      <c r="AE60" s="92"/>
      <c r="AF60" s="316">
        <f t="shared" si="36"/>
        <v>-43.692307692311942</v>
      </c>
      <c r="AG60" s="249">
        <f t="shared" si="37"/>
        <v>0.973293210457022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2402</v>
      </c>
      <c r="H61" s="254">
        <f>F61*G61</f>
        <v>67880.52</v>
      </c>
      <c r="I61" s="182"/>
      <c r="J61" s="106">
        <f>VLOOKUP(D61,產線配置圖!$A$3:$C$40,2,0)</f>
        <v>11</v>
      </c>
      <c r="K61" s="107">
        <v>1636</v>
      </c>
      <c r="L61" s="238">
        <f>K61/J61</f>
        <v>148.72727272727272</v>
      </c>
      <c r="M61" s="108">
        <v>11</v>
      </c>
      <c r="N61" s="107">
        <f>G61/W61*60</f>
        <v>993.93103448276338</v>
      </c>
      <c r="O61" s="238">
        <f>N61/M61</f>
        <v>90.357366771160301</v>
      </c>
      <c r="P61" s="111">
        <f>M61-J61</f>
        <v>0</v>
      </c>
      <c r="Q61" s="255">
        <f>O61-L61</f>
        <v>-58.369905956112419</v>
      </c>
      <c r="R61" s="85">
        <f>O61/L61</f>
        <v>0.60753730714105336</v>
      </c>
      <c r="S61" s="440"/>
      <c r="T61" s="22">
        <v>0.43402777777777801</v>
      </c>
      <c r="U61" s="22">
        <v>0.53472222222222199</v>
      </c>
      <c r="V61" s="30">
        <f t="shared" ref="V61:V63" si="38">(T61-U60)*24*60</f>
        <v>15.000000000000506</v>
      </c>
      <c r="W61" s="256">
        <f t="shared" si="4"/>
        <v>144.99999999999932</v>
      </c>
      <c r="X61" s="22"/>
      <c r="Y61" s="84"/>
      <c r="Z61" s="90"/>
      <c r="AA61" s="90"/>
      <c r="AB61" s="407" t="s">
        <v>213</v>
      </c>
      <c r="AC61" s="407"/>
      <c r="AD61" s="92"/>
      <c r="AE61" s="92"/>
      <c r="AF61" s="317">
        <f t="shared" si="36"/>
        <v>-642.06896551723662</v>
      </c>
      <c r="AG61" s="247">
        <f t="shared" si="37"/>
        <v>0.60753730714105336</v>
      </c>
      <c r="AH61" s="404"/>
    </row>
    <row r="62" spans="1:34" ht="15" customHeight="1">
      <c r="A62" s="465"/>
      <c r="B62" s="250" t="s">
        <v>125</v>
      </c>
      <c r="C62" s="251"/>
      <c r="D62" s="257" t="s">
        <v>192</v>
      </c>
      <c r="E62" s="253"/>
      <c r="F62" s="250">
        <f>VLOOKUP(D62,廠價表!$C$1:$E$43,3,0)</f>
        <v>28.26</v>
      </c>
      <c r="G62" s="38">
        <v>2223</v>
      </c>
      <c r="H62" s="254">
        <f t="shared" ref="H62:H63" si="39">F62*G62</f>
        <v>62821.98</v>
      </c>
      <c r="I62" s="182"/>
      <c r="J62" s="106">
        <f>VLOOKUP(D62,產線配置圖!$A$3:$C$40,2,0)</f>
        <v>11</v>
      </c>
      <c r="K62" s="107">
        <v>1636</v>
      </c>
      <c r="L62" s="238">
        <f t="shared" ref="L62:L63" si="40">K62/J62</f>
        <v>148.72727272727272</v>
      </c>
      <c r="M62" s="108">
        <v>11</v>
      </c>
      <c r="N62" s="107">
        <f t="shared" ref="N62:N63" si="41">G62/W62*60</f>
        <v>1569.176470588229</v>
      </c>
      <c r="O62" s="238">
        <f t="shared" ref="O62:O63" si="42">N62/M62</f>
        <v>142.65240641711173</v>
      </c>
      <c r="P62" s="111">
        <f t="shared" ref="P62:P63" si="43">M62-J62</f>
        <v>0</v>
      </c>
      <c r="Q62" s="255">
        <f t="shared" ref="Q62:Q63" si="44">O62-L62</f>
        <v>-6.074866310160985</v>
      </c>
      <c r="R62" s="85">
        <f t="shared" ref="R62:R63" si="45">O62/L62</f>
        <v>0.95915432187544569</v>
      </c>
      <c r="S62" s="440"/>
      <c r="T62" s="22">
        <v>0.54513888888888895</v>
      </c>
      <c r="U62" s="22">
        <v>0.60416666666666696</v>
      </c>
      <c r="V62" s="30">
        <f t="shared" si="38"/>
        <v>15.000000000000426</v>
      </c>
      <c r="W62" s="248">
        <f t="shared" si="4"/>
        <v>85.000000000000341</v>
      </c>
      <c r="X62" s="22"/>
      <c r="Y62" s="84"/>
      <c r="Z62" s="90"/>
      <c r="AA62" s="90"/>
      <c r="AB62" s="407"/>
      <c r="AC62" s="407"/>
      <c r="AD62" s="92"/>
      <c r="AE62" s="92"/>
      <c r="AF62" s="317">
        <f t="shared" si="36"/>
        <v>-66.823529411771005</v>
      </c>
      <c r="AG62" s="247">
        <f t="shared" si="37"/>
        <v>0.95915432187544558</v>
      </c>
      <c r="AH62" s="404"/>
    </row>
    <row r="63" spans="1:34" ht="15" customHeight="1">
      <c r="A63" s="465"/>
      <c r="B63" s="258" t="s">
        <v>125</v>
      </c>
      <c r="C63" s="58"/>
      <c r="D63" s="259" t="s">
        <v>134</v>
      </c>
      <c r="E63" s="60"/>
      <c r="F63" s="250">
        <f>VLOOKUP(D63,廠價表!$C$1:$E$43,3,0)</f>
        <v>26.99</v>
      </c>
      <c r="G63" s="260">
        <v>992</v>
      </c>
      <c r="H63" s="254">
        <f t="shared" si="39"/>
        <v>26774.079999999998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40"/>
        <v>104.33333333333333</v>
      </c>
      <c r="M63" s="68">
        <v>13</v>
      </c>
      <c r="N63" s="107">
        <f t="shared" si="41"/>
        <v>1266.3829787234001</v>
      </c>
      <c r="O63" s="238">
        <f t="shared" si="42"/>
        <v>97.414075286415397</v>
      </c>
      <c r="P63" s="111">
        <f t="shared" si="43"/>
        <v>-2</v>
      </c>
      <c r="Q63" s="255">
        <f t="shared" si="44"/>
        <v>-6.9192580469179319</v>
      </c>
      <c r="R63" s="85">
        <f t="shared" si="45"/>
        <v>0.93368123277714443</v>
      </c>
      <c r="S63" s="440"/>
      <c r="T63" s="22">
        <v>0.61458333333333304</v>
      </c>
      <c r="U63" s="22">
        <v>0.64722222222222203</v>
      </c>
      <c r="V63" s="30">
        <f t="shared" si="38"/>
        <v>14.999999999999147</v>
      </c>
      <c r="W63" s="248">
        <f t="shared" si="4"/>
        <v>47.000000000000156</v>
      </c>
      <c r="X63" s="261"/>
      <c r="Y63" s="291"/>
      <c r="Z63" s="335"/>
      <c r="AA63" s="335"/>
      <c r="AB63" s="407"/>
      <c r="AC63" s="407"/>
      <c r="AD63" s="92"/>
      <c r="AE63" s="92"/>
      <c r="AF63" s="317">
        <f t="shared" si="36"/>
        <v>-298.61702127659987</v>
      </c>
      <c r="AG63" s="247">
        <f t="shared" si="37"/>
        <v>0.80919040174019174</v>
      </c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46">AVERAGE(J59:J68)</f>
        <v>12.8</v>
      </c>
      <c r="K69" s="240">
        <f t="shared" si="46"/>
        <v>1621.8</v>
      </c>
      <c r="L69" s="268">
        <f t="shared" si="46"/>
        <v>129.43757575757576</v>
      </c>
      <c r="M69" s="240">
        <f t="shared" si="46"/>
        <v>12.4</v>
      </c>
      <c r="N69" s="240">
        <f t="shared" si="46"/>
        <v>1399.6739209347047</v>
      </c>
      <c r="O69" s="268">
        <f t="shared" si="46"/>
        <v>113.64418361435153</v>
      </c>
      <c r="P69" s="269">
        <f>M69-J69</f>
        <v>-0.40000000000000036</v>
      </c>
      <c r="Q69" s="222">
        <f>N69-K69</f>
        <v>-222.12607906529524</v>
      </c>
      <c r="R69" s="123">
        <f>O69/L69</f>
        <v>0.87798448749686298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-222.12607906529524</v>
      </c>
      <c r="AG69" s="124">
        <f>N69/K69</f>
        <v>0.86303731713818277</v>
      </c>
      <c r="AH69" s="406"/>
    </row>
    <row r="70" spans="1:36" ht="15" customHeight="1">
      <c r="A70" s="471" t="s">
        <v>55</v>
      </c>
      <c r="B70" s="258" t="s">
        <v>125</v>
      </c>
      <c r="C70" s="58"/>
      <c r="D70" s="259" t="s">
        <v>192</v>
      </c>
      <c r="E70" s="60"/>
      <c r="F70" s="250">
        <f>VLOOKUP(D70,廠價表!$C$1:$E$43,3,0)</f>
        <v>28.26</v>
      </c>
      <c r="G70" s="260">
        <v>1837</v>
      </c>
      <c r="H70" s="254">
        <f>F70*G70</f>
        <v>51913.62</v>
      </c>
      <c r="I70" s="260"/>
      <c r="J70" s="106">
        <f>VLOOKUP(D70,產線配置圖!$A$3:$C$40,2,0)</f>
        <v>11</v>
      </c>
      <c r="K70" s="107">
        <f>VLOOKUP(D70,產線配置圖!$A$3:$C$40,3,0)</f>
        <v>1636</v>
      </c>
      <c r="L70" s="238">
        <f>K70/J70</f>
        <v>148.72727272727272</v>
      </c>
      <c r="M70" s="68">
        <v>8</v>
      </c>
      <c r="N70" s="107">
        <f>G70/W70*60</f>
        <v>1001.9999999999984</v>
      </c>
      <c r="O70" s="238">
        <f>N70/M70</f>
        <v>125.2499999999998</v>
      </c>
      <c r="P70" s="111">
        <f>M70-J70</f>
        <v>-3</v>
      </c>
      <c r="Q70" s="255">
        <f>O70-L70</f>
        <v>-23.477272727272918</v>
      </c>
      <c r="R70" s="85">
        <f>O70/L70</f>
        <v>0.84214547677261486</v>
      </c>
      <c r="S70" s="439">
        <f>R79</f>
        <v>0.83962955572708386</v>
      </c>
      <c r="T70" s="245">
        <v>0.31944444444444398</v>
      </c>
      <c r="U70" s="245">
        <v>0.39583333333333298</v>
      </c>
      <c r="V70" s="55"/>
      <c r="W70" s="54">
        <f t="shared" si="4"/>
        <v>110.00000000000017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-634.00000000000159</v>
      </c>
      <c r="AG70" s="246">
        <f>N70/K70</f>
        <v>0.61246943765281081</v>
      </c>
      <c r="AH70" s="403">
        <f>AG79</f>
        <v>0.63057475448752687</v>
      </c>
    </row>
    <row r="71" spans="1:36" ht="15" customHeight="1">
      <c r="A71" s="472"/>
      <c r="B71" s="75" t="s">
        <v>81</v>
      </c>
      <c r="C71" s="102"/>
      <c r="D71" s="59" t="s">
        <v>206</v>
      </c>
      <c r="E71" s="176"/>
      <c r="F71" s="75">
        <f>VLOOKUP(D71,廠價表!$C$1:$E$43,3,0)</f>
        <v>45.66</v>
      </c>
      <c r="G71" s="90">
        <f>1756+60</f>
        <v>1816</v>
      </c>
      <c r="H71" s="91">
        <f t="shared" ref="H71:H72" si="47">F71*G71</f>
        <v>82918.559999999998</v>
      </c>
      <c r="I71" s="92"/>
      <c r="J71" s="79">
        <f>VLOOKUP(D71,產線配置圖!$A$3:$C$40,2,0)</f>
        <v>17</v>
      </c>
      <c r="K71" s="80">
        <f>VLOOKUP(D71,產線配置圖!$A$3:$C$40,3,0)</f>
        <v>1500</v>
      </c>
      <c r="L71" s="93">
        <f t="shared" ref="L71:L72" si="48">K71/J71</f>
        <v>88.235294117647058</v>
      </c>
      <c r="M71" s="94">
        <v>13</v>
      </c>
      <c r="N71" s="95">
        <f t="shared" ref="N71:N72" si="49">G71/W71*60</f>
        <v>964.24778761062237</v>
      </c>
      <c r="O71" s="96">
        <f t="shared" ref="O71:O72" si="50">N71/M71</f>
        <v>74.172906739278645</v>
      </c>
      <c r="P71" s="97">
        <f t="shared" ref="P71:P72" si="51">M71-J71</f>
        <v>-4</v>
      </c>
      <c r="Q71" s="98">
        <f t="shared" ref="Q71:Q72" si="52">O71-L71</f>
        <v>-14.062387378368413</v>
      </c>
      <c r="R71" s="99">
        <f t="shared" ref="R71:R72" si="53">O71/L71</f>
        <v>0.8406262763784913</v>
      </c>
      <c r="S71" s="440"/>
      <c r="T71" s="22">
        <v>0.40416666666666701</v>
      </c>
      <c r="U71" s="22">
        <v>0.48263888888888901</v>
      </c>
      <c r="V71" s="30">
        <f>(T71-U70)*24*60</f>
        <v>12.000000000000997</v>
      </c>
      <c r="W71" s="73">
        <f t="shared" si="4"/>
        <v>112.99999999999967</v>
      </c>
      <c r="X71" s="271"/>
      <c r="Y71" s="293"/>
      <c r="Z71" s="90"/>
      <c r="AA71" s="90"/>
      <c r="AB71" s="462"/>
      <c r="AC71" s="462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 t="s">
        <v>81</v>
      </c>
      <c r="C72" s="102"/>
      <c r="D72" s="59" t="s">
        <v>206</v>
      </c>
      <c r="E72" s="176"/>
      <c r="F72" s="75">
        <f>VLOOKUP(D72,廠價表!$C$1:$E$43,3,0)</f>
        <v>45.66</v>
      </c>
      <c r="G72" s="90">
        <v>2967</v>
      </c>
      <c r="H72" s="91">
        <f t="shared" si="47"/>
        <v>135473.22</v>
      </c>
      <c r="I72" s="92"/>
      <c r="J72" s="79">
        <f>VLOOKUP(D72,產線配置圖!$A$3:$C$40,2,0)</f>
        <v>17</v>
      </c>
      <c r="K72" s="80">
        <f>VLOOKUP(D72,產線配置圖!$A$3:$C$40,3,0)</f>
        <v>1500</v>
      </c>
      <c r="L72" s="93">
        <f t="shared" si="48"/>
        <v>88.235294117647058</v>
      </c>
      <c r="M72" s="94">
        <v>13</v>
      </c>
      <c r="N72" s="95">
        <f t="shared" si="49"/>
        <v>957.09677419355341</v>
      </c>
      <c r="O72" s="96">
        <f t="shared" si="50"/>
        <v>73.622828784119491</v>
      </c>
      <c r="P72" s="97">
        <f t="shared" si="51"/>
        <v>-4</v>
      </c>
      <c r="Q72" s="98">
        <f t="shared" si="52"/>
        <v>-14.612465333527567</v>
      </c>
      <c r="R72" s="99">
        <f t="shared" si="53"/>
        <v>0.83439205955335427</v>
      </c>
      <c r="S72" s="440"/>
      <c r="T72" s="22">
        <v>0.54166666666666696</v>
      </c>
      <c r="U72" s="22">
        <v>0.67083333333333295</v>
      </c>
      <c r="V72" s="30">
        <f>(T72-U71)*24*60</f>
        <v>85.000000000000256</v>
      </c>
      <c r="W72" s="73">
        <f t="shared" si="4"/>
        <v>185.99999999999903</v>
      </c>
      <c r="X72" s="272"/>
      <c r="Y72" s="288"/>
      <c r="Z72" s="90"/>
      <c r="AA72" s="90"/>
      <c r="AB72" s="407"/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102"/>
      <c r="D73" s="59"/>
      <c r="E73" s="176"/>
      <c r="F73" s="75"/>
      <c r="G73" s="90"/>
      <c r="H73" s="91"/>
      <c r="I73" s="92"/>
      <c r="J73" s="79"/>
      <c r="K73" s="80"/>
      <c r="L73" s="93"/>
      <c r="M73" s="94"/>
      <c r="N73" s="95"/>
      <c r="O73" s="96"/>
      <c r="P73" s="97"/>
      <c r="Q73" s="98"/>
      <c r="R73" s="99"/>
      <c r="S73" s="440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40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 t="s">
        <v>56</v>
      </c>
      <c r="D79" s="430" t="s">
        <v>42</v>
      </c>
      <c r="E79" s="430"/>
      <c r="F79" s="116"/>
      <c r="G79" s="117"/>
      <c r="H79" s="282"/>
      <c r="I79" s="268"/>
      <c r="J79" s="240">
        <f t="shared" ref="J79:O79" si="54">AVERAGE(J70:J78)</f>
        <v>15</v>
      </c>
      <c r="K79" s="240">
        <f t="shared" si="54"/>
        <v>1545.3333333333333</v>
      </c>
      <c r="L79" s="268">
        <f t="shared" si="54"/>
        <v>108.39928698752227</v>
      </c>
      <c r="M79" s="240">
        <f t="shared" si="54"/>
        <v>11.333333333333334</v>
      </c>
      <c r="N79" s="240">
        <f t="shared" si="54"/>
        <v>974.44818726805806</v>
      </c>
      <c r="O79" s="268">
        <f t="shared" si="54"/>
        <v>91.015245174465988</v>
      </c>
      <c r="P79" s="269">
        <f>M79-J79</f>
        <v>-3.6666666666666661</v>
      </c>
      <c r="Q79" s="222">
        <f>N79-K79</f>
        <v>-570.88514606527519</v>
      </c>
      <c r="R79" s="223">
        <f>O79/L79</f>
        <v>0.83962955572708386</v>
      </c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-570.88514606527519</v>
      </c>
      <c r="AG79" s="124">
        <f>N79/K79</f>
        <v>0.63057475448752687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AB7:AC7"/>
    <mergeCell ref="AB3:AC4"/>
    <mergeCell ref="AB9:AC9"/>
    <mergeCell ref="AB10:AC10"/>
    <mergeCell ref="AB11:AC11"/>
    <mergeCell ref="AB12:AC12"/>
    <mergeCell ref="AB13:AC13"/>
    <mergeCell ref="AB1:AC2"/>
    <mergeCell ref="AF1:AH2"/>
    <mergeCell ref="AB8:AC8"/>
    <mergeCell ref="AG3:AG4"/>
    <mergeCell ref="AH3:AH4"/>
    <mergeCell ref="AH5:AH15"/>
    <mergeCell ref="AD3:AE3"/>
    <mergeCell ref="AF3:AF4"/>
    <mergeCell ref="P3:P4"/>
    <mergeCell ref="Q3:Q4"/>
    <mergeCell ref="R3:R4"/>
    <mergeCell ref="T3:U3"/>
    <mergeCell ref="V3:V4"/>
    <mergeCell ref="W3:W4"/>
    <mergeCell ref="X3:Y3"/>
    <mergeCell ref="AB5:AC5"/>
    <mergeCell ref="AB6:AC6"/>
    <mergeCell ref="A2:B2"/>
    <mergeCell ref="A3:A4"/>
    <mergeCell ref="B3:B4"/>
    <mergeCell ref="D3:E4"/>
    <mergeCell ref="F3:F4"/>
    <mergeCell ref="A16:A26"/>
    <mergeCell ref="S16:S26"/>
    <mergeCell ref="AB16:AC16"/>
    <mergeCell ref="A5:A15"/>
    <mergeCell ref="S5:S15"/>
    <mergeCell ref="AB21:AC21"/>
    <mergeCell ref="AB22:AC22"/>
    <mergeCell ref="AB23:AC23"/>
    <mergeCell ref="AB24:AC24"/>
    <mergeCell ref="AB25:AC25"/>
    <mergeCell ref="AB17:AC17"/>
    <mergeCell ref="AB18:AC18"/>
    <mergeCell ref="AB19:AC19"/>
    <mergeCell ref="AB20:AC20"/>
    <mergeCell ref="D26:E26"/>
    <mergeCell ref="AB26:AC26"/>
    <mergeCell ref="Z3:AA3"/>
    <mergeCell ref="AB14:AC14"/>
    <mergeCell ref="O3:O4"/>
    <mergeCell ref="AH16:AH26"/>
    <mergeCell ref="D15:E15"/>
    <mergeCell ref="AB15:AC15"/>
    <mergeCell ref="AH27:AH37"/>
    <mergeCell ref="AB28:AC28"/>
    <mergeCell ref="AB29:AC29"/>
    <mergeCell ref="AB30:AC30"/>
    <mergeCell ref="AB31:AC31"/>
    <mergeCell ref="AB32:AC32"/>
    <mergeCell ref="AB33:AC33"/>
    <mergeCell ref="A38:A48"/>
    <mergeCell ref="S38:S48"/>
    <mergeCell ref="AB38:AC38"/>
    <mergeCell ref="D48:E48"/>
    <mergeCell ref="A27:A37"/>
    <mergeCell ref="S27:S37"/>
    <mergeCell ref="AB27:AC27"/>
    <mergeCell ref="AB34:AC34"/>
    <mergeCell ref="AB35:AC35"/>
    <mergeCell ref="AB36:AC36"/>
    <mergeCell ref="D37:E37"/>
    <mergeCell ref="AB37:AC37"/>
    <mergeCell ref="AH38:AH48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48:AC4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68" priority="1" operator="greaterThan">
      <formula>0</formula>
    </cfRule>
  </conditionalFormatting>
  <conditionalFormatting sqref="Q5:Q79 AF5:AF79">
    <cfRule type="cellIs" dxfId="67" priority="4" operator="lessThan">
      <formula>0</formula>
    </cfRule>
  </conditionalFormatting>
  <conditionalFormatting sqref="R5:R79 AG5:AG79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S5:S10 S37:S62 AH59:AH62 S69:S76 AH69:AH76">
    <cfRule type="cellIs" dxfId="64" priority="7" operator="lessThan">
      <formula>0.8</formula>
    </cfRule>
  </conditionalFormatting>
  <conditionalFormatting sqref="S19:S25 AH19:AH25">
    <cfRule type="cellIs" dxfId="63" priority="6" operator="lessThan">
      <formula>0.8</formula>
    </cfRule>
  </conditionalFormatting>
  <conditionalFormatting sqref="S79">
    <cfRule type="cellIs" dxfId="62" priority="5" operator="lessThan">
      <formula>0.8</formula>
    </cfRule>
  </conditionalFormatting>
  <conditionalFormatting sqref="AH5:AH8 S15:S16 AH15:AH16 AH49 AH79">
    <cfRule type="cellIs" dxfId="61" priority="9" operator="lessThan">
      <formula>0.8</formula>
    </cfRule>
  </conditionalFormatting>
  <conditionalFormatting sqref="AH27 S27:S28">
    <cfRule type="cellIs" dxfId="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4457E0-EB51-4F03-8B99-B06B4C735DEA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8D71-1585-4AF1-A561-0BFF7682BED2}">
  <dimension ref="B1:O26"/>
  <sheetViews>
    <sheetView zoomScale="70" zoomScaleNormal="70" workbookViewId="0">
      <selection activeCell="J13" sqref="J1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46198</v>
      </c>
      <c r="E3" s="510"/>
      <c r="F3" s="3" t="s">
        <v>72</v>
      </c>
      <c r="G3" s="511">
        <f>'0625'!E1</f>
        <v>60486</v>
      </c>
      <c r="H3" s="511"/>
      <c r="I3" s="3" t="s">
        <v>2</v>
      </c>
      <c r="J3" s="512">
        <f>'0625'!G1</f>
        <v>2831335.6169999996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123.51865590201373</v>
      </c>
      <c r="G6" s="507"/>
      <c r="H6" s="508">
        <f>AVERAGE(D13:H13)</f>
        <v>120.55911435514376</v>
      </c>
      <c r="I6" s="508"/>
      <c r="J6" s="508">
        <f>AVERAGE(I13:J13)</f>
        <v>127.11348142054024</v>
      </c>
      <c r="K6" s="508"/>
      <c r="L6" s="516">
        <f>SUM(D18:J18)</f>
        <v>0</v>
      </c>
      <c r="M6" s="499">
        <f>SUM(D19:J19)</f>
        <v>0</v>
      </c>
      <c r="N6" s="517">
        <f>SUM(D20:J20)</f>
        <v>7</v>
      </c>
      <c r="O6" s="499">
        <f>SUM(D20:J20)</f>
        <v>7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108.57869633454008</v>
      </c>
      <c r="G7" s="496"/>
      <c r="H7" s="497">
        <f>AVERAGE(D14:H14)</f>
        <v>105.22287861921836</v>
      </c>
      <c r="I7" s="497"/>
      <c r="J7" s="497">
        <f>AVERAGE(I14:J14)</f>
        <v>107.06837496395713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0.87904693863147776</v>
      </c>
      <c r="G8" s="502"/>
      <c r="H8" s="502">
        <f>H7/H6</f>
        <v>0.87279073989588363</v>
      </c>
      <c r="I8" s="502"/>
      <c r="J8" s="502">
        <f>J7/J6</f>
        <v>0.84230542478601311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VALUE('0625'!L15)</f>
        <v>150</v>
      </c>
      <c r="E13" s="13">
        <f>VALUE('0625'!L26)</f>
        <v>158.32255979314803</v>
      </c>
      <c r="F13" s="13">
        <f>VALUE('0625'!L37)</f>
        <v>89.346949891067538</v>
      </c>
      <c r="G13" s="13">
        <f>VALUE('0625'!L48)</f>
        <v>102.24575163398693</v>
      </c>
      <c r="H13" s="13">
        <f>VALUE('0625'!L58)</f>
        <v>102.88031045751634</v>
      </c>
      <c r="I13" s="13">
        <f>VALUE('0625'!L69)</f>
        <v>138.31636363636363</v>
      </c>
      <c r="J13" s="13">
        <f>'0625'!L79</f>
        <v>115.91059920471685</v>
      </c>
    </row>
    <row r="14" spans="2:15" ht="39.950000000000003" customHeight="1">
      <c r="B14" s="490"/>
      <c r="C14" s="12" t="s">
        <v>100</v>
      </c>
      <c r="D14" s="13">
        <f>VALUE('0625'!O15)</f>
        <v>125.9087202359193</v>
      </c>
      <c r="E14" s="13">
        <f>VALUE('0625'!O26)</f>
        <v>130.28753599341931</v>
      </c>
      <c r="F14" s="13">
        <f>VALUE('0625'!O37)</f>
        <v>80.241237130304441</v>
      </c>
      <c r="G14" s="13">
        <f>VALUE('0625'!O48)</f>
        <v>95.853141261095914</v>
      </c>
      <c r="H14" s="13">
        <f>VALUE('0625'!O58)</f>
        <v>93.823758475352804</v>
      </c>
      <c r="I14" s="13">
        <f>VALUE('0625'!O69)</f>
        <v>125.3577849111487</v>
      </c>
      <c r="J14" s="13">
        <f>'0625'!O79</f>
        <v>88.778965016765554</v>
      </c>
    </row>
    <row r="15" spans="2:15" ht="39.950000000000003" customHeight="1">
      <c r="B15" s="491"/>
      <c r="C15" s="10" t="s">
        <v>26</v>
      </c>
      <c r="D15" s="14">
        <f t="shared" ref="D15:I15" si="1">D14/D13</f>
        <v>0.83939146823946198</v>
      </c>
      <c r="E15" s="14">
        <f t="shared" si="1"/>
        <v>0.82292464297976797</v>
      </c>
      <c r="F15" s="14">
        <f t="shared" si="1"/>
        <v>0.89808591371205337</v>
      </c>
      <c r="G15" s="14">
        <f t="shared" si="1"/>
        <v>0.93747798543478966</v>
      </c>
      <c r="H15" s="14">
        <f t="shared" si="1"/>
        <v>0.91197001698489844</v>
      </c>
      <c r="I15" s="14">
        <f t="shared" si="1"/>
        <v>0.90631203434986707</v>
      </c>
      <c r="J15" s="15">
        <f>'0625'!S70</f>
        <v>0.76592620196853234</v>
      </c>
    </row>
    <row r="16" spans="2:15" ht="17.25" customHeight="1">
      <c r="B16" s="492" t="s">
        <v>101</v>
      </c>
      <c r="C16" s="10" t="s">
        <v>34</v>
      </c>
      <c r="D16" s="16">
        <f>'0625'!T5</f>
        <v>0.3</v>
      </c>
      <c r="E16" s="16">
        <f>'0625'!T16</f>
        <v>0.29861111111111099</v>
      </c>
      <c r="F16" s="16">
        <f>'0625'!T27</f>
        <v>0.29166666666666702</v>
      </c>
      <c r="G16" s="16">
        <f>'0625'!T38</f>
        <v>0.33333333333333298</v>
      </c>
      <c r="H16" s="16">
        <f>'0625'!T49</f>
        <v>0.29027777777777802</v>
      </c>
      <c r="I16" s="16">
        <f>'0625'!T59</f>
        <v>0.29027777777777802</v>
      </c>
      <c r="J16" s="16">
        <f>'0625'!T70</f>
        <v>0.30625000000000002</v>
      </c>
    </row>
    <row r="17" spans="2:10" ht="17.25" customHeight="1">
      <c r="B17" s="493"/>
      <c r="C17" s="10" t="s">
        <v>35</v>
      </c>
      <c r="D17" s="16">
        <v>0.61319444444444404</v>
      </c>
      <c r="E17" s="19">
        <v>0.63819444444444395</v>
      </c>
      <c r="F17" s="19">
        <v>0.67708333333333304</v>
      </c>
      <c r="G17" s="20">
        <v>0.62916666666666698</v>
      </c>
      <c r="H17" s="21">
        <v>0.59375</v>
      </c>
      <c r="I17" s="22">
        <v>0.64027777777777795</v>
      </c>
      <c r="J17" s="22">
        <v>0.59027777777777801</v>
      </c>
    </row>
    <row r="18" spans="2:10" ht="17.25" customHeight="1">
      <c r="B18" s="494" t="s">
        <v>102</v>
      </c>
      <c r="C18" s="330" t="s">
        <v>36</v>
      </c>
      <c r="D18" s="358">
        <f>'0625'!Z15</f>
        <v>0</v>
      </c>
      <c r="E18" s="359">
        <f>'0625'!Z26</f>
        <v>0</v>
      </c>
      <c r="F18" s="359">
        <f>'0625'!Z37</f>
        <v>0</v>
      </c>
      <c r="G18" s="360">
        <f>'0625'!Z48</f>
        <v>0</v>
      </c>
      <c r="H18" s="360">
        <f>'0625'!Z58</f>
        <v>0</v>
      </c>
      <c r="I18" s="359">
        <f>'0625'!Z69</f>
        <v>0</v>
      </c>
      <c r="J18" s="359">
        <f>'0625'!AA79</f>
        <v>0</v>
      </c>
    </row>
    <row r="19" spans="2:10" ht="17.25" customHeight="1">
      <c r="B19" s="495"/>
      <c r="C19" s="330" t="s">
        <v>37</v>
      </c>
      <c r="D19" s="358">
        <f>'0625'!AA15</f>
        <v>0</v>
      </c>
      <c r="E19" s="359">
        <f>'0625'!AA26</f>
        <v>0</v>
      </c>
      <c r="F19" s="359">
        <f>'0625'!AA37</f>
        <v>0</v>
      </c>
      <c r="G19" s="360">
        <f>'0625'!AA48</f>
        <v>0</v>
      </c>
      <c r="H19" s="360">
        <f>'0625'!AA58</f>
        <v>0</v>
      </c>
      <c r="I19" s="359">
        <f>'0625'!AA69</f>
        <v>0</v>
      </c>
      <c r="J19" s="359">
        <f>'0625'!AB79</f>
        <v>0</v>
      </c>
    </row>
    <row r="20" spans="2:10" ht="17.25" customHeight="1">
      <c r="B20" s="494" t="s">
        <v>103</v>
      </c>
      <c r="C20" s="330" t="s">
        <v>36</v>
      </c>
      <c r="D20" s="358">
        <f>'0625'!AD15</f>
        <v>6</v>
      </c>
      <c r="E20" s="359">
        <f>'0625'!AD26</f>
        <v>0</v>
      </c>
      <c r="F20" s="359">
        <f>'0625'!AD37</f>
        <v>1</v>
      </c>
      <c r="G20" s="360">
        <f>'0625'!AD48</f>
        <v>0</v>
      </c>
      <c r="H20" s="360">
        <f>'0625'!AD58</f>
        <v>0</v>
      </c>
      <c r="I20" s="359">
        <f>'0625'!AD69</f>
        <v>0</v>
      </c>
      <c r="J20" s="359">
        <f>'0625'!AD79</f>
        <v>0</v>
      </c>
    </row>
    <row r="21" spans="2:10" ht="17.25" customHeight="1">
      <c r="B21" s="495"/>
      <c r="C21" s="330" t="s">
        <v>85</v>
      </c>
      <c r="D21" s="358">
        <f>'0625'!AE15</f>
        <v>6</v>
      </c>
      <c r="E21" s="359">
        <f>'0625'!AE26</f>
        <v>0</v>
      </c>
      <c r="F21" s="359">
        <f>'0625'!AE37</f>
        <v>1</v>
      </c>
      <c r="G21" s="360">
        <f>'0625'!AE48</f>
        <v>0</v>
      </c>
      <c r="H21" s="360">
        <f>'0625'!AE58</f>
        <v>0</v>
      </c>
      <c r="I21" s="359">
        <f>'0625'!AE69</f>
        <v>0</v>
      </c>
      <c r="J21" s="359">
        <f>'0625'!AE79</f>
        <v>0</v>
      </c>
    </row>
    <row r="22" spans="2:10" ht="17.25" customHeight="1">
      <c r="B22" s="477" t="s">
        <v>104</v>
      </c>
      <c r="C22" s="478"/>
      <c r="D22" s="23">
        <f>VALUE('0625'!M15)</f>
        <v>15</v>
      </c>
      <c r="E22" s="23">
        <f>VALUE('0625'!M26)</f>
        <v>14.333333333333334</v>
      </c>
      <c r="F22" s="23">
        <f>VALUE('0625'!M37)</f>
        <v>16.833333333333332</v>
      </c>
      <c r="G22" s="23">
        <f>VALUE('0625'!M48)</f>
        <v>15.666666666666666</v>
      </c>
      <c r="H22" s="23">
        <f>VALUE('0625'!M58)</f>
        <v>17.25</v>
      </c>
      <c r="I22" s="23">
        <f>VALUE('0625'!M69)</f>
        <v>12</v>
      </c>
      <c r="J22" s="23">
        <f>'0625'!M79</f>
        <v>10.333333333333334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BC224-0395-4EF2-BD58-75EF9AB4677D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D4" sqref="D4:E4"/>
      <selection pane="topRight" activeCell="D4" sqref="D4:E4"/>
      <selection pane="bottomLeft" activeCell="D4" sqref="D4:E4"/>
      <selection pane="bottomRight" activeCell="G41" sqref="G4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60486</v>
      </c>
      <c r="F1" s="30" t="s">
        <v>2</v>
      </c>
      <c r="G1" s="31">
        <f>SUM(H5:H79)</f>
        <v>2831335.6169999996</v>
      </c>
      <c r="H1" s="32" t="s">
        <v>3</v>
      </c>
      <c r="I1" s="33">
        <f>M15+M26+M48+M58+M69+M79+M37</f>
        <v>101.41666666666666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214</v>
      </c>
      <c r="B2" s="381"/>
      <c r="C2" s="28"/>
      <c r="D2" s="28" t="s">
        <v>14</v>
      </c>
      <c r="E2" s="35">
        <f>AVERAGE(O15,O26,O37,O48,O58,O69,O79)</f>
        <v>105.75016328914373</v>
      </c>
      <c r="F2" s="36" t="s">
        <v>15</v>
      </c>
      <c r="G2" s="37">
        <f>G1/E1</f>
        <v>46.809767830572355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7</v>
      </c>
      <c r="AE2" s="340">
        <f>AE15+AE26+AE37+AE48+AE58+AE69+AE79</f>
        <v>7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2827</v>
      </c>
      <c r="H5" s="43">
        <f>F5*G5</f>
        <v>160771.49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1884.6666666666667</v>
      </c>
      <c r="O5" s="47">
        <f>N5/M5</f>
        <v>125.64444444444445</v>
      </c>
      <c r="P5" s="49">
        <f>M5-J5</f>
        <v>0</v>
      </c>
      <c r="Q5" s="50">
        <f>O5-L5</f>
        <v>-24.355555555555554</v>
      </c>
      <c r="R5" s="51">
        <f>O5/L5</f>
        <v>0.83762962962962961</v>
      </c>
      <c r="S5" s="439">
        <f>R15</f>
        <v>0.83939146823946198</v>
      </c>
      <c r="T5" s="319">
        <v>0.3</v>
      </c>
      <c r="U5" s="320">
        <v>0.36249999999999999</v>
      </c>
      <c r="V5" s="53"/>
      <c r="W5" s="54">
        <f t="shared" ref="W5:W14" si="0">(U5-T5)*24*60</f>
        <v>90</v>
      </c>
      <c r="X5" s="55"/>
      <c r="Y5" s="290"/>
      <c r="Z5" s="169"/>
      <c r="AA5" s="169"/>
      <c r="AB5" s="444"/>
      <c r="AC5" s="444"/>
      <c r="AD5" s="135"/>
      <c r="AE5" s="135"/>
      <c r="AF5" s="229">
        <f t="shared" ref="AF5:AF8" si="1">N5-K5</f>
        <v>-365.33333333333326</v>
      </c>
      <c r="AG5" s="52">
        <f t="shared" ref="AG5:AG8" si="2">N5/K5</f>
        <v>0.83762962962962961</v>
      </c>
      <c r="AH5" s="403">
        <f>AG15</f>
        <v>0.83939146823946209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f>2324+31</f>
        <v>2355</v>
      </c>
      <c r="H6" s="63">
        <f>F6*G6</f>
        <v>136990.35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1884.000000000013</v>
      </c>
      <c r="O6" s="67">
        <f>N6/M6</f>
        <v>125.60000000000086</v>
      </c>
      <c r="P6" s="69">
        <f>M6-J6</f>
        <v>0</v>
      </c>
      <c r="Q6" s="70">
        <f>O6-L6</f>
        <v>-24.399999999999139</v>
      </c>
      <c r="R6" s="71">
        <f>O6/L6</f>
        <v>0.83733333333333904</v>
      </c>
      <c r="S6" s="440"/>
      <c r="T6" s="16">
        <v>0.37152777777777801</v>
      </c>
      <c r="U6" s="16">
        <v>0.42361111111111099</v>
      </c>
      <c r="V6" s="30">
        <f>(T6-U5)*24*60</f>
        <v>13.000000000000353</v>
      </c>
      <c r="W6" s="73">
        <f t="shared" si="0"/>
        <v>74.999999999999488</v>
      </c>
      <c r="X6" s="22"/>
      <c r="Y6" s="84"/>
      <c r="Z6" s="90"/>
      <c r="AA6" s="90"/>
      <c r="AB6" s="407"/>
      <c r="AC6" s="407"/>
      <c r="AD6" s="149"/>
      <c r="AE6" s="149"/>
      <c r="AF6" s="307">
        <f t="shared" si="1"/>
        <v>-365.99999999998704</v>
      </c>
      <c r="AG6" s="72">
        <f t="shared" si="2"/>
        <v>0.83733333333333915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1527</v>
      </c>
      <c r="H7" s="78">
        <f>F7*G7</f>
        <v>75036.78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1949.3617021276532</v>
      </c>
      <c r="O7" s="81">
        <f>N7/M7</f>
        <v>129.95744680851021</v>
      </c>
      <c r="P7" s="74">
        <f>M7-J7</f>
        <v>0</v>
      </c>
      <c r="Q7" s="83">
        <f>O7-L7</f>
        <v>-20.042553191489787</v>
      </c>
      <c r="R7" s="72">
        <f>O7/L7</f>
        <v>0.86638297872340142</v>
      </c>
      <c r="S7" s="440"/>
      <c r="T7" s="18">
        <v>0.43194444444444402</v>
      </c>
      <c r="U7" s="18">
        <v>0.46458333333333302</v>
      </c>
      <c r="V7" s="30">
        <f>(T7-U6)*24*60</f>
        <v>11.999999999999558</v>
      </c>
      <c r="W7" s="73">
        <f t="shared" si="0"/>
        <v>47.000000000000156</v>
      </c>
      <c r="X7" s="22">
        <v>0.47916666666666702</v>
      </c>
      <c r="Y7" s="84">
        <v>0.52083333333333304</v>
      </c>
      <c r="Z7" s="90"/>
      <c r="AA7" s="90"/>
      <c r="AB7" s="407"/>
      <c r="AC7" s="407"/>
      <c r="AD7" s="92"/>
      <c r="AE7" s="92"/>
      <c r="AF7" s="307">
        <f t="shared" si="1"/>
        <v>-300.63829787234681</v>
      </c>
      <c r="AG7" s="72">
        <f t="shared" si="2"/>
        <v>0.86638297872340142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2969</v>
      </c>
      <c r="H8" s="78">
        <f>F8*G8</f>
        <v>145896.66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1836.4948453608254</v>
      </c>
      <c r="O8" s="81">
        <f>N8/M8</f>
        <v>122.4329896907217</v>
      </c>
      <c r="P8" s="74">
        <f>M8-J8</f>
        <v>0</v>
      </c>
      <c r="Q8" s="83">
        <f>O8-L8</f>
        <v>-27.567010309278302</v>
      </c>
      <c r="R8" s="72">
        <f>O8/L8</f>
        <v>0.81621993127147796</v>
      </c>
      <c r="S8" s="440"/>
      <c r="T8" s="16">
        <v>0.54583333333333295</v>
      </c>
      <c r="U8" s="16">
        <v>0.61319444444444404</v>
      </c>
      <c r="V8" s="30">
        <f>(T8-U7)*24*60</f>
        <v>116.9999999999999</v>
      </c>
      <c r="W8" s="73">
        <f t="shared" si="0"/>
        <v>96.999999999999972</v>
      </c>
      <c r="X8" s="22"/>
      <c r="Y8" s="84"/>
      <c r="Z8" s="90"/>
      <c r="AA8" s="90"/>
      <c r="AB8" s="520" t="s">
        <v>215</v>
      </c>
      <c r="AC8" s="520"/>
      <c r="AD8" s="149">
        <v>6</v>
      </c>
      <c r="AE8" s="149">
        <v>6</v>
      </c>
      <c r="AF8" s="307">
        <f t="shared" si="1"/>
        <v>-413.50515463917463</v>
      </c>
      <c r="AG8" s="72">
        <f t="shared" si="2"/>
        <v>0.81621993127147796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/>
      <c r="AG9" s="72"/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/>
      <c r="AG10" s="72"/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/>
      <c r="AG11" s="72"/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1888.6308035387897</v>
      </c>
      <c r="O15" s="117">
        <f t="shared" si="3"/>
        <v>125.9087202359193</v>
      </c>
      <c r="P15" s="121">
        <f>M15-J15</f>
        <v>0</v>
      </c>
      <c r="Q15" s="122">
        <f>O15-L15</f>
        <v>-24.091279764080696</v>
      </c>
      <c r="R15" s="123">
        <f>O15/L15</f>
        <v>0.83939146823946198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6</v>
      </c>
      <c r="AE15" s="323">
        <f>SUM(AE5:AE14)</f>
        <v>6</v>
      </c>
      <c r="AF15" s="309">
        <f>N15-K15</f>
        <v>-361.36919646121032</v>
      </c>
      <c r="AG15" s="124">
        <f>N15/K15</f>
        <v>0.83939146823946209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1886</v>
      </c>
      <c r="H16" s="134">
        <f>F16*G16</f>
        <v>95563.62000000001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1885.9999999999843</v>
      </c>
      <c r="O16" s="141">
        <f>N16/M16</f>
        <v>134.71428571428459</v>
      </c>
      <c r="P16" s="142">
        <f>M16-J16</f>
        <v>0</v>
      </c>
      <c r="Q16" s="143">
        <f>O16-L16</f>
        <v>-26.000000000001137</v>
      </c>
      <c r="R16" s="144">
        <f>O16/L16</f>
        <v>0.83822222222221521</v>
      </c>
      <c r="S16" s="425">
        <f>R26</f>
        <v>0.82292464297976797</v>
      </c>
      <c r="T16" s="145">
        <v>0.29861111111111099</v>
      </c>
      <c r="U16" s="145">
        <v>0.34027777777777801</v>
      </c>
      <c r="V16" s="135"/>
      <c r="W16" s="146">
        <f t="shared" ref="W16:W78" si="4">(U16-T16)*24*60</f>
        <v>60.000000000000504</v>
      </c>
      <c r="X16" s="141"/>
      <c r="Y16" s="296"/>
      <c r="Z16" s="169"/>
      <c r="AA16" s="169"/>
      <c r="AB16" s="429"/>
      <c r="AC16" s="429"/>
      <c r="AD16" s="135"/>
      <c r="AE16" s="135"/>
      <c r="AF16" s="229">
        <f>N16-K16</f>
        <v>-364.00000000001569</v>
      </c>
      <c r="AG16" s="52">
        <f>N16/K16</f>
        <v>0.83822222222221521</v>
      </c>
      <c r="AH16" s="403">
        <f>AG26</f>
        <v>0.82358008658009252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1739</v>
      </c>
      <c r="H17" s="78">
        <f>F17*G17</f>
        <v>99488.19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1863.214285714279</v>
      </c>
      <c r="O17" s="96">
        <f>N17/M17</f>
        <v>109.60084033613406</v>
      </c>
      <c r="P17" s="97">
        <f>M17-J17</f>
        <v>0</v>
      </c>
      <c r="Q17" s="98">
        <f>O17-L17</f>
        <v>-22.752100840336524</v>
      </c>
      <c r="R17" s="99">
        <f>O17/L17</f>
        <v>0.82809523809523511</v>
      </c>
      <c r="S17" s="426"/>
      <c r="T17" s="19">
        <v>0.35</v>
      </c>
      <c r="U17" s="19">
        <v>0.38888888888888901</v>
      </c>
      <c r="V17" s="30">
        <f>(T17-U16)*24*60</f>
        <v>13.999999999999631</v>
      </c>
      <c r="W17" s="149">
        <f t="shared" si="4"/>
        <v>56.000000000000199</v>
      </c>
      <c r="X17" s="19"/>
      <c r="Y17" s="297"/>
      <c r="Z17" s="90"/>
      <c r="AA17" s="90"/>
      <c r="AB17" s="407"/>
      <c r="AC17" s="407"/>
      <c r="AD17" s="92"/>
      <c r="AE17" s="92"/>
      <c r="AF17" s="307">
        <f>N17-K17</f>
        <v>-386.78571428572104</v>
      </c>
      <c r="AG17" s="72">
        <f>N17/K17</f>
        <v>0.82809523809523511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1016</v>
      </c>
      <c r="H18" s="78">
        <f>F18*G18</f>
        <v>57515.76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1905.0000000000161</v>
      </c>
      <c r="O18" s="96">
        <f>N18/M18</f>
        <v>127.00000000000108</v>
      </c>
      <c r="P18" s="97">
        <f>M18-J18</f>
        <v>0</v>
      </c>
      <c r="Q18" s="98">
        <f>O18-L18</f>
        <v>-22.99999999999892</v>
      </c>
      <c r="R18" s="99">
        <f>O18/L18</f>
        <v>0.84666666666667389</v>
      </c>
      <c r="S18" s="426"/>
      <c r="T18" s="19">
        <v>0.39791666666666697</v>
      </c>
      <c r="U18" s="19">
        <v>0.42013888888888901</v>
      </c>
      <c r="V18" s="30">
        <f>(T18-U17)*24*60</f>
        <v>13.000000000000274</v>
      </c>
      <c r="W18" s="149">
        <f t="shared" si="4"/>
        <v>31.999999999999726</v>
      </c>
      <c r="X18" s="22"/>
      <c r="Y18" s="84"/>
      <c r="Z18" s="90"/>
      <c r="AA18" s="90"/>
      <c r="AB18" s="407"/>
      <c r="AC18" s="407"/>
      <c r="AD18" s="92"/>
      <c r="AE18" s="92"/>
      <c r="AF18" s="307">
        <f>N18-K18</f>
        <v>-344.99999999998386</v>
      </c>
      <c r="AG18" s="72">
        <f>N18/K18</f>
        <v>0.84666666666667389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1689</v>
      </c>
      <c r="H19" s="78">
        <f t="shared" ref="H19:H21" si="5">F19*G19</f>
        <v>85108.71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1842.5454545454745</v>
      </c>
      <c r="O19" s="96">
        <f t="shared" ref="O19:O21" si="8">N19/M19</f>
        <v>141.73426573426727</v>
      </c>
      <c r="P19" s="97">
        <f t="shared" ref="P19:P21" si="9">M19-J19</f>
        <v>0</v>
      </c>
      <c r="Q19" s="98">
        <f t="shared" ref="Q19:Q21" si="10">O19-L19</f>
        <v>-31.342657342655798</v>
      </c>
      <c r="R19" s="99">
        <f t="shared" ref="R19:R21" si="11">O19/L19</f>
        <v>0.8189090909090998</v>
      </c>
      <c r="S19" s="426"/>
      <c r="T19" s="19">
        <v>0.42777777777777798</v>
      </c>
      <c r="U19" s="19">
        <v>0.46597222222222201</v>
      </c>
      <c r="V19" s="30">
        <f>(T19-U18)*24*60</f>
        <v>11.000000000000121</v>
      </c>
      <c r="W19" s="149">
        <f t="shared" si="4"/>
        <v>54.999999999999403</v>
      </c>
      <c r="X19" s="22">
        <v>0.47916666666666702</v>
      </c>
      <c r="Y19" s="84">
        <v>0.52083333333333304</v>
      </c>
      <c r="Z19" s="90"/>
      <c r="AA19" s="90"/>
      <c r="AB19" s="434"/>
      <c r="AC19" s="434"/>
      <c r="AD19" s="149"/>
      <c r="AE19" s="149"/>
      <c r="AF19" s="307">
        <f>N19-K19</f>
        <v>-407.45454545452549</v>
      </c>
      <c r="AG19" s="72">
        <f>N19/K19</f>
        <v>0.8189090909090998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2546</v>
      </c>
      <c r="H20" s="78">
        <f t="shared" si="5"/>
        <v>128292.94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1818.5714285714384</v>
      </c>
      <c r="O20" s="96">
        <f t="shared" si="8"/>
        <v>139.89010989011064</v>
      </c>
      <c r="P20" s="97">
        <f t="shared" si="9"/>
        <v>0</v>
      </c>
      <c r="Q20" s="98">
        <f t="shared" si="10"/>
        <v>-33.186813186812429</v>
      </c>
      <c r="R20" s="99">
        <f t="shared" si="11"/>
        <v>0.80825396825397267</v>
      </c>
      <c r="S20" s="426"/>
      <c r="T20" s="19">
        <v>0.54513888888888895</v>
      </c>
      <c r="U20" s="19">
        <v>0.60347222222222197</v>
      </c>
      <c r="V20" s="30">
        <f>(T20-U19)*24*60</f>
        <v>114.0000000000004</v>
      </c>
      <c r="W20" s="149">
        <f t="shared" si="4"/>
        <v>83.999999999999545</v>
      </c>
      <c r="X20" s="19"/>
      <c r="Y20" s="297"/>
      <c r="Z20" s="90"/>
      <c r="AA20" s="90"/>
      <c r="AB20" s="407"/>
      <c r="AC20" s="407"/>
      <c r="AD20" s="92"/>
      <c r="AE20" s="92"/>
      <c r="AF20" s="307">
        <f t="shared" ref="AF20:AF21" si="12">N20-K20</f>
        <v>-431.42857142856155</v>
      </c>
      <c r="AG20" s="72">
        <f t="shared" ref="AG20:AG21" si="13">N20/K20</f>
        <v>0.80825396825397267</v>
      </c>
      <c r="AH20" s="405"/>
    </row>
    <row r="21" spans="1:34" ht="15" customHeight="1">
      <c r="A21" s="423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v>1202</v>
      </c>
      <c r="H21" s="78">
        <f t="shared" si="5"/>
        <v>60905.340000000004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1803.0000000000568</v>
      </c>
      <c r="O21" s="96">
        <f t="shared" si="8"/>
        <v>128.78571428571834</v>
      </c>
      <c r="P21" s="97">
        <f t="shared" si="9"/>
        <v>0</v>
      </c>
      <c r="Q21" s="98">
        <f t="shared" si="10"/>
        <v>-31.928571428567381</v>
      </c>
      <c r="R21" s="99">
        <f t="shared" si="11"/>
        <v>0.80133333333335854</v>
      </c>
      <c r="S21" s="426"/>
      <c r="T21" s="19">
        <v>0.61041666666666705</v>
      </c>
      <c r="U21" s="19">
        <v>0.63819444444444395</v>
      </c>
      <c r="V21" s="30">
        <f>(T21-U20)*24*60</f>
        <v>10.000000000000924</v>
      </c>
      <c r="W21" s="149">
        <f t="shared" si="4"/>
        <v>39.999999999998735</v>
      </c>
      <c r="X21" s="92"/>
      <c r="Y21" s="298"/>
      <c r="Z21" s="90"/>
      <c r="AA21" s="90"/>
      <c r="AB21" s="407"/>
      <c r="AC21" s="407"/>
      <c r="AD21" s="92"/>
      <c r="AE21" s="92"/>
      <c r="AF21" s="307">
        <f t="shared" si="12"/>
        <v>-446.99999999994316</v>
      </c>
      <c r="AG21" s="72">
        <f t="shared" si="13"/>
        <v>0.80133333333335854</v>
      </c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9"/>
      <c r="U22" s="19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4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4">AVERAGE(J16:J25)</f>
        <v>14.333333333333334</v>
      </c>
      <c r="K26" s="155">
        <f t="shared" si="14"/>
        <v>2250</v>
      </c>
      <c r="L26" s="158">
        <f t="shared" si="14"/>
        <v>158.32255979314803</v>
      </c>
      <c r="M26" s="155">
        <f t="shared" si="14"/>
        <v>14.333333333333334</v>
      </c>
      <c r="N26" s="155">
        <f t="shared" si="14"/>
        <v>1853.0551948052082</v>
      </c>
      <c r="O26" s="158">
        <f t="shared" si="14"/>
        <v>130.28753599341931</v>
      </c>
      <c r="P26" s="159">
        <f>M26-J26</f>
        <v>0</v>
      </c>
      <c r="Q26" s="160">
        <f>O26-L26</f>
        <v>-28.035023799728719</v>
      </c>
      <c r="R26" s="161">
        <f>O26/L26</f>
        <v>0.82292464297976797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5">N26-K26</f>
        <v>-396.9448051947918</v>
      </c>
      <c r="AG26" s="124">
        <f t="shared" ref="AG26:AG31" si="16">N26/K26</f>
        <v>0.82358008658009252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57.21</v>
      </c>
      <c r="G27" s="169">
        <v>478</v>
      </c>
      <c r="H27" s="134">
        <f>F27*G27</f>
        <v>27346.38</v>
      </c>
      <c r="I27" s="135"/>
      <c r="J27" s="136">
        <f>VLOOKUP(D27,產線配置圖!$A$3:$C$40,2,0)</f>
        <v>18</v>
      </c>
      <c r="K27" s="137">
        <f>VLOOKUP(D27,產線配置圖!$A$3:$C$40,3,0)</f>
        <v>1565</v>
      </c>
      <c r="L27" s="138">
        <f>K27/J27</f>
        <v>86.944444444444443</v>
      </c>
      <c r="M27" s="170">
        <v>16</v>
      </c>
      <c r="N27" s="140">
        <f>G27/W27*60</f>
        <v>956.00000000001614</v>
      </c>
      <c r="O27" s="141">
        <f>N27/M27</f>
        <v>59.750000000001009</v>
      </c>
      <c r="P27" s="142">
        <f>M27-J27</f>
        <v>-2</v>
      </c>
      <c r="Q27" s="143">
        <f>O27-L27</f>
        <v>-27.194444444443434</v>
      </c>
      <c r="R27" s="144">
        <f>O27/L27</f>
        <v>0.68722044728435672</v>
      </c>
      <c r="S27" s="425">
        <f>R37</f>
        <v>0.89808591371205337</v>
      </c>
      <c r="T27" s="171">
        <v>0.29166666666666702</v>
      </c>
      <c r="U27" s="171">
        <v>0.3125</v>
      </c>
      <c r="V27" s="135"/>
      <c r="W27" s="146">
        <f t="shared" si="4"/>
        <v>29.999999999999496</v>
      </c>
      <c r="X27" s="135"/>
      <c r="Y27" s="300" t="s">
        <v>46</v>
      </c>
      <c r="Z27" s="169"/>
      <c r="AA27" s="169"/>
      <c r="AB27" s="429" t="s">
        <v>140</v>
      </c>
      <c r="AC27" s="429"/>
      <c r="AD27" s="135"/>
      <c r="AE27" s="135"/>
      <c r="AF27" s="310">
        <f t="shared" si="15"/>
        <v>-608.99999999998386</v>
      </c>
      <c r="AG27" s="172">
        <f t="shared" si="16"/>
        <v>0.61086261980831702</v>
      </c>
      <c r="AH27" s="403">
        <f>AG37</f>
        <v>0.85768565262230057</v>
      </c>
    </row>
    <row r="28" spans="1:34" ht="15" customHeight="1">
      <c r="A28" s="457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2401</v>
      </c>
      <c r="H28" s="91">
        <f>F28*G28</f>
        <v>137361.21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1470.0000000000114</v>
      </c>
      <c r="O28" s="96">
        <f>N28/M28</f>
        <v>86.470588235294784</v>
      </c>
      <c r="P28" s="97">
        <f>M28-J28</f>
        <v>-1</v>
      </c>
      <c r="Q28" s="98">
        <f>O28-L28</f>
        <v>-4.4183006535941018</v>
      </c>
      <c r="R28" s="99">
        <f>O28/L28</f>
        <v>0.9513878901193803</v>
      </c>
      <c r="S28" s="426"/>
      <c r="T28" s="19">
        <v>0.31805555555555598</v>
      </c>
      <c r="U28" s="19">
        <v>0.38611111111111102</v>
      </c>
      <c r="V28" s="92">
        <f>(T28-U27)*24*60</f>
        <v>8.0000000000006111</v>
      </c>
      <c r="W28" s="149">
        <f t="shared" si="4"/>
        <v>97.999999999999247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15"/>
        <v>-165.99999999998863</v>
      </c>
      <c r="AG28" s="99">
        <f t="shared" si="16"/>
        <v>0.89853300733497032</v>
      </c>
      <c r="AH28" s="445"/>
    </row>
    <row r="29" spans="1:34" ht="15" customHeight="1">
      <c r="A29" s="457"/>
      <c r="B29" s="75" t="s">
        <v>81</v>
      </c>
      <c r="C29" s="173"/>
      <c r="D29" s="59" t="s">
        <v>168</v>
      </c>
      <c r="E29" s="104"/>
      <c r="F29" s="75">
        <f>VLOOKUP(D29,廠價表!$C$1:$E$43,3,0)</f>
        <v>57.21</v>
      </c>
      <c r="G29" s="90">
        <v>1055</v>
      </c>
      <c r="H29" s="91">
        <f>F29*G29</f>
        <v>60356.55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17</v>
      </c>
      <c r="N29" s="95">
        <f>G29/W29*60</f>
        <v>1376.0869565217583</v>
      </c>
      <c r="O29" s="96">
        <f>N29/M29</f>
        <v>80.946291560103433</v>
      </c>
      <c r="P29" s="97">
        <f>M29-J29</f>
        <v>-1</v>
      </c>
      <c r="Q29" s="98">
        <f>O29-L29</f>
        <v>-9.9425973287854532</v>
      </c>
      <c r="R29" s="99">
        <f>O29/L29</f>
        <v>0.89060711985443874</v>
      </c>
      <c r="S29" s="426"/>
      <c r="T29" s="19">
        <v>0.39374999999999999</v>
      </c>
      <c r="U29" s="19">
        <v>0.42569444444444399</v>
      </c>
      <c r="V29" s="92">
        <f>(T29-U28)*24*60</f>
        <v>11.000000000000121</v>
      </c>
      <c r="W29" s="149">
        <f t="shared" si="4"/>
        <v>45.999999999999361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15"/>
        <v>-259.91304347824166</v>
      </c>
      <c r="AG29" s="99">
        <f t="shared" si="16"/>
        <v>0.84112894652919212</v>
      </c>
      <c r="AH29" s="445"/>
    </row>
    <row r="30" spans="1:34" ht="15" customHeight="1">
      <c r="A30" s="457"/>
      <c r="B30" s="75" t="s">
        <v>81</v>
      </c>
      <c r="C30" s="88"/>
      <c r="D30" s="59" t="s">
        <v>206</v>
      </c>
      <c r="E30" s="89"/>
      <c r="F30" s="75">
        <f>VLOOKUP(D30,廠價表!$C$1:$E$43,3,0)</f>
        <v>45.66</v>
      </c>
      <c r="G30" s="90">
        <v>1570</v>
      </c>
      <c r="H30" s="91">
        <f t="shared" ref="H30:H32" si="17">F30*G30</f>
        <v>71686.2</v>
      </c>
      <c r="I30" s="92"/>
      <c r="J30" s="79">
        <f>VLOOKUP(D30,產線配置圖!$A$3:$C$40,2,0)</f>
        <v>17</v>
      </c>
      <c r="K30" s="80">
        <f>VLOOKUP(D30,產線配置圖!$A$3:$C$40,3,0)</f>
        <v>1500</v>
      </c>
      <c r="L30" s="93">
        <f t="shared" ref="L30:L32" si="18">K30/J30</f>
        <v>88.235294117647058</v>
      </c>
      <c r="M30" s="94">
        <v>17</v>
      </c>
      <c r="N30" s="95">
        <f t="shared" ref="N30:N32" si="19">G30/W30*60</f>
        <v>1449.2307692307993</v>
      </c>
      <c r="O30" s="96">
        <f t="shared" ref="O30:O32" si="20">N30/M30</f>
        <v>85.248868778282315</v>
      </c>
      <c r="P30" s="97">
        <f t="shared" ref="P30:P32" si="21">M30-J30</f>
        <v>0</v>
      </c>
      <c r="Q30" s="98">
        <f t="shared" ref="Q30:Q32" si="22">O30-L30</f>
        <v>-2.9864253393647431</v>
      </c>
      <c r="R30" s="99">
        <f t="shared" ref="R30:R32" si="23">O30/L30</f>
        <v>0.96615384615386624</v>
      </c>
      <c r="S30" s="426"/>
      <c r="T30" s="19">
        <v>0.43055555555555602</v>
      </c>
      <c r="U30" s="19">
        <v>0.47569444444444398</v>
      </c>
      <c r="V30" s="92">
        <f>(T30-U29)*24*60</f>
        <v>7.000000000001334</v>
      </c>
      <c r="W30" s="149">
        <f t="shared" si="4"/>
        <v>64.99999999999865</v>
      </c>
      <c r="X30" s="174">
        <v>0.48611111111111099</v>
      </c>
      <c r="Y30" s="301">
        <v>0.52777777777777801</v>
      </c>
      <c r="Z30" s="335"/>
      <c r="AA30" s="335"/>
      <c r="AB30" s="407"/>
      <c r="AC30" s="407"/>
      <c r="AD30" s="92"/>
      <c r="AE30" s="92"/>
      <c r="AF30" s="312">
        <f t="shared" si="15"/>
        <v>-50.769230769200703</v>
      </c>
      <c r="AG30" s="99">
        <f t="shared" si="16"/>
        <v>0.96615384615386624</v>
      </c>
      <c r="AH30" s="446"/>
    </row>
    <row r="31" spans="1:34" ht="15" customHeight="1">
      <c r="A31" s="457"/>
      <c r="B31" s="75" t="s">
        <v>81</v>
      </c>
      <c r="C31" s="88"/>
      <c r="D31" s="175" t="s">
        <v>168</v>
      </c>
      <c r="E31" s="176"/>
      <c r="F31" s="75">
        <f>VLOOKUP(D31,廠價表!$C$1:$E$43,3,0)</f>
        <v>57.21</v>
      </c>
      <c r="G31" s="90">
        <v>1572</v>
      </c>
      <c r="H31" s="91">
        <f t="shared" si="17"/>
        <v>89934.12</v>
      </c>
      <c r="I31" s="92"/>
      <c r="J31" s="79">
        <f>VLOOKUP(D31,產線配置圖!$A$3:$C$40,2,0)</f>
        <v>18</v>
      </c>
      <c r="K31" s="80">
        <v>1636</v>
      </c>
      <c r="L31" s="93">
        <f t="shared" si="18"/>
        <v>90.888888888888886</v>
      </c>
      <c r="M31" s="94">
        <v>17</v>
      </c>
      <c r="N31" s="95">
        <f t="shared" si="19"/>
        <v>1451.0769230769172</v>
      </c>
      <c r="O31" s="96">
        <f t="shared" si="20"/>
        <v>85.35746606334807</v>
      </c>
      <c r="P31" s="97">
        <f t="shared" si="21"/>
        <v>-1</v>
      </c>
      <c r="Q31" s="98">
        <f t="shared" si="22"/>
        <v>-5.5314228255408153</v>
      </c>
      <c r="R31" s="99">
        <f t="shared" si="23"/>
        <v>0.93914082465786386</v>
      </c>
      <c r="S31" s="426"/>
      <c r="T31" s="19">
        <v>0.53611111111111098</v>
      </c>
      <c r="U31" s="19">
        <v>0.58125000000000004</v>
      </c>
      <c r="V31" s="92">
        <f t="shared" ref="V31:V32" si="24">(T31-U30)*24*60</f>
        <v>87.000000000000483</v>
      </c>
      <c r="W31" s="149">
        <f t="shared" si="4"/>
        <v>65.000000000000256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5"/>
        <v>-184.92307692308282</v>
      </c>
      <c r="AG31" s="99">
        <f t="shared" si="16"/>
        <v>0.88696633439909367</v>
      </c>
      <c r="AH31" s="405"/>
    </row>
    <row r="32" spans="1:34" ht="15" customHeight="1">
      <c r="A32" s="457"/>
      <c r="B32" s="75" t="s">
        <v>81</v>
      </c>
      <c r="C32" s="102"/>
      <c r="D32" s="59" t="s">
        <v>206</v>
      </c>
      <c r="E32" s="176"/>
      <c r="F32" s="75">
        <f>VLOOKUP(D32,廠價表!$C$1:$E$43,3,0)</f>
        <v>45.66</v>
      </c>
      <c r="G32" s="90">
        <v>3082</v>
      </c>
      <c r="H32" s="91">
        <f t="shared" si="17"/>
        <v>140724.12</v>
      </c>
      <c r="I32" s="92"/>
      <c r="J32" s="79">
        <f>VLOOKUP(D32,產線配置圖!$A$3:$C$40,2,0)</f>
        <v>17</v>
      </c>
      <c r="K32" s="80">
        <f>VLOOKUP(D32,產線配置圖!$A$3:$C$40,3,0)</f>
        <v>1500</v>
      </c>
      <c r="L32" s="93">
        <f t="shared" si="18"/>
        <v>88.235294117647058</v>
      </c>
      <c r="M32" s="94">
        <v>17</v>
      </c>
      <c r="N32" s="95">
        <f t="shared" si="19"/>
        <v>1422.4615384615506</v>
      </c>
      <c r="O32" s="96">
        <f t="shared" si="20"/>
        <v>83.674208144797092</v>
      </c>
      <c r="P32" s="97">
        <f t="shared" si="21"/>
        <v>0</v>
      </c>
      <c r="Q32" s="98">
        <f t="shared" si="22"/>
        <v>-4.5610859728499662</v>
      </c>
      <c r="R32" s="99">
        <f t="shared" si="23"/>
        <v>0.9483076923077004</v>
      </c>
      <c r="S32" s="426"/>
      <c r="T32" s="19">
        <v>0.58680555555555602</v>
      </c>
      <c r="U32" s="19">
        <v>0.67708333333333304</v>
      </c>
      <c r="V32" s="92">
        <f t="shared" si="24"/>
        <v>8.0000000000006111</v>
      </c>
      <c r="W32" s="149">
        <f t="shared" si="4"/>
        <v>129.99999999999889</v>
      </c>
      <c r="X32" s="174"/>
      <c r="Y32" s="301"/>
      <c r="Z32" s="335"/>
      <c r="AA32" s="335"/>
      <c r="AB32" s="407" t="s">
        <v>216</v>
      </c>
      <c r="AC32" s="407"/>
      <c r="AD32" s="92">
        <v>1</v>
      </c>
      <c r="AE32" s="92">
        <v>1</v>
      </c>
      <c r="AF32" s="312">
        <f>N32-K32</f>
        <v>-77.538461538449383</v>
      </c>
      <c r="AG32" s="99">
        <f>N32/K32</f>
        <v>0.9483076923077004</v>
      </c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5">AVERAGE(J27:J36)</f>
        <v>17.666666666666668</v>
      </c>
      <c r="K37" s="155">
        <f t="shared" si="25"/>
        <v>1578.8333333333333</v>
      </c>
      <c r="L37" s="158">
        <f t="shared" si="25"/>
        <v>89.346949891067538</v>
      </c>
      <c r="M37" s="155">
        <f t="shared" si="25"/>
        <v>16.833333333333332</v>
      </c>
      <c r="N37" s="155">
        <f t="shared" si="25"/>
        <v>1354.1426978818422</v>
      </c>
      <c r="O37" s="158">
        <f t="shared" si="25"/>
        <v>80.241237130304441</v>
      </c>
      <c r="P37" s="159">
        <f>M37-J37</f>
        <v>-0.8333333333333357</v>
      </c>
      <c r="Q37" s="160">
        <f>N37-K37</f>
        <v>-224.69063545149106</v>
      </c>
      <c r="R37" s="161">
        <f t="shared" ref="R37:R40" si="26">O37/L37</f>
        <v>0.89808591371205337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1</v>
      </c>
      <c r="AE37" s="324">
        <f>SUM(AE27:AE36)</f>
        <v>1</v>
      </c>
      <c r="AF37" s="309">
        <f>N37-K37</f>
        <v>-224.69063545149106</v>
      </c>
      <c r="AG37" s="124">
        <f>N37/K37</f>
        <v>0.85768565262230057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2982</v>
      </c>
      <c r="H38" s="134">
        <f>F38*G38</f>
        <v>148831.62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1656.6666666666665</v>
      </c>
      <c r="O38" s="141">
        <f>N38/M38</f>
        <v>110.44444444444443</v>
      </c>
      <c r="P38" s="142">
        <f>M38-J38</f>
        <v>0</v>
      </c>
      <c r="Q38" s="143">
        <f>O38-L38</f>
        <v>-3.8222222222222371</v>
      </c>
      <c r="R38" s="144">
        <f t="shared" si="26"/>
        <v>0.96654998055231411</v>
      </c>
      <c r="S38" s="453">
        <f>R48</f>
        <v>0.93747798543478966</v>
      </c>
      <c r="T38" s="191">
        <v>0.33333333333333298</v>
      </c>
      <c r="U38" s="191">
        <v>0.40833333333333299</v>
      </c>
      <c r="V38" s="192"/>
      <c r="W38" s="193">
        <f t="shared" si="4"/>
        <v>108.00000000000001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-57.333333333333485</v>
      </c>
      <c r="AG38" s="195">
        <f>N38/K38</f>
        <v>0.96654998055231423</v>
      </c>
      <c r="AH38" s="459">
        <f>AG48</f>
        <v>0.9006230116502526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2371</v>
      </c>
      <c r="H39" s="91">
        <f>F39*G39</f>
        <v>105035.29999999999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16</v>
      </c>
      <c r="N39" s="202">
        <f>G39/W39*60</f>
        <v>1422.6000000000097</v>
      </c>
      <c r="O39" s="203">
        <f>N39/M39</f>
        <v>88.912500000000605</v>
      </c>
      <c r="P39" s="97">
        <f>M39-J39</f>
        <v>-1</v>
      </c>
      <c r="Q39" s="98">
        <f>O39-L39</f>
        <v>-7.3227941176464526</v>
      </c>
      <c r="R39" s="99">
        <f t="shared" si="26"/>
        <v>0.92390739608802586</v>
      </c>
      <c r="S39" s="454"/>
      <c r="T39" s="20">
        <v>0.41666666666666702</v>
      </c>
      <c r="U39" s="20">
        <v>0.48611111111111099</v>
      </c>
      <c r="V39" s="92">
        <f>(T39-U38)*24*60</f>
        <v>12.000000000000997</v>
      </c>
      <c r="W39" s="205">
        <f t="shared" si="4"/>
        <v>99.999999999999318</v>
      </c>
      <c r="X39" s="22">
        <v>0.49305555555555602</v>
      </c>
      <c r="Y39" s="84">
        <v>0.53472222222222199</v>
      </c>
      <c r="Z39" s="90"/>
      <c r="AA39" s="90"/>
      <c r="AD39" s="200"/>
      <c r="AE39" s="200"/>
      <c r="AF39" s="314">
        <f>N39-K39</f>
        <v>-213.39999999999031</v>
      </c>
      <c r="AG39" s="206">
        <f>N39/K39</f>
        <v>0.86955990220049495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f>2792+54</f>
        <v>2846</v>
      </c>
      <c r="H40" s="91">
        <f>F40*G40</f>
        <v>126077.79999999999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16</v>
      </c>
      <c r="N40" s="202">
        <f>G40/W40*60</f>
        <v>1411.2396694214833</v>
      </c>
      <c r="O40" s="203">
        <f>N40/M40</f>
        <v>88.202479338842707</v>
      </c>
      <c r="P40" s="97">
        <f>M40-J40</f>
        <v>-1</v>
      </c>
      <c r="Q40" s="98">
        <f>O40-L40</f>
        <v>-8.0328147788043509</v>
      </c>
      <c r="R40" s="99">
        <f t="shared" si="26"/>
        <v>0.91652943078259541</v>
      </c>
      <c r="S40" s="440"/>
      <c r="T40" s="20">
        <v>0.54513888888888895</v>
      </c>
      <c r="U40" s="20">
        <v>0.62916666666666698</v>
      </c>
      <c r="V40" s="92">
        <f>(T40-U39)*24*60</f>
        <v>85.000000000000256</v>
      </c>
      <c r="W40" s="205">
        <f t="shared" si="4"/>
        <v>121.00000000000037</v>
      </c>
      <c r="X40" s="208"/>
      <c r="Y40" s="209"/>
      <c r="Z40" s="337"/>
      <c r="AA40" s="337"/>
      <c r="AB40" s="462"/>
      <c r="AC40" s="462"/>
      <c r="AD40" s="92"/>
      <c r="AE40" s="92"/>
      <c r="AF40" s="314">
        <f>N40-K40</f>
        <v>-224.76033057851669</v>
      </c>
      <c r="AG40" s="206">
        <f>N40/K40</f>
        <v>0.8626159348542074</v>
      </c>
      <c r="AH40" s="460"/>
    </row>
    <row r="41" spans="1:34" ht="15" customHeight="1">
      <c r="A41" s="45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40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07"/>
      <c r="AC41" s="407"/>
      <c r="AD41" s="92"/>
      <c r="AE41" s="92"/>
      <c r="AF41" s="314"/>
      <c r="AG41" s="206"/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7">AVERAGE(J38:J47)</f>
        <v>16.333333333333332</v>
      </c>
      <c r="K48" s="155">
        <f t="shared" si="27"/>
        <v>1662</v>
      </c>
      <c r="L48" s="158">
        <f t="shared" si="27"/>
        <v>102.24575163398693</v>
      </c>
      <c r="M48" s="155">
        <f t="shared" si="27"/>
        <v>15.666666666666666</v>
      </c>
      <c r="N48" s="155">
        <f t="shared" si="27"/>
        <v>1496.8354453627198</v>
      </c>
      <c r="O48" s="158">
        <f t="shared" si="27"/>
        <v>95.853141261095914</v>
      </c>
      <c r="P48" s="221">
        <f>M48-J48</f>
        <v>-0.66666666666666607</v>
      </c>
      <c r="Q48" s="222">
        <f>N48-K48</f>
        <v>-165.16455463728016</v>
      </c>
      <c r="R48" s="223">
        <f t="shared" ref="R48:R51" si="28">O48/L48</f>
        <v>0.93747798543478966</v>
      </c>
      <c r="S48" s="443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2" si="29">N48-K48</f>
        <v>-165.16455463728016</v>
      </c>
      <c r="AG48" s="162">
        <f t="shared" ref="AG48:AG52" si="30">N48/K48</f>
        <v>0.9006230116502526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2108</v>
      </c>
      <c r="H49" s="134">
        <f>F49*G49</f>
        <v>104388.16</v>
      </c>
      <c r="I49" s="135"/>
      <c r="J49" s="36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1686.4000000000115</v>
      </c>
      <c r="O49" s="141">
        <f>N49/M49</f>
        <v>99.200000000000671</v>
      </c>
      <c r="P49" s="229">
        <f>M49-J49</f>
        <v>0</v>
      </c>
      <c r="Q49" s="230">
        <f>O49-L49</f>
        <v>-6.6823529411757931</v>
      </c>
      <c r="R49" s="52">
        <f t="shared" si="28"/>
        <v>0.93688888888889532</v>
      </c>
      <c r="S49" s="439">
        <f>R58</f>
        <v>0.91197001698489844</v>
      </c>
      <c r="T49" s="191">
        <v>0.29027777777777802</v>
      </c>
      <c r="U49" s="191">
        <v>0.34236111111111101</v>
      </c>
      <c r="V49" s="55"/>
      <c r="W49" s="193">
        <f t="shared" si="4"/>
        <v>74.999999999999488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29"/>
        <v>-113.59999999998854</v>
      </c>
      <c r="AG49" s="52">
        <f t="shared" si="30"/>
        <v>0.93688888888889521</v>
      </c>
      <c r="AH49" s="403">
        <f>AG58</f>
        <v>0.94043416056488249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f>2639+14</f>
        <v>2653</v>
      </c>
      <c r="H50" s="231">
        <f>F50*G50</f>
        <v>133416.717</v>
      </c>
      <c r="I50" s="177"/>
      <c r="J50" s="148">
        <f>VLOOKUP(D50,產線配置圖!$A$3:$C$40,2,0)</f>
        <v>18</v>
      </c>
      <c r="K50" s="62">
        <v>1636</v>
      </c>
      <c r="L50" s="81">
        <f>K50/J50</f>
        <v>90.888888888888886</v>
      </c>
      <c r="M50" s="233">
        <v>18</v>
      </c>
      <c r="N50" s="234">
        <f>G50/W50*60</f>
        <v>1487.6635514018601</v>
      </c>
      <c r="O50" s="235">
        <f>N50/M50</f>
        <v>82.647975077881114</v>
      </c>
      <c r="P50" s="74">
        <f>M50-J50</f>
        <v>0</v>
      </c>
      <c r="Q50" s="83">
        <f>O50-L50</f>
        <v>-8.240913811007772</v>
      </c>
      <c r="R50" s="72">
        <f t="shared" si="28"/>
        <v>0.90932979914539125</v>
      </c>
      <c r="S50" s="440"/>
      <c r="T50" s="21">
        <v>0.34722222222222199</v>
      </c>
      <c r="U50" s="21">
        <v>0.421527777777778</v>
      </c>
      <c r="V50" s="30">
        <f>(T50-U49)*24*60</f>
        <v>6.9999999999998153</v>
      </c>
      <c r="W50" s="236">
        <f t="shared" si="4"/>
        <v>107.00000000000065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29"/>
        <v>-148.3364485981399</v>
      </c>
      <c r="AG50" s="72">
        <f t="shared" si="30"/>
        <v>0.90932979914539125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v>49.97</v>
      </c>
      <c r="G51" s="202">
        <f>1319+334</f>
        <v>1653</v>
      </c>
      <c r="H51" s="231">
        <v>71007.37</v>
      </c>
      <c r="I51" s="177"/>
      <c r="J51" s="148">
        <f>VLOOKUP(D51,產線配置圖!$A$3:$C$40,2,0)</f>
        <v>16</v>
      </c>
      <c r="K51" s="62">
        <v>1800</v>
      </c>
      <c r="L51" s="81">
        <f t="shared" ref="L51:L52" si="31">K51/J51</f>
        <v>112.5</v>
      </c>
      <c r="M51" s="233">
        <v>17</v>
      </c>
      <c r="N51" s="234">
        <f t="shared" ref="N51:N52" si="32">G51/W51*60</f>
        <v>1709.9999999999895</v>
      </c>
      <c r="O51" s="235">
        <f t="shared" ref="O51:O52" si="33">N51/M51</f>
        <v>100.58823529411703</v>
      </c>
      <c r="P51" s="74">
        <v>-1</v>
      </c>
      <c r="Q51" s="83">
        <f t="shared" ref="Q51:Q52" si="34">O51-L51</f>
        <v>-11.911764705882973</v>
      </c>
      <c r="R51" s="72">
        <f t="shared" si="28"/>
        <v>0.89411764705881802</v>
      </c>
      <c r="S51" s="440"/>
      <c r="T51" s="21">
        <v>0.42847222222222198</v>
      </c>
      <c r="U51" s="19">
        <v>0.46875</v>
      </c>
      <c r="V51" s="30">
        <f>(T51-U50)*24*60</f>
        <v>9.999999999999325</v>
      </c>
      <c r="W51" s="236">
        <f t="shared" si="4"/>
        <v>58.000000000000355</v>
      </c>
      <c r="X51" s="22">
        <v>0.47916666666666702</v>
      </c>
      <c r="Y51" s="84">
        <v>0.52083333333333304</v>
      </c>
      <c r="Z51" s="90"/>
      <c r="AA51" s="90"/>
      <c r="AB51" s="407"/>
      <c r="AC51" s="407"/>
      <c r="AD51" s="92"/>
      <c r="AE51" s="92"/>
      <c r="AF51" s="307">
        <f t="shared" si="29"/>
        <v>-90.000000000010459</v>
      </c>
      <c r="AG51" s="72">
        <f t="shared" si="30"/>
        <v>0.94999999999999418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v>49.97</v>
      </c>
      <c r="G52" s="202">
        <v>2631</v>
      </c>
      <c r="H52" s="231">
        <v>158105.07999999999</v>
      </c>
      <c r="I52" s="232"/>
      <c r="J52" s="367">
        <f>VLOOKUP(D52,產線配置圖!$A$3:$C$40,2,0)</f>
        <v>16</v>
      </c>
      <c r="K52" s="80">
        <v>1636</v>
      </c>
      <c r="L52" s="81">
        <f t="shared" si="31"/>
        <v>102.25</v>
      </c>
      <c r="M52" s="233">
        <v>17</v>
      </c>
      <c r="N52" s="234">
        <f t="shared" si="32"/>
        <v>1578.6000000000108</v>
      </c>
      <c r="O52" s="235">
        <f t="shared" si="33"/>
        <v>92.858823529412405</v>
      </c>
      <c r="P52" s="74">
        <v>-2</v>
      </c>
      <c r="Q52" s="83">
        <f t="shared" si="34"/>
        <v>-9.3911764705875953</v>
      </c>
      <c r="R52" s="72">
        <f>O52/L52</f>
        <v>0.90815475334388662</v>
      </c>
      <c r="S52" s="440"/>
      <c r="T52" s="21">
        <v>0.52430555555555602</v>
      </c>
      <c r="U52" s="21">
        <v>0.59375</v>
      </c>
      <c r="V52" s="30">
        <f>(T52-U51)*24*60</f>
        <v>80.000000000000682</v>
      </c>
      <c r="W52" s="236">
        <f t="shared" si="4"/>
        <v>99.999999999999318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29"/>
        <v>-57.399999999989177</v>
      </c>
      <c r="AG52" s="72">
        <f t="shared" si="30"/>
        <v>0.96491442542787953</v>
      </c>
      <c r="AH52" s="404"/>
    </row>
    <row r="53" spans="1:34" ht="15" customHeight="1">
      <c r="A53" s="469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440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07"/>
      <c r="AC53" s="407"/>
      <c r="AD53" s="92"/>
      <c r="AE53" s="92"/>
      <c r="AF53" s="307"/>
      <c r="AG53" s="72"/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35">AVERAGE(J49:J57)</f>
        <v>16.75</v>
      </c>
      <c r="K58" s="120">
        <f t="shared" si="35"/>
        <v>1718</v>
      </c>
      <c r="L58" s="117">
        <f t="shared" si="35"/>
        <v>102.88031045751634</v>
      </c>
      <c r="M58" s="120">
        <f t="shared" si="35"/>
        <v>17.25</v>
      </c>
      <c r="N58" s="120">
        <f t="shared" si="35"/>
        <v>1615.6658878504682</v>
      </c>
      <c r="O58" s="117">
        <f t="shared" si="35"/>
        <v>93.823758475352804</v>
      </c>
      <c r="P58" s="121">
        <f>M58-J58</f>
        <v>0.5</v>
      </c>
      <c r="Q58" s="122">
        <f>N58-K58</f>
        <v>-102.33411214953185</v>
      </c>
      <c r="R58" s="123">
        <f>O58/L58</f>
        <v>0.91197001698489844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 t="shared" ref="AF58:AF63" si="36">N58-K58</f>
        <v>-102.33411214953185</v>
      </c>
      <c r="AG58" s="124">
        <f t="shared" ref="AG58:AG63" si="37">N58/K58</f>
        <v>0.94043416056488249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3342</v>
      </c>
      <c r="H59" s="243">
        <f>F59*G59</f>
        <v>90200.58</v>
      </c>
      <c r="I59" s="55"/>
      <c r="J59" s="136">
        <f>VLOOKUP(D59,產線配置圖!$A$3:$C$40,2,0)</f>
        <v>15</v>
      </c>
      <c r="K59" s="137">
        <v>1636</v>
      </c>
      <c r="L59" s="138">
        <f>K59/J59</f>
        <v>109.06666666666666</v>
      </c>
      <c r="M59" s="244">
        <v>15</v>
      </c>
      <c r="N59" s="137">
        <f>G59/W59*60</f>
        <v>1578.8976377952843</v>
      </c>
      <c r="O59" s="138">
        <f>N59/M59</f>
        <v>105.25984251968562</v>
      </c>
      <c r="P59" s="56">
        <f>M59-J59</f>
        <v>0</v>
      </c>
      <c r="Q59" s="230">
        <f>O59-L59</f>
        <v>-3.8068241469810431</v>
      </c>
      <c r="R59" s="52">
        <f>O59/L59</f>
        <v>0.96509635562058949</v>
      </c>
      <c r="S59" s="439">
        <f>R69</f>
        <v>0.90631203434986707</v>
      </c>
      <c r="T59" s="245">
        <v>0.29027777777777802</v>
      </c>
      <c r="U59" s="245">
        <v>0.37847222222222199</v>
      </c>
      <c r="V59" s="55"/>
      <c r="W59" s="54">
        <f t="shared" si="4"/>
        <v>126.9999999999993</v>
      </c>
      <c r="X59" s="55"/>
      <c r="Y59" s="290"/>
      <c r="Z59" s="169"/>
      <c r="AA59" s="169"/>
      <c r="AB59" s="429"/>
      <c r="AC59" s="429"/>
      <c r="AD59" s="135"/>
      <c r="AE59" s="135"/>
      <c r="AF59" s="310">
        <f t="shared" si="36"/>
        <v>-57.102362204715746</v>
      </c>
      <c r="AG59" s="246">
        <f t="shared" si="37"/>
        <v>0.96509635562058937</v>
      </c>
      <c r="AH59" s="403">
        <f>AG69</f>
        <v>0.91054959232175048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1697</v>
      </c>
      <c r="H60" s="78">
        <f>F60*G60</f>
        <v>47957.22</v>
      </c>
      <c r="I60" s="30"/>
      <c r="J60" s="79">
        <f>VLOOKUP(D60,產線配置圖!$A$3:$C$40,2,0)</f>
        <v>12</v>
      </c>
      <c r="K60" s="80">
        <v>1636</v>
      </c>
      <c r="L60" s="81">
        <f>K60/J60</f>
        <v>136.33333333333334</v>
      </c>
      <c r="M60" s="82">
        <v>12</v>
      </c>
      <c r="N60" s="80">
        <f>G60/W60*60</f>
        <v>1590.93749999998</v>
      </c>
      <c r="O60" s="81">
        <f>N60/M60</f>
        <v>132.57812499999832</v>
      </c>
      <c r="P60" s="74">
        <f>M60-J60</f>
        <v>0</v>
      </c>
      <c r="Q60" s="83">
        <f>O60-L60</f>
        <v>-3.7552083333350197</v>
      </c>
      <c r="R60" s="72">
        <f>O60/L60</f>
        <v>0.97245568459656462</v>
      </c>
      <c r="S60" s="467"/>
      <c r="T60" s="22">
        <v>0.38611111111111102</v>
      </c>
      <c r="U60" s="22">
        <v>0.43055555555555602</v>
      </c>
      <c r="V60" s="30">
        <f>(T60-U59)*24*60</f>
        <v>11.000000000000201</v>
      </c>
      <c r="W60" s="248">
        <f t="shared" si="4"/>
        <v>64.00000000000081</v>
      </c>
      <c r="X60" s="232"/>
      <c r="Y60" s="177"/>
      <c r="Z60" s="90"/>
      <c r="AA60" s="90"/>
      <c r="AB60" s="407"/>
      <c r="AC60" s="407"/>
      <c r="AD60" s="92"/>
      <c r="AE60" s="92"/>
      <c r="AF60" s="316">
        <f t="shared" si="36"/>
        <v>-45.062500000020009</v>
      </c>
      <c r="AG60" s="249">
        <f t="shared" si="37"/>
        <v>0.97245568459656484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1815</v>
      </c>
      <c r="H61" s="254">
        <f>F61*G61</f>
        <v>51291.9</v>
      </c>
      <c r="I61" s="182"/>
      <c r="J61" s="106">
        <f>VLOOKUP(D61,產線配置圖!$A$3:$C$40,2,0)</f>
        <v>11</v>
      </c>
      <c r="K61" s="107">
        <v>1636</v>
      </c>
      <c r="L61" s="238">
        <f>K61/J61</f>
        <v>148.72727272727272</v>
      </c>
      <c r="M61" s="108">
        <v>11</v>
      </c>
      <c r="N61" s="107">
        <f>G61/W61*60</f>
        <v>1471.6216216216174</v>
      </c>
      <c r="O61" s="238">
        <f>N61/M61</f>
        <v>133.78378378378341</v>
      </c>
      <c r="P61" s="111">
        <f>M61-J61</f>
        <v>0</v>
      </c>
      <c r="Q61" s="255">
        <f>O61-L61</f>
        <v>-14.943488943489314</v>
      </c>
      <c r="R61" s="85">
        <f>O61/L61</f>
        <v>0.89952421859512077</v>
      </c>
      <c r="S61" s="440"/>
      <c r="T61" s="22">
        <v>0.44097222222222199</v>
      </c>
      <c r="U61" s="22">
        <v>0.49236111111111103</v>
      </c>
      <c r="V61" s="30">
        <f t="shared" ref="V61:V63" si="38">(T61-U60)*24*60</f>
        <v>14.999999999998987</v>
      </c>
      <c r="W61" s="256">
        <f t="shared" si="4"/>
        <v>74.000000000000213</v>
      </c>
      <c r="X61" s="22"/>
      <c r="Y61" s="84"/>
      <c r="Z61" s="90"/>
      <c r="AA61" s="90"/>
      <c r="AB61" s="407"/>
      <c r="AC61" s="407"/>
      <c r="AD61" s="92"/>
      <c r="AE61" s="92"/>
      <c r="AF61" s="317">
        <f t="shared" si="36"/>
        <v>-164.37837837838265</v>
      </c>
      <c r="AG61" s="247">
        <f t="shared" si="37"/>
        <v>0.89952421859512066</v>
      </c>
      <c r="AH61" s="404"/>
    </row>
    <row r="62" spans="1:34" ht="15" customHeight="1">
      <c r="A62" s="465"/>
      <c r="B62" s="250" t="s">
        <v>125</v>
      </c>
      <c r="C62" s="251"/>
      <c r="D62" s="257" t="s">
        <v>126</v>
      </c>
      <c r="E62" s="253"/>
      <c r="F62" s="250">
        <f>VLOOKUP(D62,廠價表!$C$1:$E$43,3,0)</f>
        <v>28.26</v>
      </c>
      <c r="G62" s="38">
        <v>2307</v>
      </c>
      <c r="H62" s="254">
        <f t="shared" ref="H62:H63" si="39">F62*G62</f>
        <v>65195.820000000007</v>
      </c>
      <c r="I62" s="182"/>
      <c r="J62" s="106">
        <f>VLOOKUP(D62,產線配置圖!$A$3:$C$40,2,0)</f>
        <v>11</v>
      </c>
      <c r="K62" s="107">
        <v>1636</v>
      </c>
      <c r="L62" s="238">
        <f t="shared" ref="L62:L63" si="40">K62/J62</f>
        <v>148.72727272727272</v>
      </c>
      <c r="M62" s="108">
        <v>11</v>
      </c>
      <c r="N62" s="107">
        <f t="shared" ref="N62:N63" si="41">G62/W62*60</f>
        <v>1472.5531914893795</v>
      </c>
      <c r="O62" s="238">
        <f t="shared" ref="O62:O63" si="42">N62/M62</f>
        <v>133.86847195357996</v>
      </c>
      <c r="P62" s="111">
        <f t="shared" ref="P62:P63" si="43">M62-J62</f>
        <v>0</v>
      </c>
      <c r="Q62" s="255">
        <f t="shared" ref="Q62:Q63" si="44">O62-L62</f>
        <v>-14.858800773692764</v>
      </c>
      <c r="R62" s="85">
        <f t="shared" ref="R62:R63" si="45">O62/L62</f>
        <v>0.90009363782969409</v>
      </c>
      <c r="S62" s="440"/>
      <c r="T62" s="22">
        <v>0.54930555555555605</v>
      </c>
      <c r="U62" s="22">
        <v>0.61458333333333304</v>
      </c>
      <c r="V62" s="30">
        <f t="shared" si="38"/>
        <v>82.000000000000824</v>
      </c>
      <c r="W62" s="248">
        <f t="shared" si="4"/>
        <v>93.999999999998863</v>
      </c>
      <c r="X62" s="22">
        <v>0.5</v>
      </c>
      <c r="Y62" s="84">
        <v>0.54166666666666696</v>
      </c>
      <c r="Z62" s="90"/>
      <c r="AA62" s="90"/>
      <c r="AB62" s="407"/>
      <c r="AC62" s="407"/>
      <c r="AD62" s="92"/>
      <c r="AE62" s="92"/>
      <c r="AF62" s="317">
        <f t="shared" si="36"/>
        <v>-163.44680851062049</v>
      </c>
      <c r="AG62" s="247">
        <f t="shared" si="37"/>
        <v>0.90009363782969409</v>
      </c>
      <c r="AH62" s="404"/>
    </row>
    <row r="63" spans="1:34" ht="15" customHeight="1">
      <c r="A63" s="465"/>
      <c r="B63" s="258" t="s">
        <v>125</v>
      </c>
      <c r="C63" s="58"/>
      <c r="D63" s="259" t="s">
        <v>192</v>
      </c>
      <c r="E63" s="60"/>
      <c r="F63" s="250">
        <f>VLOOKUP(D63,廠價表!$C$1:$E$43,3,0)</f>
        <v>28.26</v>
      </c>
      <c r="G63" s="260">
        <v>467</v>
      </c>
      <c r="H63" s="254">
        <f t="shared" si="39"/>
        <v>13197.42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40"/>
        <v>148.72727272727272</v>
      </c>
      <c r="M63" s="68">
        <v>11</v>
      </c>
      <c r="N63" s="107">
        <f t="shared" si="41"/>
        <v>1334.2857142856583</v>
      </c>
      <c r="O63" s="238">
        <f t="shared" si="42"/>
        <v>121.2987012986962</v>
      </c>
      <c r="P63" s="111">
        <f t="shared" si="43"/>
        <v>0</v>
      </c>
      <c r="Q63" s="255">
        <f t="shared" si="44"/>
        <v>-27.428571428576518</v>
      </c>
      <c r="R63" s="85">
        <f t="shared" si="45"/>
        <v>0.81557806496678376</v>
      </c>
      <c r="S63" s="440"/>
      <c r="T63" s="22">
        <v>0.625694444444444</v>
      </c>
      <c r="U63" s="22">
        <v>0.64027777777777795</v>
      </c>
      <c r="V63" s="30">
        <f t="shared" si="38"/>
        <v>15.999999999999783</v>
      </c>
      <c r="W63" s="248">
        <f t="shared" si="4"/>
        <v>21.000000000000885</v>
      </c>
      <c r="X63" s="261"/>
      <c r="Y63" s="291"/>
      <c r="Z63" s="335"/>
      <c r="AA63" s="335"/>
      <c r="AB63" s="407"/>
      <c r="AC63" s="407"/>
      <c r="AD63" s="92"/>
      <c r="AE63" s="92"/>
      <c r="AF63" s="317">
        <f t="shared" si="36"/>
        <v>-301.71428571434171</v>
      </c>
      <c r="AG63" s="247">
        <f t="shared" si="37"/>
        <v>0.81557806496678376</v>
      </c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46">AVERAGE(J59:J68)</f>
        <v>12</v>
      </c>
      <c r="K69" s="240">
        <f t="shared" si="46"/>
        <v>1636</v>
      </c>
      <c r="L69" s="268">
        <f t="shared" si="46"/>
        <v>138.31636363636363</v>
      </c>
      <c r="M69" s="240">
        <f t="shared" si="46"/>
        <v>12</v>
      </c>
      <c r="N69" s="240">
        <f t="shared" si="46"/>
        <v>1489.6591330383837</v>
      </c>
      <c r="O69" s="268">
        <f t="shared" si="46"/>
        <v>125.3577849111487</v>
      </c>
      <c r="P69" s="269">
        <f>M69-J69</f>
        <v>0</v>
      </c>
      <c r="Q69" s="222">
        <f>N69-K69</f>
        <v>-146.34086696161626</v>
      </c>
      <c r="R69" s="123">
        <f>O69/L69</f>
        <v>0.90631203434986707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-146.34086696161626</v>
      </c>
      <c r="AG69" s="124">
        <f>N69/K69</f>
        <v>0.91054959232175048</v>
      </c>
      <c r="AH69" s="406"/>
    </row>
    <row r="70" spans="1:36" ht="15" customHeight="1">
      <c r="A70" s="471" t="s">
        <v>55</v>
      </c>
      <c r="B70" s="258" t="s">
        <v>125</v>
      </c>
      <c r="C70" s="58"/>
      <c r="D70" s="259" t="s">
        <v>192</v>
      </c>
      <c r="E70" s="60"/>
      <c r="F70" s="250">
        <f>VLOOKUP(D70,廠價表!$C$1:$E$43,3,0)</f>
        <v>28.26</v>
      </c>
      <c r="G70" s="260">
        <v>1805</v>
      </c>
      <c r="H70" s="254">
        <f>F70*G70</f>
        <v>51009.3</v>
      </c>
      <c r="I70" s="260"/>
      <c r="J70" s="106">
        <f>VLOOKUP(D70,產線配置圖!$A$3:$C$40,2,0)</f>
        <v>11</v>
      </c>
      <c r="K70" s="107">
        <f>VLOOKUP(D70,產線配置圖!$A$3:$C$40,3,0)</f>
        <v>1636</v>
      </c>
      <c r="L70" s="238">
        <f>K70/J70</f>
        <v>148.72727272727272</v>
      </c>
      <c r="M70" s="68">
        <v>10</v>
      </c>
      <c r="N70" s="107">
        <f>G70/W70*60</f>
        <v>1244.8275862068906</v>
      </c>
      <c r="O70" s="238">
        <f>N70/M70</f>
        <v>124.48275862068905</v>
      </c>
      <c r="P70" s="111">
        <f>M70-J70</f>
        <v>-1</v>
      </c>
      <c r="Q70" s="255">
        <f>O70-L70</f>
        <v>-24.244514106583665</v>
      </c>
      <c r="R70" s="85">
        <f>O70/L70</f>
        <v>0.83698676334204136</v>
      </c>
      <c r="S70" s="439">
        <f>R79</f>
        <v>0.76592620196853234</v>
      </c>
      <c r="T70" s="245">
        <v>0.30625000000000002</v>
      </c>
      <c r="U70" s="245">
        <v>0.36666666666666697</v>
      </c>
      <c r="V70" s="55"/>
      <c r="W70" s="54">
        <f t="shared" si="4"/>
        <v>87.000000000000412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-391.1724137931094</v>
      </c>
      <c r="AG70" s="246">
        <f>N70/K70</f>
        <v>0.76089705758367399</v>
      </c>
      <c r="AH70" s="403">
        <f>AG79</f>
        <v>0.59271624367449494</v>
      </c>
    </row>
    <row r="71" spans="1:36" ht="15" customHeight="1">
      <c r="A71" s="472"/>
      <c r="B71" s="75" t="s">
        <v>81</v>
      </c>
      <c r="C71" s="102"/>
      <c r="D71" s="59" t="s">
        <v>123</v>
      </c>
      <c r="E71" s="176"/>
      <c r="F71" s="75">
        <f>VLOOKUP(D71,廠價表!$C$1:$E$43,3,0)</f>
        <v>50.67</v>
      </c>
      <c r="G71" s="90">
        <f>606+615</f>
        <v>1221</v>
      </c>
      <c r="H71" s="91">
        <f t="shared" ref="H71:H72" si="47">F71*G71</f>
        <v>61868.07</v>
      </c>
      <c r="I71" s="92"/>
      <c r="J71" s="79">
        <f>VLOOKUP(D71,產線配置圖!$A$3:$C$40,2,0)</f>
        <v>13</v>
      </c>
      <c r="K71" s="80">
        <f>VLOOKUP(D71,產線配置圖!$A$3:$C$40,3,0)</f>
        <v>1440</v>
      </c>
      <c r="L71" s="93">
        <f>K71/J71</f>
        <v>110.76923076923077</v>
      </c>
      <c r="M71" s="94">
        <v>9</v>
      </c>
      <c r="N71" s="95">
        <f>G71/W71*60</f>
        <v>704.42307692307884</v>
      </c>
      <c r="O71" s="96">
        <f>N71/M71</f>
        <v>78.269230769230987</v>
      </c>
      <c r="P71" s="97">
        <f>M71-J71</f>
        <v>-4</v>
      </c>
      <c r="Q71" s="98">
        <f>O71-L71</f>
        <v>-32.499999999999787</v>
      </c>
      <c r="R71" s="99">
        <f>O71/L71</f>
        <v>0.70659722222222421</v>
      </c>
      <c r="S71" s="440"/>
      <c r="T71" s="22">
        <v>0.39652777777777798</v>
      </c>
      <c r="U71" s="22">
        <v>0.46875</v>
      </c>
      <c r="V71" s="30">
        <f>(T71-U70)*24*60</f>
        <v>42.999999999999844</v>
      </c>
      <c r="W71" s="73">
        <f t="shared" si="4"/>
        <v>103.99999999999972</v>
      </c>
      <c r="X71" s="271"/>
      <c r="Y71" s="293"/>
      <c r="Z71" s="90"/>
      <c r="AA71" s="90"/>
      <c r="AB71" s="407" t="s">
        <v>217</v>
      </c>
      <c r="AC71" s="407"/>
      <c r="AD71" s="200"/>
      <c r="AE71" s="200"/>
      <c r="AF71" s="311">
        <v>-300.31249999999704</v>
      </c>
      <c r="AG71" s="99">
        <v>0.80810702875399554</v>
      </c>
      <c r="AH71" s="445"/>
    </row>
    <row r="72" spans="1:36" ht="15" customHeight="1">
      <c r="A72" s="472"/>
      <c r="B72" s="75" t="s">
        <v>81</v>
      </c>
      <c r="C72" s="58"/>
      <c r="D72" s="259" t="s">
        <v>206</v>
      </c>
      <c r="E72" s="60"/>
      <c r="F72" s="75">
        <f>VLOOKUP(D72,廠價表!$C$1:$E$43,3,0)</f>
        <v>45.66</v>
      </c>
      <c r="G72" s="273">
        <f>602+72</f>
        <v>674</v>
      </c>
      <c r="H72" s="91">
        <f t="shared" si="47"/>
        <v>30774.839999999997</v>
      </c>
      <c r="I72" s="182"/>
      <c r="J72" s="79">
        <f>VLOOKUP(D72,產線配置圖!$A$3:$C$40,2,0)</f>
        <v>17</v>
      </c>
      <c r="K72" s="80">
        <f>VLOOKUP(D72,產線配置圖!$A$3:$C$40,3,0)</f>
        <v>1500</v>
      </c>
      <c r="L72" s="93">
        <f>K72/J72</f>
        <v>88.235294117647058</v>
      </c>
      <c r="M72" s="94">
        <v>12</v>
      </c>
      <c r="N72" s="95">
        <f>G72/W72*60</f>
        <v>763.01886792451955</v>
      </c>
      <c r="O72" s="96">
        <f>N72/M72</f>
        <v>63.584905660376627</v>
      </c>
      <c r="P72" s="97">
        <f>M72-J72</f>
        <v>-5</v>
      </c>
      <c r="Q72" s="98">
        <f>O72-L72</f>
        <v>-24.650388457270431</v>
      </c>
      <c r="R72" s="99">
        <f>O72/L72</f>
        <v>0.72062893081760182</v>
      </c>
      <c r="S72" s="440"/>
      <c r="T72" s="22">
        <v>0.55347222222222203</v>
      </c>
      <c r="U72" s="22">
        <v>0.59027777777777801</v>
      </c>
      <c r="V72" s="30">
        <f>(T72-U71)*24*60</f>
        <v>121.99999999999973</v>
      </c>
      <c r="W72" s="73">
        <f t="shared" si="4"/>
        <v>53.000000000000611</v>
      </c>
      <c r="X72" s="272"/>
      <c r="Y72" s="288"/>
      <c r="Z72" s="90"/>
      <c r="AA72" s="90"/>
      <c r="AB72" s="407" t="s">
        <v>217</v>
      </c>
      <c r="AC72" s="407"/>
      <c r="AD72" s="92"/>
      <c r="AE72" s="92"/>
      <c r="AF72" s="311">
        <v>-130.33333333333326</v>
      </c>
      <c r="AG72" s="99">
        <v>0.91671991480298198</v>
      </c>
      <c r="AH72" s="445"/>
    </row>
    <row r="73" spans="1:36" ht="15" customHeight="1">
      <c r="A73" s="472"/>
      <c r="B73" s="75"/>
      <c r="C73" s="58"/>
      <c r="D73" s="259"/>
      <c r="E73" s="60"/>
      <c r="F73" s="75"/>
      <c r="G73" s="273"/>
      <c r="H73" s="91"/>
      <c r="I73" s="182"/>
      <c r="J73" s="79"/>
      <c r="K73" s="80"/>
      <c r="L73" s="93"/>
      <c r="M73" s="94"/>
      <c r="N73" s="95"/>
      <c r="O73" s="96"/>
      <c r="P73" s="97"/>
      <c r="Q73" s="98"/>
      <c r="R73" s="99"/>
      <c r="S73" s="440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91"/>
      <c r="I74" s="182"/>
      <c r="J74" s="79"/>
      <c r="K74" s="80"/>
      <c r="L74" s="93"/>
      <c r="M74" s="94"/>
      <c r="N74" s="95"/>
      <c r="O74" s="96"/>
      <c r="P74" s="97"/>
      <c r="Q74" s="98"/>
      <c r="R74" s="99"/>
      <c r="S74" s="440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 t="s">
        <v>56</v>
      </c>
      <c r="D79" s="430" t="s">
        <v>42</v>
      </c>
      <c r="E79" s="430"/>
      <c r="F79" s="116"/>
      <c r="G79" s="117"/>
      <c r="H79" s="282"/>
      <c r="I79" s="268"/>
      <c r="J79" s="240">
        <f t="shared" ref="J79:O79" si="48">AVERAGE(J70:J78)</f>
        <v>13.666666666666666</v>
      </c>
      <c r="K79" s="240">
        <f t="shared" si="48"/>
        <v>1525.3333333333333</v>
      </c>
      <c r="L79" s="268">
        <f t="shared" si="48"/>
        <v>115.91059920471685</v>
      </c>
      <c r="M79" s="240">
        <f t="shared" si="48"/>
        <v>10.333333333333334</v>
      </c>
      <c r="N79" s="240">
        <f t="shared" si="48"/>
        <v>904.08984368482959</v>
      </c>
      <c r="O79" s="268">
        <f t="shared" si="48"/>
        <v>88.778965016765554</v>
      </c>
      <c r="P79" s="269">
        <f>M79-J79</f>
        <v>-3.3333333333333321</v>
      </c>
      <c r="Q79" s="222">
        <f>N79-K79</f>
        <v>-621.24348964850367</v>
      </c>
      <c r="R79" s="223">
        <f>O79/L79</f>
        <v>0.76592620196853234</v>
      </c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-621.24348964850367</v>
      </c>
      <c r="AG79" s="124">
        <f>N79/K79</f>
        <v>0.59271624367449494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48:AC48"/>
    <mergeCell ref="A38:A48"/>
    <mergeCell ref="S38:S48"/>
    <mergeCell ref="AB38:AC38"/>
    <mergeCell ref="D48:E48"/>
    <mergeCell ref="A27:A37"/>
    <mergeCell ref="S27:S37"/>
    <mergeCell ref="AB27:AC27"/>
    <mergeCell ref="AB34:AC34"/>
    <mergeCell ref="AB35:AC35"/>
    <mergeCell ref="AB36:AC36"/>
    <mergeCell ref="D37:E37"/>
    <mergeCell ref="AB37:AC37"/>
    <mergeCell ref="A5:A15"/>
    <mergeCell ref="S5:S15"/>
    <mergeCell ref="D15:E15"/>
    <mergeCell ref="AB15:AC15"/>
    <mergeCell ref="AB5:AC5"/>
    <mergeCell ref="A16:A26"/>
    <mergeCell ref="S16:S26"/>
    <mergeCell ref="AB16:AC16"/>
    <mergeCell ref="D26:E26"/>
    <mergeCell ref="AB26:AC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R3:R4"/>
    <mergeCell ref="T3:U3"/>
    <mergeCell ref="V3:V4"/>
    <mergeCell ref="W3:W4"/>
    <mergeCell ref="X3:Y3"/>
    <mergeCell ref="Z3:AA3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H3:AH4"/>
    <mergeCell ref="P3:P4"/>
    <mergeCell ref="Q3:Q4"/>
  </mergeCells>
  <phoneticPr fontId="0" type="noConversion"/>
  <conditionalFormatting sqref="P5:P79">
    <cfRule type="cellIs" dxfId="58" priority="1" operator="greaterThan">
      <formula>0</formula>
    </cfRule>
  </conditionalFormatting>
  <conditionalFormatting sqref="Q5:Q79 AF5:AF79">
    <cfRule type="cellIs" dxfId="57" priority="4" operator="lessThan">
      <formula>0</formula>
    </cfRule>
  </conditionalFormatting>
  <conditionalFormatting sqref="R5:R79 AG5:AG79">
    <cfRule type="cellIs" dxfId="56" priority="2" operator="greaterThan">
      <formula>1</formula>
    </cfRule>
    <cfRule type="cellIs" dxfId="55" priority="3" operator="lessThan">
      <formula>0.8</formula>
    </cfRule>
  </conditionalFormatting>
  <conditionalFormatting sqref="S5:S10 S37:S62 AH59:AH62 S69:S76 AH69:AH76">
    <cfRule type="cellIs" dxfId="54" priority="7" operator="lessThan">
      <formula>0.8</formula>
    </cfRule>
  </conditionalFormatting>
  <conditionalFormatting sqref="S19:S25 AH19:AH25">
    <cfRule type="cellIs" dxfId="53" priority="6" operator="lessThan">
      <formula>0.8</formula>
    </cfRule>
  </conditionalFormatting>
  <conditionalFormatting sqref="S79">
    <cfRule type="cellIs" dxfId="52" priority="5" operator="lessThan">
      <formula>0.8</formula>
    </cfRule>
  </conditionalFormatting>
  <conditionalFormatting sqref="AH5:AH8 S15:S16 AH15:AH16 AH49 AH79">
    <cfRule type="cellIs" dxfId="51" priority="9" operator="lessThan">
      <formula>0.8</formula>
    </cfRule>
  </conditionalFormatting>
  <conditionalFormatting sqref="AH27 S27:S28">
    <cfRule type="cellIs" dxfId="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F97433-8826-4BDF-9A05-442A2DB6CB2C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706FC-B487-4B64-85A3-B23ABC8C0556}">
  <dimension ref="B1:O26"/>
  <sheetViews>
    <sheetView zoomScale="70" zoomScaleNormal="70" workbookViewId="0">
      <selection activeCell="L14" sqref="L1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46199</v>
      </c>
      <c r="E3" s="510"/>
      <c r="F3" s="3" t="s">
        <v>72</v>
      </c>
      <c r="G3" s="511">
        <f>'0626'!E1</f>
        <v>48943</v>
      </c>
      <c r="H3" s="511"/>
      <c r="I3" s="3" t="s">
        <v>2</v>
      </c>
      <c r="J3" s="512">
        <f>'0626'!G1</f>
        <v>2306725.0630000001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121.48108790719085</v>
      </c>
      <c r="G6" s="507"/>
      <c r="H6" s="508">
        <f>AVERAGE(D13:H13)</f>
        <v>118.63457821590175</v>
      </c>
      <c r="I6" s="508"/>
      <c r="J6" s="508">
        <f>AVERAGE(I13:J13)</f>
        <v>132.73094405594406</v>
      </c>
      <c r="K6" s="508"/>
      <c r="L6" s="516">
        <f>SUM(D18:J18)</f>
        <v>0</v>
      </c>
      <c r="M6" s="499">
        <f>SUM(D19:J19)</f>
        <v>0</v>
      </c>
      <c r="N6" s="517">
        <f>SUM(D20:J20)</f>
        <v>2</v>
      </c>
      <c r="O6" s="499">
        <f>SUM(D20:J20)</f>
        <v>2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107.04509753217899</v>
      </c>
      <c r="G7" s="496"/>
      <c r="H7" s="497">
        <f>AVERAGE(D14:H14)</f>
        <v>103.83814662014456</v>
      </c>
      <c r="I7" s="497"/>
      <c r="J7" s="497">
        <f>AVERAGE(I14:J14)</f>
        <v>115.97110663029743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0.8811667674062923</v>
      </c>
      <c r="G8" s="502"/>
      <c r="H8" s="502">
        <f>H7/H6</f>
        <v>0.87527724363103199</v>
      </c>
      <c r="I8" s="502"/>
      <c r="J8" s="502">
        <f>J7/J6</f>
        <v>0.8737307449679359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VALUE('0626'!L15)</f>
        <v>136.55882352941177</v>
      </c>
      <c r="E13" s="13">
        <f>VALUE('0626'!L26)</f>
        <v>157.84421460892048</v>
      </c>
      <c r="F13" s="13">
        <f>VALUE('0626'!L37)</f>
        <v>90.63856209150326</v>
      </c>
      <c r="G13" s="13">
        <f>VALUE('0626'!L48)</f>
        <v>105.25098039215686</v>
      </c>
      <c r="H13" s="13">
        <f>VALUE('0626'!L58)</f>
        <v>102.88031045751634</v>
      </c>
      <c r="I13" s="13">
        <f>VALUE('0626'!L69)</f>
        <v>135.71363636363637</v>
      </c>
      <c r="J13" s="13">
        <f>'0626'!L79</f>
        <v>129.74825174825173</v>
      </c>
    </row>
    <row r="14" spans="2:15" ht="39.950000000000003" customHeight="1">
      <c r="B14" s="490"/>
      <c r="C14" s="12" t="s">
        <v>100</v>
      </c>
      <c r="D14" s="13">
        <f>VALUE('0626'!O15)</f>
        <v>115.8602019267118</v>
      </c>
      <c r="E14" s="13">
        <f>VALUE('0626'!O26)</f>
        <v>132.53587472734347</v>
      </c>
      <c r="F14" s="13">
        <f>VALUE('0626'!O37)</f>
        <v>84.055670279442666</v>
      </c>
      <c r="G14" s="13">
        <f>VALUE('0626'!O48)</f>
        <v>95.066767219708282</v>
      </c>
      <c r="H14" s="13">
        <f>VALUE('0626'!O58)</f>
        <v>91.672218947516612</v>
      </c>
      <c r="I14" s="13">
        <f>VALUE('0626'!O69)</f>
        <v>123.07985209235113</v>
      </c>
      <c r="J14" s="13">
        <f>'0626'!O79</f>
        <v>108.86236116824372</v>
      </c>
    </row>
    <row r="15" spans="2:15" ht="39.950000000000003" customHeight="1">
      <c r="B15" s="491"/>
      <c r="C15" s="10" t="s">
        <v>26</v>
      </c>
      <c r="D15" s="14">
        <f t="shared" ref="D15:I15" si="1">D14/D13</f>
        <v>0.84842706558436376</v>
      </c>
      <c r="E15" s="14">
        <f t="shared" si="1"/>
        <v>0.83966254357638825</v>
      </c>
      <c r="F15" s="14">
        <f t="shared" si="1"/>
        <v>0.92737206261706906</v>
      </c>
      <c r="G15" s="14">
        <f t="shared" si="1"/>
        <v>0.90323878091678578</v>
      </c>
      <c r="H15" s="14">
        <f t="shared" si="1"/>
        <v>0.89105698203906536</v>
      </c>
      <c r="I15" s="14">
        <f t="shared" si="1"/>
        <v>0.90690851258724081</v>
      </c>
      <c r="J15" s="15">
        <f>'0626'!S70</f>
        <v>0.83902757610536027</v>
      </c>
    </row>
    <row r="16" spans="2:15" ht="17.25" customHeight="1">
      <c r="B16" s="492" t="s">
        <v>101</v>
      </c>
      <c r="C16" s="10" t="s">
        <v>34</v>
      </c>
      <c r="D16" s="16">
        <f>'0626'!T5</f>
        <v>0.29027777777777802</v>
      </c>
      <c r="E16" s="16">
        <f>'0626'!T16</f>
        <v>0.29027777777777802</v>
      </c>
      <c r="F16" s="16">
        <f>'0626'!T27</f>
        <v>0.29027777777777802</v>
      </c>
      <c r="G16" s="16">
        <f>'0626'!T38</f>
        <v>0.33333333333333298</v>
      </c>
      <c r="H16" s="16">
        <f>'0626'!T49</f>
        <v>0.29166666666666702</v>
      </c>
      <c r="I16" s="16">
        <f>'0626'!T59</f>
        <v>0.29166666666666702</v>
      </c>
      <c r="J16" s="16">
        <f>'0626'!T70</f>
        <v>0.29513888888888901</v>
      </c>
    </row>
    <row r="17" spans="2:10" ht="17.25" customHeight="1">
      <c r="B17" s="493"/>
      <c r="C17" s="10" t="s">
        <v>35</v>
      </c>
      <c r="D17" s="16">
        <v>0.57291666666666696</v>
      </c>
      <c r="E17" s="19">
        <v>0.57708333333333295</v>
      </c>
      <c r="F17" s="19">
        <v>0.60902777777777795</v>
      </c>
      <c r="G17" s="20">
        <v>0.49305555555555602</v>
      </c>
      <c r="H17" s="21">
        <v>0.57152777777777797</v>
      </c>
      <c r="I17" s="22">
        <v>0.58680555555555602</v>
      </c>
      <c r="J17" s="22">
        <v>0.45833333333333298</v>
      </c>
    </row>
    <row r="18" spans="2:10" ht="17.25" customHeight="1">
      <c r="B18" s="494" t="s">
        <v>102</v>
      </c>
      <c r="C18" s="330" t="s">
        <v>36</v>
      </c>
      <c r="D18" s="358">
        <f>'0626'!Z15</f>
        <v>0</v>
      </c>
      <c r="E18" s="359">
        <f>'0626'!Z26</f>
        <v>0</v>
      </c>
      <c r="F18" s="359">
        <f>'0626'!Z37</f>
        <v>0</v>
      </c>
      <c r="G18" s="360">
        <f>'0626'!Z48</f>
        <v>0</v>
      </c>
      <c r="H18" s="360">
        <f>'0626'!Z58</f>
        <v>0</v>
      </c>
      <c r="I18" s="359">
        <f>'0626'!Z69</f>
        <v>0</v>
      </c>
      <c r="J18" s="359">
        <f>'0626'!AA79</f>
        <v>0</v>
      </c>
    </row>
    <row r="19" spans="2:10" ht="17.25" customHeight="1">
      <c r="B19" s="495"/>
      <c r="C19" s="330" t="s">
        <v>37</v>
      </c>
      <c r="D19" s="358">
        <f>'0626'!AA15</f>
        <v>0</v>
      </c>
      <c r="E19" s="359">
        <f>'0626'!AA26</f>
        <v>0</v>
      </c>
      <c r="F19" s="359">
        <f>'0626'!AA37</f>
        <v>0</v>
      </c>
      <c r="G19" s="360">
        <f>'0626'!AA48</f>
        <v>0</v>
      </c>
      <c r="H19" s="360">
        <f>'0626'!AA58</f>
        <v>0</v>
      </c>
      <c r="I19" s="359">
        <f>'0626'!AA69</f>
        <v>0</v>
      </c>
      <c r="J19" s="359">
        <f>'0626'!AB79</f>
        <v>0</v>
      </c>
    </row>
    <row r="20" spans="2:10" ht="17.25" customHeight="1">
      <c r="B20" s="494" t="s">
        <v>103</v>
      </c>
      <c r="C20" s="330" t="s">
        <v>36</v>
      </c>
      <c r="D20" s="358">
        <f>'0626'!AD15</f>
        <v>0</v>
      </c>
      <c r="E20" s="359">
        <f>'0626'!AD26</f>
        <v>2</v>
      </c>
      <c r="F20" s="359">
        <f>'0626'!AD37</f>
        <v>0</v>
      </c>
      <c r="G20" s="360">
        <f>'0626'!AD48</f>
        <v>0</v>
      </c>
      <c r="H20" s="360">
        <f>'0626'!AD58</f>
        <v>0</v>
      </c>
      <c r="I20" s="359">
        <f>'0626'!AD69</f>
        <v>0</v>
      </c>
      <c r="J20" s="359">
        <f>'0626'!AD79</f>
        <v>0</v>
      </c>
    </row>
    <row r="21" spans="2:10" ht="17.25" customHeight="1">
      <c r="B21" s="495"/>
      <c r="C21" s="330" t="s">
        <v>85</v>
      </c>
      <c r="D21" s="358">
        <f>'0626'!AE15</f>
        <v>0</v>
      </c>
      <c r="E21" s="359">
        <f>'0626'!AE26</f>
        <v>2</v>
      </c>
      <c r="F21" s="359">
        <f>'0626'!AE37</f>
        <v>0</v>
      </c>
      <c r="G21" s="360">
        <f>'0626'!AE48</f>
        <v>0</v>
      </c>
      <c r="H21" s="360">
        <f>'0626'!AE58</f>
        <v>0</v>
      </c>
      <c r="I21" s="359">
        <f>'0626'!AE69</f>
        <v>0</v>
      </c>
      <c r="J21" s="359">
        <f>'0626'!AE79</f>
        <v>0</v>
      </c>
    </row>
    <row r="22" spans="2:10" ht="17.25" customHeight="1">
      <c r="B22" s="477" t="s">
        <v>104</v>
      </c>
      <c r="C22" s="478"/>
      <c r="D22" s="23">
        <f>VALUE('0626'!M15)</f>
        <v>15.5</v>
      </c>
      <c r="E22" s="23">
        <f>VALUE('0626'!M26)</f>
        <v>14.4</v>
      </c>
      <c r="F22" s="23">
        <f>VALUE('0626'!M37)</f>
        <v>17.600000000000001</v>
      </c>
      <c r="G22" s="23">
        <f>VALUE('0626'!M48)</f>
        <v>16</v>
      </c>
      <c r="H22" s="23">
        <f>VALUE('0626'!M58)</f>
        <v>16.5</v>
      </c>
      <c r="I22" s="23">
        <f>VALUE('0626'!M69)</f>
        <v>12.25</v>
      </c>
      <c r="J22" s="23">
        <f>'0626'!M79</f>
        <v>10.5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63F9-7E2F-407B-8B9D-2A37D0A51577}">
  <sheetPr>
    <tabColor theme="9" tint="0.79998168889431442"/>
  </sheetPr>
  <dimension ref="A1:AJ92"/>
  <sheetViews>
    <sheetView zoomScale="69" zoomScaleNormal="69" workbookViewId="0">
      <pane xSplit="5" ySplit="4" topLeftCell="K50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48943</v>
      </c>
      <c r="F1" s="30" t="s">
        <v>2</v>
      </c>
      <c r="G1" s="31">
        <f>SUM(H5:H79)</f>
        <v>2306725.0630000001</v>
      </c>
      <c r="H1" s="32" t="s">
        <v>3</v>
      </c>
      <c r="I1" s="33">
        <f>M15+M26+M48+M58+M69+M79+M37</f>
        <v>102.75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218</v>
      </c>
      <c r="B2" s="381"/>
      <c r="C2" s="28"/>
      <c r="D2" s="28" t="s">
        <v>14</v>
      </c>
      <c r="E2" s="35">
        <f>AVERAGE(O15,O26,O37,O48,O58,O69,O79)</f>
        <v>107.30470662304538</v>
      </c>
      <c r="F2" s="36" t="s">
        <v>15</v>
      </c>
      <c r="G2" s="37">
        <f>G1/E1</f>
        <v>47.13084737347527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2</v>
      </c>
      <c r="AE2" s="340">
        <f>AE15+AE26+AE37+AE48+AE58+AE69+AE79</f>
        <v>2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2049</v>
      </c>
      <c r="H5" s="43">
        <f>F5*G5</f>
        <v>116526.62999999999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1920.9375000000214</v>
      </c>
      <c r="O5" s="47">
        <f>N5/M5</f>
        <v>128.06250000000142</v>
      </c>
      <c r="P5" s="49">
        <f>M5-J5</f>
        <v>0</v>
      </c>
      <c r="Q5" s="50">
        <f>O5-L5</f>
        <v>-21.937499999998579</v>
      </c>
      <c r="R5" s="51">
        <f>O5/L5</f>
        <v>0.85375000000000945</v>
      </c>
      <c r="S5" s="439">
        <f>R15</f>
        <v>0.84842706558436376</v>
      </c>
      <c r="T5" s="319">
        <v>0.29027777777777802</v>
      </c>
      <c r="U5" s="320">
        <v>0.33472222222222198</v>
      </c>
      <c r="V5" s="53"/>
      <c r="W5" s="54">
        <f t="shared" ref="W5:W14" si="0">(U5-T5)*24*60</f>
        <v>63.999999999999289</v>
      </c>
      <c r="X5" s="55"/>
      <c r="Y5" s="290"/>
      <c r="Z5" s="169"/>
      <c r="AA5" s="169"/>
      <c r="AB5" s="444"/>
      <c r="AC5" s="444"/>
      <c r="AD5" s="135"/>
      <c r="AE5" s="135"/>
      <c r="AF5" s="229">
        <f t="shared" ref="AF5:AF8" si="1">N5-K5</f>
        <v>-329.06249999997863</v>
      </c>
      <c r="AG5" s="52">
        <f t="shared" ref="AG5:AG8" si="2">N5/K5</f>
        <v>0.85375000000000945</v>
      </c>
      <c r="AH5" s="403">
        <f>AG15</f>
        <v>0.8496435210607074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f>1818+33</f>
        <v>1851</v>
      </c>
      <c r="H6" s="63">
        <f>F6*G6</f>
        <v>107672.67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1820.6557377049221</v>
      </c>
      <c r="O6" s="67">
        <f>N6/M6</f>
        <v>121.37704918032814</v>
      </c>
      <c r="P6" s="69">
        <f>M6-J6</f>
        <v>0</v>
      </c>
      <c r="Q6" s="70">
        <f>O6-L6</f>
        <v>-28.622950819671857</v>
      </c>
      <c r="R6" s="71">
        <f>O6/L6</f>
        <v>0.8091803278688543</v>
      </c>
      <c r="S6" s="440"/>
      <c r="T6" s="16">
        <v>0.34236111111111101</v>
      </c>
      <c r="U6" s="16">
        <v>0.38472222222222202</v>
      </c>
      <c r="V6" s="30">
        <f>(T6-U5)*24*60</f>
        <v>11.000000000000201</v>
      </c>
      <c r="W6" s="73">
        <f t="shared" si="0"/>
        <v>60.999999999999865</v>
      </c>
      <c r="X6" s="22"/>
      <c r="Y6" s="84"/>
      <c r="Z6" s="90"/>
      <c r="AA6" s="90"/>
      <c r="AB6" s="407"/>
      <c r="AC6" s="407"/>
      <c r="AD6" s="149"/>
      <c r="AE6" s="149"/>
      <c r="AF6" s="307">
        <f t="shared" si="1"/>
        <v>-429.3442622950779</v>
      </c>
      <c r="AG6" s="72">
        <f t="shared" si="2"/>
        <v>0.8091803278688543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3913</v>
      </c>
      <c r="H7" s="78">
        <f>F7*G7</f>
        <v>192284.82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1908.7804878048921</v>
      </c>
      <c r="O7" s="81">
        <f>N7/M7</f>
        <v>127.25203252032614</v>
      </c>
      <c r="P7" s="74">
        <f>M7-J7</f>
        <v>0</v>
      </c>
      <c r="Q7" s="83">
        <f>O7-L7</f>
        <v>-22.747967479673861</v>
      </c>
      <c r="R7" s="72">
        <f>O7/L7</f>
        <v>0.84834688346884091</v>
      </c>
      <c r="S7" s="440"/>
      <c r="T7" s="18">
        <v>0.391666666666667</v>
      </c>
      <c r="U7" s="18">
        <v>0.47708333333333303</v>
      </c>
      <c r="V7" s="30">
        <f>(T7-U6)*24*60</f>
        <v>10.000000000000764</v>
      </c>
      <c r="W7" s="73">
        <f t="shared" si="0"/>
        <v>122.99999999999909</v>
      </c>
      <c r="X7" s="22">
        <v>0.48611111111111099</v>
      </c>
      <c r="Y7" s="84">
        <v>0.52777777777777801</v>
      </c>
      <c r="Z7" s="90"/>
      <c r="AA7" s="90"/>
      <c r="AB7" s="407"/>
      <c r="AC7" s="407"/>
      <c r="AD7" s="92"/>
      <c r="AE7" s="92"/>
      <c r="AF7" s="307">
        <f t="shared" si="1"/>
        <v>-341.21951219510788</v>
      </c>
      <c r="AG7" s="72">
        <f t="shared" si="2"/>
        <v>0.84834688346884091</v>
      </c>
      <c r="AH7" s="404"/>
    </row>
    <row r="8" spans="1:34" ht="15" customHeight="1">
      <c r="A8" s="436"/>
      <c r="B8" s="75" t="s">
        <v>128</v>
      </c>
      <c r="C8" s="76"/>
      <c r="D8" s="59" t="s">
        <v>130</v>
      </c>
      <c r="E8" s="77"/>
      <c r="F8" s="75">
        <f>VLOOKUP(D8,廠價表!$C$1:$E$43,3,0)</f>
        <v>44.3</v>
      </c>
      <c r="G8" s="66">
        <v>934</v>
      </c>
      <c r="H8" s="78">
        <f>F8*G8</f>
        <v>41376.199999999997</v>
      </c>
      <c r="I8" s="73"/>
      <c r="J8" s="79">
        <f>VLOOKUP(D8,產線配置圖!$A$3:$C$40,2,0)</f>
        <v>17</v>
      </c>
      <c r="K8" s="80">
        <f>VLOOKUP(D8,產線配置圖!$A$3:$C$40,3,0)</f>
        <v>1636</v>
      </c>
      <c r="L8" s="81">
        <f>K8/J8</f>
        <v>96.235294117647058</v>
      </c>
      <c r="M8" s="82">
        <v>17</v>
      </c>
      <c r="N8" s="80">
        <f>G8/W8*60</f>
        <v>1474.7368421052561</v>
      </c>
      <c r="O8" s="81">
        <f>N8/M8</f>
        <v>86.749226006191535</v>
      </c>
      <c r="P8" s="74">
        <f>M8-J8</f>
        <v>0</v>
      </c>
      <c r="Q8" s="83">
        <f>O8-L8</f>
        <v>-9.4860681114555234</v>
      </c>
      <c r="R8" s="72">
        <f>O8/L8</f>
        <v>0.90142838759489985</v>
      </c>
      <c r="S8" s="440"/>
      <c r="T8" s="16">
        <v>0.54652777777777795</v>
      </c>
      <c r="U8" s="16">
        <v>0.57291666666666696</v>
      </c>
      <c r="V8" s="30">
        <f>(T8-U7)*24*60</f>
        <v>100.00000000000068</v>
      </c>
      <c r="W8" s="73">
        <f t="shared" si="0"/>
        <v>38.000000000000185</v>
      </c>
      <c r="X8" s="22"/>
      <c r="Y8" s="84"/>
      <c r="Z8" s="90"/>
      <c r="AA8" s="90"/>
      <c r="AB8" s="520" t="s">
        <v>219</v>
      </c>
      <c r="AC8" s="520"/>
      <c r="AD8" s="149"/>
      <c r="AE8" s="149"/>
      <c r="AF8" s="307">
        <f t="shared" si="1"/>
        <v>-161.26315789474393</v>
      </c>
      <c r="AG8" s="72">
        <f t="shared" si="2"/>
        <v>0.90142838759489985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34"/>
      <c r="AC9" s="434"/>
      <c r="AD9" s="149"/>
      <c r="AE9" s="149"/>
      <c r="AF9" s="307"/>
      <c r="AG9" s="72"/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/>
      <c r="AG10" s="72"/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/>
      <c r="AG11" s="72"/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15.5</v>
      </c>
      <c r="K15" s="120">
        <f t="shared" si="3"/>
        <v>2096.5</v>
      </c>
      <c r="L15" s="117">
        <f t="shared" si="3"/>
        <v>136.55882352941177</v>
      </c>
      <c r="M15" s="120">
        <f t="shared" si="3"/>
        <v>15.5</v>
      </c>
      <c r="N15" s="120">
        <f t="shared" si="3"/>
        <v>1781.277641903773</v>
      </c>
      <c r="O15" s="117">
        <f t="shared" si="3"/>
        <v>115.8602019267118</v>
      </c>
      <c r="P15" s="121">
        <f>M15-J15</f>
        <v>0</v>
      </c>
      <c r="Q15" s="122">
        <f>O15-L15</f>
        <v>-20.698621602699973</v>
      </c>
      <c r="R15" s="123">
        <f>O15/L15</f>
        <v>0.84842706558436376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 t="shared" ref="AF15:AF20" si="4">N15-K15</f>
        <v>-315.22235809622703</v>
      </c>
      <c r="AG15" s="124">
        <f t="shared" ref="AG15:AG20" si="5">N15/K15</f>
        <v>0.8496435210607074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2749</v>
      </c>
      <c r="H16" s="134">
        <f>F16*G16</f>
        <v>139291.83000000002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1895.8620689655395</v>
      </c>
      <c r="O16" s="141">
        <f>N16/M16</f>
        <v>135.41871921182425</v>
      </c>
      <c r="P16" s="142">
        <f>M16-J16</f>
        <v>0</v>
      </c>
      <c r="Q16" s="143">
        <f>O16-L16</f>
        <v>-25.295566502461469</v>
      </c>
      <c r="R16" s="144">
        <f>O16/L16</f>
        <v>0.84260536398468422</v>
      </c>
      <c r="S16" s="425">
        <f>R26</f>
        <v>0.83966254357638825</v>
      </c>
      <c r="T16" s="145">
        <v>0.29027777777777802</v>
      </c>
      <c r="U16" s="145">
        <v>0.35069444444444398</v>
      </c>
      <c r="V16" s="135"/>
      <c r="W16" s="146">
        <f t="shared" ref="W16:W78" si="6">(U16-T16)*24*60</f>
        <v>86.999999999998977</v>
      </c>
      <c r="X16" s="141"/>
      <c r="Y16" s="296"/>
      <c r="Z16" s="169"/>
      <c r="AA16" s="169"/>
      <c r="AB16" s="429"/>
      <c r="AC16" s="429"/>
      <c r="AD16" s="135"/>
      <c r="AE16" s="135"/>
      <c r="AF16" s="229">
        <f t="shared" si="4"/>
        <v>-354.13793103446051</v>
      </c>
      <c r="AG16" s="52">
        <f t="shared" si="5"/>
        <v>0.84260536398468422</v>
      </c>
      <c r="AH16" s="403">
        <f>AG26</f>
        <v>0.8347232648032249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f>1011+208</f>
        <v>1219</v>
      </c>
      <c r="H17" s="78">
        <f>F17*G17</f>
        <v>69738.990000000005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1662.2727272727032</v>
      </c>
      <c r="O17" s="96">
        <f>N17/M17</f>
        <v>97.780748663100184</v>
      </c>
      <c r="P17" s="97">
        <f>M17-J17</f>
        <v>0</v>
      </c>
      <c r="Q17" s="98">
        <f>O17-L17</f>
        <v>-34.572192513370396</v>
      </c>
      <c r="R17" s="99">
        <f>O17/L17</f>
        <v>0.73878787878786811</v>
      </c>
      <c r="S17" s="426"/>
      <c r="T17" s="19">
        <v>0.35625000000000001</v>
      </c>
      <c r="U17" s="19">
        <v>0.38680555555555601</v>
      </c>
      <c r="V17" s="30">
        <f>(T17-U16)*24*60</f>
        <v>8.000000000000691</v>
      </c>
      <c r="W17" s="149">
        <f t="shared" si="6"/>
        <v>44.000000000000639</v>
      </c>
      <c r="X17" s="19"/>
      <c r="Y17" s="297"/>
      <c r="Z17" s="90"/>
      <c r="AA17" s="90"/>
      <c r="AB17" s="407" t="s">
        <v>220</v>
      </c>
      <c r="AC17" s="407"/>
      <c r="AD17" s="92"/>
      <c r="AE17" s="92"/>
      <c r="AF17" s="307">
        <f t="shared" si="4"/>
        <v>-587.72727272729685</v>
      </c>
      <c r="AG17" s="72">
        <f t="shared" si="5"/>
        <v>0.73878787878786811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592</v>
      </c>
      <c r="H18" s="78">
        <f t="shared" ref="H18:H20" si="7">F18*G18</f>
        <v>33513.120000000003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 t="shared" ref="L18:L20" si="8">K18/J18</f>
        <v>150</v>
      </c>
      <c r="M18" s="148">
        <v>15</v>
      </c>
      <c r="N18" s="95">
        <f t="shared" ref="N18:N20" si="9">G18/W18*60</f>
        <v>1869.4736842104544</v>
      </c>
      <c r="O18" s="96">
        <f t="shared" ref="O18:O20" si="10">N18/M18</f>
        <v>124.63157894736362</v>
      </c>
      <c r="P18" s="97">
        <f t="shared" ref="P18:P20" si="11">M18-J18</f>
        <v>0</v>
      </c>
      <c r="Q18" s="98">
        <f t="shared" ref="Q18:Q20" si="12">O18-L18</f>
        <v>-25.368421052636378</v>
      </c>
      <c r="R18" s="99">
        <f t="shared" ref="R18:R20" si="13">O18/L18</f>
        <v>0.83087719298242413</v>
      </c>
      <c r="S18" s="426"/>
      <c r="T18" s="19">
        <v>0.41458333333333303</v>
      </c>
      <c r="U18" s="19">
        <v>0.42777777777777798</v>
      </c>
      <c r="V18" s="30">
        <f>(T18-U17)*24*60</f>
        <v>39.999999999998899</v>
      </c>
      <c r="W18" s="149">
        <f t="shared" si="6"/>
        <v>19.000000000000732</v>
      </c>
      <c r="X18" s="22"/>
      <c r="Y18" s="84"/>
      <c r="Z18" s="90"/>
      <c r="AA18" s="90"/>
      <c r="AB18" s="407"/>
      <c r="AC18" s="407"/>
      <c r="AD18" s="92"/>
      <c r="AE18" s="92"/>
      <c r="AF18" s="307">
        <f t="shared" si="4"/>
        <v>-380.52631578954561</v>
      </c>
      <c r="AG18" s="72">
        <f t="shared" si="5"/>
        <v>0.83087719298242413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1811</v>
      </c>
      <c r="H19" s="78">
        <f t="shared" si="7"/>
        <v>91256.290000000008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si="8"/>
        <v>173.07692307692307</v>
      </c>
      <c r="M19" s="148">
        <v>13</v>
      </c>
      <c r="N19" s="95">
        <f t="shared" si="9"/>
        <v>1841.6949152542488</v>
      </c>
      <c r="O19" s="96">
        <f t="shared" si="10"/>
        <v>141.66883963494223</v>
      </c>
      <c r="P19" s="97">
        <f t="shared" si="11"/>
        <v>0</v>
      </c>
      <c r="Q19" s="98">
        <f t="shared" si="12"/>
        <v>-31.408083441980835</v>
      </c>
      <c r="R19" s="99">
        <f t="shared" si="13"/>
        <v>0.81853107344633291</v>
      </c>
      <c r="S19" s="426"/>
      <c r="T19" s="19">
        <v>0.43472222222222201</v>
      </c>
      <c r="U19" s="19">
        <v>0.47569444444444398</v>
      </c>
      <c r="V19" s="30">
        <f>(T19-U18)*24*60</f>
        <v>9.9999999999994049</v>
      </c>
      <c r="W19" s="149">
        <f t="shared" si="6"/>
        <v>58.999999999999631</v>
      </c>
      <c r="X19" s="22">
        <v>0.48611111111111099</v>
      </c>
      <c r="Y19" s="84">
        <v>0.52777777777777801</v>
      </c>
      <c r="Z19" s="90"/>
      <c r="AA19" s="90"/>
      <c r="AB19" s="434" t="s">
        <v>221</v>
      </c>
      <c r="AC19" s="434"/>
      <c r="AD19" s="149">
        <v>2</v>
      </c>
      <c r="AE19" s="149">
        <v>2</v>
      </c>
      <c r="AF19" s="307">
        <f t="shared" si="4"/>
        <v>-408.30508474575117</v>
      </c>
      <c r="AG19" s="72">
        <f t="shared" si="5"/>
        <v>0.8185310734463328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1591</v>
      </c>
      <c r="H20" s="78">
        <f t="shared" si="7"/>
        <v>80170.490000000005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8"/>
        <v>173.07692307692307</v>
      </c>
      <c r="M20" s="148">
        <v>13</v>
      </c>
      <c r="N20" s="95">
        <f t="shared" si="9"/>
        <v>2121.333333333333</v>
      </c>
      <c r="O20" s="96">
        <f t="shared" si="10"/>
        <v>163.17948717948715</v>
      </c>
      <c r="P20" s="97">
        <f t="shared" si="11"/>
        <v>0</v>
      </c>
      <c r="Q20" s="98">
        <f t="shared" si="12"/>
        <v>-9.897435897435912</v>
      </c>
      <c r="R20" s="99">
        <f t="shared" si="13"/>
        <v>0.94281481481481477</v>
      </c>
      <c r="S20" s="426"/>
      <c r="T20" s="19">
        <v>0.54583333333333295</v>
      </c>
      <c r="U20" s="19">
        <v>0.57708333333333295</v>
      </c>
      <c r="V20" s="30">
        <f>(T20-U19)*24*60</f>
        <v>101.00000000000011</v>
      </c>
      <c r="W20" s="149">
        <f t="shared" si="6"/>
        <v>45</v>
      </c>
      <c r="X20" s="19"/>
      <c r="Y20" s="297"/>
      <c r="Z20" s="90"/>
      <c r="AA20" s="90"/>
      <c r="AB20" s="407"/>
      <c r="AC20" s="407"/>
      <c r="AD20" s="92"/>
      <c r="AE20" s="92"/>
      <c r="AF20" s="307">
        <f t="shared" si="4"/>
        <v>-128.66666666666697</v>
      </c>
      <c r="AG20" s="72">
        <f t="shared" si="5"/>
        <v>0.94281481481481466</v>
      </c>
      <c r="AH20" s="405"/>
    </row>
    <row r="21" spans="1:34" ht="15" customHeight="1">
      <c r="A21" s="42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6"/>
      <c r="T21" s="19"/>
      <c r="U21" s="19"/>
      <c r="V21" s="30"/>
      <c r="W21" s="149">
        <f t="shared" si="6"/>
        <v>0</v>
      </c>
      <c r="X21" s="92"/>
      <c r="Y21" s="298"/>
      <c r="Z21" s="90"/>
      <c r="AA21" s="90"/>
      <c r="AB21" s="407"/>
      <c r="AC21" s="407"/>
      <c r="AD21" s="92"/>
      <c r="AE21" s="92"/>
      <c r="AF21" s="307"/>
      <c r="AG21" s="72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9"/>
      <c r="U22" s="19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6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6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6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4">AVERAGE(J16:J25)</f>
        <v>14.4</v>
      </c>
      <c r="K26" s="155">
        <f t="shared" si="14"/>
        <v>2250</v>
      </c>
      <c r="L26" s="158">
        <f t="shared" si="14"/>
        <v>157.84421460892048</v>
      </c>
      <c r="M26" s="155">
        <f t="shared" si="14"/>
        <v>14.4</v>
      </c>
      <c r="N26" s="155">
        <f t="shared" si="14"/>
        <v>1878.127345807256</v>
      </c>
      <c r="O26" s="158">
        <f t="shared" si="14"/>
        <v>132.53587472734347</v>
      </c>
      <c r="P26" s="159">
        <f>M26-J26</f>
        <v>0</v>
      </c>
      <c r="Q26" s="160">
        <f>O26-L26</f>
        <v>-25.308339881577012</v>
      </c>
      <c r="R26" s="161">
        <f>O26/L26</f>
        <v>0.83966254357638825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2</v>
      </c>
      <c r="AE26" s="323">
        <f>SUM(AE16:AE25)</f>
        <v>2</v>
      </c>
      <c r="AF26" s="309">
        <f t="shared" ref="AF26:AF31" si="15">N26-K26</f>
        <v>-371.87265419274399</v>
      </c>
      <c r="AG26" s="124">
        <f t="shared" ref="AG26:AG31" si="16">N26/K26</f>
        <v>0.8347232648032249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57.21</v>
      </c>
      <c r="G27" s="169">
        <v>307</v>
      </c>
      <c r="H27" s="134">
        <f>F27*G27</f>
        <v>17563.47</v>
      </c>
      <c r="I27" s="135"/>
      <c r="J27" s="136">
        <f>VLOOKUP(D27,產線配置圖!$A$3:$C$40,2,0)</f>
        <v>18</v>
      </c>
      <c r="K27" s="137">
        <f>VLOOKUP(D27,產線配置圖!$A$3:$C$40,3,0)</f>
        <v>1565</v>
      </c>
      <c r="L27" s="138">
        <f>K27/J27</f>
        <v>86.944444444444443</v>
      </c>
      <c r="M27" s="170">
        <v>18</v>
      </c>
      <c r="N27" s="140">
        <f>G27/W27*60</f>
        <v>1416.9230769230471</v>
      </c>
      <c r="O27" s="141">
        <f>N27/M27</f>
        <v>78.717948717947067</v>
      </c>
      <c r="P27" s="142">
        <f>M27-J27</f>
        <v>0</v>
      </c>
      <c r="Q27" s="143">
        <f>O27-L27</f>
        <v>-8.2264957264973759</v>
      </c>
      <c r="R27" s="144">
        <f>O27/L27</f>
        <v>0.90538215777830489</v>
      </c>
      <c r="S27" s="425">
        <f>R37</f>
        <v>0.92737206261706906</v>
      </c>
      <c r="T27" s="171">
        <v>0.29027777777777802</v>
      </c>
      <c r="U27" s="171">
        <v>0.29930555555555599</v>
      </c>
      <c r="V27" s="135"/>
      <c r="W27" s="146">
        <f t="shared" si="6"/>
        <v>13.000000000000274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15"/>
        <v>-148.07692307695288</v>
      </c>
      <c r="AG27" s="172">
        <f t="shared" si="16"/>
        <v>0.90538215777830489</v>
      </c>
      <c r="AH27" s="403">
        <f>AG37</f>
        <v>0.92715408588683468</v>
      </c>
    </row>
    <row r="28" spans="1:34" ht="15" customHeight="1">
      <c r="A28" s="457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f>1911+107</f>
        <v>2018</v>
      </c>
      <c r="H28" s="91">
        <f>F28*G28</f>
        <v>115449.78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1552.3076923076835</v>
      </c>
      <c r="O28" s="96">
        <f>N28/M28</f>
        <v>86.239316239315755</v>
      </c>
      <c r="P28" s="97">
        <f>M28-J28</f>
        <v>0</v>
      </c>
      <c r="Q28" s="98">
        <f>O28-L28</f>
        <v>-4.6495726495731304</v>
      </c>
      <c r="R28" s="99">
        <f>O28/L28</f>
        <v>0.94884333270640808</v>
      </c>
      <c r="S28" s="426"/>
      <c r="T28" s="19">
        <v>0.30486111111111103</v>
      </c>
      <c r="U28" s="19">
        <v>0.359027777777778</v>
      </c>
      <c r="V28" s="92">
        <f>(T28-U27)*24*60</f>
        <v>7.9999999999992522</v>
      </c>
      <c r="W28" s="149">
        <f t="shared" si="6"/>
        <v>78.000000000000441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15"/>
        <v>-83.69230769231649</v>
      </c>
      <c r="AG28" s="99">
        <f t="shared" si="16"/>
        <v>0.94884333270640797</v>
      </c>
      <c r="AH28" s="445"/>
    </row>
    <row r="29" spans="1:34" ht="15" customHeight="1">
      <c r="A29" s="457"/>
      <c r="B29" s="75" t="s">
        <v>81</v>
      </c>
      <c r="C29" s="173"/>
      <c r="D29" s="59" t="s">
        <v>168</v>
      </c>
      <c r="E29" s="104"/>
      <c r="F29" s="75">
        <f>VLOOKUP(D29,廠價表!$C$1:$E$43,3,0)</f>
        <v>57.21</v>
      </c>
      <c r="G29" s="90">
        <v>2005</v>
      </c>
      <c r="H29" s="91">
        <f>F29*G29</f>
        <v>114706.05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1485.1851851851848</v>
      </c>
      <c r="O29" s="96">
        <f>N29/M29</f>
        <v>82.510288065843596</v>
      </c>
      <c r="P29" s="97">
        <f>M29-J29</f>
        <v>0</v>
      </c>
      <c r="Q29" s="98">
        <f>O29-L29</f>
        <v>-8.3786008230452893</v>
      </c>
      <c r="R29" s="99">
        <f>O29/L29</f>
        <v>0.90781490536991738</v>
      </c>
      <c r="S29" s="426"/>
      <c r="T29" s="19">
        <v>0.36458333333333298</v>
      </c>
      <c r="U29" s="19">
        <v>0.420833333333333</v>
      </c>
      <c r="V29" s="92">
        <f>(T29-U28)*24*60</f>
        <v>7.9999999999991722</v>
      </c>
      <c r="W29" s="149">
        <f t="shared" si="6"/>
        <v>81.000000000000028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15"/>
        <v>-150.81481481481524</v>
      </c>
      <c r="AG29" s="99">
        <f t="shared" si="16"/>
        <v>0.90781490536991738</v>
      </c>
      <c r="AH29" s="445"/>
    </row>
    <row r="30" spans="1:34" ht="15" customHeight="1">
      <c r="A30" s="457"/>
      <c r="B30" s="75" t="s">
        <v>81</v>
      </c>
      <c r="C30" s="88"/>
      <c r="D30" s="59" t="s">
        <v>206</v>
      </c>
      <c r="E30" s="89"/>
      <c r="F30" s="75">
        <f>VLOOKUP(D30,廠價表!$C$1:$E$43,3,0)</f>
        <v>45.66</v>
      </c>
      <c r="G30" s="90">
        <v>1376</v>
      </c>
      <c r="H30" s="91">
        <f t="shared" ref="H30:H31" si="17">F30*G30</f>
        <v>62828.159999999996</v>
      </c>
      <c r="I30" s="92"/>
      <c r="J30" s="79">
        <f>VLOOKUP(D30,產線配置圖!$A$3:$C$40,2,0)</f>
        <v>17</v>
      </c>
      <c r="K30" s="80">
        <f>VLOOKUP(D30,產線配置圖!$A$3:$C$40,3,0)</f>
        <v>1500</v>
      </c>
      <c r="L30" s="93">
        <f t="shared" ref="L30:L31" si="18">K30/J30</f>
        <v>88.235294117647058</v>
      </c>
      <c r="M30" s="94">
        <v>17</v>
      </c>
      <c r="N30" s="95">
        <f t="shared" ref="N30:N31" si="19">G30/W30*60</f>
        <v>1399.3220338982776</v>
      </c>
      <c r="O30" s="96">
        <f t="shared" ref="O30:O31" si="20">N30/M30</f>
        <v>82.313060817545747</v>
      </c>
      <c r="P30" s="97">
        <f t="shared" ref="P30:P31" si="21">M30-J30</f>
        <v>0</v>
      </c>
      <c r="Q30" s="98">
        <f t="shared" ref="Q30:Q31" si="22">O30-L30</f>
        <v>-5.9222333001013112</v>
      </c>
      <c r="R30" s="99">
        <f t="shared" ref="R30:R31" si="23">O30/L30</f>
        <v>0.93288135593218513</v>
      </c>
      <c r="S30" s="426"/>
      <c r="T30" s="19">
        <v>0.42708333333333298</v>
      </c>
      <c r="U30" s="19">
        <v>0.468055555555556</v>
      </c>
      <c r="V30" s="92">
        <f>(T30-U29)*24*60</f>
        <v>8.999999999999968</v>
      </c>
      <c r="W30" s="149">
        <f t="shared" si="6"/>
        <v>59.000000000001151</v>
      </c>
      <c r="X30" s="174">
        <v>0.47916666666666702</v>
      </c>
      <c r="Y30" s="301">
        <v>0.52083333333333304</v>
      </c>
      <c r="Z30" s="335"/>
      <c r="AA30" s="335"/>
      <c r="AB30" s="407"/>
      <c r="AC30" s="407"/>
      <c r="AD30" s="92"/>
      <c r="AE30" s="92"/>
      <c r="AF30" s="312">
        <f t="shared" si="15"/>
        <v>-100.6779661017224</v>
      </c>
      <c r="AG30" s="99">
        <f t="shared" si="16"/>
        <v>0.93288135593218502</v>
      </c>
      <c r="AH30" s="446"/>
    </row>
    <row r="31" spans="1:34" ht="15" customHeight="1">
      <c r="A31" s="457"/>
      <c r="B31" s="75" t="s">
        <v>81</v>
      </c>
      <c r="C31" s="88"/>
      <c r="D31" s="175" t="s">
        <v>206</v>
      </c>
      <c r="E31" s="176"/>
      <c r="F31" s="75">
        <f>VLOOKUP(D31,廠價表!$C$1:$E$43,3,0)</f>
        <v>45.66</v>
      </c>
      <c r="G31" s="90">
        <f>2910+90</f>
        <v>3000</v>
      </c>
      <c r="H31" s="91">
        <f t="shared" si="17"/>
        <v>136980</v>
      </c>
      <c r="I31" s="92"/>
      <c r="J31" s="79">
        <f>VLOOKUP(D31,產線配置圖!$A$3:$C$40,2,0)</f>
        <v>17</v>
      </c>
      <c r="K31" s="80">
        <v>1636</v>
      </c>
      <c r="L31" s="93">
        <f t="shared" si="18"/>
        <v>96.235294117647058</v>
      </c>
      <c r="M31" s="94">
        <v>17</v>
      </c>
      <c r="N31" s="95">
        <f t="shared" si="19"/>
        <v>1538.4615384615399</v>
      </c>
      <c r="O31" s="96">
        <f t="shared" si="20"/>
        <v>90.497737556561177</v>
      </c>
      <c r="P31" s="97">
        <f t="shared" si="21"/>
        <v>0</v>
      </c>
      <c r="Q31" s="98">
        <f t="shared" si="22"/>
        <v>-5.7375565610858814</v>
      </c>
      <c r="R31" s="99">
        <f t="shared" si="23"/>
        <v>0.9403799134850489</v>
      </c>
      <c r="S31" s="426"/>
      <c r="T31" s="19">
        <v>0.52777777777777801</v>
      </c>
      <c r="U31" s="19">
        <v>0.60902777777777795</v>
      </c>
      <c r="V31" s="92">
        <f>(T31-U30)*24*60</f>
        <v>85.999999999999687</v>
      </c>
      <c r="W31" s="149">
        <f t="shared" si="6"/>
        <v>116.9999999999999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5"/>
        <v>-97.538461538460069</v>
      </c>
      <c r="AG31" s="99">
        <f t="shared" si="16"/>
        <v>0.9403799134850489</v>
      </c>
      <c r="AH31" s="405"/>
    </row>
    <row r="32" spans="1:34" ht="15" customHeight="1">
      <c r="A32" s="457"/>
      <c r="B32" s="75"/>
      <c r="C32" s="102"/>
      <c r="D32" s="59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9"/>
      <c r="U32" s="19"/>
      <c r="V32" s="92"/>
      <c r="W32" s="149">
        <f t="shared" si="6"/>
        <v>0</v>
      </c>
      <c r="X32" s="174"/>
      <c r="Y32" s="301"/>
      <c r="Z32" s="335"/>
      <c r="AA32" s="335"/>
      <c r="AB32" s="407"/>
      <c r="AC32" s="407"/>
      <c r="AD32" s="92"/>
      <c r="AE32" s="92"/>
      <c r="AF32" s="312"/>
      <c r="AG32" s="99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6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6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6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6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4">AVERAGE(J27:J36)</f>
        <v>17.600000000000001</v>
      </c>
      <c r="K37" s="155">
        <f t="shared" si="24"/>
        <v>1594.6</v>
      </c>
      <c r="L37" s="158">
        <f t="shared" si="24"/>
        <v>90.63856209150326</v>
      </c>
      <c r="M37" s="155">
        <f t="shared" si="24"/>
        <v>17.600000000000001</v>
      </c>
      <c r="N37" s="155">
        <f t="shared" si="24"/>
        <v>1478.4399053551465</v>
      </c>
      <c r="O37" s="158">
        <f t="shared" si="24"/>
        <v>84.055670279442666</v>
      </c>
      <c r="P37" s="159">
        <f>M37-J37</f>
        <v>0</v>
      </c>
      <c r="Q37" s="160">
        <f>N37-K37</f>
        <v>-116.16009464485342</v>
      </c>
      <c r="R37" s="161">
        <f t="shared" ref="R37:R39" si="25">O37/L37</f>
        <v>0.92737206261706906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-116.16009464485342</v>
      </c>
      <c r="AG37" s="124">
        <f>N37/K37</f>
        <v>0.92715408588683468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f>2378+21</f>
        <v>2399</v>
      </c>
      <c r="H38" s="134">
        <f>F38*G38</f>
        <v>119734.09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1599.3333333333333</v>
      </c>
      <c r="O38" s="141">
        <f>N38/M38</f>
        <v>106.62222222222222</v>
      </c>
      <c r="P38" s="142">
        <f>M38-J38</f>
        <v>0</v>
      </c>
      <c r="Q38" s="143">
        <f>O38-L38</f>
        <v>-7.6444444444444457</v>
      </c>
      <c r="R38" s="144">
        <f t="shared" si="25"/>
        <v>0.93309996110462856</v>
      </c>
      <c r="S38" s="453">
        <f>R48</f>
        <v>0.90323878091678578</v>
      </c>
      <c r="T38" s="191">
        <v>0.33333333333333298</v>
      </c>
      <c r="U38" s="191">
        <v>0.39583333333333298</v>
      </c>
      <c r="V38" s="192"/>
      <c r="W38" s="193">
        <f t="shared" si="6"/>
        <v>90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-114.66666666666674</v>
      </c>
      <c r="AG38" s="195">
        <f>N38/K38</f>
        <v>0.93309996110462845</v>
      </c>
      <c r="AH38" s="459">
        <f>AG48</f>
        <v>0.90120168388824984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3076</v>
      </c>
      <c r="H39" s="91">
        <f>F39*G39</f>
        <v>136266.79999999999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1419.692307692304</v>
      </c>
      <c r="O39" s="203">
        <f>N39/M39</f>
        <v>83.511312217194359</v>
      </c>
      <c r="P39" s="97">
        <f>M39-J39</f>
        <v>0</v>
      </c>
      <c r="Q39" s="98">
        <f>O39-L39</f>
        <v>-12.723981900452699</v>
      </c>
      <c r="R39" s="99">
        <f t="shared" si="25"/>
        <v>0.86778258416400011</v>
      </c>
      <c r="S39" s="454"/>
      <c r="T39" s="20">
        <v>0.40277777777777801</v>
      </c>
      <c r="U39" s="20">
        <v>0.49305555555555602</v>
      </c>
      <c r="V39" s="92">
        <f>(T39-U38)*24*60</f>
        <v>10.000000000000844</v>
      </c>
      <c r="W39" s="205">
        <f t="shared" si="6"/>
        <v>130.00000000000034</v>
      </c>
      <c r="X39" s="22"/>
      <c r="Y39" s="84"/>
      <c r="Z39" s="90"/>
      <c r="AA39" s="90"/>
      <c r="AD39" s="200"/>
      <c r="AE39" s="200"/>
      <c r="AF39" s="314">
        <f>N39-K39</f>
        <v>-216.30769230769602</v>
      </c>
      <c r="AG39" s="206">
        <f>N39/K39</f>
        <v>0.867782584164</v>
      </c>
      <c r="AH39" s="460"/>
    </row>
    <row r="40" spans="1:34" ht="15" customHeight="1">
      <c r="A40" s="451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40"/>
      <c r="T40" s="20"/>
      <c r="U40" s="20"/>
      <c r="V40" s="92"/>
      <c r="W40" s="205">
        <f t="shared" si="6"/>
        <v>0</v>
      </c>
      <c r="X40" s="208"/>
      <c r="Y40" s="209"/>
      <c r="Z40" s="337"/>
      <c r="AA40" s="337"/>
      <c r="AB40" s="462"/>
      <c r="AC40" s="462"/>
      <c r="AD40" s="92"/>
      <c r="AE40" s="92"/>
      <c r="AF40" s="314"/>
      <c r="AG40" s="206"/>
      <c r="AH40" s="460"/>
    </row>
    <row r="41" spans="1:34" ht="15" customHeight="1">
      <c r="A41" s="45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40"/>
      <c r="T41" s="20"/>
      <c r="U41" s="210"/>
      <c r="V41" s="92"/>
      <c r="W41" s="205">
        <f t="shared" si="6"/>
        <v>0</v>
      </c>
      <c r="X41" s="208"/>
      <c r="Y41" s="209"/>
      <c r="Z41" s="337"/>
      <c r="AA41" s="337"/>
      <c r="AB41" s="407"/>
      <c r="AC41" s="407"/>
      <c r="AD41" s="92"/>
      <c r="AE41" s="92"/>
      <c r="AF41" s="314"/>
      <c r="AG41" s="206"/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6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6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6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6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6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6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6">AVERAGE(J38:J47)</f>
        <v>16</v>
      </c>
      <c r="K48" s="155">
        <f t="shared" si="26"/>
        <v>1675</v>
      </c>
      <c r="L48" s="158">
        <f t="shared" si="26"/>
        <v>105.25098039215686</v>
      </c>
      <c r="M48" s="155">
        <f t="shared" si="26"/>
        <v>16</v>
      </c>
      <c r="N48" s="155">
        <f t="shared" si="26"/>
        <v>1509.5128205128185</v>
      </c>
      <c r="O48" s="158">
        <f t="shared" si="26"/>
        <v>95.066767219708282</v>
      </c>
      <c r="P48" s="221">
        <f>M48-J48</f>
        <v>0</v>
      </c>
      <c r="Q48" s="222">
        <f>N48-K48</f>
        <v>-165.48717948718149</v>
      </c>
      <c r="R48" s="223">
        <f t="shared" ref="R48:R51" si="27">O48/L48</f>
        <v>0.90323878091678578</v>
      </c>
      <c r="S48" s="443"/>
      <c r="T48" s="224"/>
      <c r="U48" s="224"/>
      <c r="V48" s="225"/>
      <c r="W48" s="226">
        <f t="shared" si="6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2" si="28">N48-K48</f>
        <v>-165.48717948718149</v>
      </c>
      <c r="AG48" s="162">
        <f t="shared" ref="AG48:AG52" si="29">N48/K48</f>
        <v>0.90120168388824984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1715</v>
      </c>
      <c r="H49" s="134">
        <f>F49*G49</f>
        <v>84926.8</v>
      </c>
      <c r="I49" s="135"/>
      <c r="J49" s="36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1470.0000000000036</v>
      </c>
      <c r="O49" s="141">
        <f>N49/M49</f>
        <v>86.470588235294329</v>
      </c>
      <c r="P49" s="229">
        <f>M49-J49</f>
        <v>0</v>
      </c>
      <c r="Q49" s="230">
        <f>O49-L49</f>
        <v>-19.411764705882135</v>
      </c>
      <c r="R49" s="52">
        <f t="shared" si="27"/>
        <v>0.81666666666666876</v>
      </c>
      <c r="S49" s="439">
        <f>R58</f>
        <v>0.89105698203906536</v>
      </c>
      <c r="T49" s="191">
        <v>0.29166666666666702</v>
      </c>
      <c r="U49" s="191">
        <v>0.34027777777777801</v>
      </c>
      <c r="V49" s="55"/>
      <c r="W49" s="193">
        <f t="shared" si="6"/>
        <v>69.999999999999829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28"/>
        <v>-329.99999999999636</v>
      </c>
      <c r="AG49" s="52">
        <f t="shared" si="29"/>
        <v>0.81666666666666865</v>
      </c>
      <c r="AH49" s="403">
        <f>AG58</f>
        <v>0.87852786174741848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2017</v>
      </c>
      <c r="H50" s="231">
        <f>F50*G50</f>
        <v>101432.913</v>
      </c>
      <c r="I50" s="177"/>
      <c r="J50" s="148">
        <f>VLOOKUP(D50,產線配置圖!$A$3:$C$40,2,0)</f>
        <v>18</v>
      </c>
      <c r="K50" s="62">
        <v>1636</v>
      </c>
      <c r="L50" s="81">
        <f>K50/J50</f>
        <v>90.888888888888886</v>
      </c>
      <c r="M50" s="233">
        <v>17</v>
      </c>
      <c r="N50" s="234">
        <f>G50/W50*60</f>
        <v>1423.7647058823472</v>
      </c>
      <c r="O50" s="235">
        <f>N50/M50</f>
        <v>83.750865051902778</v>
      </c>
      <c r="P50" s="74">
        <f>M50-J50</f>
        <v>-1</v>
      </c>
      <c r="Q50" s="83">
        <f>O50-L50</f>
        <v>-7.1380238369861075</v>
      </c>
      <c r="R50" s="72">
        <f t="shared" si="27"/>
        <v>0.92146428541213332</v>
      </c>
      <c r="S50" s="440"/>
      <c r="T50" s="21">
        <v>0.34722222222222199</v>
      </c>
      <c r="U50" s="21">
        <v>0.40625</v>
      </c>
      <c r="V50" s="30">
        <f>(T50-U49)*24*60</f>
        <v>9.999999999999325</v>
      </c>
      <c r="W50" s="236">
        <f t="shared" si="6"/>
        <v>85.000000000000341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28"/>
        <v>-212.23529411765276</v>
      </c>
      <c r="AG50" s="72">
        <f t="shared" si="29"/>
        <v>0.87027182511145917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v>49.97</v>
      </c>
      <c r="G51" s="202">
        <v>1800</v>
      </c>
      <c r="H51" s="231">
        <v>71007.37</v>
      </c>
      <c r="I51" s="177"/>
      <c r="J51" s="148">
        <f>VLOOKUP(D51,產線配置圖!$A$3:$C$40,2,0)</f>
        <v>16</v>
      </c>
      <c r="K51" s="62">
        <v>1800</v>
      </c>
      <c r="L51" s="81">
        <f t="shared" ref="L51:L52" si="30">K51/J51</f>
        <v>112.5</v>
      </c>
      <c r="M51" s="233">
        <v>16</v>
      </c>
      <c r="N51" s="234">
        <f t="shared" ref="N51:N52" si="31">G51/W51*60</f>
        <v>1611.9402985074548</v>
      </c>
      <c r="O51" s="235">
        <f t="shared" ref="O51:O52" si="32">N51/M51</f>
        <v>100.74626865671593</v>
      </c>
      <c r="P51" s="74">
        <v>-1</v>
      </c>
      <c r="Q51" s="83">
        <f t="shared" ref="Q51:Q52" si="33">O51-L51</f>
        <v>-11.753731343284073</v>
      </c>
      <c r="R51" s="72">
        <f t="shared" si="27"/>
        <v>0.89552238805969708</v>
      </c>
      <c r="S51" s="440"/>
      <c r="T51" s="21">
        <v>0.41111111111111098</v>
      </c>
      <c r="U51" s="19">
        <v>0.45763888888888898</v>
      </c>
      <c r="V51" s="30">
        <f>(T51-U50)*24*60</f>
        <v>6.9999999999998153</v>
      </c>
      <c r="W51" s="236">
        <f t="shared" si="6"/>
        <v>67.000000000000327</v>
      </c>
      <c r="X51" s="22">
        <v>0.46527777777777801</v>
      </c>
      <c r="Y51" s="84">
        <v>0.50694444444444398</v>
      </c>
      <c r="Z51" s="90"/>
      <c r="AA51" s="90"/>
      <c r="AB51" s="407"/>
      <c r="AC51" s="407"/>
      <c r="AD51" s="92"/>
      <c r="AE51" s="92"/>
      <c r="AF51" s="307">
        <f t="shared" si="28"/>
        <v>-188.05970149254517</v>
      </c>
      <c r="AG51" s="72">
        <f t="shared" si="29"/>
        <v>0.89552238805969708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v>49.97</v>
      </c>
      <c r="G52" s="202">
        <v>1991</v>
      </c>
      <c r="H52" s="231">
        <v>158105.07999999999</v>
      </c>
      <c r="I52" s="232"/>
      <c r="J52" s="367">
        <f>VLOOKUP(D52,產線配置圖!$A$3:$C$40,2,0)</f>
        <v>16</v>
      </c>
      <c r="K52" s="80">
        <v>1636</v>
      </c>
      <c r="L52" s="81">
        <f t="shared" si="30"/>
        <v>102.25</v>
      </c>
      <c r="M52" s="233">
        <v>16</v>
      </c>
      <c r="N52" s="234">
        <f t="shared" si="31"/>
        <v>1531.5384615384544</v>
      </c>
      <c r="O52" s="235">
        <f t="shared" si="32"/>
        <v>95.721153846153399</v>
      </c>
      <c r="P52" s="74">
        <v>-2</v>
      </c>
      <c r="Q52" s="83">
        <f t="shared" si="33"/>
        <v>-6.5288461538466009</v>
      </c>
      <c r="R52" s="72">
        <f>O52/L52</f>
        <v>0.93614820387436082</v>
      </c>
      <c r="S52" s="440"/>
      <c r="T52" s="21">
        <v>0.51736111111111105</v>
      </c>
      <c r="U52" s="21">
        <v>0.57152777777777797</v>
      </c>
      <c r="V52" s="30">
        <f>(T52-U51)*24*60</f>
        <v>85.999999999999773</v>
      </c>
      <c r="W52" s="236">
        <f t="shared" si="6"/>
        <v>78.000000000000369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28"/>
        <v>-104.46153846154562</v>
      </c>
      <c r="AG52" s="72">
        <f t="shared" si="29"/>
        <v>0.93614820387436082</v>
      </c>
      <c r="AH52" s="404"/>
    </row>
    <row r="53" spans="1:34" ht="15" customHeight="1">
      <c r="A53" s="469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440"/>
      <c r="T53" s="21"/>
      <c r="U53" s="21"/>
      <c r="V53" s="30"/>
      <c r="W53" s="236">
        <f t="shared" si="6"/>
        <v>0</v>
      </c>
      <c r="X53" s="30"/>
      <c r="Y53" s="151"/>
      <c r="Z53" s="90"/>
      <c r="AA53" s="90"/>
      <c r="AB53" s="407"/>
      <c r="AC53" s="407"/>
      <c r="AD53" s="92"/>
      <c r="AE53" s="92"/>
      <c r="AF53" s="307"/>
      <c r="AG53" s="72"/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6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6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6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6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34">AVERAGE(J49:J57)</f>
        <v>16.75</v>
      </c>
      <c r="K58" s="120">
        <f t="shared" si="34"/>
        <v>1718</v>
      </c>
      <c r="L58" s="117">
        <f t="shared" si="34"/>
        <v>102.88031045751634</v>
      </c>
      <c r="M58" s="120">
        <f t="shared" si="34"/>
        <v>16.5</v>
      </c>
      <c r="N58" s="120">
        <f t="shared" si="34"/>
        <v>1509.310866482065</v>
      </c>
      <c r="O58" s="117">
        <f t="shared" si="34"/>
        <v>91.672218947516612</v>
      </c>
      <c r="P58" s="121">
        <f>M58-J58</f>
        <v>-0.25</v>
      </c>
      <c r="Q58" s="122">
        <f>N58-K58</f>
        <v>-208.68913351793503</v>
      </c>
      <c r="R58" s="123">
        <f>O58/L58</f>
        <v>0.89105698203906536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 t="shared" ref="AF58:AF62" si="35">N58-K58</f>
        <v>-208.68913351793503</v>
      </c>
      <c r="AG58" s="124">
        <f t="shared" ref="AG58:AG62" si="36">N58/K58</f>
        <v>0.87852786174741848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2818</v>
      </c>
      <c r="H59" s="243">
        <f>F59*G59</f>
        <v>76057.819999999992</v>
      </c>
      <c r="I59" s="55"/>
      <c r="J59" s="136">
        <f>VLOOKUP(D59,產線配置圖!$A$3:$C$40,2,0)</f>
        <v>15</v>
      </c>
      <c r="K59" s="137">
        <v>1636</v>
      </c>
      <c r="L59" s="138">
        <f>K59/J59</f>
        <v>109.06666666666666</v>
      </c>
      <c r="M59" s="244">
        <v>15</v>
      </c>
      <c r="N59" s="137">
        <f>G59/W59*60</f>
        <v>1537.0909090909067</v>
      </c>
      <c r="O59" s="138">
        <f>N59/M59</f>
        <v>102.47272727272711</v>
      </c>
      <c r="P59" s="56">
        <f>M59-J59</f>
        <v>0</v>
      </c>
      <c r="Q59" s="230">
        <f>O59-L59</f>
        <v>-6.5939393939395501</v>
      </c>
      <c r="R59" s="52">
        <f>O59/L59</f>
        <v>0.93954212047121444</v>
      </c>
      <c r="S59" s="439">
        <f>R69</f>
        <v>0.90690851258724081</v>
      </c>
      <c r="T59" s="245">
        <v>0.29166666666666702</v>
      </c>
      <c r="U59" s="245">
        <v>0.36805555555555602</v>
      </c>
      <c r="V59" s="55"/>
      <c r="W59" s="54">
        <f t="shared" si="6"/>
        <v>110.00000000000017</v>
      </c>
      <c r="X59" s="55"/>
      <c r="Y59" s="290"/>
      <c r="Z59" s="169"/>
      <c r="AA59" s="169"/>
      <c r="AB59" s="429"/>
      <c r="AC59" s="429"/>
      <c r="AD59" s="135"/>
      <c r="AE59" s="135"/>
      <c r="AF59" s="310">
        <f t="shared" si="35"/>
        <v>-98.909090909093266</v>
      </c>
      <c r="AG59" s="246">
        <f t="shared" si="36"/>
        <v>0.93954212047121444</v>
      </c>
      <c r="AH59" s="403">
        <f>AG69</f>
        <v>0.90935529764991185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1505</v>
      </c>
      <c r="H60" s="78">
        <f>F60*G60</f>
        <v>42531.3</v>
      </c>
      <c r="I60" s="30"/>
      <c r="J60" s="79">
        <f>VLOOKUP(D60,產線配置圖!$A$3:$C$40,2,0)</f>
        <v>12</v>
      </c>
      <c r="K60" s="80">
        <v>1636</v>
      </c>
      <c r="L60" s="81">
        <f>K60/J60</f>
        <v>136.33333333333334</v>
      </c>
      <c r="M60" s="82">
        <v>12</v>
      </c>
      <c r="N60" s="80">
        <f>G60/W60*60</f>
        <v>1504.9999999999873</v>
      </c>
      <c r="O60" s="81">
        <f>N60/M60</f>
        <v>125.41666666666561</v>
      </c>
      <c r="P60" s="74">
        <f>M60-J60</f>
        <v>0</v>
      </c>
      <c r="Q60" s="83">
        <f>O60-L60</f>
        <v>-10.916666666667737</v>
      </c>
      <c r="R60" s="72">
        <f>O60/L60</f>
        <v>0.91992665036674037</v>
      </c>
      <c r="S60" s="467"/>
      <c r="T60" s="22">
        <v>0.37847222222222199</v>
      </c>
      <c r="U60" s="22">
        <v>0.42013888888888901</v>
      </c>
      <c r="V60" s="30">
        <f>(T60-U59)*24*60</f>
        <v>14.999999999998987</v>
      </c>
      <c r="W60" s="248">
        <f t="shared" si="6"/>
        <v>60.000000000000504</v>
      </c>
      <c r="X60" s="232"/>
      <c r="Y60" s="177"/>
      <c r="Z60" s="90"/>
      <c r="AA60" s="90"/>
      <c r="AB60" s="407"/>
      <c r="AC60" s="407"/>
      <c r="AD60" s="92"/>
      <c r="AE60" s="92"/>
      <c r="AF60" s="316">
        <f t="shared" si="35"/>
        <v>-131.00000000001273</v>
      </c>
      <c r="AG60" s="249">
        <f t="shared" si="36"/>
        <v>0.91992665036674037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1815</v>
      </c>
      <c r="H61" s="254">
        <f>F61*G61</f>
        <v>51291.9</v>
      </c>
      <c r="I61" s="182"/>
      <c r="J61" s="106">
        <f>VLOOKUP(D61,產線配置圖!$A$3:$C$40,2,0)</f>
        <v>11</v>
      </c>
      <c r="K61" s="107">
        <v>1636</v>
      </c>
      <c r="L61" s="238">
        <f>K61/J61</f>
        <v>148.72727272727272</v>
      </c>
      <c r="M61" s="108">
        <v>11</v>
      </c>
      <c r="N61" s="107">
        <f>G61/W61*60</f>
        <v>1344.4444444444453</v>
      </c>
      <c r="O61" s="238">
        <f>N61/M61</f>
        <v>122.2222222222223</v>
      </c>
      <c r="P61" s="111">
        <f>M61-J61</f>
        <v>0</v>
      </c>
      <c r="Q61" s="255">
        <f>O61-L61</f>
        <v>-26.50505050505042</v>
      </c>
      <c r="R61" s="85">
        <f>O61/L61</f>
        <v>0.82178755772887857</v>
      </c>
      <c r="S61" s="440"/>
      <c r="T61" s="22">
        <v>0.42986111111111103</v>
      </c>
      <c r="U61" s="22">
        <v>0.48611111111111099</v>
      </c>
      <c r="V61" s="30">
        <f t="shared" ref="V61:V62" si="37">(T61-U60)*24*60</f>
        <v>13.99999999999971</v>
      </c>
      <c r="W61" s="256">
        <f t="shared" si="6"/>
        <v>80.999999999999957</v>
      </c>
      <c r="X61" s="22">
        <v>0.49305555555555602</v>
      </c>
      <c r="Y61" s="84">
        <v>0.53472222222222199</v>
      </c>
      <c r="Z61" s="90"/>
      <c r="AA61" s="90"/>
      <c r="AB61" s="407"/>
      <c r="AC61" s="407"/>
      <c r="AD61" s="92"/>
      <c r="AE61" s="92"/>
      <c r="AF61" s="317">
        <f t="shared" si="35"/>
        <v>-291.55555555555475</v>
      </c>
      <c r="AG61" s="247">
        <f t="shared" si="36"/>
        <v>0.82178755772887857</v>
      </c>
      <c r="AH61" s="404"/>
    </row>
    <row r="62" spans="1:34" ht="15" customHeight="1">
      <c r="A62" s="465"/>
      <c r="B62" s="250" t="s">
        <v>125</v>
      </c>
      <c r="C62" s="251"/>
      <c r="D62" s="257" t="s">
        <v>192</v>
      </c>
      <c r="E62" s="253"/>
      <c r="F62" s="250">
        <f>VLOOKUP(D62,廠價表!$C$1:$E$43,3,0)</f>
        <v>28.26</v>
      </c>
      <c r="G62" s="38">
        <v>1825</v>
      </c>
      <c r="H62" s="254">
        <f>F62*G62</f>
        <v>51574.5</v>
      </c>
      <c r="I62" s="182"/>
      <c r="J62" s="106">
        <f>VLOOKUP(D62,產線配置圖!$A$3:$C$40,2,0)</f>
        <v>11</v>
      </c>
      <c r="K62" s="107">
        <v>1636</v>
      </c>
      <c r="L62" s="238">
        <f>K62/J62</f>
        <v>148.72727272727272</v>
      </c>
      <c r="M62" s="108">
        <v>11</v>
      </c>
      <c r="N62" s="107">
        <f>G62/W62*60</f>
        <v>1564.2857142856842</v>
      </c>
      <c r="O62" s="238">
        <f>N62/M62</f>
        <v>142.20779220778948</v>
      </c>
      <c r="P62" s="111">
        <f>M62-J62</f>
        <v>0</v>
      </c>
      <c r="Q62" s="255">
        <f>O62-L62</f>
        <v>-6.5194805194832384</v>
      </c>
      <c r="R62" s="85">
        <f>O62/L62</f>
        <v>0.95616486203281437</v>
      </c>
      <c r="S62" s="440"/>
      <c r="T62" s="22">
        <v>0.53819444444444398</v>
      </c>
      <c r="U62" s="22">
        <v>0.58680555555555602</v>
      </c>
      <c r="V62" s="30">
        <f t="shared" si="37"/>
        <v>74.999999999999488</v>
      </c>
      <c r="W62" s="248">
        <f t="shared" si="6"/>
        <v>70.00000000000135</v>
      </c>
      <c r="X62" s="22"/>
      <c r="Y62" s="84"/>
      <c r="Z62" s="90"/>
      <c r="AA62" s="90"/>
      <c r="AB62" s="407"/>
      <c r="AC62" s="407"/>
      <c r="AD62" s="92"/>
      <c r="AE62" s="92"/>
      <c r="AF62" s="317">
        <f t="shared" si="35"/>
        <v>-71.714285714315793</v>
      </c>
      <c r="AG62" s="247">
        <f t="shared" si="36"/>
        <v>0.95616486203281426</v>
      </c>
      <c r="AH62" s="404"/>
    </row>
    <row r="63" spans="1:34" ht="15" customHeight="1">
      <c r="A63" s="465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440"/>
      <c r="T63" s="22"/>
      <c r="U63" s="22"/>
      <c r="V63" s="30"/>
      <c r="W63" s="248">
        <f t="shared" si="6"/>
        <v>0</v>
      </c>
      <c r="X63" s="261"/>
      <c r="Y63" s="291"/>
      <c r="Z63" s="335"/>
      <c r="AA63" s="335"/>
      <c r="AB63" s="407"/>
      <c r="AC63" s="407"/>
      <c r="AD63" s="92"/>
      <c r="AE63" s="92"/>
      <c r="AF63" s="317"/>
      <c r="AG63" s="247"/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6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2"/>
      <c r="U65" s="22"/>
      <c r="V65" s="30"/>
      <c r="W65" s="73">
        <f t="shared" si="6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63"/>
      <c r="U66" s="263"/>
      <c r="V66" s="30"/>
      <c r="W66" s="73">
        <f t="shared" si="6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6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6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38">AVERAGE(J59:J68)</f>
        <v>12.25</v>
      </c>
      <c r="K69" s="240">
        <f t="shared" si="38"/>
        <v>1636</v>
      </c>
      <c r="L69" s="268">
        <f t="shared" si="38"/>
        <v>135.71363636363637</v>
      </c>
      <c r="M69" s="240">
        <f t="shared" si="38"/>
        <v>12.25</v>
      </c>
      <c r="N69" s="240">
        <f t="shared" si="38"/>
        <v>1487.7052669552559</v>
      </c>
      <c r="O69" s="268">
        <f t="shared" si="38"/>
        <v>123.07985209235113</v>
      </c>
      <c r="P69" s="269">
        <f>M69-J69</f>
        <v>0</v>
      </c>
      <c r="Q69" s="222">
        <f>N69-K69</f>
        <v>-148.29473304474413</v>
      </c>
      <c r="R69" s="123">
        <f>O69/L69</f>
        <v>0.90690851258724081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9">
        <f>N69-K69</f>
        <v>-148.29473304474413</v>
      </c>
      <c r="AG69" s="124">
        <f>N69/K69</f>
        <v>0.90935529764991185</v>
      </c>
      <c r="AH69" s="406"/>
    </row>
    <row r="70" spans="1:36" ht="15" customHeight="1">
      <c r="A70" s="471" t="s">
        <v>55</v>
      </c>
      <c r="B70" s="258" t="s">
        <v>125</v>
      </c>
      <c r="C70" s="58"/>
      <c r="D70" s="259" t="s">
        <v>192</v>
      </c>
      <c r="E70" s="60"/>
      <c r="F70" s="250">
        <f>VLOOKUP(D70,廠價表!$C$1:$E$43,3,0)</f>
        <v>28.26</v>
      </c>
      <c r="G70" s="260">
        <v>1590</v>
      </c>
      <c r="H70" s="254">
        <f>F70*G70</f>
        <v>44933.4</v>
      </c>
      <c r="I70" s="260"/>
      <c r="J70" s="106">
        <f>VLOOKUP(D70,產線配置圖!$A$3:$C$40,2,0)</f>
        <v>11</v>
      </c>
      <c r="K70" s="107">
        <f>VLOOKUP(D70,產線配置圖!$A$3:$C$40,3,0)</f>
        <v>1636</v>
      </c>
      <c r="L70" s="238">
        <f>K70/J70</f>
        <v>148.72727272727272</v>
      </c>
      <c r="M70" s="68">
        <v>11</v>
      </c>
      <c r="N70" s="107">
        <f>G70/W70*60</f>
        <v>1402.9411764705951</v>
      </c>
      <c r="O70" s="238">
        <f>N70/M70</f>
        <v>127.54010695187229</v>
      </c>
      <c r="P70" s="111">
        <f>M70-J70</f>
        <v>0</v>
      </c>
      <c r="Q70" s="255">
        <f>O70-L70</f>
        <v>-21.18716577540043</v>
      </c>
      <c r="R70" s="85">
        <f>O70/L70</f>
        <v>0.85754350640011934</v>
      </c>
      <c r="S70" s="439">
        <f>R79</f>
        <v>0.83902757610536027</v>
      </c>
      <c r="T70" s="245">
        <v>0.29513888888888901</v>
      </c>
      <c r="U70" s="245">
        <v>0.34236111111111101</v>
      </c>
      <c r="V70" s="55"/>
      <c r="W70" s="54">
        <f t="shared" si="6"/>
        <v>67.999999999999673</v>
      </c>
      <c r="X70" s="270"/>
      <c r="Y70" s="292"/>
      <c r="Z70" s="169"/>
      <c r="AA70" s="169"/>
      <c r="AB70" s="429"/>
      <c r="AC70" s="429"/>
      <c r="AD70" s="135"/>
      <c r="AE70" s="135"/>
      <c r="AF70" s="310">
        <f>N70-K70</f>
        <v>-233.05882352940489</v>
      </c>
      <c r="AG70" s="246">
        <f>N70/K70</f>
        <v>0.85754350640011923</v>
      </c>
      <c r="AH70" s="403">
        <f>AG79</f>
        <v>0.74928066655290848</v>
      </c>
    </row>
    <row r="71" spans="1:36" ht="15" customHeight="1">
      <c r="A71" s="472"/>
      <c r="B71" s="75" t="s">
        <v>81</v>
      </c>
      <c r="C71" s="58"/>
      <c r="D71" s="259" t="s">
        <v>123</v>
      </c>
      <c r="E71" s="60"/>
      <c r="F71" s="75">
        <f>VLOOKUP(D71,廠價表!$C$1:$E$43,3,0)</f>
        <v>50.67</v>
      </c>
      <c r="G71" s="273">
        <f>527+450</f>
        <v>977</v>
      </c>
      <c r="H71" s="91">
        <f>F71*G71</f>
        <v>49504.590000000004</v>
      </c>
      <c r="I71" s="182"/>
      <c r="J71" s="79">
        <f>VLOOKUP(D71,產線配置圖!$A$3:$C$40,2,0)</f>
        <v>13</v>
      </c>
      <c r="K71" s="80">
        <f>VLOOKUP(D71,產線配置圖!$A$3:$C$40,3,0)</f>
        <v>1440</v>
      </c>
      <c r="L71" s="93">
        <f>K71/J71</f>
        <v>110.76923076923077</v>
      </c>
      <c r="M71" s="94">
        <v>10</v>
      </c>
      <c r="N71" s="95">
        <f>G71/W71*60</f>
        <v>901.84615384615154</v>
      </c>
      <c r="O71" s="96">
        <f>N71/M71</f>
        <v>90.184615384615157</v>
      </c>
      <c r="P71" s="97">
        <f>M71-J71</f>
        <v>-3</v>
      </c>
      <c r="Q71" s="98">
        <f>O71-L71</f>
        <v>-20.584615384615617</v>
      </c>
      <c r="R71" s="99">
        <f>O71/L71</f>
        <v>0.8141666666666646</v>
      </c>
      <c r="S71" s="440"/>
      <c r="T71" s="22">
        <v>0.41319444444444398</v>
      </c>
      <c r="U71" s="22">
        <v>0.45833333333333298</v>
      </c>
      <c r="V71" s="30">
        <f>(T71-U70)*24*60</f>
        <v>101.99999999999947</v>
      </c>
      <c r="W71" s="73">
        <f t="shared" si="6"/>
        <v>65.000000000000171</v>
      </c>
      <c r="X71" s="271"/>
      <c r="Y71" s="293"/>
      <c r="Z71" s="90"/>
      <c r="AA71" s="90"/>
      <c r="AB71" s="407"/>
      <c r="AC71" s="407"/>
      <c r="AD71" s="200"/>
      <c r="AE71" s="200"/>
      <c r="AF71" s="311"/>
      <c r="AG71" s="99"/>
      <c r="AH71" s="445"/>
    </row>
    <row r="72" spans="1:36" ht="15" customHeight="1">
      <c r="A72" s="472"/>
      <c r="B72" s="75"/>
      <c r="C72" s="58"/>
      <c r="D72" s="259"/>
      <c r="E72" s="60"/>
      <c r="F72" s="75"/>
      <c r="G72" s="273"/>
      <c r="H72" s="91"/>
      <c r="I72" s="182"/>
      <c r="J72" s="79"/>
      <c r="K72" s="80"/>
      <c r="L72" s="93"/>
      <c r="M72" s="94"/>
      <c r="N72" s="95"/>
      <c r="O72" s="96"/>
      <c r="P72" s="97"/>
      <c r="Q72" s="98"/>
      <c r="R72" s="99"/>
      <c r="S72" s="440"/>
      <c r="T72" s="22"/>
      <c r="U72" s="22"/>
      <c r="V72" s="30"/>
      <c r="W72" s="73">
        <f t="shared" si="6"/>
        <v>0</v>
      </c>
      <c r="X72" s="272"/>
      <c r="Y72" s="288"/>
      <c r="Z72" s="90"/>
      <c r="AA72" s="90"/>
      <c r="AB72" s="407"/>
      <c r="AC72" s="407"/>
      <c r="AD72" s="92"/>
      <c r="AE72" s="92"/>
      <c r="AF72" s="311"/>
      <c r="AG72" s="99"/>
      <c r="AH72" s="445"/>
    </row>
    <row r="73" spans="1:36" ht="15" customHeight="1">
      <c r="A73" s="472"/>
      <c r="B73" s="75"/>
      <c r="C73" s="58"/>
      <c r="D73" s="259"/>
      <c r="E73" s="60"/>
      <c r="F73" s="75"/>
      <c r="G73" s="273"/>
      <c r="H73" s="91"/>
      <c r="I73" s="182"/>
      <c r="J73" s="79"/>
      <c r="K73" s="80"/>
      <c r="L73" s="93"/>
      <c r="M73" s="94"/>
      <c r="N73" s="95"/>
      <c r="O73" s="96"/>
      <c r="P73" s="97"/>
      <c r="Q73" s="98"/>
      <c r="R73" s="99"/>
      <c r="S73" s="440"/>
      <c r="T73" s="22"/>
      <c r="U73" s="22"/>
      <c r="V73" s="30"/>
      <c r="W73" s="73">
        <f t="shared" si="6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91"/>
      <c r="I74" s="182"/>
      <c r="J74" s="79"/>
      <c r="K74" s="80"/>
      <c r="L74" s="93"/>
      <c r="M74" s="94"/>
      <c r="N74" s="95"/>
      <c r="O74" s="96"/>
      <c r="P74" s="97"/>
      <c r="Q74" s="98"/>
      <c r="R74" s="99"/>
      <c r="S74" s="440"/>
      <c r="T74" s="22"/>
      <c r="U74" s="22"/>
      <c r="V74" s="30"/>
      <c r="W74" s="73">
        <f t="shared" si="6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2"/>
      <c r="U75" s="22"/>
      <c r="V75" s="30"/>
      <c r="W75" s="256">
        <f t="shared" si="6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2"/>
      <c r="U76" s="22"/>
      <c r="V76" s="30"/>
      <c r="W76" s="248">
        <f t="shared" si="6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2"/>
      <c r="U77" s="22"/>
      <c r="V77" s="30"/>
      <c r="W77" s="73">
        <f t="shared" si="6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6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 t="s">
        <v>56</v>
      </c>
      <c r="D79" s="430" t="s">
        <v>42</v>
      </c>
      <c r="E79" s="430"/>
      <c r="F79" s="116"/>
      <c r="G79" s="117"/>
      <c r="H79" s="282"/>
      <c r="I79" s="268"/>
      <c r="J79" s="240">
        <f t="shared" ref="J79:O79" si="39">AVERAGE(J70:J78)</f>
        <v>12</v>
      </c>
      <c r="K79" s="240">
        <f t="shared" si="39"/>
        <v>1538</v>
      </c>
      <c r="L79" s="268">
        <f t="shared" si="39"/>
        <v>129.74825174825173</v>
      </c>
      <c r="M79" s="240">
        <f t="shared" si="39"/>
        <v>10.5</v>
      </c>
      <c r="N79" s="240">
        <f t="shared" si="39"/>
        <v>1152.3936651583733</v>
      </c>
      <c r="O79" s="268">
        <f t="shared" si="39"/>
        <v>108.86236116824372</v>
      </c>
      <c r="P79" s="269">
        <f>M79-J79</f>
        <v>-1.5</v>
      </c>
      <c r="Q79" s="222">
        <f>N79-K79</f>
        <v>-385.60633484162668</v>
      </c>
      <c r="R79" s="223">
        <f>O79/L79</f>
        <v>0.83902757610536027</v>
      </c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-385.60633484162668</v>
      </c>
      <c r="AG79" s="124">
        <f>N79/K79</f>
        <v>0.74928066655290848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A2:B2"/>
    <mergeCell ref="A3:A4"/>
    <mergeCell ref="B3:B4"/>
    <mergeCell ref="D3:E4"/>
    <mergeCell ref="F3:F4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B1:AC2"/>
    <mergeCell ref="V3:V4"/>
    <mergeCell ref="W3:W4"/>
    <mergeCell ref="X3:Y3"/>
    <mergeCell ref="Z3:AA3"/>
    <mergeCell ref="T3:U3"/>
    <mergeCell ref="P3:P4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H3:AH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38:A48"/>
    <mergeCell ref="S38:S48"/>
    <mergeCell ref="AB38:AC38"/>
    <mergeCell ref="D48:E48"/>
    <mergeCell ref="AB44:AC44"/>
    <mergeCell ref="AB45:AC45"/>
    <mergeCell ref="AB46:AC46"/>
    <mergeCell ref="AB47:AC47"/>
    <mergeCell ref="AB48:AC48"/>
    <mergeCell ref="A27:A37"/>
    <mergeCell ref="S27:S37"/>
    <mergeCell ref="AB27:AC27"/>
    <mergeCell ref="AB34:AC34"/>
    <mergeCell ref="AB35:AC35"/>
    <mergeCell ref="AB36:AC36"/>
    <mergeCell ref="D37:E37"/>
    <mergeCell ref="AB37:AC3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H38:AH48"/>
    <mergeCell ref="AB40:AC40"/>
    <mergeCell ref="AB41:AC41"/>
    <mergeCell ref="AB42:AC42"/>
    <mergeCell ref="AB43:AC43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48" priority="1" operator="greaterThan">
      <formula>0</formula>
    </cfRule>
  </conditionalFormatting>
  <conditionalFormatting sqref="Q5:Q79 AF5:AF79">
    <cfRule type="cellIs" dxfId="47" priority="4" operator="lessThan">
      <formula>0</formula>
    </cfRule>
  </conditionalFormatting>
  <conditionalFormatting sqref="R5:R79 AG5:AG79">
    <cfRule type="cellIs" dxfId="46" priority="2" operator="greaterThan">
      <formula>1</formula>
    </cfRule>
    <cfRule type="cellIs" dxfId="45" priority="3" operator="lessThan">
      <formula>0.8</formula>
    </cfRule>
  </conditionalFormatting>
  <conditionalFormatting sqref="S5:S10 S37:S62 AH59:AH62 S69:S76 AH69:AH76">
    <cfRule type="cellIs" dxfId="44" priority="7" operator="lessThan">
      <formula>0.8</formula>
    </cfRule>
  </conditionalFormatting>
  <conditionalFormatting sqref="S19:S25 AH19:AH25">
    <cfRule type="cellIs" dxfId="43" priority="6" operator="lessThan">
      <formula>0.8</formula>
    </cfRule>
  </conditionalFormatting>
  <conditionalFormatting sqref="S79">
    <cfRule type="cellIs" dxfId="42" priority="5" operator="lessThan">
      <formula>0.8</formula>
    </cfRule>
  </conditionalFormatting>
  <conditionalFormatting sqref="AH5:AH8 S15:S16 AH15:AH16 AH49 AH79">
    <cfRule type="cellIs" dxfId="41" priority="9" operator="lessThan">
      <formula>0.8</formula>
    </cfRule>
  </conditionalFormatting>
  <conditionalFormatting sqref="AH27 S27:S28">
    <cfRule type="cellIs" dxfId="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CE84AA-2A18-4231-9A7A-D42381CD10A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F9895-34FA-4C7A-82D9-05E6A36F2C00}">
  <dimension ref="B1:O26"/>
  <sheetViews>
    <sheetView topLeftCell="A5" zoomScale="70" zoomScaleNormal="70" workbookViewId="0">
      <selection activeCell="J17" sqref="J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46200</v>
      </c>
      <c r="E3" s="510"/>
      <c r="F3" s="3" t="s">
        <v>72</v>
      </c>
      <c r="G3" s="511">
        <f>'0627'!E1</f>
        <v>58607</v>
      </c>
      <c r="H3" s="511"/>
      <c r="I3" s="3" t="s">
        <v>2</v>
      </c>
      <c r="J3" s="512">
        <f>'0627'!G1</f>
        <v>2722498.6259999997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121.04392510267509</v>
      </c>
      <c r="G6" s="507"/>
      <c r="H6" s="508">
        <f>AVERAGE(D13:H13)</f>
        <v>119.17222527472526</v>
      </c>
      <c r="I6" s="508"/>
      <c r="J6" s="508">
        <f>AVERAGE(I13:J13)</f>
        <v>130.07533799533797</v>
      </c>
      <c r="K6" s="508"/>
      <c r="L6" s="516">
        <f>SUM(D18:J18)</f>
        <v>0</v>
      </c>
      <c r="M6" s="499">
        <f>SUM(D19:J19)</f>
        <v>0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108.13788295702712</v>
      </c>
      <c r="G7" s="496"/>
      <c r="H7" s="497">
        <f>AVERAGE(D14:H14)</f>
        <v>106.7612170540846</v>
      </c>
      <c r="I7" s="497"/>
      <c r="J7" s="497">
        <f>AVERAGE(I14:J14)</f>
        <v>111.66518188365211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0.89337720059308667</v>
      </c>
      <c r="G8" s="502"/>
      <c r="H8" s="502">
        <f>H7/H6</f>
        <v>0.89585653710812374</v>
      </c>
      <c r="I8" s="502"/>
      <c r="J8" s="502">
        <f>J7/J6</f>
        <v>0.85846543706582024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VALUE('0627'!L15)</f>
        <v>139.24705882352941</v>
      </c>
      <c r="E13" s="13">
        <f>VALUE('0627'!L26)</f>
        <v>157.84421460892048</v>
      </c>
      <c r="F13" s="13">
        <f>VALUE('0627'!L37)</f>
        <v>90.63856209150326</v>
      </c>
      <c r="G13" s="13">
        <f>VALUE('0627'!L48)</f>
        <v>105.25098039215686</v>
      </c>
      <c r="H13" s="13">
        <f>VALUE('0627'!L58)</f>
        <v>102.88031045751634</v>
      </c>
      <c r="I13" s="13">
        <f>VALUE('0627'!L69)</f>
        <v>130.40242424242425</v>
      </c>
      <c r="J13" s="13">
        <f>'0627'!L79</f>
        <v>129.74825174825173</v>
      </c>
    </row>
    <row r="14" spans="2:15" ht="39.950000000000003" customHeight="1">
      <c r="B14" s="490"/>
      <c r="C14" s="12" t="s">
        <v>100</v>
      </c>
      <c r="D14" s="13">
        <f>VALUE('0627'!O15)</f>
        <v>119.62640223211513</v>
      </c>
      <c r="E14" s="13">
        <f>VALUE('0627'!O26)</f>
        <v>138.14538539064148</v>
      </c>
      <c r="F14" s="13">
        <f>VALUE('0627'!O37)</f>
        <v>85.21699279917496</v>
      </c>
      <c r="G14" s="13">
        <f>VALUE('0627'!O48)</f>
        <v>96.010064719548325</v>
      </c>
      <c r="H14" s="13">
        <f>VALUE('0627'!O58)</f>
        <v>94.807240128943107</v>
      </c>
      <c r="I14" s="13">
        <f>VALUE('0627'!O69)</f>
        <v>115.02121247173982</v>
      </c>
      <c r="J14" s="13">
        <f>'0627'!O79</f>
        <v>108.3091512955644</v>
      </c>
    </row>
    <row r="15" spans="2:15" ht="39.950000000000003" customHeight="1">
      <c r="B15" s="491"/>
      <c r="C15" s="10" t="s">
        <v>26</v>
      </c>
      <c r="D15" s="14">
        <f t="shared" ref="D15:I15" si="1">D14/D13</f>
        <v>0.85909464259291868</v>
      </c>
      <c r="E15" s="14">
        <f t="shared" si="1"/>
        <v>0.8752008157721497</v>
      </c>
      <c r="F15" s="14">
        <f t="shared" si="1"/>
        <v>0.9401847385127865</v>
      </c>
      <c r="G15" s="14">
        <f t="shared" si="1"/>
        <v>0.91220114398766061</v>
      </c>
      <c r="H15" s="14">
        <f t="shared" si="1"/>
        <v>0.92152949099131121</v>
      </c>
      <c r="I15" s="14">
        <f t="shared" si="1"/>
        <v>0.88204811482576406</v>
      </c>
      <c r="J15" s="15">
        <f>'0627'!S70</f>
        <v>0.83476385875098158</v>
      </c>
    </row>
    <row r="16" spans="2:15" ht="17.25" customHeight="1">
      <c r="B16" s="492" t="s">
        <v>101</v>
      </c>
      <c r="C16" s="10" t="s">
        <v>34</v>
      </c>
      <c r="D16" s="16">
        <f>'0627'!T5</f>
        <v>0.29444444444444401</v>
      </c>
      <c r="E16" s="16">
        <f>'0627'!T16</f>
        <v>0.29375000000000001</v>
      </c>
      <c r="F16" s="16">
        <f>'0627'!T27</f>
        <v>0.29027777777777802</v>
      </c>
      <c r="G16" s="16">
        <f>'0627'!T38</f>
        <v>0.33333333333333298</v>
      </c>
      <c r="H16" s="16">
        <f>'0627'!T49</f>
        <v>0.29027777777777802</v>
      </c>
      <c r="I16" s="16">
        <f>'0627'!T59</f>
        <v>0.29027777777777802</v>
      </c>
      <c r="J16" s="16">
        <f>'0627'!T70</f>
        <v>0.32638888888888901</v>
      </c>
    </row>
    <row r="17" spans="2:10" ht="17.25" customHeight="1">
      <c r="B17" s="493"/>
      <c r="C17" s="10" t="s">
        <v>35</v>
      </c>
      <c r="D17" s="16">
        <v>0.65208333333333302</v>
      </c>
      <c r="E17" s="19">
        <v>0.59861111111111098</v>
      </c>
      <c r="F17" s="19">
        <v>0.62916666666666698</v>
      </c>
      <c r="G17" s="20">
        <v>0.51041666666666696</v>
      </c>
      <c r="H17" s="21">
        <v>0.60972222222222205</v>
      </c>
      <c r="I17" s="22">
        <v>0.60763888888888895</v>
      </c>
      <c r="J17" s="22">
        <v>0.51736111111111105</v>
      </c>
    </row>
    <row r="18" spans="2:10" ht="17.25" customHeight="1">
      <c r="B18" s="494" t="s">
        <v>102</v>
      </c>
      <c r="C18" s="330" t="s">
        <v>36</v>
      </c>
      <c r="D18" s="358">
        <f>'0627'!Z15</f>
        <v>0</v>
      </c>
      <c r="E18" s="359">
        <f>'0627'!Z26</f>
        <v>0</v>
      </c>
      <c r="F18" s="359">
        <f>'0627'!Z37</f>
        <v>0</v>
      </c>
      <c r="G18" s="360">
        <f>'0627'!Z48</f>
        <v>0</v>
      </c>
      <c r="H18" s="360">
        <f>'0627'!Z58</f>
        <v>0</v>
      </c>
      <c r="I18" s="359">
        <f>'0627'!Z69</f>
        <v>0</v>
      </c>
      <c r="J18" s="359">
        <f>'0627'!AA79</f>
        <v>0</v>
      </c>
    </row>
    <row r="19" spans="2:10" ht="17.25" customHeight="1">
      <c r="B19" s="495"/>
      <c r="C19" s="330" t="s">
        <v>37</v>
      </c>
      <c r="D19" s="358">
        <f>'0627'!AA15</f>
        <v>0</v>
      </c>
      <c r="E19" s="359">
        <f>'0627'!AA26</f>
        <v>0</v>
      </c>
      <c r="F19" s="359">
        <f>'0627'!AA37</f>
        <v>0</v>
      </c>
      <c r="G19" s="360">
        <f>'0627'!AA48</f>
        <v>0</v>
      </c>
      <c r="H19" s="360">
        <f>'0627'!AA58</f>
        <v>0</v>
      </c>
      <c r="I19" s="359">
        <f>'0627'!AA69</f>
        <v>0</v>
      </c>
      <c r="J19" s="359">
        <f>'0627'!AB79</f>
        <v>0</v>
      </c>
    </row>
    <row r="20" spans="2:10" ht="17.25" customHeight="1">
      <c r="B20" s="494" t="s">
        <v>103</v>
      </c>
      <c r="C20" s="330" t="s">
        <v>36</v>
      </c>
      <c r="D20" s="358">
        <f>'0627'!AD15</f>
        <v>0</v>
      </c>
      <c r="E20" s="359">
        <f>'0627'!AD26</f>
        <v>0</v>
      </c>
      <c r="F20" s="359">
        <f>'0627'!AD37</f>
        <v>0</v>
      </c>
      <c r="G20" s="360">
        <f>'0627'!AD48</f>
        <v>0</v>
      </c>
      <c r="H20" s="360">
        <f>'0627'!AD58</f>
        <v>0</v>
      </c>
      <c r="I20" s="359">
        <f>'0627'!AD69</f>
        <v>0</v>
      </c>
      <c r="J20" s="359">
        <f>'0627'!AD79</f>
        <v>0</v>
      </c>
    </row>
    <row r="21" spans="2:10" ht="17.25" customHeight="1">
      <c r="B21" s="495"/>
      <c r="C21" s="330" t="s">
        <v>85</v>
      </c>
      <c r="D21" s="358">
        <f>'0627'!AE15</f>
        <v>0</v>
      </c>
      <c r="E21" s="359">
        <f>'0627'!AE26</f>
        <v>0</v>
      </c>
      <c r="F21" s="359">
        <f>'0627'!AE37</f>
        <v>0</v>
      </c>
      <c r="G21" s="360">
        <f>'0627'!AE48</f>
        <v>0</v>
      </c>
      <c r="H21" s="360">
        <f>'0627'!AE58</f>
        <v>0</v>
      </c>
      <c r="I21" s="359">
        <f>'0627'!AE69</f>
        <v>0</v>
      </c>
      <c r="J21" s="359">
        <f>'0627'!AE79</f>
        <v>0</v>
      </c>
    </row>
    <row r="22" spans="2:10" ht="17.25" customHeight="1">
      <c r="B22" s="477" t="s">
        <v>104</v>
      </c>
      <c r="C22" s="478"/>
      <c r="D22" s="23">
        <f>VALUE('0627'!M15)</f>
        <v>15.4</v>
      </c>
      <c r="E22" s="23">
        <f>VALUE('0627'!M26)</f>
        <v>14.4</v>
      </c>
      <c r="F22" s="23">
        <f>VALUE('0627'!M37)</f>
        <v>18</v>
      </c>
      <c r="G22" s="23">
        <f>VALUE('0627'!M48)</f>
        <v>15.5</v>
      </c>
      <c r="H22" s="23">
        <f>VALUE('0627'!M58)</f>
        <v>16.5</v>
      </c>
      <c r="I22" s="23">
        <f>VALUE('0627'!M69)</f>
        <v>12.8</v>
      </c>
      <c r="J22" s="23">
        <f>'0627'!M79</f>
        <v>11.5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9683-541D-400F-94AB-740039643E6D}">
  <sheetPr>
    <tabColor theme="9" tint="0.79998168889431442"/>
  </sheetPr>
  <dimension ref="A1:AJ92"/>
  <sheetViews>
    <sheetView zoomScale="69" zoomScaleNormal="69" workbookViewId="0">
      <pane xSplit="5" ySplit="4" topLeftCell="L38" activePane="bottomRight" state="frozen"/>
      <selection activeCell="L14" sqref="L14"/>
      <selection pane="topRight" activeCell="L14" sqref="L14"/>
      <selection pane="bottomLeft" activeCell="L14" sqref="L14"/>
      <selection pane="bottomRight" activeCell="A16" sqref="A16:A2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58607</v>
      </c>
      <c r="F1" s="30" t="s">
        <v>2</v>
      </c>
      <c r="G1" s="31">
        <f>SUM(H5:H79)</f>
        <v>2722498.6259999997</v>
      </c>
      <c r="H1" s="32" t="s">
        <v>3</v>
      </c>
      <c r="I1" s="33">
        <f>M15+M26+M48+M58+M69+M79+M37</f>
        <v>104.1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222</v>
      </c>
      <c r="B2" s="381"/>
      <c r="C2" s="28"/>
      <c r="D2" s="28" t="s">
        <v>14</v>
      </c>
      <c r="E2" s="35">
        <f>AVERAGE(O15,O26,O37,O48,O58,O69,O79)</f>
        <v>108.16234986253245</v>
      </c>
      <c r="F2" s="36" t="s">
        <v>15</v>
      </c>
      <c r="G2" s="37">
        <f>G1/E1</f>
        <v>46.45347187196068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2595</v>
      </c>
      <c r="H5" s="43">
        <f>F5*G5</f>
        <v>147577.65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2048.6842105263081</v>
      </c>
      <c r="O5" s="47">
        <f>N5/M5</f>
        <v>136.57894736842053</v>
      </c>
      <c r="P5" s="49">
        <f>M5-J5</f>
        <v>0</v>
      </c>
      <c r="Q5" s="50">
        <f>O5-L5</f>
        <v>-13.421052631579471</v>
      </c>
      <c r="R5" s="51">
        <f>O5/L5</f>
        <v>0.91052631578947019</v>
      </c>
      <c r="S5" s="439">
        <f>R15</f>
        <v>0.85909464259291868</v>
      </c>
      <c r="T5" s="319">
        <v>0.29444444444444401</v>
      </c>
      <c r="U5" s="320">
        <v>0.34722222222222199</v>
      </c>
      <c r="V5" s="53"/>
      <c r="W5" s="54">
        <f t="shared" ref="W5:W14" si="0">(U5-T5)*24*60</f>
        <v>76.000000000000284</v>
      </c>
      <c r="X5" s="55"/>
      <c r="Y5" s="290"/>
      <c r="Z5" s="169"/>
      <c r="AA5" s="169"/>
      <c r="AB5" s="444"/>
      <c r="AC5" s="444"/>
      <c r="AD5" s="135"/>
      <c r="AE5" s="135"/>
      <c r="AF5" s="229">
        <f t="shared" ref="AF5:AF8" si="1">N5-K5</f>
        <v>-201.31578947369189</v>
      </c>
      <c r="AG5" s="52">
        <f t="shared" ref="AG5:AG8" si="2">N5/K5</f>
        <v>0.9105263157894703</v>
      </c>
      <c r="AH5" s="403">
        <f>AG15</f>
        <v>0.86078242527157989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2246</v>
      </c>
      <c r="H6" s="63">
        <f>F6*G6</f>
        <v>130649.82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1727.6923076923297</v>
      </c>
      <c r="O6" s="67">
        <f>N6/M6</f>
        <v>115.17948717948865</v>
      </c>
      <c r="P6" s="69">
        <f>M6-J6</f>
        <v>0</v>
      </c>
      <c r="Q6" s="70">
        <f>O6-L6</f>
        <v>-34.820512820511354</v>
      </c>
      <c r="R6" s="71">
        <f>O6/L6</f>
        <v>0.76786324786325766</v>
      </c>
      <c r="S6" s="440"/>
      <c r="T6" s="16">
        <v>0.35555555555555601</v>
      </c>
      <c r="U6" s="16">
        <v>0.40972222222222199</v>
      </c>
      <c r="V6" s="30">
        <f>(T6-U5)*24*60</f>
        <v>12.000000000000997</v>
      </c>
      <c r="W6" s="73">
        <f t="shared" si="0"/>
        <v>77.999999999999005</v>
      </c>
      <c r="X6" s="22"/>
      <c r="Y6" s="84"/>
      <c r="Z6" s="90"/>
      <c r="AA6" s="90"/>
      <c r="AB6" s="407" t="s">
        <v>223</v>
      </c>
      <c r="AC6" s="407"/>
      <c r="AD6" s="149"/>
      <c r="AE6" s="149"/>
      <c r="AF6" s="307">
        <f t="shared" si="1"/>
        <v>-522.30769230767032</v>
      </c>
      <c r="AG6" s="72">
        <f t="shared" si="2"/>
        <v>0.76786324786325766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2634</v>
      </c>
      <c r="H7" s="78">
        <f>F7*G7</f>
        <v>129434.76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1951.1111111111104</v>
      </c>
      <c r="O7" s="81">
        <f>N7/M7</f>
        <v>130.07407407407402</v>
      </c>
      <c r="P7" s="74">
        <f>M7-J7</f>
        <v>0</v>
      </c>
      <c r="Q7" s="83">
        <f>O7-L7</f>
        <v>-19.925925925925981</v>
      </c>
      <c r="R7" s="72">
        <f>O7/L7</f>
        <v>0.86716049382716009</v>
      </c>
      <c r="S7" s="440"/>
      <c r="T7" s="18">
        <v>0.421527777777778</v>
      </c>
      <c r="U7" s="18">
        <v>0.47777777777777802</v>
      </c>
      <c r="V7" s="30">
        <f>(T7-U6)*24*60</f>
        <v>17.000000000000661</v>
      </c>
      <c r="W7" s="73">
        <f t="shared" si="0"/>
        <v>81.000000000000028</v>
      </c>
      <c r="X7" s="22">
        <v>0.48611111111111099</v>
      </c>
      <c r="Y7" s="84">
        <v>0.52777777777777801</v>
      </c>
      <c r="Z7" s="90"/>
      <c r="AA7" s="90"/>
      <c r="AB7" s="407"/>
      <c r="AC7" s="407"/>
      <c r="AD7" s="92"/>
      <c r="AE7" s="92"/>
      <c r="AF7" s="307">
        <f t="shared" si="1"/>
        <v>-298.8888888888896</v>
      </c>
      <c r="AG7" s="72">
        <f t="shared" si="2"/>
        <v>0.86716049382716021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2306</v>
      </c>
      <c r="H8" s="78">
        <f>F8*G8</f>
        <v>113316.84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1869.7297297297243</v>
      </c>
      <c r="O8" s="81">
        <f>N8/M8</f>
        <v>124.64864864864829</v>
      </c>
      <c r="P8" s="74">
        <f>M8-J8</f>
        <v>0</v>
      </c>
      <c r="Q8" s="83">
        <f>O8-L8</f>
        <v>-25.35135135135171</v>
      </c>
      <c r="R8" s="72">
        <f>O8/L8</f>
        <v>0.83099099099098861</v>
      </c>
      <c r="S8" s="440"/>
      <c r="T8" s="16">
        <v>0.54513888888888895</v>
      </c>
      <c r="U8" s="16">
        <v>0.59652777777777799</v>
      </c>
      <c r="V8" s="30">
        <f>(T8-U7)*24*60</f>
        <v>96.99999999999973</v>
      </c>
      <c r="W8" s="73">
        <f t="shared" si="0"/>
        <v>74.000000000000213</v>
      </c>
      <c r="X8" s="22"/>
      <c r="Y8" s="84"/>
      <c r="Z8" s="90"/>
      <c r="AA8" s="90"/>
      <c r="AD8" s="149"/>
      <c r="AE8" s="149"/>
      <c r="AF8" s="307">
        <f t="shared" si="1"/>
        <v>-380.27027027027566</v>
      </c>
      <c r="AG8" s="72">
        <f t="shared" si="2"/>
        <v>0.83099099099098861</v>
      </c>
      <c r="AH8" s="404"/>
    </row>
    <row r="9" spans="1:34" ht="15" customHeight="1">
      <c r="A9" s="437"/>
      <c r="B9" s="75" t="s">
        <v>128</v>
      </c>
      <c r="C9" s="76"/>
      <c r="D9" s="59" t="s">
        <v>130</v>
      </c>
      <c r="E9" s="77"/>
      <c r="F9" s="75">
        <f>VLOOKUP(D9,廠價表!$C$1:$E$43,3,0)</f>
        <v>44.3</v>
      </c>
      <c r="G9" s="66">
        <v>1610</v>
      </c>
      <c r="H9" s="78">
        <f>F9*G9</f>
        <v>71323</v>
      </c>
      <c r="I9" s="73"/>
      <c r="J9" s="79">
        <f>VLOOKUP(D9,產線配置圖!$A$3:$C$40,2,0)</f>
        <v>17</v>
      </c>
      <c r="K9" s="80">
        <f>VLOOKUP(D9,產線配置圖!$A$3:$C$40,3,0)</f>
        <v>1636</v>
      </c>
      <c r="L9" s="81">
        <f>K9/J9</f>
        <v>96.235294117647058</v>
      </c>
      <c r="M9" s="82">
        <v>17</v>
      </c>
      <c r="N9" s="80">
        <f>G9/W9*60</f>
        <v>1558.0645161290497</v>
      </c>
      <c r="O9" s="81">
        <f>N9/M9</f>
        <v>91.650853889944102</v>
      </c>
      <c r="P9" s="74">
        <f>M9-J9</f>
        <v>0</v>
      </c>
      <c r="Q9" s="83">
        <f>O9-L9</f>
        <v>-4.5844402277029559</v>
      </c>
      <c r="R9" s="72">
        <f>O9/L9</f>
        <v>0.95236217367301335</v>
      </c>
      <c r="S9" s="441"/>
      <c r="T9" s="16">
        <v>0.60902777777777795</v>
      </c>
      <c r="U9" s="16">
        <v>0.65208333333333302</v>
      </c>
      <c r="V9" s="30">
        <f>(T9-U8)*24*60</f>
        <v>17.999999999999936</v>
      </c>
      <c r="W9" s="73">
        <f t="shared" si="0"/>
        <v>61.999999999999304</v>
      </c>
      <c r="X9" s="22"/>
      <c r="Y9" s="84"/>
      <c r="Z9" s="90"/>
      <c r="AA9" s="90"/>
      <c r="AB9" s="407"/>
      <c r="AC9" s="407"/>
      <c r="AD9" s="149"/>
      <c r="AE9" s="149"/>
      <c r="AF9" s="307"/>
      <c r="AG9" s="72"/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/>
      <c r="AG10" s="72"/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/>
      <c r="AG11" s="72"/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15.4</v>
      </c>
      <c r="K15" s="120">
        <f t="shared" si="3"/>
        <v>2127.1999999999998</v>
      </c>
      <c r="L15" s="117">
        <f t="shared" si="3"/>
        <v>139.24705882352941</v>
      </c>
      <c r="M15" s="120">
        <f t="shared" si="3"/>
        <v>15.4</v>
      </c>
      <c r="N15" s="120">
        <f t="shared" si="3"/>
        <v>1831.0563750377046</v>
      </c>
      <c r="O15" s="117">
        <f t="shared" si="3"/>
        <v>119.62640223211513</v>
      </c>
      <c r="P15" s="121">
        <f>M15-J15</f>
        <v>0</v>
      </c>
      <c r="Q15" s="122">
        <f>O15-L15</f>
        <v>-19.620656591414289</v>
      </c>
      <c r="R15" s="123">
        <f>O15/L15</f>
        <v>0.85909464259291868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 t="shared" ref="AF15:AF20" si="4">N15-K15</f>
        <v>-296.14362496229523</v>
      </c>
      <c r="AG15" s="124">
        <f t="shared" ref="AG15:AG20" si="5">N15/K15</f>
        <v>0.86078242527157989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3304</v>
      </c>
      <c r="H16" s="134">
        <f>F16*G16</f>
        <v>167413.68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2178.4615384615536</v>
      </c>
      <c r="O16" s="141">
        <f>N16/M16</f>
        <v>155.60439560439667</v>
      </c>
      <c r="P16" s="142">
        <f>M16-J16</f>
        <v>0</v>
      </c>
      <c r="Q16" s="143">
        <f>O16-L16</f>
        <v>-5.1098901098890508</v>
      </c>
      <c r="R16" s="144">
        <f>O16/L16</f>
        <v>0.96820512820513482</v>
      </c>
      <c r="S16" s="425">
        <f>R26</f>
        <v>0.8752008157721497</v>
      </c>
      <c r="T16" s="145">
        <v>0.29375000000000001</v>
      </c>
      <c r="U16" s="145">
        <v>0.35694444444444401</v>
      </c>
      <c r="V16" s="135"/>
      <c r="W16" s="146">
        <f t="shared" ref="W16:W78" si="6">(U16-T16)*24*60</f>
        <v>90.999999999999361</v>
      </c>
      <c r="X16" s="141"/>
      <c r="Y16" s="296"/>
      <c r="Z16" s="169"/>
      <c r="AA16" s="169"/>
      <c r="AB16" s="428"/>
      <c r="AC16" s="429"/>
      <c r="AD16" s="135"/>
      <c r="AE16" s="135"/>
      <c r="AF16" s="229">
        <f t="shared" si="4"/>
        <v>-71.538461538446427</v>
      </c>
      <c r="AG16" s="52">
        <f t="shared" si="5"/>
        <v>0.96820512820513494</v>
      </c>
      <c r="AH16" s="403">
        <f>AG26</f>
        <v>0.87300309131862952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f>872+745</f>
        <v>1617</v>
      </c>
      <c r="H17" s="78">
        <f>F17*G17</f>
        <v>92508.57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1865.7692307692346</v>
      </c>
      <c r="O17" s="96">
        <f>N17/M17</f>
        <v>109.75113122171967</v>
      </c>
      <c r="P17" s="97">
        <f>M17-J17</f>
        <v>0</v>
      </c>
      <c r="Q17" s="98">
        <f>O17-L17</f>
        <v>-22.601809954750905</v>
      </c>
      <c r="R17" s="99">
        <f>O17/L17</f>
        <v>0.82923076923077088</v>
      </c>
      <c r="S17" s="426"/>
      <c r="T17" s="19">
        <v>0.36597222222222198</v>
      </c>
      <c r="U17" s="19">
        <v>0.40208333333333302</v>
      </c>
      <c r="V17" s="30">
        <f>(T17-U16)*24*60</f>
        <v>13.000000000000274</v>
      </c>
      <c r="W17" s="149">
        <f t="shared" si="6"/>
        <v>51.999999999999893</v>
      </c>
      <c r="X17" s="19"/>
      <c r="Y17" s="297"/>
      <c r="Z17" s="90"/>
      <c r="AA17" s="90"/>
      <c r="AB17" s="407"/>
      <c r="AC17" s="407"/>
      <c r="AD17" s="92"/>
      <c r="AE17" s="92"/>
      <c r="AF17" s="307">
        <f t="shared" si="4"/>
        <v>-384.23076923076542</v>
      </c>
      <c r="AG17" s="72">
        <f t="shared" si="5"/>
        <v>0.82923076923077088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958</v>
      </c>
      <c r="H18" s="78">
        <f t="shared" ref="H18:H20" si="7">F18*G18</f>
        <v>54232.38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 t="shared" ref="L18:L20" si="8">K18/J18</f>
        <v>150</v>
      </c>
      <c r="M18" s="148">
        <v>15</v>
      </c>
      <c r="N18" s="95">
        <f t="shared" ref="N18:N20" si="9">G18/W18*60</f>
        <v>1854.1935483870748</v>
      </c>
      <c r="O18" s="96">
        <f t="shared" ref="O18:O20" si="10">N18/M18</f>
        <v>123.61290322580498</v>
      </c>
      <c r="P18" s="97">
        <f t="shared" ref="P18:P20" si="11">M18-J18</f>
        <v>0</v>
      </c>
      <c r="Q18" s="98">
        <f t="shared" ref="Q18:Q20" si="12">O18-L18</f>
        <v>-26.387096774195015</v>
      </c>
      <c r="R18" s="99">
        <f t="shared" ref="R18:R20" si="13">O18/L18</f>
        <v>0.82408602150536658</v>
      </c>
      <c r="S18" s="426"/>
      <c r="T18" s="19">
        <v>0.40972222222222199</v>
      </c>
      <c r="U18" s="19">
        <v>0.43125000000000002</v>
      </c>
      <c r="V18" s="30">
        <f>(T18-U17)*24*60</f>
        <v>11.000000000000121</v>
      </c>
      <c r="W18" s="149">
        <f t="shared" si="6"/>
        <v>31.000000000000369</v>
      </c>
      <c r="X18" s="22"/>
      <c r="Y18" s="84"/>
      <c r="Z18" s="90"/>
      <c r="AA18" s="90"/>
      <c r="AB18" s="407"/>
      <c r="AC18" s="407"/>
      <c r="AD18" s="92"/>
      <c r="AE18" s="92"/>
      <c r="AF18" s="307">
        <f t="shared" si="4"/>
        <v>-395.80645161292523</v>
      </c>
      <c r="AG18" s="72">
        <f t="shared" si="5"/>
        <v>0.82408602150536658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2001</v>
      </c>
      <c r="H19" s="78">
        <f t="shared" si="7"/>
        <v>100830.39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si="8"/>
        <v>173.07692307692307</v>
      </c>
      <c r="M19" s="148">
        <v>13</v>
      </c>
      <c r="N19" s="95">
        <f t="shared" si="9"/>
        <v>2034.9152542372483</v>
      </c>
      <c r="O19" s="96">
        <f t="shared" si="10"/>
        <v>156.53194263363449</v>
      </c>
      <c r="P19" s="97">
        <f t="shared" si="11"/>
        <v>0</v>
      </c>
      <c r="Q19" s="98">
        <f t="shared" si="12"/>
        <v>-16.54498044328858</v>
      </c>
      <c r="R19" s="99">
        <f t="shared" si="13"/>
        <v>0.90440677966099936</v>
      </c>
      <c r="S19" s="426"/>
      <c r="T19" s="19">
        <v>0.438194444444444</v>
      </c>
      <c r="U19" s="19">
        <v>0.47916666666666702</v>
      </c>
      <c r="V19" s="30">
        <f>(T19-U18)*24*60</f>
        <v>9.999999999999325</v>
      </c>
      <c r="W19" s="149">
        <f t="shared" si="6"/>
        <v>59.000000000001151</v>
      </c>
      <c r="X19" s="22">
        <v>0.48611111111111099</v>
      </c>
      <c r="Y19" s="84">
        <v>0.52777777777777801</v>
      </c>
      <c r="Z19" s="90"/>
      <c r="AA19" s="90"/>
      <c r="AB19" s="434"/>
      <c r="AC19" s="434"/>
      <c r="AD19" s="149"/>
      <c r="AE19" s="149"/>
      <c r="AF19" s="307">
        <f t="shared" si="4"/>
        <v>-215.08474576275171</v>
      </c>
      <c r="AG19" s="72">
        <f t="shared" si="5"/>
        <v>0.90440677966099925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2297</v>
      </c>
      <c r="H20" s="78">
        <f t="shared" si="7"/>
        <v>115745.83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8"/>
        <v>173.07692307692307</v>
      </c>
      <c r="M20" s="148">
        <v>13</v>
      </c>
      <c r="N20" s="95">
        <f t="shared" si="9"/>
        <v>1887.945205479471</v>
      </c>
      <c r="O20" s="96">
        <f t="shared" si="10"/>
        <v>145.22655426765161</v>
      </c>
      <c r="P20" s="97">
        <f t="shared" si="11"/>
        <v>0</v>
      </c>
      <c r="Q20" s="98">
        <f t="shared" si="12"/>
        <v>-27.850368809271458</v>
      </c>
      <c r="R20" s="99">
        <f t="shared" si="13"/>
        <v>0.83908675799087595</v>
      </c>
      <c r="S20" s="426"/>
      <c r="T20" s="19">
        <v>0.54791666666666705</v>
      </c>
      <c r="U20" s="19">
        <v>0.59861111111111098</v>
      </c>
      <c r="V20" s="30">
        <f>(T20-U19)*24*60</f>
        <v>99.000000000000043</v>
      </c>
      <c r="W20" s="149">
        <f t="shared" si="6"/>
        <v>72.999999999999261</v>
      </c>
      <c r="X20" s="19"/>
      <c r="Y20" s="297"/>
      <c r="Z20" s="90"/>
      <c r="AA20" s="90"/>
      <c r="AB20" s="407"/>
      <c r="AC20" s="407"/>
      <c r="AD20" s="92"/>
      <c r="AE20" s="92"/>
      <c r="AF20" s="307">
        <f t="shared" si="4"/>
        <v>-362.05479452052896</v>
      </c>
      <c r="AG20" s="72">
        <f t="shared" si="5"/>
        <v>0.83908675799087606</v>
      </c>
      <c r="AH20" s="405"/>
    </row>
    <row r="21" spans="1:34" ht="15" customHeight="1">
      <c r="A21" s="42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6"/>
      <c r="T21" s="19"/>
      <c r="U21" s="19"/>
      <c r="V21" s="30"/>
      <c r="W21" s="149">
        <f t="shared" si="6"/>
        <v>0</v>
      </c>
      <c r="X21" s="92"/>
      <c r="Y21" s="298"/>
      <c r="Z21" s="90"/>
      <c r="AA21" s="90"/>
      <c r="AB21" s="407"/>
      <c r="AC21" s="407"/>
      <c r="AD21" s="92"/>
      <c r="AE21" s="92"/>
      <c r="AF21" s="307"/>
      <c r="AG21" s="72"/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9"/>
      <c r="U22" s="19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6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6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6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4">AVERAGE(J16:J25)</f>
        <v>14.4</v>
      </c>
      <c r="K26" s="155">
        <f t="shared" si="14"/>
        <v>2250</v>
      </c>
      <c r="L26" s="158">
        <f t="shared" si="14"/>
        <v>157.84421460892048</v>
      </c>
      <c r="M26" s="155">
        <f t="shared" si="14"/>
        <v>14.4</v>
      </c>
      <c r="N26" s="155">
        <f t="shared" si="14"/>
        <v>1964.2569554669165</v>
      </c>
      <c r="O26" s="158">
        <f t="shared" si="14"/>
        <v>138.14538539064148</v>
      </c>
      <c r="P26" s="159">
        <f>M26-J26</f>
        <v>0</v>
      </c>
      <c r="Q26" s="160">
        <f>O26-L26</f>
        <v>-19.698829218279002</v>
      </c>
      <c r="R26" s="161">
        <f>O26/L26</f>
        <v>0.8752008157721497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5">N26-K26</f>
        <v>-285.74304453308355</v>
      </c>
      <c r="AG26" s="124">
        <f t="shared" ref="AG26:AG31" si="16">N26/K26</f>
        <v>0.87300309131862952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57.21</v>
      </c>
      <c r="G27" s="169">
        <v>553</v>
      </c>
      <c r="H27" s="134">
        <f>F27*G27</f>
        <v>31637.13</v>
      </c>
      <c r="I27" s="135"/>
      <c r="J27" s="136">
        <f>VLOOKUP(D27,產線配置圖!$A$3:$C$40,2,0)</f>
        <v>18</v>
      </c>
      <c r="K27" s="137">
        <f>VLOOKUP(D27,產線配置圖!$A$3:$C$40,3,0)</f>
        <v>1565</v>
      </c>
      <c r="L27" s="138">
        <f>K27/J27</f>
        <v>86.944444444444443</v>
      </c>
      <c r="M27" s="170">
        <v>18</v>
      </c>
      <c r="N27" s="140">
        <f>G27/W27*60</f>
        <v>1508.1818181817962</v>
      </c>
      <c r="O27" s="141">
        <f>N27/M27</f>
        <v>83.78787878787756</v>
      </c>
      <c r="P27" s="142">
        <f>M27-J27</f>
        <v>0</v>
      </c>
      <c r="Q27" s="143">
        <f>O27-L27</f>
        <v>-3.1565656565668831</v>
      </c>
      <c r="R27" s="144">
        <f>O27/L27</f>
        <v>0.96369445251232977</v>
      </c>
      <c r="S27" s="425">
        <f>R37</f>
        <v>0.9401847385127865</v>
      </c>
      <c r="T27" s="171">
        <v>0.29027777777777802</v>
      </c>
      <c r="U27" s="171">
        <v>0.30555555555555602</v>
      </c>
      <c r="V27" s="135"/>
      <c r="W27" s="146">
        <f t="shared" si="6"/>
        <v>22.00000000000032</v>
      </c>
      <c r="X27" s="135"/>
      <c r="Y27" s="300" t="s">
        <v>46</v>
      </c>
      <c r="Z27" s="169"/>
      <c r="AA27" s="169"/>
      <c r="AB27" s="429"/>
      <c r="AC27" s="429"/>
      <c r="AD27" s="135"/>
      <c r="AE27" s="135"/>
      <c r="AF27" s="310">
        <f t="shared" si="15"/>
        <v>-56.818181818203811</v>
      </c>
      <c r="AG27" s="172">
        <f t="shared" si="16"/>
        <v>0.96369445251232988</v>
      </c>
      <c r="AH27" s="403">
        <f>AG37</f>
        <v>0.96193770875777584</v>
      </c>
    </row>
    <row r="28" spans="1:34" ht="15" customHeight="1">
      <c r="A28" s="457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2322</v>
      </c>
      <c r="H28" s="91">
        <f>F28*G28</f>
        <v>132841.62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1601.3793103448186</v>
      </c>
      <c r="O28" s="96">
        <f>N28/M28</f>
        <v>88.965517241378805</v>
      </c>
      <c r="P28" s="97">
        <f>M28-J28</f>
        <v>0</v>
      </c>
      <c r="Q28" s="98">
        <f>O28-L28</f>
        <v>-1.9233716475100806</v>
      </c>
      <c r="R28" s="99">
        <f>O28/L28</f>
        <v>0.97883820925722409</v>
      </c>
      <c r="S28" s="426"/>
      <c r="T28" s="19">
        <v>0.31111111111111101</v>
      </c>
      <c r="U28" s="19">
        <v>0.37152777777777801</v>
      </c>
      <c r="V28" s="92">
        <f>(T28-U27)*24*60</f>
        <v>7.9999999999991722</v>
      </c>
      <c r="W28" s="149">
        <f t="shared" si="6"/>
        <v>87.000000000000483</v>
      </c>
      <c r="X28" s="174"/>
      <c r="Y28" s="301"/>
      <c r="Z28" s="335"/>
      <c r="AA28" s="335"/>
      <c r="AB28" s="407"/>
      <c r="AC28" s="407"/>
      <c r="AD28" s="92"/>
      <c r="AE28" s="92"/>
      <c r="AF28" s="311">
        <f t="shared" si="15"/>
        <v>-34.620689655181422</v>
      </c>
      <c r="AG28" s="99">
        <f t="shared" si="16"/>
        <v>0.97883820925722409</v>
      </c>
      <c r="AH28" s="445"/>
    </row>
    <row r="29" spans="1:34" ht="15" customHeight="1">
      <c r="A29" s="457"/>
      <c r="B29" s="75" t="s">
        <v>81</v>
      </c>
      <c r="C29" s="173"/>
      <c r="D29" s="59" t="s">
        <v>168</v>
      </c>
      <c r="E29" s="104"/>
      <c r="F29" s="75">
        <f>VLOOKUP(D29,廠價表!$C$1:$E$43,3,0)</f>
        <v>57.21</v>
      </c>
      <c r="G29" s="90">
        <v>1799</v>
      </c>
      <c r="H29" s="91">
        <f>F29*G29</f>
        <v>102920.79000000001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1542.0000000000039</v>
      </c>
      <c r="O29" s="96">
        <f>N29/M29</f>
        <v>85.666666666666885</v>
      </c>
      <c r="P29" s="97">
        <f>M29-J29</f>
        <v>0</v>
      </c>
      <c r="Q29" s="98">
        <f>O29-L29</f>
        <v>-5.2222222222220012</v>
      </c>
      <c r="R29" s="99">
        <f>O29/L29</f>
        <v>0.942542787286066</v>
      </c>
      <c r="S29" s="426"/>
      <c r="T29" s="19">
        <v>0.37847222222222199</v>
      </c>
      <c r="U29" s="19">
        <v>0.42708333333333298</v>
      </c>
      <c r="V29" s="92">
        <f>(T29-U28)*24*60</f>
        <v>9.999999999999325</v>
      </c>
      <c r="W29" s="149">
        <f t="shared" si="6"/>
        <v>69.999999999999829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15"/>
        <v>-93.999999999996135</v>
      </c>
      <c r="AG29" s="99">
        <f t="shared" si="16"/>
        <v>0.94254278728606589</v>
      </c>
      <c r="AH29" s="445"/>
    </row>
    <row r="30" spans="1:34" ht="15" customHeight="1">
      <c r="A30" s="457"/>
      <c r="B30" s="75" t="s">
        <v>81</v>
      </c>
      <c r="C30" s="88"/>
      <c r="D30" s="59" t="s">
        <v>206</v>
      </c>
      <c r="E30" s="89"/>
      <c r="F30" s="75">
        <f>VLOOKUP(D30,廠價表!$C$1:$E$43,3,0)</f>
        <v>45.66</v>
      </c>
      <c r="G30" s="90">
        <v>1587</v>
      </c>
      <c r="H30" s="91">
        <f t="shared" ref="H30:H31" si="17">F30*G30</f>
        <v>72462.42</v>
      </c>
      <c r="I30" s="92"/>
      <c r="J30" s="79">
        <f>VLOOKUP(D30,產線配置圖!$A$3:$C$40,2,0)</f>
        <v>17</v>
      </c>
      <c r="K30" s="80">
        <f>VLOOKUP(D30,產線配置圖!$A$3:$C$40,3,0)</f>
        <v>1500</v>
      </c>
      <c r="L30" s="93">
        <f t="shared" ref="L30:L31" si="18">K30/J30</f>
        <v>88.235294117647058</v>
      </c>
      <c r="M30" s="94">
        <v>18</v>
      </c>
      <c r="N30" s="95">
        <f t="shared" ref="N30:N31" si="19">G30/W30*60</f>
        <v>1421.1940298507393</v>
      </c>
      <c r="O30" s="96">
        <f t="shared" ref="O30:O31" si="20">N30/M30</f>
        <v>78.955223880596634</v>
      </c>
      <c r="P30" s="97">
        <f t="shared" ref="P30:P31" si="21">M30-J30</f>
        <v>1</v>
      </c>
      <c r="Q30" s="98">
        <f t="shared" ref="Q30:Q31" si="22">O30-L30</f>
        <v>-9.280070237050424</v>
      </c>
      <c r="R30" s="99">
        <f t="shared" ref="R30:R31" si="23">O30/L30</f>
        <v>0.89482587064676189</v>
      </c>
      <c r="S30" s="426"/>
      <c r="T30" s="19">
        <v>0.43402777777777801</v>
      </c>
      <c r="U30" s="19">
        <v>0.48055555555555601</v>
      </c>
      <c r="V30" s="92">
        <f>(T30-U29)*24*60</f>
        <v>10.000000000000844</v>
      </c>
      <c r="W30" s="149">
        <f t="shared" si="6"/>
        <v>67.000000000000327</v>
      </c>
      <c r="X30" s="174">
        <v>0.48611111111111099</v>
      </c>
      <c r="Y30" s="301">
        <v>0.52777777777777801</v>
      </c>
      <c r="Z30" s="335"/>
      <c r="AA30" s="335"/>
      <c r="AB30" s="407"/>
      <c r="AC30" s="407"/>
      <c r="AD30" s="92"/>
      <c r="AE30" s="92"/>
      <c r="AF30" s="312">
        <f t="shared" si="15"/>
        <v>-78.805970149260702</v>
      </c>
      <c r="AG30" s="99">
        <f t="shared" si="16"/>
        <v>0.94746268656715948</v>
      </c>
      <c r="AH30" s="446"/>
    </row>
    <row r="31" spans="1:34" ht="15" customHeight="1">
      <c r="A31" s="457"/>
      <c r="B31" s="75" t="s">
        <v>81</v>
      </c>
      <c r="C31" s="88"/>
      <c r="D31" s="175" t="s">
        <v>206</v>
      </c>
      <c r="E31" s="176"/>
      <c r="F31" s="75">
        <f>VLOOKUP(D31,廠價表!$C$1:$E$43,3,0)</f>
        <v>45.66</v>
      </c>
      <c r="G31" s="90">
        <v>3300</v>
      </c>
      <c r="H31" s="91">
        <f t="shared" si="17"/>
        <v>150678</v>
      </c>
      <c r="I31" s="92"/>
      <c r="J31" s="79">
        <f>VLOOKUP(D31,產線配置圖!$A$3:$C$40,2,0)</f>
        <v>17</v>
      </c>
      <c r="K31" s="80">
        <v>1636</v>
      </c>
      <c r="L31" s="93">
        <f t="shared" si="18"/>
        <v>96.235294117647058</v>
      </c>
      <c r="M31" s="94">
        <v>18</v>
      </c>
      <c r="N31" s="95">
        <f t="shared" si="19"/>
        <v>1596.7741935483887</v>
      </c>
      <c r="O31" s="96">
        <f t="shared" si="20"/>
        <v>88.709677419354932</v>
      </c>
      <c r="P31" s="97">
        <f t="shared" si="21"/>
        <v>1</v>
      </c>
      <c r="Q31" s="98">
        <f t="shared" si="22"/>
        <v>-7.5256166982921258</v>
      </c>
      <c r="R31" s="99">
        <f t="shared" si="23"/>
        <v>0.92179982648473957</v>
      </c>
      <c r="S31" s="426"/>
      <c r="T31" s="19">
        <v>0.54305555555555596</v>
      </c>
      <c r="U31" s="19">
        <v>0.62916666666666698</v>
      </c>
      <c r="V31" s="92">
        <f>(T31-U30)*24*60</f>
        <v>89.999999999999915</v>
      </c>
      <c r="W31" s="149">
        <f t="shared" si="6"/>
        <v>123.99999999999989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5"/>
        <v>-39.225806451611334</v>
      </c>
      <c r="AG31" s="99">
        <f t="shared" si="16"/>
        <v>0.97602334568972415</v>
      </c>
      <c r="AH31" s="405"/>
    </row>
    <row r="32" spans="1:34" ht="15" customHeight="1">
      <c r="A32" s="457"/>
      <c r="B32" s="75"/>
      <c r="C32" s="102"/>
      <c r="D32" s="59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9"/>
      <c r="U32" s="19"/>
      <c r="V32" s="92"/>
      <c r="W32" s="149">
        <f t="shared" si="6"/>
        <v>0</v>
      </c>
      <c r="X32" s="174"/>
      <c r="Y32" s="301"/>
      <c r="Z32" s="335"/>
      <c r="AA32" s="335"/>
      <c r="AB32" s="407"/>
      <c r="AC32" s="407"/>
      <c r="AD32" s="92"/>
      <c r="AE32" s="92"/>
      <c r="AF32" s="312"/>
      <c r="AG32" s="99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6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50"/>
      <c r="U34" s="150"/>
      <c r="V34" s="92"/>
      <c r="W34" s="149">
        <f t="shared" si="6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6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6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4">AVERAGE(J27:J36)</f>
        <v>17.600000000000001</v>
      </c>
      <c r="K37" s="155">
        <f t="shared" si="24"/>
        <v>1594.6</v>
      </c>
      <c r="L37" s="158">
        <f t="shared" si="24"/>
        <v>90.63856209150326</v>
      </c>
      <c r="M37" s="155">
        <f t="shared" si="24"/>
        <v>18</v>
      </c>
      <c r="N37" s="155">
        <f t="shared" si="24"/>
        <v>1533.9058703851492</v>
      </c>
      <c r="O37" s="158">
        <f t="shared" si="24"/>
        <v>85.21699279917496</v>
      </c>
      <c r="P37" s="159">
        <f>M37-J37</f>
        <v>0.39999999999999858</v>
      </c>
      <c r="Q37" s="160">
        <f>N37-K37</f>
        <v>-60.694129614850681</v>
      </c>
      <c r="R37" s="161">
        <f t="shared" ref="R37:R39" si="25">O37/L37</f>
        <v>0.9401847385127865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-60.694129614850681</v>
      </c>
      <c r="AG37" s="124">
        <f>N37/K37</f>
        <v>0.96193770875777584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f>2696+177</f>
        <v>2873</v>
      </c>
      <c r="H38" s="134">
        <f>F38*G38</f>
        <v>143391.43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1498.9565217391325</v>
      </c>
      <c r="O38" s="141">
        <f>N38/M38</f>
        <v>99.930434782608842</v>
      </c>
      <c r="P38" s="142">
        <f>M38-J38</f>
        <v>0</v>
      </c>
      <c r="Q38" s="143">
        <f>O38-L38</f>
        <v>-14.336231884057824</v>
      </c>
      <c r="R38" s="144">
        <f t="shared" si="25"/>
        <v>0.87453706052458147</v>
      </c>
      <c r="S38" s="453">
        <f>R48</f>
        <v>0.91220114398766061</v>
      </c>
      <c r="T38" s="191">
        <v>0.33333333333333298</v>
      </c>
      <c r="U38" s="191">
        <v>0.41319444444444398</v>
      </c>
      <c r="V38" s="192"/>
      <c r="W38" s="193">
        <f t="shared" si="6"/>
        <v>114.99999999999983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-215.04347826086746</v>
      </c>
      <c r="AG38" s="195">
        <f>N38/K38</f>
        <v>0.87453706052458147</v>
      </c>
      <c r="AH38" s="459">
        <f>AG48</f>
        <v>0.88728108544565287</v>
      </c>
    </row>
    <row r="39" spans="1:34" ht="15" customHeight="1">
      <c r="A39" s="451"/>
      <c r="B39" s="75" t="s">
        <v>128</v>
      </c>
      <c r="C39" s="197"/>
      <c r="D39" s="198" t="s">
        <v>130</v>
      </c>
      <c r="E39" s="176"/>
      <c r="F39" s="75">
        <f>VLOOKUP(D39,廠價表!$C$1:$E$43,3,0)</f>
        <v>44.3</v>
      </c>
      <c r="G39" s="199">
        <v>3217</v>
      </c>
      <c r="H39" s="91">
        <f>F39*G39</f>
        <v>142513.09999999998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16</v>
      </c>
      <c r="N39" s="202">
        <f>G39/W39*60</f>
        <v>1473.4351145038049</v>
      </c>
      <c r="O39" s="203">
        <f>N39/M39</f>
        <v>92.089694656487808</v>
      </c>
      <c r="P39" s="97">
        <f>M39-J39</f>
        <v>-1</v>
      </c>
      <c r="Q39" s="98">
        <f>O39-L39</f>
        <v>-4.1455994611592502</v>
      </c>
      <c r="R39" s="99">
        <f t="shared" si="25"/>
        <v>0.95692225498795402</v>
      </c>
      <c r="S39" s="454"/>
      <c r="T39" s="20">
        <v>0.41944444444444401</v>
      </c>
      <c r="U39" s="20">
        <v>0.51041666666666696</v>
      </c>
      <c r="V39" s="92">
        <f>(T39-U38)*24*60</f>
        <v>9.000000000000048</v>
      </c>
      <c r="W39" s="205">
        <f t="shared" si="6"/>
        <v>131.00000000000105</v>
      </c>
      <c r="X39" s="22"/>
      <c r="Y39" s="84"/>
      <c r="Z39" s="90"/>
      <c r="AA39" s="90"/>
      <c r="AD39" s="200"/>
      <c r="AE39" s="200"/>
      <c r="AF39" s="314">
        <f>N39-K39</f>
        <v>-162.56488549619507</v>
      </c>
      <c r="AG39" s="206">
        <f>N39/K39</f>
        <v>0.90063271057689787</v>
      </c>
      <c r="AH39" s="460"/>
    </row>
    <row r="40" spans="1:34" ht="15" customHeight="1">
      <c r="A40" s="451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40"/>
      <c r="T40" s="20"/>
      <c r="U40" s="20"/>
      <c r="V40" s="92"/>
      <c r="W40" s="205">
        <f t="shared" si="6"/>
        <v>0</v>
      </c>
      <c r="X40" s="208"/>
      <c r="Y40" s="209"/>
      <c r="Z40" s="337"/>
      <c r="AA40" s="337"/>
      <c r="AB40" s="462"/>
      <c r="AC40" s="462"/>
      <c r="AD40" s="92"/>
      <c r="AE40" s="92"/>
      <c r="AF40" s="314"/>
      <c r="AG40" s="206"/>
      <c r="AH40" s="460"/>
    </row>
    <row r="41" spans="1:34" ht="15" customHeight="1">
      <c r="A41" s="451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40"/>
      <c r="T41" s="20"/>
      <c r="U41" s="210"/>
      <c r="V41" s="92"/>
      <c r="W41" s="205">
        <f t="shared" si="6"/>
        <v>0</v>
      </c>
      <c r="X41" s="208"/>
      <c r="Y41" s="209"/>
      <c r="Z41" s="337"/>
      <c r="AA41" s="337"/>
      <c r="AB41" s="407"/>
      <c r="AC41" s="407"/>
      <c r="AD41" s="92"/>
      <c r="AE41" s="92"/>
      <c r="AF41" s="314"/>
      <c r="AG41" s="206"/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6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6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6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6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6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6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26">AVERAGE(J38:J47)</f>
        <v>16</v>
      </c>
      <c r="K48" s="155">
        <f t="shared" si="26"/>
        <v>1675</v>
      </c>
      <c r="L48" s="158">
        <f t="shared" si="26"/>
        <v>105.25098039215686</v>
      </c>
      <c r="M48" s="155">
        <f t="shared" si="26"/>
        <v>15.5</v>
      </c>
      <c r="N48" s="155">
        <f t="shared" si="26"/>
        <v>1486.1958181214686</v>
      </c>
      <c r="O48" s="158">
        <f t="shared" si="26"/>
        <v>96.010064719548325</v>
      </c>
      <c r="P48" s="221">
        <f>M48-J48</f>
        <v>-0.5</v>
      </c>
      <c r="Q48" s="222">
        <f>N48-K48</f>
        <v>-188.80418187853138</v>
      </c>
      <c r="R48" s="223">
        <f t="shared" ref="R48:R51" si="27">O48/L48</f>
        <v>0.91220114398766061</v>
      </c>
      <c r="S48" s="443"/>
      <c r="T48" s="224"/>
      <c r="U48" s="224"/>
      <c r="V48" s="225"/>
      <c r="W48" s="226">
        <f t="shared" si="6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2" si="28">N48-K48</f>
        <v>-188.80418187853138</v>
      </c>
      <c r="AG48" s="162">
        <f t="shared" ref="AG48:AG52" si="29">N48/K48</f>
        <v>0.88728108544565287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v>2111</v>
      </c>
      <c r="H49" s="134">
        <f>F49*G49</f>
        <v>104536.72</v>
      </c>
      <c r="I49" s="135"/>
      <c r="J49" s="36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1644.9350649350727</v>
      </c>
      <c r="O49" s="141">
        <f>N49/M49</f>
        <v>96.76088617265134</v>
      </c>
      <c r="P49" s="229">
        <f>M49-J49</f>
        <v>0</v>
      </c>
      <c r="Q49" s="230">
        <f>O49-L49</f>
        <v>-9.1214667685251243</v>
      </c>
      <c r="R49" s="52">
        <f t="shared" si="27"/>
        <v>0.91385281385281825</v>
      </c>
      <c r="S49" s="439">
        <f>R58</f>
        <v>0.92152949099131121</v>
      </c>
      <c r="T49" s="191">
        <v>0.29027777777777802</v>
      </c>
      <c r="U49" s="191">
        <v>0.34375</v>
      </c>
      <c r="V49" s="55"/>
      <c r="W49" s="193">
        <f t="shared" si="6"/>
        <v>76.999999999999645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28"/>
        <v>-155.06493506492734</v>
      </c>
      <c r="AG49" s="52">
        <f t="shared" si="29"/>
        <v>0.91385281385281814</v>
      </c>
      <c r="AH49" s="403">
        <f>AG58</f>
        <v>0.90971396670579063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2444</v>
      </c>
      <c r="H50" s="231">
        <f>F50*G50</f>
        <v>122906.31600000001</v>
      </c>
      <c r="I50" s="177"/>
      <c r="J50" s="148">
        <f>VLOOKUP(D50,產線配置圖!$A$3:$C$40,2,0)</f>
        <v>18</v>
      </c>
      <c r="K50" s="62">
        <v>1636</v>
      </c>
      <c r="L50" s="81">
        <f>K50/J50</f>
        <v>90.888888888888886</v>
      </c>
      <c r="M50" s="233">
        <v>17</v>
      </c>
      <c r="N50" s="234">
        <f>G50/W50*60</f>
        <v>1481.2121212121206</v>
      </c>
      <c r="O50" s="235">
        <f>N50/M50</f>
        <v>87.130124777183568</v>
      </c>
      <c r="P50" s="74">
        <f>M50-J50</f>
        <v>-1</v>
      </c>
      <c r="Q50" s="83">
        <f>O50-L50</f>
        <v>-3.7587641117053181</v>
      </c>
      <c r="R50" s="72">
        <f t="shared" si="27"/>
        <v>0.95864440463893907</v>
      </c>
      <c r="S50" s="440"/>
      <c r="T50" s="21">
        <v>0.34930555555555598</v>
      </c>
      <c r="U50" s="21">
        <v>0.41805555555555601</v>
      </c>
      <c r="V50" s="30">
        <f>(T50-U49)*24*60</f>
        <v>8.0000000000006111</v>
      </c>
      <c r="W50" s="236">
        <f t="shared" si="6"/>
        <v>99.000000000000043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28"/>
        <v>-154.78787878787944</v>
      </c>
      <c r="AG50" s="72">
        <f t="shared" si="29"/>
        <v>0.90538638215899792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v>49.97</v>
      </c>
      <c r="G51" s="202">
        <v>1535</v>
      </c>
      <c r="H51" s="231">
        <v>71007.37</v>
      </c>
      <c r="I51" s="177"/>
      <c r="J51" s="148">
        <f>VLOOKUP(D51,產線配置圖!$A$3:$C$40,2,0)</f>
        <v>16</v>
      </c>
      <c r="K51" s="62">
        <v>1800</v>
      </c>
      <c r="L51" s="81">
        <f t="shared" ref="L51:L52" si="30">K51/J51</f>
        <v>112.5</v>
      </c>
      <c r="M51" s="233">
        <v>16</v>
      </c>
      <c r="N51" s="234">
        <f t="shared" ref="N51:N52" si="31">G51/W51*60</f>
        <v>1561.0169491525501</v>
      </c>
      <c r="O51" s="235">
        <f t="shared" ref="O51:O52" si="32">N51/M51</f>
        <v>97.563559322034379</v>
      </c>
      <c r="P51" s="74">
        <v>-1</v>
      </c>
      <c r="Q51" s="83">
        <f t="shared" ref="Q51:Q52" si="33">O51-L51</f>
        <v>-14.936440677965621</v>
      </c>
      <c r="R51" s="72">
        <f t="shared" si="27"/>
        <v>0.86723163841808337</v>
      </c>
      <c r="S51" s="440"/>
      <c r="T51" s="21">
        <v>0.42499999999999999</v>
      </c>
      <c r="U51" s="19">
        <v>0.46597222222222201</v>
      </c>
      <c r="V51" s="30">
        <f>(T51-U50)*24*60</f>
        <v>9.999999999999325</v>
      </c>
      <c r="W51" s="236">
        <f t="shared" si="6"/>
        <v>58.999999999999709</v>
      </c>
      <c r="X51" s="22">
        <v>0.47222222222222199</v>
      </c>
      <c r="Y51" s="84">
        <v>0.51388888888888895</v>
      </c>
      <c r="Z51" s="90"/>
      <c r="AA51" s="90"/>
      <c r="AB51" s="407"/>
      <c r="AC51" s="407"/>
      <c r="AD51" s="92"/>
      <c r="AE51" s="92"/>
      <c r="AF51" s="307">
        <f t="shared" si="28"/>
        <v>-238.98305084744993</v>
      </c>
      <c r="AG51" s="72">
        <f t="shared" si="29"/>
        <v>0.86723163841808337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v>49.97</v>
      </c>
      <c r="G52" s="202">
        <v>3207</v>
      </c>
      <c r="H52" s="231">
        <v>158105.07999999999</v>
      </c>
      <c r="I52" s="232"/>
      <c r="J52" s="367">
        <f>VLOOKUP(D52,產線配置圖!$A$3:$C$40,2,0)</f>
        <v>16</v>
      </c>
      <c r="K52" s="80">
        <v>1636</v>
      </c>
      <c r="L52" s="81">
        <f t="shared" si="30"/>
        <v>102.25</v>
      </c>
      <c r="M52" s="233">
        <v>16</v>
      </c>
      <c r="N52" s="234">
        <f t="shared" si="31"/>
        <v>1564.3902439024505</v>
      </c>
      <c r="O52" s="235">
        <f t="shared" si="32"/>
        <v>97.774390243903156</v>
      </c>
      <c r="P52" s="74">
        <v>-2</v>
      </c>
      <c r="Q52" s="83">
        <f t="shared" si="33"/>
        <v>-4.4756097560968442</v>
      </c>
      <c r="R52" s="72">
        <f>O52/L52</f>
        <v>0.95622875544159569</v>
      </c>
      <c r="S52" s="440"/>
      <c r="T52" s="21">
        <v>0.52430555555555602</v>
      </c>
      <c r="U52" s="21">
        <v>0.60972222222222205</v>
      </c>
      <c r="V52" s="30">
        <f>(T52-U51)*24*60</f>
        <v>84.000000000000981</v>
      </c>
      <c r="W52" s="236">
        <f t="shared" si="6"/>
        <v>122.99999999999909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28"/>
        <v>-71.609756097549507</v>
      </c>
      <c r="AG52" s="72">
        <f t="shared" si="29"/>
        <v>0.95622875544159569</v>
      </c>
      <c r="AH52" s="404"/>
    </row>
    <row r="53" spans="1:34" ht="15" customHeight="1">
      <c r="A53" s="469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440"/>
      <c r="T53" s="21"/>
      <c r="U53" s="21"/>
      <c r="V53" s="30"/>
      <c r="W53" s="236">
        <f t="shared" si="6"/>
        <v>0</v>
      </c>
      <c r="X53" s="30"/>
      <c r="Y53" s="151"/>
      <c r="Z53" s="90"/>
      <c r="AA53" s="90"/>
      <c r="AB53" s="407"/>
      <c r="AC53" s="407"/>
      <c r="AD53" s="92"/>
      <c r="AE53" s="92"/>
      <c r="AF53" s="307"/>
      <c r="AG53" s="72"/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6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237"/>
      <c r="W55" s="236">
        <f t="shared" si="6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6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6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34">AVERAGE(J49:J57)</f>
        <v>16.75</v>
      </c>
      <c r="K58" s="120">
        <f t="shared" si="34"/>
        <v>1718</v>
      </c>
      <c r="L58" s="117">
        <f t="shared" si="34"/>
        <v>102.88031045751634</v>
      </c>
      <c r="M58" s="120">
        <f t="shared" si="34"/>
        <v>16.5</v>
      </c>
      <c r="N58" s="120">
        <f t="shared" si="34"/>
        <v>1562.8885948005484</v>
      </c>
      <c r="O58" s="117">
        <f t="shared" si="34"/>
        <v>94.807240128943107</v>
      </c>
      <c r="P58" s="121">
        <f>M58-J58</f>
        <v>-0.25</v>
      </c>
      <c r="Q58" s="122">
        <f>N58-K58</f>
        <v>-155.11140519945161</v>
      </c>
      <c r="R58" s="123">
        <f t="shared" ref="R58:R63" si="35">O58/L58</f>
        <v>0.92152949099131121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 t="shared" ref="AF58:AF62" si="36">N58-K58</f>
        <v>-155.11140519945161</v>
      </c>
      <c r="AG58" s="124">
        <f t="shared" ref="AG58:AG62" si="37">N58/K58</f>
        <v>0.90971396670579063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f>2900</f>
        <v>2900</v>
      </c>
      <c r="H59" s="243">
        <f>F59*G59</f>
        <v>78271</v>
      </c>
      <c r="I59" s="55"/>
      <c r="J59" s="136">
        <f>VLOOKUP(D59,產線配置圖!$A$3:$C$40,2,0)</f>
        <v>15</v>
      </c>
      <c r="K59" s="137">
        <v>1636</v>
      </c>
      <c r="L59" s="138">
        <f>K59/J59</f>
        <v>109.06666666666666</v>
      </c>
      <c r="M59" s="244">
        <v>15</v>
      </c>
      <c r="N59" s="137">
        <f>G59/W59*60</f>
        <v>1553.5714285714241</v>
      </c>
      <c r="O59" s="138">
        <f>N59/M59</f>
        <v>103.57142857142827</v>
      </c>
      <c r="P59" s="56">
        <f>M59-J59</f>
        <v>0</v>
      </c>
      <c r="Q59" s="230">
        <f>O59-L59</f>
        <v>-5.4952380952383919</v>
      </c>
      <c r="R59" s="52">
        <f t="shared" si="35"/>
        <v>0.94961578763534482</v>
      </c>
      <c r="S59" s="439">
        <f>R69</f>
        <v>0.88204811482576406</v>
      </c>
      <c r="T59" s="245">
        <v>0.29027777777777802</v>
      </c>
      <c r="U59" s="245">
        <v>0.36805555555555602</v>
      </c>
      <c r="V59" s="55"/>
      <c r="W59" s="54">
        <f t="shared" si="6"/>
        <v>112.00000000000033</v>
      </c>
      <c r="X59" s="55"/>
      <c r="Y59" s="290"/>
      <c r="Z59" s="169"/>
      <c r="AA59" s="169"/>
      <c r="AB59" s="429"/>
      <c r="AC59" s="429"/>
      <c r="AD59" s="135"/>
      <c r="AE59" s="135"/>
      <c r="AF59" s="310">
        <f t="shared" si="36"/>
        <v>-82.428571428575879</v>
      </c>
      <c r="AG59" s="246">
        <f t="shared" si="37"/>
        <v>0.94961578763534482</v>
      </c>
      <c r="AH59" s="403">
        <f>AG69</f>
        <v>0.88304496537952437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1671</v>
      </c>
      <c r="H60" s="78">
        <f>F60*G60</f>
        <v>47222.46</v>
      </c>
      <c r="I60" s="30"/>
      <c r="J60" s="79">
        <f>VLOOKUP(D60,產線配置圖!$A$3:$C$40,2,0)</f>
        <v>12</v>
      </c>
      <c r="K60" s="80">
        <v>1636</v>
      </c>
      <c r="L60" s="81">
        <f>K60/J60</f>
        <v>136.33333333333334</v>
      </c>
      <c r="M60" s="82">
        <v>12</v>
      </c>
      <c r="N60" s="80">
        <f>G60/W60*60</f>
        <v>1542.4615384615345</v>
      </c>
      <c r="O60" s="81">
        <f>N60/M60</f>
        <v>128.53846153846121</v>
      </c>
      <c r="P60" s="74">
        <f>M60-J60</f>
        <v>0</v>
      </c>
      <c r="Q60" s="83">
        <f>O60-L60</f>
        <v>-7.7948717948721367</v>
      </c>
      <c r="R60" s="72">
        <f t="shared" si="35"/>
        <v>0.94282490126010654</v>
      </c>
      <c r="S60" s="467"/>
      <c r="T60" s="22">
        <v>0.37847222222222199</v>
      </c>
      <c r="U60" s="22">
        <v>0.42361111111111099</v>
      </c>
      <c r="V60" s="30">
        <f>(T60-U59)*24*60</f>
        <v>14.999999999998987</v>
      </c>
      <c r="W60" s="248">
        <f t="shared" si="6"/>
        <v>65.000000000000171</v>
      </c>
      <c r="X60" s="232"/>
      <c r="Y60" s="177"/>
      <c r="Z60" s="90"/>
      <c r="AA60" s="90"/>
      <c r="AB60" s="407"/>
      <c r="AC60" s="407"/>
      <c r="AD60" s="92"/>
      <c r="AE60" s="92"/>
      <c r="AF60" s="316">
        <f t="shared" si="36"/>
        <v>-93.538461538465526</v>
      </c>
      <c r="AG60" s="249">
        <f t="shared" si="37"/>
        <v>0.94282490126010665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f>2090+62</f>
        <v>2152</v>
      </c>
      <c r="H61" s="254">
        <f>F61*G61</f>
        <v>60815.520000000004</v>
      </c>
      <c r="I61" s="182"/>
      <c r="J61" s="106">
        <f>VLOOKUP(D61,產線配置圖!$A$3:$C$40,2,0)</f>
        <v>11</v>
      </c>
      <c r="K61" s="107">
        <v>1636</v>
      </c>
      <c r="L61" s="238">
        <f>K61/J61</f>
        <v>148.72727272727272</v>
      </c>
      <c r="M61" s="108">
        <v>11</v>
      </c>
      <c r="N61" s="107">
        <f>G61/W61*60</f>
        <v>1359.1578947368471</v>
      </c>
      <c r="O61" s="238">
        <f>N61/M61</f>
        <v>123.55980861244065</v>
      </c>
      <c r="P61" s="111">
        <f>M61-J61</f>
        <v>0</v>
      </c>
      <c r="Q61" s="255">
        <f>O61-L61</f>
        <v>-25.167464114832072</v>
      </c>
      <c r="R61" s="85">
        <f t="shared" si="35"/>
        <v>0.8307811092523516</v>
      </c>
      <c r="S61" s="440"/>
      <c r="T61" s="22">
        <v>0.43402777777777801</v>
      </c>
      <c r="U61" s="22">
        <v>0.5</v>
      </c>
      <c r="V61" s="30">
        <f t="shared" ref="V61:V63" si="38">(T61-U60)*24*60</f>
        <v>15.000000000000506</v>
      </c>
      <c r="W61" s="256">
        <f t="shared" si="6"/>
        <v>94.999999999999659</v>
      </c>
      <c r="X61" s="22">
        <v>0.50694444444444398</v>
      </c>
      <c r="Y61" s="84">
        <v>0.54861111111111105</v>
      </c>
      <c r="Z61" s="90"/>
      <c r="AA61" s="90"/>
      <c r="AB61" s="407"/>
      <c r="AC61" s="407"/>
      <c r="AD61" s="92"/>
      <c r="AE61" s="92"/>
      <c r="AF61" s="317">
        <f t="shared" si="36"/>
        <v>-276.84210526315292</v>
      </c>
      <c r="AG61" s="247">
        <f t="shared" si="37"/>
        <v>0.83078110925235149</v>
      </c>
      <c r="AH61" s="404"/>
    </row>
    <row r="62" spans="1:34" ht="15" customHeight="1">
      <c r="A62" s="465"/>
      <c r="B62" s="250" t="s">
        <v>125</v>
      </c>
      <c r="C62" s="251"/>
      <c r="D62" s="257" t="s">
        <v>134</v>
      </c>
      <c r="E62" s="253"/>
      <c r="F62" s="250">
        <f>VLOOKUP(D62,廠價表!$C$1:$E$43,3,0)</f>
        <v>26.99</v>
      </c>
      <c r="G62" s="38">
        <f>315+64+65</f>
        <v>444</v>
      </c>
      <c r="H62" s="254">
        <f>F62*G62</f>
        <v>11983.56</v>
      </c>
      <c r="I62" s="182"/>
      <c r="J62" s="106">
        <f>VLOOKUP(D62,產線配置圖!$A$3:$C$40,2,0)</f>
        <v>15</v>
      </c>
      <c r="K62" s="107">
        <v>1636</v>
      </c>
      <c r="L62" s="238">
        <f>K62/J62</f>
        <v>109.06666666666666</v>
      </c>
      <c r="M62" s="108">
        <v>15</v>
      </c>
      <c r="N62" s="107">
        <f>G62/W62*60</f>
        <v>1332.0000000000898</v>
      </c>
      <c r="O62" s="238">
        <f>N62/M62</f>
        <v>88.800000000005994</v>
      </c>
      <c r="P62" s="111">
        <f>M62-J62</f>
        <v>0</v>
      </c>
      <c r="Q62" s="255">
        <f>O62-L62</f>
        <v>-20.266666666660669</v>
      </c>
      <c r="R62" s="85">
        <f t="shared" si="35"/>
        <v>0.81418092909540951</v>
      </c>
      <c r="S62" s="440"/>
      <c r="T62" s="22">
        <v>0.55555555555555602</v>
      </c>
      <c r="U62" s="22">
        <v>0.56944444444444398</v>
      </c>
      <c r="V62" s="30">
        <f t="shared" si="38"/>
        <v>80.000000000000682</v>
      </c>
      <c r="W62" s="248">
        <f t="shared" si="6"/>
        <v>19.99999999999865</v>
      </c>
      <c r="X62" s="22"/>
      <c r="Y62" s="84"/>
      <c r="Z62" s="90"/>
      <c r="AA62" s="90"/>
      <c r="AB62" s="407"/>
      <c r="AC62" s="407"/>
      <c r="AD62" s="92"/>
      <c r="AE62" s="92"/>
      <c r="AF62" s="317">
        <f t="shared" si="36"/>
        <v>-303.99999999991019</v>
      </c>
      <c r="AG62" s="247">
        <f t="shared" si="37"/>
        <v>0.8141809290954094</v>
      </c>
      <c r="AH62" s="404"/>
    </row>
    <row r="63" spans="1:34" ht="15" customHeight="1">
      <c r="A63" s="465"/>
      <c r="B63" s="258" t="s">
        <v>125</v>
      </c>
      <c r="C63" s="58"/>
      <c r="D63" s="259" t="s">
        <v>192</v>
      </c>
      <c r="E63" s="60"/>
      <c r="F63" s="250">
        <f>VLOOKUP(D63,廠價表!$C$1:$E$43,3,0)</f>
        <v>28.26</v>
      </c>
      <c r="G63" s="260">
        <v>958</v>
      </c>
      <c r="H63" s="254">
        <f>F63*G63</f>
        <v>27073.08</v>
      </c>
      <c r="I63" s="182"/>
      <c r="J63" s="106">
        <f>VLOOKUP(D63,產線配置圖!$A$3:$C$40,2,0)</f>
        <v>11</v>
      </c>
      <c r="K63" s="107">
        <v>1637</v>
      </c>
      <c r="L63" s="238">
        <f>K63/J63</f>
        <v>148.81818181818181</v>
      </c>
      <c r="M63" s="108">
        <v>11</v>
      </c>
      <c r="N63" s="107">
        <f>G63/W63*60</f>
        <v>1436.9999999999936</v>
      </c>
      <c r="O63" s="238">
        <f>N63/M63</f>
        <v>130.63636363636306</v>
      </c>
      <c r="P63" s="111">
        <f>M63-J63</f>
        <v>0</v>
      </c>
      <c r="Q63" s="255">
        <f>O63-L63</f>
        <v>-18.181818181818755</v>
      </c>
      <c r="R63" s="85">
        <f t="shared" si="35"/>
        <v>0.87782529016493205</v>
      </c>
      <c r="S63" s="440"/>
      <c r="T63" s="22">
        <v>0.57986111111111105</v>
      </c>
      <c r="U63" s="22">
        <v>0.60763888888888895</v>
      </c>
      <c r="V63" s="30">
        <f t="shared" si="38"/>
        <v>15.000000000000586</v>
      </c>
      <c r="W63" s="248">
        <f t="shared" si="6"/>
        <v>40.000000000000178</v>
      </c>
      <c r="X63" s="261"/>
      <c r="Y63" s="291"/>
      <c r="Z63" s="335"/>
      <c r="AA63" s="335"/>
      <c r="AB63" s="407"/>
      <c r="AC63" s="407"/>
      <c r="AD63" s="92"/>
      <c r="AE63" s="92"/>
      <c r="AF63" s="317">
        <f>N63-K63</f>
        <v>-200.00000000000637</v>
      </c>
      <c r="AG63" s="247">
        <f>N63/K63</f>
        <v>0.87782529016493194</v>
      </c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6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2"/>
      <c r="U65" s="22"/>
      <c r="V65" s="30"/>
      <c r="W65" s="73">
        <f t="shared" si="6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2"/>
      <c r="U66" s="22"/>
      <c r="V66" s="30"/>
      <c r="W66" s="73">
        <f t="shared" si="6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6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6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39">AVERAGE(J59:J68)</f>
        <v>12.8</v>
      </c>
      <c r="K69" s="240">
        <f t="shared" si="39"/>
        <v>1636.2</v>
      </c>
      <c r="L69" s="268">
        <f t="shared" si="39"/>
        <v>130.40242424242425</v>
      </c>
      <c r="M69" s="240">
        <f t="shared" si="39"/>
        <v>12.8</v>
      </c>
      <c r="N69" s="240">
        <f t="shared" si="39"/>
        <v>1444.8381723539778</v>
      </c>
      <c r="O69" s="268">
        <f t="shared" si="39"/>
        <v>115.02121247173982</v>
      </c>
      <c r="P69" s="269">
        <f>M69-J69</f>
        <v>0</v>
      </c>
      <c r="Q69" s="222">
        <f>N69-K69</f>
        <v>-191.36182764602222</v>
      </c>
      <c r="R69" s="123">
        <f>O69/L69</f>
        <v>0.88204811482576406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8">
        <f>N69-K69</f>
        <v>-191.36182764602222</v>
      </c>
      <c r="AG69" s="85">
        <f>N69/K69</f>
        <v>0.88304496537952437</v>
      </c>
      <c r="AH69" s="406"/>
    </row>
    <row r="70" spans="1:36" ht="15" customHeight="1">
      <c r="A70" s="471" t="s">
        <v>55</v>
      </c>
      <c r="B70" s="75" t="s">
        <v>81</v>
      </c>
      <c r="C70" s="58"/>
      <c r="D70" s="259" t="s">
        <v>123</v>
      </c>
      <c r="E70" s="60"/>
      <c r="F70" s="75">
        <f>VLOOKUP(D70,廠價表!$C$1:$E$43,3,0)</f>
        <v>50.67</v>
      </c>
      <c r="G70" s="273">
        <v>1295</v>
      </c>
      <c r="H70" s="91">
        <f>F70*G70</f>
        <v>65617.650000000009</v>
      </c>
      <c r="I70" s="182"/>
      <c r="J70" s="79">
        <f>VLOOKUP(D70,產線配置圖!$A$3:$C$40,2,0)</f>
        <v>13</v>
      </c>
      <c r="K70" s="80">
        <f>VLOOKUP(D70,產線配置圖!$A$3:$C$40,3,0)</f>
        <v>1440</v>
      </c>
      <c r="L70" s="93">
        <f>K70/J70</f>
        <v>110.76923076923077</v>
      </c>
      <c r="M70" s="94">
        <v>12</v>
      </c>
      <c r="N70" s="95">
        <f>G70/W70*60</f>
        <v>1079.166666666667</v>
      </c>
      <c r="O70" s="96">
        <f>N70/M70</f>
        <v>89.930555555555586</v>
      </c>
      <c r="P70" s="97">
        <f>M70-J70</f>
        <v>-1</v>
      </c>
      <c r="Q70" s="98">
        <f>O70-L70</f>
        <v>-20.838675213675188</v>
      </c>
      <c r="R70" s="99">
        <f>O70/L70</f>
        <v>0.8118730709876546</v>
      </c>
      <c r="S70" s="439">
        <f>R79</f>
        <v>0.83476385875098158</v>
      </c>
      <c r="T70" s="22">
        <v>0.32638888888888901</v>
      </c>
      <c r="U70" s="22">
        <v>0.37638888888888899</v>
      </c>
      <c r="V70" s="55"/>
      <c r="W70" s="54">
        <f t="shared" si="6"/>
        <v>71.999999999999986</v>
      </c>
      <c r="X70" s="270"/>
      <c r="Y70" s="292"/>
      <c r="Z70" s="169"/>
      <c r="AA70" s="169"/>
      <c r="AB70" s="429"/>
      <c r="AC70" s="429"/>
      <c r="AD70" s="135"/>
      <c r="AE70" s="135"/>
      <c r="AF70" s="97">
        <f>N70-K70</f>
        <v>-360.83333333333303</v>
      </c>
      <c r="AG70" s="99">
        <f>N70/K70</f>
        <v>0.7494212962962965</v>
      </c>
      <c r="AH70" s="476">
        <f>AG79</f>
        <v>0.80387902602664907</v>
      </c>
    </row>
    <row r="71" spans="1:36" ht="15" customHeight="1">
      <c r="A71" s="472"/>
      <c r="B71" s="75" t="s">
        <v>125</v>
      </c>
      <c r="C71" s="58"/>
      <c r="D71" s="259" t="s">
        <v>192</v>
      </c>
      <c r="E71" s="60"/>
      <c r="F71" s="75">
        <f>VLOOKUP(D71,廠價表!$C$1:$E$43,3,0)</f>
        <v>28.26</v>
      </c>
      <c r="G71" s="273">
        <f>2263+408</f>
        <v>2671</v>
      </c>
      <c r="H71" s="91">
        <f>F71*G71</f>
        <v>75482.460000000006</v>
      </c>
      <c r="I71" s="182"/>
      <c r="J71" s="79">
        <f>VLOOKUP(D71,產線配置圖!$A$3:$C$40,2,0)</f>
        <v>11</v>
      </c>
      <c r="K71" s="80">
        <f>VLOOKUP(D71,產線配置圖!$A$3:$C$40,3,0)</f>
        <v>1636</v>
      </c>
      <c r="L71" s="93">
        <f>K71/J71</f>
        <v>148.72727272727272</v>
      </c>
      <c r="M71" s="94">
        <v>11</v>
      </c>
      <c r="N71" s="95">
        <f>G71/W71*60</f>
        <v>1393.5652173913054</v>
      </c>
      <c r="O71" s="96">
        <f>N71/M71</f>
        <v>126.68774703557322</v>
      </c>
      <c r="P71" s="97">
        <f>M71-J71</f>
        <v>0</v>
      </c>
      <c r="Q71" s="98">
        <f>O71-L71</f>
        <v>-22.039525691699495</v>
      </c>
      <c r="R71" s="99">
        <f>O71/L71</f>
        <v>0.85181248006803512</v>
      </c>
      <c r="S71" s="440"/>
      <c r="T71" s="22">
        <v>0.4375</v>
      </c>
      <c r="U71" s="22">
        <v>0.51736111111111105</v>
      </c>
      <c r="V71" s="30">
        <f>(T71-U70)*24*60</f>
        <v>87.999999999999844</v>
      </c>
      <c r="W71" s="73">
        <f t="shared" si="6"/>
        <v>114.99999999999991</v>
      </c>
      <c r="X71" s="271"/>
      <c r="Y71" s="293"/>
      <c r="Z71" s="90"/>
      <c r="AA71" s="90"/>
      <c r="AB71" s="407"/>
      <c r="AC71" s="407"/>
      <c r="AD71" s="200"/>
      <c r="AE71" s="200"/>
      <c r="AF71" s="370">
        <f>N71-K71</f>
        <v>-242.4347826086946</v>
      </c>
      <c r="AG71" s="371">
        <f>N71/K71</f>
        <v>0.85181248006803512</v>
      </c>
      <c r="AH71" s="445"/>
    </row>
    <row r="72" spans="1:36" ht="15" customHeight="1">
      <c r="A72" s="472"/>
      <c r="B72" s="75"/>
      <c r="C72" s="58"/>
      <c r="D72" s="259"/>
      <c r="E72" s="60"/>
      <c r="F72" s="75"/>
      <c r="G72" s="273"/>
      <c r="H72" s="91"/>
      <c r="I72" s="182"/>
      <c r="J72" s="79"/>
      <c r="K72" s="80"/>
      <c r="L72" s="93"/>
      <c r="M72" s="94"/>
      <c r="N72" s="95"/>
      <c r="O72" s="96"/>
      <c r="P72" s="97"/>
      <c r="Q72" s="98"/>
      <c r="R72" s="99"/>
      <c r="S72" s="440"/>
      <c r="T72" s="22"/>
      <c r="U72" s="22"/>
      <c r="V72" s="30"/>
      <c r="W72" s="73">
        <f t="shared" si="6"/>
        <v>0</v>
      </c>
      <c r="X72" s="272"/>
      <c r="Y72" s="288"/>
      <c r="Z72" s="90"/>
      <c r="AA72" s="90"/>
      <c r="AB72" s="407"/>
      <c r="AC72" s="407"/>
      <c r="AD72" s="92"/>
      <c r="AE72" s="92"/>
      <c r="AF72" s="311"/>
      <c r="AG72" s="99"/>
      <c r="AH72" s="445"/>
    </row>
    <row r="73" spans="1:36" ht="15" customHeight="1">
      <c r="A73" s="472"/>
      <c r="B73" s="75"/>
      <c r="C73" s="58"/>
      <c r="D73" s="259"/>
      <c r="E73" s="60"/>
      <c r="F73" s="75"/>
      <c r="G73" s="273"/>
      <c r="H73" s="91"/>
      <c r="I73" s="182"/>
      <c r="J73" s="79"/>
      <c r="K73" s="80"/>
      <c r="L73" s="93"/>
      <c r="M73" s="94"/>
      <c r="N73" s="95"/>
      <c r="O73" s="96"/>
      <c r="P73" s="97"/>
      <c r="Q73" s="98"/>
      <c r="R73" s="99"/>
      <c r="S73" s="440"/>
      <c r="T73" s="22"/>
      <c r="U73" s="22"/>
      <c r="V73" s="30"/>
      <c r="W73" s="73">
        <f t="shared" si="6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91"/>
      <c r="I74" s="182"/>
      <c r="J74" s="79"/>
      <c r="K74" s="80"/>
      <c r="L74" s="93"/>
      <c r="M74" s="94"/>
      <c r="N74" s="95"/>
      <c r="O74" s="96"/>
      <c r="P74" s="97"/>
      <c r="Q74" s="98"/>
      <c r="R74" s="99"/>
      <c r="S74" s="440"/>
      <c r="T74" s="22"/>
      <c r="U74" s="22"/>
      <c r="V74" s="30"/>
      <c r="W74" s="73">
        <f t="shared" si="6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2"/>
      <c r="U75" s="22"/>
      <c r="V75" s="30"/>
      <c r="W75" s="256">
        <f t="shared" si="6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2"/>
      <c r="U76" s="22"/>
      <c r="V76" s="30"/>
      <c r="W76" s="248">
        <f t="shared" si="6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2"/>
      <c r="U77" s="22"/>
      <c r="V77" s="30"/>
      <c r="W77" s="73">
        <f t="shared" si="6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6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 t="s">
        <v>56</v>
      </c>
      <c r="D79" s="430" t="s">
        <v>42</v>
      </c>
      <c r="E79" s="430"/>
      <c r="F79" s="116"/>
      <c r="G79" s="117"/>
      <c r="H79" s="282"/>
      <c r="I79" s="268"/>
      <c r="J79" s="240">
        <f t="shared" ref="J79:O79" si="40">AVERAGE(J70:J78)</f>
        <v>12</v>
      </c>
      <c r="K79" s="240">
        <f t="shared" si="40"/>
        <v>1538</v>
      </c>
      <c r="L79" s="268">
        <f t="shared" si="40"/>
        <v>129.74825174825173</v>
      </c>
      <c r="M79" s="240">
        <f t="shared" si="40"/>
        <v>11.5</v>
      </c>
      <c r="N79" s="240">
        <f t="shared" si="40"/>
        <v>1236.3659420289862</v>
      </c>
      <c r="O79" s="268">
        <f t="shared" si="40"/>
        <v>108.3091512955644</v>
      </c>
      <c r="P79" s="269">
        <f>M79-J79</f>
        <v>-0.5</v>
      </c>
      <c r="Q79" s="222">
        <f>N79-K79</f>
        <v>-301.63405797101382</v>
      </c>
      <c r="R79" s="223">
        <f>O79/L79</f>
        <v>0.83476385875098158</v>
      </c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-301.63405797101382</v>
      </c>
      <c r="AG79" s="124">
        <f>N79/K79</f>
        <v>0.80387902602664907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5">
    <mergeCell ref="A2:B2"/>
    <mergeCell ref="A3:A4"/>
    <mergeCell ref="B3:B4"/>
    <mergeCell ref="D3:E4"/>
    <mergeCell ref="F3:F4"/>
    <mergeCell ref="T3:U3"/>
    <mergeCell ref="V3:V4"/>
    <mergeCell ref="W3:W4"/>
    <mergeCell ref="X3:Y3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AD3:AE3"/>
    <mergeCell ref="AF3:AF4"/>
    <mergeCell ref="AG3:AG4"/>
    <mergeCell ref="Z3:AA3"/>
    <mergeCell ref="AB1:AC2"/>
    <mergeCell ref="AF1:AH2"/>
    <mergeCell ref="AB3:AC4"/>
    <mergeCell ref="R3:R4"/>
    <mergeCell ref="AH3:AH4"/>
    <mergeCell ref="AB9:AC9"/>
    <mergeCell ref="AB10:AC10"/>
    <mergeCell ref="AB11:AC11"/>
    <mergeCell ref="AB12:AC12"/>
    <mergeCell ref="AH38:AH48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5:AH15"/>
    <mergeCell ref="AB6:AC6"/>
    <mergeCell ref="AB7:AC7"/>
    <mergeCell ref="AB14:AC14"/>
    <mergeCell ref="AB13:AC13"/>
    <mergeCell ref="AH27:AH37"/>
    <mergeCell ref="AB28:AC28"/>
    <mergeCell ref="AB29:AC29"/>
    <mergeCell ref="AB30:AC30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48:AC48"/>
    <mergeCell ref="A38:A48"/>
    <mergeCell ref="S38:S48"/>
    <mergeCell ref="AB38:AC38"/>
    <mergeCell ref="D48:E48"/>
    <mergeCell ref="AB45:AC45"/>
    <mergeCell ref="AB46:AC46"/>
    <mergeCell ref="AB47:AC47"/>
    <mergeCell ref="AB31:AC31"/>
    <mergeCell ref="AB32:AC32"/>
    <mergeCell ref="AB33:AC33"/>
    <mergeCell ref="A27:A37"/>
    <mergeCell ref="S27:S37"/>
    <mergeCell ref="AB27:AC27"/>
    <mergeCell ref="AB34:AC34"/>
    <mergeCell ref="AB35:AC35"/>
    <mergeCell ref="AB36:AC36"/>
    <mergeCell ref="D37:E37"/>
    <mergeCell ref="AB37:AC37"/>
    <mergeCell ref="AB44:AC44"/>
    <mergeCell ref="AB40:AC40"/>
    <mergeCell ref="AB41:AC41"/>
    <mergeCell ref="AB42:AC42"/>
    <mergeCell ref="AB43:AC43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38" priority="1" operator="greaterThan">
      <formula>0</formula>
    </cfRule>
  </conditionalFormatting>
  <conditionalFormatting sqref="Q5:Q79 AF5:AF79">
    <cfRule type="cellIs" dxfId="37" priority="4" operator="lessThan">
      <formula>0</formula>
    </cfRule>
  </conditionalFormatting>
  <conditionalFormatting sqref="R5:R79 AG5:AG79">
    <cfRule type="cellIs" dxfId="36" priority="2" operator="greaterThan">
      <formula>1</formula>
    </cfRule>
    <cfRule type="cellIs" dxfId="35" priority="3" operator="lessThan">
      <formula>0.8</formula>
    </cfRule>
  </conditionalFormatting>
  <conditionalFormatting sqref="S5:S10 S37:S62 AH59:AH62 S69:S76 AH69:AH76">
    <cfRule type="cellIs" dxfId="34" priority="7" operator="lessThan">
      <formula>0.8</formula>
    </cfRule>
  </conditionalFormatting>
  <conditionalFormatting sqref="S19:S25 AH19:AH25">
    <cfRule type="cellIs" dxfId="33" priority="6" operator="lessThan">
      <formula>0.8</formula>
    </cfRule>
  </conditionalFormatting>
  <conditionalFormatting sqref="S79">
    <cfRule type="cellIs" dxfId="32" priority="5" operator="lessThan">
      <formula>0.8</formula>
    </cfRule>
  </conditionalFormatting>
  <conditionalFormatting sqref="AH5:AH8 S15:S16 AH15:AH16 AH49 AH79">
    <cfRule type="cellIs" dxfId="31" priority="9" operator="lessThan">
      <formula>0.8</formula>
    </cfRule>
  </conditionalFormatting>
  <conditionalFormatting sqref="AH27 S27:S28">
    <cfRule type="cellIs" dxfId="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EE9D8B-347C-4915-9EF9-837ED8A48E6A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0FE6-C82A-4DB0-8F41-8D4A7FD7959C}">
  <dimension ref="B1:O26"/>
  <sheetViews>
    <sheetView topLeftCell="A2" zoomScale="70" zoomScaleNormal="70" workbookViewId="0">
      <selection activeCell="M14" sqref="M1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46201</v>
      </c>
      <c r="E3" s="510"/>
      <c r="F3" s="3" t="s">
        <v>72</v>
      </c>
      <c r="G3" s="511">
        <f>'0628'!E1</f>
        <v>72278</v>
      </c>
      <c r="H3" s="511"/>
      <c r="I3" s="3" t="s">
        <v>2</v>
      </c>
      <c r="J3" s="512">
        <f>'0628'!G1</f>
        <v>3302403.2310000006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123.67138182895535</v>
      </c>
      <c r="G6" s="507"/>
      <c r="H6" s="508">
        <f>AVERAGE(D13:H13)</f>
        <v>122.31984001292824</v>
      </c>
      <c r="I6" s="508"/>
      <c r="J6" s="508">
        <f>AVERAGE(I13:J13)</f>
        <v>119.41418894830659</v>
      </c>
      <c r="K6" s="508"/>
      <c r="L6" s="516">
        <f>SUM(D18:J18)</f>
        <v>0</v>
      </c>
      <c r="M6" s="499">
        <f>SUM(D19:J19)</f>
        <v>0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109.50020529742595</v>
      </c>
      <c r="G7" s="496"/>
      <c r="H7" s="497">
        <f>AVERAGE(D14:H14)</f>
        <v>107.09837590444815</v>
      </c>
      <c r="I7" s="497"/>
      <c r="J7" s="497">
        <f>AVERAGE(I14:J14)</f>
        <v>107.66047921146534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0.88541264501168948</v>
      </c>
      <c r="G8" s="502"/>
      <c r="H8" s="502">
        <f>H7/H6</f>
        <v>0.87556013720365145</v>
      </c>
      <c r="I8" s="502"/>
      <c r="J8" s="502">
        <f>J7/J6</f>
        <v>0.90157191670137848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VALUE('0628'!L15)</f>
        <v>150</v>
      </c>
      <c r="E13" s="13">
        <f>VALUE('0628'!L26)</f>
        <v>158.32255979314803</v>
      </c>
      <c r="F13" s="13">
        <f>VALUE('0628'!L37)</f>
        <v>95.145349421820001</v>
      </c>
      <c r="G13" s="13">
        <f>VALUE('0628'!L48)</f>
        <v>105.25098039215686</v>
      </c>
      <c r="H13" s="13">
        <f>VALUE('0628'!L58)</f>
        <v>102.88031045751634</v>
      </c>
      <c r="I13" s="13">
        <f>VALUE('0628'!L69)</f>
        <v>130.42909090909092</v>
      </c>
      <c r="J13" s="13">
        <f>'0628'!L79</f>
        <v>108.39928698752227</v>
      </c>
    </row>
    <row r="14" spans="2:15" ht="39.950000000000003" customHeight="1">
      <c r="B14" s="490"/>
      <c r="C14" s="12" t="s">
        <v>100</v>
      </c>
      <c r="D14" s="13">
        <f>VALUE('0628'!O15)</f>
        <v>126.09995262296574</v>
      </c>
      <c r="E14" s="13">
        <f>VALUE('0628'!O26)</f>
        <v>134.49684459001176</v>
      </c>
      <c r="F14" s="13">
        <f>VALUE('0628'!O37)</f>
        <v>85.074848055690239</v>
      </c>
      <c r="G14" s="13">
        <f>VALUE('0628'!O48)</f>
        <v>90.597844433823894</v>
      </c>
      <c r="H14" s="13">
        <f>VALUE('0628'!O58)</f>
        <v>99.222389819749182</v>
      </c>
      <c r="I14" s="13">
        <f>VALUE('0628'!O69)</f>
        <v>121.50935226231488</v>
      </c>
      <c r="J14" s="13">
        <f>'0628'!O79</f>
        <v>93.811606160615796</v>
      </c>
    </row>
    <row r="15" spans="2:15" ht="39.950000000000003" customHeight="1">
      <c r="B15" s="491"/>
      <c r="C15" s="10" t="s">
        <v>26</v>
      </c>
      <c r="D15" s="14">
        <f t="shared" ref="D15:I15" si="1">D14/D13</f>
        <v>0.84066635081977159</v>
      </c>
      <c r="E15" s="14">
        <f t="shared" si="1"/>
        <v>0.84951155897008546</v>
      </c>
      <c r="F15" s="14">
        <f t="shared" si="1"/>
        <v>0.89415666212456768</v>
      </c>
      <c r="G15" s="14">
        <f t="shared" si="1"/>
        <v>0.86077910244886524</v>
      </c>
      <c r="H15" s="14">
        <f t="shared" si="1"/>
        <v>0.9644448911409762</v>
      </c>
      <c r="I15" s="14">
        <f t="shared" si="1"/>
        <v>0.93161235285314459</v>
      </c>
      <c r="J15" s="15">
        <f>'0628'!S70</f>
        <v>0.86542641347275973</v>
      </c>
    </row>
    <row r="16" spans="2:15" ht="17.25" customHeight="1">
      <c r="B16" s="492" t="s">
        <v>101</v>
      </c>
      <c r="C16" s="10" t="s">
        <v>34</v>
      </c>
      <c r="D16" s="16">
        <f>'0628'!T5</f>
        <v>0.29166666666666702</v>
      </c>
      <c r="E16" s="16">
        <f>'0628'!T16</f>
        <v>0.29166666666666702</v>
      </c>
      <c r="F16" s="16">
        <f>'0628'!T27</f>
        <v>0.29166666666666702</v>
      </c>
      <c r="G16" s="16">
        <f>'0628'!T38</f>
        <v>0.33333333333333298</v>
      </c>
      <c r="H16" s="16">
        <f>'0628'!T49</f>
        <v>0.29027777777777802</v>
      </c>
      <c r="I16" s="16">
        <f>'0628'!T59</f>
        <v>0.29027777777777802</v>
      </c>
      <c r="J16" s="16">
        <f>'0628'!T70</f>
        <v>0.30208333333333298</v>
      </c>
    </row>
    <row r="17" spans="2:10" ht="17.25" customHeight="1">
      <c r="B17" s="493"/>
      <c r="C17" s="10" t="s">
        <v>35</v>
      </c>
      <c r="D17" s="16">
        <v>0.63749999999999996</v>
      </c>
      <c r="E17" s="19">
        <v>0.67152777777777795</v>
      </c>
      <c r="F17" s="19">
        <v>0.63194444444444398</v>
      </c>
      <c r="G17" s="210">
        <v>0.72361111111111098</v>
      </c>
      <c r="H17" s="21">
        <v>0.65486111111111101</v>
      </c>
      <c r="I17" s="22">
        <v>0.67708333333333304</v>
      </c>
      <c r="J17" s="22">
        <v>0.63541666666666696</v>
      </c>
    </row>
    <row r="18" spans="2:10" ht="17.25" customHeight="1">
      <c r="B18" s="494" t="s">
        <v>102</v>
      </c>
      <c r="C18" s="330" t="s">
        <v>36</v>
      </c>
      <c r="D18" s="358">
        <f>'0628'!Z15</f>
        <v>0</v>
      </c>
      <c r="E18" s="359">
        <f>'0628'!Z26</f>
        <v>0</v>
      </c>
      <c r="F18" s="359">
        <f>'0628'!Z37</f>
        <v>0</v>
      </c>
      <c r="G18" s="360">
        <f>'0628'!Z48</f>
        <v>0</v>
      </c>
      <c r="H18" s="360">
        <f>'0628'!Z58</f>
        <v>0</v>
      </c>
      <c r="I18" s="359">
        <f>'0628'!Z69</f>
        <v>0</v>
      </c>
      <c r="J18" s="359">
        <f>'0628'!AA79</f>
        <v>0</v>
      </c>
    </row>
    <row r="19" spans="2:10" ht="17.25" customHeight="1">
      <c r="B19" s="495"/>
      <c r="C19" s="330" t="s">
        <v>37</v>
      </c>
      <c r="D19" s="358">
        <f>'0628'!AA15</f>
        <v>0</v>
      </c>
      <c r="E19" s="359">
        <f>'0628'!AA26</f>
        <v>0</v>
      </c>
      <c r="F19" s="359">
        <f>'0628'!AA37</f>
        <v>0</v>
      </c>
      <c r="G19" s="360">
        <f>'0628'!AA48</f>
        <v>0</v>
      </c>
      <c r="H19" s="360">
        <f>'0628'!AA58</f>
        <v>0</v>
      </c>
      <c r="I19" s="359">
        <f>'0628'!AA69</f>
        <v>0</v>
      </c>
      <c r="J19" s="359">
        <f>'0628'!AB79</f>
        <v>0</v>
      </c>
    </row>
    <row r="20" spans="2:10" ht="17.25" customHeight="1">
      <c r="B20" s="494" t="s">
        <v>103</v>
      </c>
      <c r="C20" s="330" t="s">
        <v>36</v>
      </c>
      <c r="D20" s="358">
        <f>'0628'!AD15</f>
        <v>0</v>
      </c>
      <c r="E20" s="359">
        <f>'0628'!AD26</f>
        <v>0</v>
      </c>
      <c r="F20" s="359">
        <f>'0628'!AD37</f>
        <v>0</v>
      </c>
      <c r="G20" s="360">
        <f>'0628'!AD48</f>
        <v>0</v>
      </c>
      <c r="H20" s="360">
        <f>'0628'!AD58</f>
        <v>0</v>
      </c>
      <c r="I20" s="359">
        <f>'0628'!AD69</f>
        <v>0</v>
      </c>
      <c r="J20" s="359">
        <f>'0628'!AD79</f>
        <v>0</v>
      </c>
    </row>
    <row r="21" spans="2:10" ht="17.25" customHeight="1">
      <c r="B21" s="495"/>
      <c r="C21" s="330" t="s">
        <v>85</v>
      </c>
      <c r="D21" s="358">
        <f>'0628'!AE15</f>
        <v>0</v>
      </c>
      <c r="E21" s="359">
        <f>'0628'!AE26</f>
        <v>0</v>
      </c>
      <c r="F21" s="359">
        <f>'0628'!AE37</f>
        <v>0</v>
      </c>
      <c r="G21" s="360">
        <f>'0628'!AE48</f>
        <v>0</v>
      </c>
      <c r="H21" s="360">
        <f>'0628'!AE58</f>
        <v>0</v>
      </c>
      <c r="I21" s="359">
        <f>'0628'!AE69</f>
        <v>0</v>
      </c>
      <c r="J21" s="359">
        <f>'0628'!AE79</f>
        <v>0</v>
      </c>
    </row>
    <row r="22" spans="2:10" ht="17.25" customHeight="1">
      <c r="B22" s="477" t="s">
        <v>104</v>
      </c>
      <c r="C22" s="478"/>
      <c r="D22" s="23">
        <f>VALUE('0628'!M15)</f>
        <v>15</v>
      </c>
      <c r="E22" s="23">
        <f>VALUE('0628'!M26)</f>
        <v>14.166666666666666</v>
      </c>
      <c r="F22" s="23">
        <f>VALUE('0628'!M37)</f>
        <v>16.600000000000001</v>
      </c>
      <c r="G22" s="23">
        <f>VALUE('0628'!M48)</f>
        <v>16.25</v>
      </c>
      <c r="H22" s="23">
        <f>VALUE('0628'!M58)</f>
        <v>16.75</v>
      </c>
      <c r="I22" s="23">
        <f>VALUE('0628'!M69)</f>
        <v>12.8</v>
      </c>
      <c r="J22" s="23">
        <f>'0628'!M79</f>
        <v>11.666666666666666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A877-9C83-4C95-95E4-A39B45B533BE}">
  <sheetPr>
    <tabColor theme="9" tint="0.79998168889431442"/>
  </sheetPr>
  <dimension ref="A1:AJ92"/>
  <sheetViews>
    <sheetView zoomScale="69" zoomScaleNormal="69" workbookViewId="0">
      <pane xSplit="5" ySplit="4" topLeftCell="F56" activePane="bottomRight" state="frozen"/>
      <selection activeCell="D13" sqref="D13"/>
      <selection pane="topRight" activeCell="D13" sqref="D13"/>
      <selection pane="bottomLeft" activeCell="D13" sqref="D13"/>
      <selection pane="bottomRight" activeCell="U72" sqref="U7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72278</v>
      </c>
      <c r="F1" s="30" t="s">
        <v>2</v>
      </c>
      <c r="G1" s="31">
        <f>SUM(H5:H79)</f>
        <v>3302403.2310000006</v>
      </c>
      <c r="H1" s="32" t="s">
        <v>3</v>
      </c>
      <c r="I1" s="33">
        <f>M15+M26+M48+M58+M69+M79+M37</f>
        <v>103.23333333333335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240</v>
      </c>
      <c r="B2" s="381"/>
      <c r="C2" s="28"/>
      <c r="D2" s="28" t="s">
        <v>14</v>
      </c>
      <c r="E2" s="35">
        <f>AVERAGE(O15,O26,O37,O48,O58,O69,O79)</f>
        <v>107.25897684931022</v>
      </c>
      <c r="F2" s="36" t="s">
        <v>15</v>
      </c>
      <c r="G2" s="37">
        <f>G1/E1</f>
        <v>45.690296231218362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0</v>
      </c>
      <c r="AA2" s="339">
        <f>AA15+AA26+AA37+AA48+AA58+AA69+AA79</f>
        <v>0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3237</v>
      </c>
      <c r="H5" s="43">
        <f>F5*G5</f>
        <v>184088.19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2044.4210526315862</v>
      </c>
      <c r="O5" s="47">
        <f>N5/M5</f>
        <v>136.29473684210575</v>
      </c>
      <c r="P5" s="49">
        <f>M5-J5</f>
        <v>0</v>
      </c>
      <c r="Q5" s="50">
        <f>O5-L5</f>
        <v>-13.705263157894251</v>
      </c>
      <c r="R5" s="51">
        <f>O5/L5</f>
        <v>0.90863157894737168</v>
      </c>
      <c r="S5" s="439">
        <f>R15</f>
        <v>0.84066635081977159</v>
      </c>
      <c r="T5" s="319">
        <v>0.29166666666666702</v>
      </c>
      <c r="U5" s="320">
        <v>0.35763888888888901</v>
      </c>
      <c r="V5" s="53"/>
      <c r="W5" s="54">
        <f t="shared" ref="W5:W14" si="0">(U5-T5)*24*60</f>
        <v>94.999999999999659</v>
      </c>
      <c r="X5" s="55"/>
      <c r="Y5" s="290"/>
      <c r="Z5" s="169"/>
      <c r="AA5" s="169"/>
      <c r="AB5" s="444"/>
      <c r="AC5" s="444"/>
      <c r="AD5" s="135"/>
      <c r="AE5" s="135"/>
      <c r="AF5" s="229">
        <f t="shared" ref="AF5:AF8" si="1">N5-K5</f>
        <v>-205.57894736841376</v>
      </c>
      <c r="AG5" s="52">
        <f t="shared" ref="AG5:AG8" si="2">N5/K5</f>
        <v>0.90863157894737168</v>
      </c>
      <c r="AH5" s="403">
        <f>AG15</f>
        <v>0.8406663508197717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f>2827+92</f>
        <v>2919</v>
      </c>
      <c r="H6" s="63">
        <f>F6*G6</f>
        <v>169798.23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1863.1914893617247</v>
      </c>
      <c r="O6" s="67">
        <f>N6/M6</f>
        <v>124.21276595744831</v>
      </c>
      <c r="P6" s="69">
        <f>M6-J6</f>
        <v>0</v>
      </c>
      <c r="Q6" s="70">
        <f>O6-L6</f>
        <v>-25.787234042551688</v>
      </c>
      <c r="R6" s="71">
        <f>O6/L6</f>
        <v>0.82808510638298871</v>
      </c>
      <c r="S6" s="440"/>
      <c r="T6" s="16">
        <v>0.36805555555555602</v>
      </c>
      <c r="U6" s="16">
        <v>0.43333333333333302</v>
      </c>
      <c r="V6" s="30">
        <f>(T6-U5)*24*60</f>
        <v>15.000000000000506</v>
      </c>
      <c r="W6" s="73">
        <f t="shared" si="0"/>
        <v>93.999999999998863</v>
      </c>
      <c r="X6" s="22"/>
      <c r="Y6" s="84"/>
      <c r="Z6" s="90"/>
      <c r="AA6" s="90"/>
      <c r="AB6" s="407" t="s">
        <v>241</v>
      </c>
      <c r="AC6" s="407"/>
      <c r="AD6" s="149"/>
      <c r="AE6" s="149"/>
      <c r="AF6" s="307">
        <f t="shared" si="1"/>
        <v>-386.80851063827527</v>
      </c>
      <c r="AG6" s="72">
        <f t="shared" si="2"/>
        <v>0.82808510638298882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f>2404</f>
        <v>2404</v>
      </c>
      <c r="H7" s="78">
        <f>F7*G7</f>
        <v>118132.56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1803.0000000000173</v>
      </c>
      <c r="O7" s="81">
        <f>N7/M7</f>
        <v>120.20000000000115</v>
      </c>
      <c r="P7" s="74">
        <f>M7-J7</f>
        <v>0</v>
      </c>
      <c r="Q7" s="83">
        <f>O7-L7</f>
        <v>-29.799999999998846</v>
      </c>
      <c r="R7" s="72">
        <f>O7/L7</f>
        <v>0.801333333333341</v>
      </c>
      <c r="S7" s="440"/>
      <c r="T7" s="18">
        <v>0.44305555555555598</v>
      </c>
      <c r="U7" s="18">
        <v>0.49861111111111101</v>
      </c>
      <c r="V7" s="30">
        <f>(T7-U6)*24*60</f>
        <v>14.000000000001069</v>
      </c>
      <c r="W7" s="73">
        <f t="shared" si="0"/>
        <v>79.999999999999233</v>
      </c>
      <c r="X7" s="22">
        <v>0.50694444444444398</v>
      </c>
      <c r="Y7" s="84">
        <v>0.54861111111111105</v>
      </c>
      <c r="Z7" s="90"/>
      <c r="AA7" s="90"/>
      <c r="AB7" s="407"/>
      <c r="AC7" s="407"/>
      <c r="AD7" s="92"/>
      <c r="AE7" s="92"/>
      <c r="AF7" s="307">
        <f t="shared" si="1"/>
        <v>-446.99999999998272</v>
      </c>
      <c r="AG7" s="72">
        <f t="shared" si="2"/>
        <v>0.801333333333341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f>3618</f>
        <v>3618</v>
      </c>
      <c r="H8" s="78">
        <f>F8*G8</f>
        <v>177788.52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1855.3846153846168</v>
      </c>
      <c r="O8" s="81">
        <f>N8/M8</f>
        <v>123.69230769230779</v>
      </c>
      <c r="P8" s="74">
        <f>M8-J8</f>
        <v>0</v>
      </c>
      <c r="Q8" s="83">
        <f>O8-L8</f>
        <v>-26.307692307692207</v>
      </c>
      <c r="R8" s="72">
        <f>O8/L8</f>
        <v>0.82461538461538531</v>
      </c>
      <c r="S8" s="440"/>
      <c r="T8" s="16">
        <v>0.55625000000000002</v>
      </c>
      <c r="U8" s="16">
        <v>0.63749999999999996</v>
      </c>
      <c r="V8" s="30">
        <f>(T8-U7)*24*60</f>
        <v>83.000000000000185</v>
      </c>
      <c r="W8" s="73">
        <f t="shared" si="0"/>
        <v>116.9999999999999</v>
      </c>
      <c r="X8" s="22"/>
      <c r="Y8" s="84"/>
      <c r="Z8" s="90"/>
      <c r="AA8" s="90"/>
      <c r="AD8" s="149"/>
      <c r="AE8" s="149"/>
      <c r="AF8" s="307">
        <f t="shared" si="1"/>
        <v>-394.61538461538316</v>
      </c>
      <c r="AG8" s="72">
        <f t="shared" si="2"/>
        <v>0.82461538461538531</v>
      </c>
      <c r="AH8" s="404"/>
    </row>
    <row r="9" spans="1:34" ht="15" customHeight="1">
      <c r="A9" s="437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07"/>
      <c r="AC9" s="407"/>
      <c r="AD9" s="149"/>
      <c r="AE9" s="149"/>
      <c r="AF9" s="307"/>
      <c r="AG9" s="72"/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/>
      <c r="AG10" s="72"/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/>
      <c r="AG11" s="72"/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1891.4992893444864</v>
      </c>
      <c r="O15" s="117">
        <f t="shared" si="3"/>
        <v>126.09995262296574</v>
      </c>
      <c r="P15" s="121">
        <f>M15-J15</f>
        <v>0</v>
      </c>
      <c r="Q15" s="122">
        <f>O15-L15</f>
        <v>-23.900047377034255</v>
      </c>
      <c r="R15" s="123">
        <f>O15/L15</f>
        <v>0.84066635081977159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 t="shared" ref="AF15:AF20" si="4">N15-K15</f>
        <v>-358.50071065551356</v>
      </c>
      <c r="AG15" s="124">
        <f t="shared" ref="AG15:AG20" si="5">N15/K15</f>
        <v>0.8406663508197717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2428</v>
      </c>
      <c r="H16" s="134">
        <f>F16*G16</f>
        <v>123026.76000000001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2081.1428571428623</v>
      </c>
      <c r="O16" s="141">
        <f>N16/M16</f>
        <v>148.65306122449016</v>
      </c>
      <c r="P16" s="142">
        <f>M16-J16</f>
        <v>0</v>
      </c>
      <c r="Q16" s="143">
        <f>O16-L16</f>
        <v>-12.061224489795563</v>
      </c>
      <c r="R16" s="144">
        <f>O16/L16</f>
        <v>0.92495238095238319</v>
      </c>
      <c r="S16" s="425">
        <f>R26</f>
        <v>0.84951155897008546</v>
      </c>
      <c r="T16" s="145">
        <v>0.29166666666666702</v>
      </c>
      <c r="U16" s="145">
        <v>0.34027777777777801</v>
      </c>
      <c r="V16" s="135"/>
      <c r="W16" s="146">
        <f t="shared" ref="W16:W78" si="6">(U16-T16)*24*60</f>
        <v>69.999999999999829</v>
      </c>
      <c r="X16" s="141"/>
      <c r="Y16" s="296"/>
      <c r="Z16" s="169"/>
      <c r="AA16" s="169"/>
      <c r="AB16" s="428"/>
      <c r="AC16" s="429"/>
      <c r="AD16" s="135"/>
      <c r="AE16" s="135"/>
      <c r="AF16" s="229">
        <f t="shared" si="4"/>
        <v>-168.85714285713766</v>
      </c>
      <c r="AG16" s="52">
        <f t="shared" si="5"/>
        <v>0.9249523809523833</v>
      </c>
      <c r="AH16" s="403">
        <f>AG26</f>
        <v>0.83949785497231688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1824</v>
      </c>
      <c r="H17" s="78">
        <f>F17*G17</f>
        <v>104351.04000000001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16</v>
      </c>
      <c r="N17" s="95">
        <f>G17/W17*60</f>
        <v>1854.9152542372972</v>
      </c>
      <c r="O17" s="96">
        <f>N17/M17</f>
        <v>115.93220338983107</v>
      </c>
      <c r="P17" s="97">
        <f>M17-J17</f>
        <v>-1</v>
      </c>
      <c r="Q17" s="98">
        <f>O17-L17</f>
        <v>-16.420737786639506</v>
      </c>
      <c r="R17" s="99">
        <f>O17/L17</f>
        <v>0.8759322033898348</v>
      </c>
      <c r="S17" s="426"/>
      <c r="T17" s="19">
        <v>0.34861111111111098</v>
      </c>
      <c r="U17" s="19">
        <v>0.389583333333333</v>
      </c>
      <c r="V17" s="30">
        <f>(T17-U16)*24*60</f>
        <v>11.999999999999478</v>
      </c>
      <c r="W17" s="149">
        <f t="shared" si="6"/>
        <v>58.999999999999709</v>
      </c>
      <c r="X17" s="19"/>
      <c r="Y17" s="297"/>
      <c r="Z17" s="90"/>
      <c r="AA17" s="90"/>
      <c r="AB17" s="407"/>
      <c r="AC17" s="407"/>
      <c r="AD17" s="92"/>
      <c r="AE17" s="92"/>
      <c r="AF17" s="307">
        <f t="shared" si="4"/>
        <v>-395.08474576270282</v>
      </c>
      <c r="AG17" s="72">
        <f t="shared" si="5"/>
        <v>0.82440677966102094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988</v>
      </c>
      <c r="H18" s="78">
        <f t="shared" ref="H18:H20" si="7">F18*G18</f>
        <v>55930.68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 t="shared" ref="L18:L20" si="8">K18/J18</f>
        <v>150</v>
      </c>
      <c r="M18" s="148">
        <v>15</v>
      </c>
      <c r="N18" s="95">
        <f t="shared" ref="N18:N20" si="9">G18/W18*60</f>
        <v>1560.0000000000548</v>
      </c>
      <c r="O18" s="96">
        <f t="shared" ref="O18:O20" si="10">N18/M18</f>
        <v>104.00000000000365</v>
      </c>
      <c r="P18" s="97">
        <f t="shared" ref="P18:P20" si="11">M18-J18</f>
        <v>0</v>
      </c>
      <c r="Q18" s="98">
        <f t="shared" ref="Q18:Q20" si="12">O18-L18</f>
        <v>-45.999999999996348</v>
      </c>
      <c r="R18" s="99">
        <f t="shared" ref="R18:R20" si="13">O18/L18</f>
        <v>0.69333333333335767</v>
      </c>
      <c r="S18" s="426"/>
      <c r="T18" s="19">
        <v>0.39930555555555602</v>
      </c>
      <c r="U18" s="19">
        <v>0.42569444444444399</v>
      </c>
      <c r="V18" s="30">
        <f>(T18-U17)*24*60</f>
        <v>14.000000000001149</v>
      </c>
      <c r="W18" s="149">
        <f t="shared" si="6"/>
        <v>37.999999999998664</v>
      </c>
      <c r="X18" s="22"/>
      <c r="Y18" s="84"/>
      <c r="Z18" s="90"/>
      <c r="AA18" s="90"/>
      <c r="AB18" s="407" t="s">
        <v>140</v>
      </c>
      <c r="AC18" s="407"/>
      <c r="AD18" s="92"/>
      <c r="AE18" s="92"/>
      <c r="AF18" s="307">
        <f t="shared" si="4"/>
        <v>-689.9999999999452</v>
      </c>
      <c r="AG18" s="72">
        <f t="shared" si="5"/>
        <v>0.69333333333335767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2018</v>
      </c>
      <c r="H19" s="78">
        <f t="shared" si="7"/>
        <v>101687.02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si="8"/>
        <v>173.07692307692307</v>
      </c>
      <c r="M19" s="148">
        <v>13</v>
      </c>
      <c r="N19" s="95">
        <f t="shared" si="9"/>
        <v>1984.9180327868924</v>
      </c>
      <c r="O19" s="96">
        <f t="shared" si="10"/>
        <v>152.68600252206863</v>
      </c>
      <c r="P19" s="97">
        <f t="shared" si="11"/>
        <v>0</v>
      </c>
      <c r="Q19" s="98">
        <f t="shared" si="12"/>
        <v>-20.390920554854432</v>
      </c>
      <c r="R19" s="99">
        <f t="shared" si="13"/>
        <v>0.88218579234972994</v>
      </c>
      <c r="S19" s="426"/>
      <c r="T19" s="19">
        <v>0.43333333333333302</v>
      </c>
      <c r="U19" s="19">
        <v>0.47569444444444398</v>
      </c>
      <c r="V19" s="30">
        <f>(T19-U18)*24*60</f>
        <v>11.000000000000201</v>
      </c>
      <c r="W19" s="149">
        <f t="shared" si="6"/>
        <v>60.999999999999787</v>
      </c>
      <c r="X19" s="22">
        <v>0.50694444444444398</v>
      </c>
      <c r="Y19" s="84">
        <v>0.54861111111111105</v>
      </c>
      <c r="Z19" s="90"/>
      <c r="AA19" s="90"/>
      <c r="AB19" s="434"/>
      <c r="AC19" s="434"/>
      <c r="AD19" s="149"/>
      <c r="AE19" s="149"/>
      <c r="AF19" s="307">
        <f t="shared" si="4"/>
        <v>-265.08196721310765</v>
      </c>
      <c r="AG19" s="72">
        <f t="shared" si="5"/>
        <v>0.88218579234972994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3456</v>
      </c>
      <c r="H20" s="78">
        <f t="shared" si="7"/>
        <v>174147.84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8"/>
        <v>173.07692307692307</v>
      </c>
      <c r="M20" s="148">
        <v>13</v>
      </c>
      <c r="N20" s="95">
        <f t="shared" si="9"/>
        <v>1920.0000000000009</v>
      </c>
      <c r="O20" s="96">
        <f t="shared" si="10"/>
        <v>147.69230769230776</v>
      </c>
      <c r="P20" s="97">
        <f t="shared" si="11"/>
        <v>0</v>
      </c>
      <c r="Q20" s="98">
        <f t="shared" si="12"/>
        <v>-25.384615384615302</v>
      </c>
      <c r="R20" s="99">
        <f t="shared" si="13"/>
        <v>0.85333333333333383</v>
      </c>
      <c r="S20" s="426"/>
      <c r="T20" s="19">
        <v>0.55555555555555602</v>
      </c>
      <c r="U20" s="19">
        <v>0.63055555555555598</v>
      </c>
      <c r="V20" s="30">
        <f>(T20-U19)*24*60</f>
        <v>115.00000000000135</v>
      </c>
      <c r="W20" s="149">
        <f t="shared" si="6"/>
        <v>107.99999999999994</v>
      </c>
      <c r="X20" s="19"/>
      <c r="Y20" s="297"/>
      <c r="Z20" s="90"/>
      <c r="AA20" s="90"/>
      <c r="AB20" s="407"/>
      <c r="AC20" s="407"/>
      <c r="AD20" s="92"/>
      <c r="AE20" s="92"/>
      <c r="AF20" s="307">
        <f t="shared" si="4"/>
        <v>-329.99999999999909</v>
      </c>
      <c r="AG20" s="72">
        <f t="shared" si="5"/>
        <v>0.85333333333333372</v>
      </c>
      <c r="AH20" s="405"/>
    </row>
    <row r="21" spans="1:34" ht="15" customHeight="1">
      <c r="A21" s="423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v>1578</v>
      </c>
      <c r="H21" s="78">
        <f>F21*G21</f>
        <v>79957.260000000009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>K21/J21</f>
        <v>160.71428571428572</v>
      </c>
      <c r="M21" s="148">
        <v>14</v>
      </c>
      <c r="N21" s="95">
        <f>G21/W21*60</f>
        <v>1932.2448979591716</v>
      </c>
      <c r="O21" s="96">
        <f>N21/M21</f>
        <v>138.01749271136939</v>
      </c>
      <c r="P21" s="97">
        <f>M21-J21</f>
        <v>0</v>
      </c>
      <c r="Q21" s="98">
        <f>O21-L21</f>
        <v>-22.696793002916337</v>
      </c>
      <c r="R21" s="99">
        <f>O21/L21</f>
        <v>0.85877551020407616</v>
      </c>
      <c r="S21" s="426"/>
      <c r="T21" s="19">
        <v>0.63749999999999996</v>
      </c>
      <c r="U21" s="19">
        <v>0.67152777777777795</v>
      </c>
      <c r="V21" s="30"/>
      <c r="W21" s="149">
        <f t="shared" si="6"/>
        <v>49.000000000000306</v>
      </c>
      <c r="X21" s="92"/>
      <c r="Y21" s="298"/>
      <c r="Z21" s="90"/>
      <c r="AA21" s="90"/>
      <c r="AB21" s="407"/>
      <c r="AC21" s="407"/>
      <c r="AD21" s="92"/>
      <c r="AE21" s="92"/>
      <c r="AF21" s="307">
        <f>N21-K21</f>
        <v>-317.75510204082843</v>
      </c>
      <c r="AG21" s="72">
        <f>N21/K21</f>
        <v>0.85877551020407628</v>
      </c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9"/>
      <c r="U22" s="19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6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6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6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4">AVERAGE(J16:J25)</f>
        <v>14.333333333333334</v>
      </c>
      <c r="K26" s="155">
        <f t="shared" si="14"/>
        <v>2250</v>
      </c>
      <c r="L26" s="158">
        <f t="shared" si="14"/>
        <v>158.32255979314803</v>
      </c>
      <c r="M26" s="155">
        <f t="shared" si="14"/>
        <v>14.166666666666666</v>
      </c>
      <c r="N26" s="155">
        <f t="shared" si="14"/>
        <v>1888.8701736877131</v>
      </c>
      <c r="O26" s="158">
        <f t="shared" si="14"/>
        <v>134.49684459001176</v>
      </c>
      <c r="P26" s="159">
        <f>M26-J26</f>
        <v>-0.16666666666666785</v>
      </c>
      <c r="Q26" s="160">
        <f>O26-L26</f>
        <v>-23.825715203136269</v>
      </c>
      <c r="R26" s="161">
        <f>O26/L26</f>
        <v>0.84951155897008546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5">N26-K26</f>
        <v>-361.12982631228692</v>
      </c>
      <c r="AG26" s="124">
        <f t="shared" ref="AG26:AG31" si="16">N26/K26</f>
        <v>0.83949785497231688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57.21</v>
      </c>
      <c r="G27" s="169">
        <v>432</v>
      </c>
      <c r="H27" s="134">
        <f>F27*G27</f>
        <v>24714.720000000001</v>
      </c>
      <c r="I27" s="135"/>
      <c r="J27" s="136">
        <f>VLOOKUP(D27,產線配置圖!$A$3:$C$40,2,0)</f>
        <v>18</v>
      </c>
      <c r="K27" s="137">
        <f>VLOOKUP(D27,產線配置圖!$A$3:$C$40,3,0)</f>
        <v>1565</v>
      </c>
      <c r="L27" s="138">
        <f>K27/J27</f>
        <v>86.944444444444443</v>
      </c>
      <c r="M27" s="170">
        <v>17</v>
      </c>
      <c r="N27" s="140">
        <f>G27/W27*60</f>
        <v>1126.9565217391462</v>
      </c>
      <c r="O27" s="141">
        <f>N27/M27</f>
        <v>66.291560102302711</v>
      </c>
      <c r="P27" s="142">
        <f>M27-J27</f>
        <v>-1</v>
      </c>
      <c r="Q27" s="143">
        <f>O27-L27</f>
        <v>-20.652884342141732</v>
      </c>
      <c r="R27" s="144">
        <f>O27/L27</f>
        <v>0.7624588382373475</v>
      </c>
      <c r="S27" s="425">
        <f>R37</f>
        <v>0.89415666212456768</v>
      </c>
      <c r="T27" s="171">
        <v>0.29166666666666702</v>
      </c>
      <c r="U27" s="171">
        <v>0.30763888888888902</v>
      </c>
      <c r="V27" s="135"/>
      <c r="W27" s="146">
        <f t="shared" si="6"/>
        <v>22.99999999999968</v>
      </c>
      <c r="X27" s="135"/>
      <c r="Y27" s="300" t="s">
        <v>46</v>
      </c>
      <c r="Z27" s="169"/>
      <c r="AA27" s="169"/>
      <c r="AB27" s="407" t="s">
        <v>140</v>
      </c>
      <c r="AC27" s="407"/>
      <c r="AD27" s="135"/>
      <c r="AE27" s="135"/>
      <c r="AF27" s="310">
        <f t="shared" si="15"/>
        <v>-438.04347826085382</v>
      </c>
      <c r="AG27" s="172">
        <f t="shared" si="16"/>
        <v>0.72010001389082823</v>
      </c>
      <c r="AH27" s="403">
        <f>AG37</f>
        <v>0.88912686185360024</v>
      </c>
    </row>
    <row r="28" spans="1:34" ht="15" customHeight="1">
      <c r="A28" s="457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f>2834+52</f>
        <v>2886</v>
      </c>
      <c r="H28" s="91">
        <f>F28*G28</f>
        <v>165108.06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1588.6238532110183</v>
      </c>
      <c r="O28" s="96">
        <f>N28/M28</f>
        <v>88.256880733945465</v>
      </c>
      <c r="P28" s="97">
        <f>M28-J28</f>
        <v>0</v>
      </c>
      <c r="Q28" s="98">
        <f>O28-L28</f>
        <v>-2.6320081549434207</v>
      </c>
      <c r="R28" s="99">
        <f>O28/L28</f>
        <v>0.97104147506785965</v>
      </c>
      <c r="S28" s="426"/>
      <c r="T28" s="19">
        <v>0.3125</v>
      </c>
      <c r="U28" s="19">
        <v>0.38819444444444401</v>
      </c>
      <c r="V28" s="92">
        <f>(T28-U27)*24*60</f>
        <v>6.9999999999998153</v>
      </c>
      <c r="W28" s="149">
        <f t="shared" si="6"/>
        <v>108.99999999999937</v>
      </c>
      <c r="X28" s="174"/>
      <c r="Y28" s="301"/>
      <c r="Z28" s="335"/>
      <c r="AA28" s="335"/>
      <c r="AB28" s="432"/>
      <c r="AC28" s="433"/>
      <c r="AD28" s="92"/>
      <c r="AE28" s="92"/>
      <c r="AF28" s="311">
        <f t="shared" si="15"/>
        <v>-47.376146788981714</v>
      </c>
      <c r="AG28" s="99">
        <f t="shared" si="16"/>
        <v>0.97104147506785954</v>
      </c>
      <c r="AH28" s="445"/>
    </row>
    <row r="29" spans="1:34" ht="15" customHeight="1">
      <c r="A29" s="457"/>
      <c r="B29" s="75" t="s">
        <v>81</v>
      </c>
      <c r="C29" s="173"/>
      <c r="D29" s="59" t="s">
        <v>168</v>
      </c>
      <c r="E29" s="104"/>
      <c r="F29" s="75">
        <f>VLOOKUP(D29,廠價表!$C$1:$E$43,3,0)</f>
        <v>57.21</v>
      </c>
      <c r="G29" s="90">
        <v>1916</v>
      </c>
      <c r="H29" s="91">
        <f>F29*G29</f>
        <v>109614.36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1619.1549295774505</v>
      </c>
      <c r="O29" s="96">
        <f>N29/M29</f>
        <v>89.953051643191699</v>
      </c>
      <c r="P29" s="97">
        <f>M29-J29</f>
        <v>0</v>
      </c>
      <c r="Q29" s="98">
        <f>O29-L29</f>
        <v>-0.9358372456971864</v>
      </c>
      <c r="R29" s="99">
        <f>O29/L29</f>
        <v>0.98970350218670577</v>
      </c>
      <c r="S29" s="426"/>
      <c r="T29" s="19">
        <v>0.39444444444444399</v>
      </c>
      <c r="U29" s="19">
        <v>0.44374999999999998</v>
      </c>
      <c r="V29" s="92">
        <f>(T29-U28)*24*60</f>
        <v>8.999999999999968</v>
      </c>
      <c r="W29" s="149">
        <f t="shared" si="6"/>
        <v>71.000000000000625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15"/>
        <v>-16.845070422549497</v>
      </c>
      <c r="AG29" s="99">
        <f t="shared" si="16"/>
        <v>0.98970350218670566</v>
      </c>
      <c r="AH29" s="445"/>
    </row>
    <row r="30" spans="1:34" ht="15" customHeight="1">
      <c r="A30" s="457"/>
      <c r="B30" s="75" t="s">
        <v>81</v>
      </c>
      <c r="C30" s="88"/>
      <c r="D30" s="59" t="s">
        <v>123</v>
      </c>
      <c r="E30" s="89"/>
      <c r="F30" s="75">
        <f>VLOOKUP(D30,廠價表!$C$1:$E$43,3,0)</f>
        <v>50.67</v>
      </c>
      <c r="G30" s="90">
        <f>895+196+347</f>
        <v>1438</v>
      </c>
      <c r="H30" s="91">
        <f t="shared" ref="H30:H31" si="17">F30*G30</f>
        <v>72863.460000000006</v>
      </c>
      <c r="I30" s="92"/>
      <c r="J30" s="79">
        <f>VLOOKUP(D30,產線配置圖!$A$3:$C$40,2,0)</f>
        <v>13</v>
      </c>
      <c r="K30" s="80">
        <f>VLOOKUP(D30,產線配置圖!$A$3:$C$40,3,0)</f>
        <v>1440</v>
      </c>
      <c r="L30" s="93">
        <f t="shared" ref="L30:L31" si="18">K30/J30</f>
        <v>110.76923076923077</v>
      </c>
      <c r="M30" s="94">
        <v>13</v>
      </c>
      <c r="N30" s="95">
        <f t="shared" ref="N30:N31" si="19">G30/W30*60</f>
        <v>1215.2112676056231</v>
      </c>
      <c r="O30" s="96">
        <f t="shared" ref="O30:O31" si="20">N30/M30</f>
        <v>93.477789815817161</v>
      </c>
      <c r="P30" s="97">
        <f t="shared" ref="P30:P31" si="21">M30-J30</f>
        <v>0</v>
      </c>
      <c r="Q30" s="98">
        <f t="shared" ref="Q30:Q31" si="22">O30-L30</f>
        <v>-17.291440953413613</v>
      </c>
      <c r="R30" s="99">
        <f t="shared" ref="R30:R31" si="23">O30/L30</f>
        <v>0.84389671361501595</v>
      </c>
      <c r="S30" s="426"/>
      <c r="T30" s="19">
        <v>0.45069444444444401</v>
      </c>
      <c r="U30" s="19">
        <v>0.5</v>
      </c>
      <c r="V30" s="92">
        <f>(T30-U29)*24*60</f>
        <v>9.9999999999994049</v>
      </c>
      <c r="W30" s="149">
        <f t="shared" si="6"/>
        <v>71.000000000000625</v>
      </c>
      <c r="X30" s="174">
        <v>0.50694444444444398</v>
      </c>
      <c r="Y30" s="301">
        <v>0.54861111111111105</v>
      </c>
      <c r="Z30" s="335"/>
      <c r="AA30" s="335"/>
      <c r="AB30" s="407"/>
      <c r="AC30" s="407"/>
      <c r="AD30" s="92"/>
      <c r="AE30" s="92"/>
      <c r="AF30" s="312">
        <f t="shared" si="15"/>
        <v>-224.78873239437689</v>
      </c>
      <c r="AG30" s="99">
        <f t="shared" si="16"/>
        <v>0.84389671361501606</v>
      </c>
      <c r="AH30" s="446"/>
    </row>
    <row r="31" spans="1:34" ht="15" customHeight="1">
      <c r="A31" s="457"/>
      <c r="B31" s="75" t="s">
        <v>81</v>
      </c>
      <c r="C31" s="88"/>
      <c r="D31" s="175" t="s">
        <v>206</v>
      </c>
      <c r="E31" s="176"/>
      <c r="F31" s="75">
        <f>VLOOKUP(D31,廠價表!$C$1:$E$43,3,0)</f>
        <v>45.66</v>
      </c>
      <c r="G31" s="90">
        <v>2600</v>
      </c>
      <c r="H31" s="91">
        <f t="shared" si="17"/>
        <v>118715.99999999999</v>
      </c>
      <c r="I31" s="92"/>
      <c r="J31" s="79">
        <f>VLOOKUP(D31,產線配置圖!$A$3:$C$40,2,0)</f>
        <v>17</v>
      </c>
      <c r="K31" s="80">
        <v>1636</v>
      </c>
      <c r="L31" s="93">
        <f t="shared" si="18"/>
        <v>96.235294117647058</v>
      </c>
      <c r="M31" s="94">
        <v>17</v>
      </c>
      <c r="N31" s="95">
        <f t="shared" si="19"/>
        <v>1485.7142857143001</v>
      </c>
      <c r="O31" s="96">
        <f t="shared" si="20"/>
        <v>87.394957983194118</v>
      </c>
      <c r="P31" s="97">
        <f t="shared" si="21"/>
        <v>0</v>
      </c>
      <c r="Q31" s="98">
        <f t="shared" si="22"/>
        <v>-8.8403361344529401</v>
      </c>
      <c r="R31" s="99">
        <f t="shared" si="23"/>
        <v>0.90813831645128362</v>
      </c>
      <c r="S31" s="426"/>
      <c r="T31" s="19">
        <v>0.55902777777777801</v>
      </c>
      <c r="U31" s="19">
        <v>0.63194444444444398</v>
      </c>
      <c r="V31" s="92">
        <f>(T31-U30)*24*60</f>
        <v>85.000000000000341</v>
      </c>
      <c r="W31" s="149">
        <f t="shared" si="6"/>
        <v>104.99999999999899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5"/>
        <v>-150.2857142856999</v>
      </c>
      <c r="AG31" s="99">
        <f t="shared" si="16"/>
        <v>0.90813831645128373</v>
      </c>
      <c r="AH31" s="405"/>
    </row>
    <row r="32" spans="1:34" ht="15" customHeight="1">
      <c r="A32" s="457"/>
      <c r="B32" s="75"/>
      <c r="C32" s="102"/>
      <c r="D32" s="59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6"/>
      <c r="T32" s="19"/>
      <c r="U32" s="19"/>
      <c r="V32" s="92"/>
      <c r="W32" s="149">
        <f t="shared" si="6"/>
        <v>0</v>
      </c>
      <c r="X32" s="174"/>
      <c r="Y32" s="301"/>
      <c r="Z32" s="335"/>
      <c r="AA32" s="335"/>
      <c r="AB32" s="407"/>
      <c r="AC32" s="407"/>
      <c r="AD32" s="92"/>
      <c r="AE32" s="92"/>
      <c r="AF32" s="312"/>
      <c r="AG32" s="99"/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6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9"/>
      <c r="U34" s="19"/>
      <c r="V34" s="92"/>
      <c r="W34" s="149">
        <f t="shared" si="6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6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6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514" t="s">
        <v>42</v>
      </c>
      <c r="E37" s="515"/>
      <c r="F37" s="154"/>
      <c r="G37" s="220"/>
      <c r="H37" s="156"/>
      <c r="I37" s="157"/>
      <c r="J37" s="155">
        <f t="shared" ref="J37:O37" si="24">AVERAGE(J27:J36)</f>
        <v>16.8</v>
      </c>
      <c r="K37" s="155">
        <f t="shared" si="24"/>
        <v>1582.6</v>
      </c>
      <c r="L37" s="158">
        <f t="shared" si="24"/>
        <v>95.145349421820001</v>
      </c>
      <c r="M37" s="155">
        <f t="shared" si="24"/>
        <v>16.600000000000001</v>
      </c>
      <c r="N37" s="155">
        <f t="shared" si="24"/>
        <v>1407.1321715695076</v>
      </c>
      <c r="O37" s="158">
        <f t="shared" si="24"/>
        <v>85.074848055690239</v>
      </c>
      <c r="P37" s="159">
        <f>M37-J37</f>
        <v>-0.19999999999999929</v>
      </c>
      <c r="Q37" s="160">
        <f>N37-K37</f>
        <v>-175.46782843049232</v>
      </c>
      <c r="R37" s="161">
        <f t="shared" ref="R37:R41" si="25">O37/L37</f>
        <v>0.89415666212456768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-175.46782843049232</v>
      </c>
      <c r="AG37" s="124">
        <f>N37/K37</f>
        <v>0.88912686185360024</v>
      </c>
      <c r="AH37" s="406"/>
    </row>
    <row r="38" spans="1:34" ht="15" customHeight="1">
      <c r="A38" s="450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2365</v>
      </c>
      <c r="H38" s="134">
        <f>F38*G38</f>
        <v>118037.15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14</v>
      </c>
      <c r="N38" s="140">
        <f>G38/W38*60</f>
        <v>1351.428571428565</v>
      </c>
      <c r="O38" s="141">
        <f>N38/M38</f>
        <v>96.530612244897497</v>
      </c>
      <c r="P38" s="142">
        <f>M38-J38</f>
        <v>-1</v>
      </c>
      <c r="Q38" s="143">
        <f>O38-L38</f>
        <v>-17.736054421769168</v>
      </c>
      <c r="R38" s="144">
        <f t="shared" si="25"/>
        <v>0.84478365441858949</v>
      </c>
      <c r="S38" s="453">
        <f>R48</f>
        <v>0.86077910244886524</v>
      </c>
      <c r="T38" s="191">
        <v>0.33333333333333298</v>
      </c>
      <c r="U38" s="191">
        <v>0.40625</v>
      </c>
      <c r="V38" s="192"/>
      <c r="W38" s="193">
        <f t="shared" si="6"/>
        <v>105.00000000000051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-362.57142857143504</v>
      </c>
      <c r="AG38" s="195">
        <f>N38/K38</f>
        <v>0.7884647441240169</v>
      </c>
      <c r="AH38" s="459">
        <f>AG48</f>
        <v>0.87627784847243784</v>
      </c>
    </row>
    <row r="39" spans="1:34" ht="15" customHeight="1">
      <c r="A39" s="451"/>
      <c r="B39" s="75" t="s">
        <v>128</v>
      </c>
      <c r="C39" s="207"/>
      <c r="D39" s="198" t="s">
        <v>130</v>
      </c>
      <c r="E39" s="178"/>
      <c r="F39" s="75">
        <f>VLOOKUP(D39,廠價表!$C$1:$E$43,3,0)</f>
        <v>44.3</v>
      </c>
      <c r="G39" s="199">
        <v>1900</v>
      </c>
      <c r="H39" s="91">
        <f t="shared" ref="H39:H41" si="26">F39*G39</f>
        <v>84170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 t="shared" ref="L39:L41" si="27">K39/J39</f>
        <v>96.235294117647058</v>
      </c>
      <c r="M39" s="201">
        <v>17</v>
      </c>
      <c r="N39" s="202">
        <f t="shared" ref="N39:N41" si="28">G39/W39*60</f>
        <v>1373.4939759036115</v>
      </c>
      <c r="O39" s="203">
        <f t="shared" ref="O39:O41" si="29">N39/M39</f>
        <v>80.793763288447735</v>
      </c>
      <c r="P39" s="97">
        <f t="shared" ref="P39:P41" si="30">M39-J39</f>
        <v>0</v>
      </c>
      <c r="Q39" s="98">
        <f t="shared" ref="Q39:Q41" si="31">O39-L39</f>
        <v>-15.441530829199323</v>
      </c>
      <c r="R39" s="99">
        <f t="shared" si="25"/>
        <v>0.83954399505110733</v>
      </c>
      <c r="S39" s="454"/>
      <c r="T39" s="20">
        <v>0.44236111111111098</v>
      </c>
      <c r="U39" s="20">
        <v>0.5</v>
      </c>
      <c r="V39" s="92">
        <f>(T39-U38)*24*60</f>
        <v>51.999999999999815</v>
      </c>
      <c r="W39" s="205">
        <f t="shared" si="6"/>
        <v>83.000000000000185</v>
      </c>
      <c r="X39" s="174">
        <v>0.50694444444444398</v>
      </c>
      <c r="Y39" s="301">
        <v>0.54861111111111105</v>
      </c>
      <c r="Z39" s="90"/>
      <c r="AA39" s="90"/>
      <c r="AD39" s="200"/>
      <c r="AE39" s="200"/>
      <c r="AF39" s="314">
        <f>N39-K39</f>
        <v>-262.5060240963885</v>
      </c>
      <c r="AG39" s="206">
        <f>N39/K39</f>
        <v>0.83954399505110733</v>
      </c>
      <c r="AH39" s="460"/>
    </row>
    <row r="40" spans="1:34" ht="15" customHeight="1">
      <c r="A40" s="451"/>
      <c r="B40" s="75" t="s">
        <v>128</v>
      </c>
      <c r="C40" s="207"/>
      <c r="D40" s="198" t="s">
        <v>130</v>
      </c>
      <c r="E40" s="178"/>
      <c r="F40" s="75">
        <f>VLOOKUP(D40,廠價表!$C$1:$E$43,3,0)</f>
        <v>44.3</v>
      </c>
      <c r="G40" s="199">
        <f>4262+108</f>
        <v>4370</v>
      </c>
      <c r="H40" s="91">
        <f t="shared" si="26"/>
        <v>193591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 t="shared" si="27"/>
        <v>96.235294117647058</v>
      </c>
      <c r="M40" s="201">
        <v>17</v>
      </c>
      <c r="N40" s="202">
        <f t="shared" si="28"/>
        <v>1402.1390374331563</v>
      </c>
      <c r="O40" s="203">
        <f t="shared" si="29"/>
        <v>82.478766907832721</v>
      </c>
      <c r="P40" s="97">
        <f t="shared" si="30"/>
        <v>0</v>
      </c>
      <c r="Q40" s="98">
        <f t="shared" si="31"/>
        <v>-13.756527209814337</v>
      </c>
      <c r="R40" s="99">
        <f t="shared" si="25"/>
        <v>0.85705320136500995</v>
      </c>
      <c r="S40" s="440"/>
      <c r="T40" s="20">
        <v>0.55555555555555602</v>
      </c>
      <c r="U40" s="210">
        <v>0.68541666666666701</v>
      </c>
      <c r="V40" s="92">
        <f t="shared" ref="V40:V41" si="32">(T40-U39)*24*60</f>
        <v>80.000000000000682</v>
      </c>
      <c r="W40" s="205">
        <f t="shared" si="6"/>
        <v>186.99999999999983</v>
      </c>
      <c r="X40" s="208"/>
      <c r="Y40" s="209"/>
      <c r="Z40" s="337"/>
      <c r="AA40" s="337"/>
      <c r="AB40" s="462"/>
      <c r="AC40" s="462"/>
      <c r="AD40" s="92"/>
      <c r="AE40" s="92"/>
      <c r="AF40" s="313">
        <f>N40-K40</f>
        <v>-233.86096256684368</v>
      </c>
      <c r="AG40" s="195">
        <f>N40/K40</f>
        <v>0.85705320136500995</v>
      </c>
      <c r="AH40" s="460"/>
    </row>
    <row r="41" spans="1:34" ht="15" customHeight="1">
      <c r="A41" s="451"/>
      <c r="B41" s="75" t="s">
        <v>128</v>
      </c>
      <c r="C41" s="86"/>
      <c r="D41" s="198" t="s">
        <v>129</v>
      </c>
      <c r="E41" s="87"/>
      <c r="F41" s="75">
        <f>VLOOKUP(D41,廠價表!$C$1:$E$43,3,0)</f>
        <v>49.91</v>
      </c>
      <c r="G41" s="199">
        <f>1308</f>
        <v>1308</v>
      </c>
      <c r="H41" s="91">
        <f t="shared" si="26"/>
        <v>65282.28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 t="shared" si="27"/>
        <v>114.26666666666667</v>
      </c>
      <c r="M41" s="201">
        <v>17</v>
      </c>
      <c r="N41" s="202">
        <f t="shared" si="28"/>
        <v>1744</v>
      </c>
      <c r="O41" s="203">
        <f t="shared" si="29"/>
        <v>102.58823529411765</v>
      </c>
      <c r="P41" s="97">
        <f t="shared" si="30"/>
        <v>2</v>
      </c>
      <c r="Q41" s="98">
        <f t="shared" si="31"/>
        <v>-11.678431372549014</v>
      </c>
      <c r="R41" s="99">
        <f t="shared" si="25"/>
        <v>0.89779669160546371</v>
      </c>
      <c r="S41" s="440"/>
      <c r="T41" s="210">
        <v>0.69236111111111098</v>
      </c>
      <c r="U41" s="210">
        <v>0.72361111111111098</v>
      </c>
      <c r="V41" s="92">
        <f t="shared" si="32"/>
        <v>9.999999999999325</v>
      </c>
      <c r="W41" s="205">
        <f t="shared" si="6"/>
        <v>45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30</v>
      </c>
      <c r="AG41" s="206">
        <f>N41/K41</f>
        <v>1.0175029171528589</v>
      </c>
      <c r="AH41" s="460"/>
    </row>
    <row r="42" spans="1:34" ht="15" customHeight="1">
      <c r="A42" s="451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6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6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6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6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6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6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33">AVERAGE(J38:J47)</f>
        <v>16</v>
      </c>
      <c r="K48" s="155">
        <f t="shared" si="33"/>
        <v>1675</v>
      </c>
      <c r="L48" s="158">
        <f t="shared" si="33"/>
        <v>105.25098039215686</v>
      </c>
      <c r="M48" s="155">
        <f t="shared" si="33"/>
        <v>16.25</v>
      </c>
      <c r="N48" s="155">
        <f t="shared" si="33"/>
        <v>1467.7653961913334</v>
      </c>
      <c r="O48" s="158">
        <f t="shared" si="33"/>
        <v>90.597844433823894</v>
      </c>
      <c r="P48" s="221">
        <f>M48-J48</f>
        <v>0.25</v>
      </c>
      <c r="Q48" s="222">
        <f>N48-K48</f>
        <v>-207.23460380866663</v>
      </c>
      <c r="R48" s="223">
        <f t="shared" ref="R48:R51" si="34">O48/L48</f>
        <v>0.86077910244886524</v>
      </c>
      <c r="S48" s="443"/>
      <c r="T48" s="224"/>
      <c r="U48" s="224"/>
      <c r="V48" s="225"/>
      <c r="W48" s="226">
        <f t="shared" si="6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2" si="35">N48-K48</f>
        <v>-207.23460380866663</v>
      </c>
      <c r="AG48" s="162">
        <f t="shared" ref="AG48:AG52" si="36">N48/K48</f>
        <v>0.87627784847243784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f>1890+537</f>
        <v>2427</v>
      </c>
      <c r="H49" s="134">
        <f>F49*G49</f>
        <v>120185.04000000001</v>
      </c>
      <c r="I49" s="135"/>
      <c r="J49" s="36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1775.8536585366005</v>
      </c>
      <c r="O49" s="141">
        <f>N49/M49</f>
        <v>104.46197991391767</v>
      </c>
      <c r="P49" s="229">
        <f>M49-J49</f>
        <v>0</v>
      </c>
      <c r="Q49" s="230">
        <f>O49-L49</f>
        <v>-1.4203730272587904</v>
      </c>
      <c r="R49" s="52">
        <f t="shared" si="34"/>
        <v>0.98658536585366696</v>
      </c>
      <c r="S49" s="439">
        <f>R58</f>
        <v>0.9644448911409762</v>
      </c>
      <c r="T49" s="191">
        <v>0.29027777777777802</v>
      </c>
      <c r="U49" s="191">
        <v>0.34722222222222199</v>
      </c>
      <c r="V49" s="55"/>
      <c r="W49" s="193">
        <f t="shared" si="6"/>
        <v>81.999999999999304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35"/>
        <v>-24.146341463399494</v>
      </c>
      <c r="AG49" s="52">
        <f t="shared" si="36"/>
        <v>0.98658536585366696</v>
      </c>
      <c r="AH49" s="403">
        <f>AG58</f>
        <v>0.96545974575411975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f>2428+592+219</f>
        <v>3239</v>
      </c>
      <c r="H50" s="231">
        <f>F50*G50</f>
        <v>162886.071</v>
      </c>
      <c r="I50" s="177"/>
      <c r="J50" s="148">
        <f>VLOOKUP(D50,產線配置圖!$A$3:$C$40,2,0)</f>
        <v>18</v>
      </c>
      <c r="K50" s="62">
        <v>1636</v>
      </c>
      <c r="L50" s="81">
        <f>K50/J50</f>
        <v>90.888888888888886</v>
      </c>
      <c r="M50" s="233">
        <v>18</v>
      </c>
      <c r="N50" s="234">
        <f>G50/W50*60</f>
        <v>1619.5000000000068</v>
      </c>
      <c r="O50" s="235">
        <f>N50/M50</f>
        <v>89.972222222222598</v>
      </c>
      <c r="P50" s="74">
        <f>M50-J50</f>
        <v>0</v>
      </c>
      <c r="Q50" s="83">
        <f>O50-L50</f>
        <v>-0.91666666666628771</v>
      </c>
      <c r="R50" s="72">
        <f t="shared" si="34"/>
        <v>0.989914425427877</v>
      </c>
      <c r="S50" s="440"/>
      <c r="T50" s="21">
        <v>0.35416666666666702</v>
      </c>
      <c r="U50" s="21">
        <v>0.4375</v>
      </c>
      <c r="V50" s="30">
        <f>(T50-U49)*24*60</f>
        <v>10.000000000000844</v>
      </c>
      <c r="W50" s="236">
        <f t="shared" si="6"/>
        <v>119.99999999999949</v>
      </c>
      <c r="X50" s="22"/>
      <c r="Y50" s="84"/>
      <c r="Z50" s="90"/>
      <c r="AA50" s="90"/>
      <c r="AB50" s="407"/>
      <c r="AC50" s="407"/>
      <c r="AD50" s="92"/>
      <c r="AE50" s="92"/>
      <c r="AF50" s="307">
        <f t="shared" si="35"/>
        <v>-16.499999999993179</v>
      </c>
      <c r="AG50" s="72">
        <f t="shared" si="36"/>
        <v>0.989914425427877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v>49.97</v>
      </c>
      <c r="G51" s="202">
        <v>1589</v>
      </c>
      <c r="H51" s="231">
        <v>71007.37</v>
      </c>
      <c r="I51" s="177"/>
      <c r="J51" s="148">
        <f>VLOOKUP(D51,產線配置圖!$A$3:$C$40,2,0)</f>
        <v>16</v>
      </c>
      <c r="K51" s="62">
        <v>1800</v>
      </c>
      <c r="L51" s="81">
        <f t="shared" ref="L51:L52" si="37">K51/J51</f>
        <v>112.5</v>
      </c>
      <c r="M51" s="233">
        <v>16</v>
      </c>
      <c r="N51" s="234">
        <f t="shared" ref="N51:N52" si="38">G51/W51*60</f>
        <v>1702.4999999999941</v>
      </c>
      <c r="O51" s="235">
        <f t="shared" ref="O51:O52" si="39">N51/M51</f>
        <v>106.40624999999963</v>
      </c>
      <c r="P51" s="74">
        <v>-1</v>
      </c>
      <c r="Q51" s="83">
        <f t="shared" ref="Q51:Q52" si="40">O51-L51</f>
        <v>-6.0937500000003695</v>
      </c>
      <c r="R51" s="72">
        <f t="shared" si="34"/>
        <v>0.94583333333333008</v>
      </c>
      <c r="S51" s="440"/>
      <c r="T51" s="21">
        <v>0.44444444444444398</v>
      </c>
      <c r="U51" s="19">
        <v>0.483333333333333</v>
      </c>
      <c r="V51" s="30">
        <f>(T51-U50)*24*60</f>
        <v>9.999999999999325</v>
      </c>
      <c r="W51" s="236">
        <f t="shared" si="6"/>
        <v>56.000000000000199</v>
      </c>
      <c r="X51" s="22">
        <v>0.48958333333333298</v>
      </c>
      <c r="Y51" s="84">
        <v>0.53125</v>
      </c>
      <c r="Z51" s="90"/>
      <c r="AA51" s="90"/>
      <c r="AB51" s="407"/>
      <c r="AC51" s="407"/>
      <c r="AD51" s="92"/>
      <c r="AE51" s="92"/>
      <c r="AF51" s="307">
        <f t="shared" si="35"/>
        <v>-97.500000000005912</v>
      </c>
      <c r="AG51" s="72">
        <f t="shared" si="36"/>
        <v>0.94583333333333008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v>49.97</v>
      </c>
      <c r="G52" s="202">
        <v>4303</v>
      </c>
      <c r="H52" s="231">
        <v>158105.07999999999</v>
      </c>
      <c r="I52" s="232"/>
      <c r="J52" s="367">
        <f>VLOOKUP(D52,產線配置圖!$A$3:$C$40,2,0)</f>
        <v>16</v>
      </c>
      <c r="K52" s="80">
        <v>1636</v>
      </c>
      <c r="L52" s="81">
        <f t="shared" si="37"/>
        <v>102.25</v>
      </c>
      <c r="M52" s="233">
        <v>16</v>
      </c>
      <c r="N52" s="234">
        <f t="shared" si="38"/>
        <v>1536.7857142857094</v>
      </c>
      <c r="O52" s="235">
        <f t="shared" si="39"/>
        <v>96.04910714285684</v>
      </c>
      <c r="P52" s="74">
        <v>-2</v>
      </c>
      <c r="Q52" s="83">
        <f t="shared" si="40"/>
        <v>-6.2008928571431596</v>
      </c>
      <c r="R52" s="72">
        <f>O52/L52</f>
        <v>0.93935557107928447</v>
      </c>
      <c r="S52" s="440"/>
      <c r="T52" s="21">
        <v>0.53819444444444398</v>
      </c>
      <c r="U52" s="21">
        <v>0.65486111111111101</v>
      </c>
      <c r="V52" s="30">
        <f>(T52-U51)*24*60</f>
        <v>78.999999999999801</v>
      </c>
      <c r="W52" s="236">
        <f t="shared" si="6"/>
        <v>168.00000000000051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35"/>
        <v>-99.214285714290554</v>
      </c>
      <c r="AG52" s="72">
        <f t="shared" si="36"/>
        <v>0.93935557107928447</v>
      </c>
      <c r="AH52" s="404"/>
    </row>
    <row r="53" spans="1:34" ht="15" customHeight="1">
      <c r="A53" s="469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440"/>
      <c r="T53" s="21"/>
      <c r="U53" s="21"/>
      <c r="V53" s="30"/>
      <c r="W53" s="236">
        <f t="shared" si="6"/>
        <v>0</v>
      </c>
      <c r="X53" s="30"/>
      <c r="Y53" s="151"/>
      <c r="Z53" s="90"/>
      <c r="AA53" s="90"/>
      <c r="AB53" s="407"/>
      <c r="AC53" s="407"/>
      <c r="AD53" s="92"/>
      <c r="AE53" s="92"/>
      <c r="AF53" s="307"/>
      <c r="AG53" s="72"/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6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30"/>
      <c r="W55" s="236">
        <f t="shared" si="6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6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6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41">AVERAGE(J49:J57)</f>
        <v>16.75</v>
      </c>
      <c r="K58" s="120">
        <f t="shared" si="41"/>
        <v>1718</v>
      </c>
      <c r="L58" s="117">
        <f t="shared" si="41"/>
        <v>102.88031045751634</v>
      </c>
      <c r="M58" s="120">
        <f t="shared" si="41"/>
        <v>16.75</v>
      </c>
      <c r="N58" s="120">
        <f t="shared" si="41"/>
        <v>1658.6598432055778</v>
      </c>
      <c r="O58" s="117">
        <f t="shared" si="41"/>
        <v>99.222389819749182</v>
      </c>
      <c r="P58" s="121">
        <f>M58-J58</f>
        <v>0</v>
      </c>
      <c r="Q58" s="122">
        <f>N58-K58</f>
        <v>-59.340156794422228</v>
      </c>
      <c r="R58" s="123">
        <f t="shared" ref="R58:R61" si="42">O58/L58</f>
        <v>0.9644448911409762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 t="shared" ref="AF58:AF63" si="43">N58-K58</f>
        <v>-59.340156794422228</v>
      </c>
      <c r="AG58" s="124">
        <f t="shared" ref="AG58:AG63" si="44">N58/K58</f>
        <v>0.96545974575411975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2678</v>
      </c>
      <c r="H59" s="243">
        <f>F59*G59</f>
        <v>72279.22</v>
      </c>
      <c r="I59" s="55"/>
      <c r="J59" s="136">
        <f>VLOOKUP(D59,產線配置圖!$A$3:$C$40,2,0)</f>
        <v>15</v>
      </c>
      <c r="K59" s="137">
        <v>1636</v>
      </c>
      <c r="L59" s="138">
        <f>K59/J59</f>
        <v>109.06666666666666</v>
      </c>
      <c r="M59" s="244">
        <v>15</v>
      </c>
      <c r="N59" s="137">
        <f>G59/W59*60</f>
        <v>1501.6822429906661</v>
      </c>
      <c r="O59" s="138">
        <f>N59/M59</f>
        <v>100.11214953271107</v>
      </c>
      <c r="P59" s="56">
        <f>M59-J59</f>
        <v>0</v>
      </c>
      <c r="Q59" s="230">
        <f>O59-L59</f>
        <v>-8.9545171339555907</v>
      </c>
      <c r="R59" s="52">
        <f t="shared" si="42"/>
        <v>0.91789868153463705</v>
      </c>
      <c r="S59" s="439">
        <f>R69</f>
        <v>0.93161235285314459</v>
      </c>
      <c r="T59" s="245">
        <v>0.29027777777777802</v>
      </c>
      <c r="U59" s="245">
        <v>0.36458333333333298</v>
      </c>
      <c r="V59" s="55"/>
      <c r="W59" s="54">
        <f t="shared" si="6"/>
        <v>106.99999999999915</v>
      </c>
      <c r="X59" s="55"/>
      <c r="Y59" s="290"/>
      <c r="Z59" s="169"/>
      <c r="AA59" s="169"/>
      <c r="AB59" s="429"/>
      <c r="AC59" s="429"/>
      <c r="AD59" s="135"/>
      <c r="AE59" s="135"/>
      <c r="AF59" s="310">
        <f t="shared" si="43"/>
        <v>-134.31775700933395</v>
      </c>
      <c r="AG59" s="246">
        <f t="shared" si="44"/>
        <v>0.91789868153463694</v>
      </c>
      <c r="AH59" s="403">
        <f>AG69</f>
        <v>0.93056570169152264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1801</v>
      </c>
      <c r="H60" s="78">
        <f>F60*G60</f>
        <v>50896.26</v>
      </c>
      <c r="I60" s="30"/>
      <c r="J60" s="79">
        <f>VLOOKUP(D60,產線配置圖!$A$3:$C$40,2,0)</f>
        <v>12</v>
      </c>
      <c r="K60" s="80">
        <v>1636</v>
      </c>
      <c r="L60" s="81">
        <f>K60/J60</f>
        <v>136.33333333333334</v>
      </c>
      <c r="M60" s="82">
        <v>12</v>
      </c>
      <c r="N60" s="80">
        <f>G60/W60*60</f>
        <v>1480.2739726027239</v>
      </c>
      <c r="O60" s="81">
        <f>N60/M60</f>
        <v>123.35616438356033</v>
      </c>
      <c r="P60" s="74">
        <f>M60-J60</f>
        <v>0</v>
      </c>
      <c r="Q60" s="83">
        <f>O60-L60</f>
        <v>-12.977168949773016</v>
      </c>
      <c r="R60" s="72">
        <f t="shared" si="42"/>
        <v>0.90481294168870652</v>
      </c>
      <c r="S60" s="467"/>
      <c r="T60" s="22">
        <v>0.37847222222222199</v>
      </c>
      <c r="U60" s="22">
        <v>0.42916666666666697</v>
      </c>
      <c r="V60" s="30">
        <f>(T60-U59)*24*60</f>
        <v>20.000000000000171</v>
      </c>
      <c r="W60" s="248">
        <f t="shared" si="6"/>
        <v>73.000000000000782</v>
      </c>
      <c r="X60" s="232"/>
      <c r="Y60" s="177"/>
      <c r="Z60" s="90"/>
      <c r="AA60" s="90"/>
      <c r="AB60" s="407"/>
      <c r="AC60" s="407"/>
      <c r="AD60" s="92"/>
      <c r="AE60" s="92"/>
      <c r="AF60" s="316">
        <f t="shared" si="43"/>
        <v>-155.72602739727608</v>
      </c>
      <c r="AG60" s="249">
        <f t="shared" si="44"/>
        <v>0.90481294168870652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f>2422+100</f>
        <v>2522</v>
      </c>
      <c r="H61" s="254">
        <f>F61*G61</f>
        <v>71271.72</v>
      </c>
      <c r="I61" s="182"/>
      <c r="J61" s="106">
        <f>VLOOKUP(D61,產線配置圖!$A$3:$C$40,2,0)</f>
        <v>11</v>
      </c>
      <c r="K61" s="107">
        <v>1636</v>
      </c>
      <c r="L61" s="238">
        <f>K61/J61</f>
        <v>148.72727272727272</v>
      </c>
      <c r="M61" s="108">
        <v>11</v>
      </c>
      <c r="N61" s="107">
        <f>G61/W61*60</f>
        <v>1513.1999999999884</v>
      </c>
      <c r="O61" s="238">
        <f>N61/M61</f>
        <v>137.56363636363531</v>
      </c>
      <c r="P61" s="111">
        <f>M61-J61</f>
        <v>0</v>
      </c>
      <c r="Q61" s="255">
        <f>O61-L61</f>
        <v>-11.163636363637409</v>
      </c>
      <c r="R61" s="85">
        <f t="shared" si="42"/>
        <v>0.92493887530561647</v>
      </c>
      <c r="S61" s="440"/>
      <c r="T61" s="22">
        <v>0.43611111111111101</v>
      </c>
      <c r="U61" s="22">
        <v>0.50555555555555598</v>
      </c>
      <c r="V61" s="30">
        <f t="shared" ref="V61:V63" si="45">(T61-U60)*24*60</f>
        <v>9.9999999999994049</v>
      </c>
      <c r="W61" s="256">
        <f t="shared" si="6"/>
        <v>100.00000000000077</v>
      </c>
      <c r="X61" s="22"/>
      <c r="Y61" s="84"/>
      <c r="Z61" s="90"/>
      <c r="AA61" s="90"/>
      <c r="AB61" s="407"/>
      <c r="AC61" s="407"/>
      <c r="AD61" s="92"/>
      <c r="AE61" s="92"/>
      <c r="AF61" s="317">
        <f t="shared" si="43"/>
        <v>-122.80000000001155</v>
      </c>
      <c r="AG61" s="247">
        <f t="shared" si="44"/>
        <v>0.92493887530561636</v>
      </c>
      <c r="AH61" s="404"/>
    </row>
    <row r="62" spans="1:34" ht="15" customHeight="1">
      <c r="A62" s="465"/>
      <c r="B62" s="258" t="s">
        <v>125</v>
      </c>
      <c r="C62" s="58"/>
      <c r="D62" s="259" t="s">
        <v>192</v>
      </c>
      <c r="E62" s="60"/>
      <c r="F62" s="250">
        <f>VLOOKUP(D62,廠價表!$C$1:$E$43,3,0)</f>
        <v>28.26</v>
      </c>
      <c r="G62" s="260">
        <v>2358</v>
      </c>
      <c r="H62" s="254">
        <f>F62*G62</f>
        <v>66637.08</v>
      </c>
      <c r="I62" s="182"/>
      <c r="J62" s="106">
        <f>VLOOKUP(D62,產線配置圖!$A$3:$C$40,2,0)</f>
        <v>11</v>
      </c>
      <c r="K62" s="107">
        <v>1637</v>
      </c>
      <c r="L62" s="238">
        <f>K62/J62</f>
        <v>148.81818181818181</v>
      </c>
      <c r="M62" s="108">
        <v>11</v>
      </c>
      <c r="N62" s="107">
        <f>G62/W62*60</f>
        <v>1589.6629213483288</v>
      </c>
      <c r="O62" s="238">
        <f>N62/M62</f>
        <v>144.51481103166626</v>
      </c>
      <c r="P62" s="111">
        <f>M62-J62</f>
        <v>0</v>
      </c>
      <c r="Q62" s="255">
        <f>O62-L62</f>
        <v>-4.3033707865155577</v>
      </c>
      <c r="R62" s="85">
        <f>O62/L62</f>
        <v>0.9710830307564623</v>
      </c>
      <c r="S62" s="440"/>
      <c r="T62" s="22">
        <v>0.561805555555556</v>
      </c>
      <c r="U62" s="22">
        <v>0.62361111111111101</v>
      </c>
      <c r="V62" s="30">
        <f t="shared" si="45"/>
        <v>81.000000000000028</v>
      </c>
      <c r="W62" s="248">
        <f t="shared" si="6"/>
        <v>88.999999999999204</v>
      </c>
      <c r="X62" s="22">
        <v>0.51388888888888895</v>
      </c>
      <c r="Y62" s="84">
        <v>0.55555555555555602</v>
      </c>
      <c r="Z62" s="90"/>
      <c r="AA62" s="90"/>
      <c r="AB62" s="407"/>
      <c r="AC62" s="407"/>
      <c r="AD62" s="92"/>
      <c r="AE62" s="92"/>
      <c r="AF62" s="317">
        <f t="shared" si="43"/>
        <v>-47.337078651671163</v>
      </c>
      <c r="AG62" s="247">
        <f t="shared" si="44"/>
        <v>0.9710830307564623</v>
      </c>
      <c r="AH62" s="404"/>
    </row>
    <row r="63" spans="1:34" ht="15" customHeight="1">
      <c r="A63" s="465"/>
      <c r="B63" s="75" t="s">
        <v>125</v>
      </c>
      <c r="C63" s="76"/>
      <c r="D63" s="175" t="s">
        <v>134</v>
      </c>
      <c r="E63" s="77"/>
      <c r="F63" s="250">
        <f>VLOOKUP(D63,廠價表!$C$1:$E$43,3,0)</f>
        <v>26.99</v>
      </c>
      <c r="G63" s="30">
        <v>1530</v>
      </c>
      <c r="H63" s="254">
        <f>F63*G63</f>
        <v>41294.699999999997</v>
      </c>
      <c r="I63" s="182"/>
      <c r="J63" s="106">
        <f>VLOOKUP(D63,產線配置圖!$A$3:$C$40,2,0)</f>
        <v>15</v>
      </c>
      <c r="K63" s="107">
        <v>1638</v>
      </c>
      <c r="L63" s="238">
        <f>K63/J63</f>
        <v>109.2</v>
      </c>
      <c r="M63" s="108">
        <v>15</v>
      </c>
      <c r="N63" s="107">
        <f>G63/W63*60</f>
        <v>1530.0000000000218</v>
      </c>
      <c r="O63" s="238">
        <f>N63/M63</f>
        <v>102.00000000000145</v>
      </c>
      <c r="P63" s="111">
        <f>M63-J63</f>
        <v>0</v>
      </c>
      <c r="Q63" s="255">
        <f>O63-L63</f>
        <v>-7.1999999999985533</v>
      </c>
      <c r="R63" s="85">
        <f>O63/L63</f>
        <v>0.93406593406594729</v>
      </c>
      <c r="S63" s="440"/>
      <c r="T63" s="22">
        <v>0.63541666666666696</v>
      </c>
      <c r="U63" s="22">
        <v>0.67708333333333304</v>
      </c>
      <c r="V63" s="30">
        <f t="shared" si="45"/>
        <v>17.000000000000579</v>
      </c>
      <c r="W63" s="248">
        <f t="shared" si="6"/>
        <v>59.999999999999147</v>
      </c>
      <c r="X63" s="261"/>
      <c r="Y63" s="291"/>
      <c r="Z63" s="335"/>
      <c r="AA63" s="335"/>
      <c r="AB63" s="407"/>
      <c r="AC63" s="407"/>
      <c r="AD63" s="92"/>
      <c r="AE63" s="92"/>
      <c r="AF63" s="317">
        <f t="shared" si="43"/>
        <v>-107.99999999997817</v>
      </c>
      <c r="AG63" s="247">
        <f t="shared" si="44"/>
        <v>0.9340659340659474</v>
      </c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6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2"/>
      <c r="U65" s="22"/>
      <c r="V65" s="30"/>
      <c r="W65" s="73">
        <f t="shared" si="6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2"/>
      <c r="U66" s="22"/>
      <c r="V66" s="30"/>
      <c r="W66" s="73">
        <f t="shared" si="6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6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6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46">AVERAGE(J59:J68)</f>
        <v>12.8</v>
      </c>
      <c r="K69" s="240">
        <f t="shared" si="46"/>
        <v>1636.6</v>
      </c>
      <c r="L69" s="268">
        <f t="shared" si="46"/>
        <v>130.42909090909092</v>
      </c>
      <c r="M69" s="240">
        <f t="shared" si="46"/>
        <v>12.8</v>
      </c>
      <c r="N69" s="240">
        <f t="shared" si="46"/>
        <v>1522.9638273883459</v>
      </c>
      <c r="O69" s="268">
        <f t="shared" si="46"/>
        <v>121.50935226231488</v>
      </c>
      <c r="P69" s="269">
        <f>M69-J69</f>
        <v>0</v>
      </c>
      <c r="Q69" s="222">
        <f>N69-K69</f>
        <v>-113.63617261165405</v>
      </c>
      <c r="R69" s="123">
        <f>O69/L69</f>
        <v>0.93161235285314459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8">
        <f>N69-K69</f>
        <v>-113.63617261165405</v>
      </c>
      <c r="AG69" s="85">
        <f>N69/K69</f>
        <v>0.93056570169152264</v>
      </c>
      <c r="AH69" s="406"/>
    </row>
    <row r="70" spans="1:36" ht="15" customHeight="1">
      <c r="A70" s="471" t="s">
        <v>55</v>
      </c>
      <c r="B70" s="75" t="s">
        <v>125</v>
      </c>
      <c r="C70" s="58"/>
      <c r="D70" s="259" t="s">
        <v>192</v>
      </c>
      <c r="E70" s="60"/>
      <c r="F70" s="75">
        <f>VLOOKUP(D70,廠價表!$C$1:$E$43,3,0)</f>
        <v>28.26</v>
      </c>
      <c r="G70" s="273">
        <v>1942</v>
      </c>
      <c r="H70" s="91">
        <f>F70*G70</f>
        <v>54880.920000000006</v>
      </c>
      <c r="I70" s="182"/>
      <c r="J70" s="79">
        <f>VLOOKUP(D70,產線配置圖!$A$3:$C$40,2,0)</f>
        <v>11</v>
      </c>
      <c r="K70" s="80">
        <f>VLOOKUP(D70,產線配置圖!$A$3:$C$40,3,0)</f>
        <v>1636</v>
      </c>
      <c r="L70" s="93">
        <f>K70/J70</f>
        <v>148.72727272727272</v>
      </c>
      <c r="M70" s="94">
        <v>9</v>
      </c>
      <c r="N70" s="95">
        <f>G70/W70*60</f>
        <v>1153.6633663366315</v>
      </c>
      <c r="O70" s="96">
        <f>N70/M70</f>
        <v>128.18481848184794</v>
      </c>
      <c r="P70" s="97">
        <f>M70-J70</f>
        <v>-2</v>
      </c>
      <c r="Q70" s="98">
        <f>O70-L70</f>
        <v>-20.542454245424778</v>
      </c>
      <c r="R70" s="99">
        <f>O70/L70</f>
        <v>0.86187836387550576</v>
      </c>
      <c r="S70" s="439">
        <f>R79</f>
        <v>0.86542641347275973</v>
      </c>
      <c r="T70" s="22">
        <v>0.30208333333333298</v>
      </c>
      <c r="U70" s="22">
        <v>0.37222222222222201</v>
      </c>
      <c r="V70" s="55"/>
      <c r="W70" s="54">
        <f t="shared" si="6"/>
        <v>101.0000000000002</v>
      </c>
      <c r="X70" s="270"/>
      <c r="Y70" s="292"/>
      <c r="Z70" s="169"/>
      <c r="AA70" s="169"/>
      <c r="AB70" s="429"/>
      <c r="AC70" s="429"/>
      <c r="AD70" s="135"/>
      <c r="AE70" s="135"/>
      <c r="AF70" s="97">
        <f>N70-K70</f>
        <v>-482.3366336633685</v>
      </c>
      <c r="AG70" s="99">
        <f>N70/K70</f>
        <v>0.70517320680723194</v>
      </c>
      <c r="AH70" s="476">
        <f>AG79</f>
        <v>0.67769763232948299</v>
      </c>
    </row>
    <row r="71" spans="1:36" ht="15" customHeight="1">
      <c r="A71" s="472"/>
      <c r="B71" s="75" t="s">
        <v>81</v>
      </c>
      <c r="C71" s="58"/>
      <c r="D71" s="259" t="s">
        <v>206</v>
      </c>
      <c r="E71" s="60"/>
      <c r="F71" s="75">
        <f>VLOOKUP(D71,廠價表!$C$1:$E$43,3,0)</f>
        <v>45.66</v>
      </c>
      <c r="G71" s="273">
        <v>2203</v>
      </c>
      <c r="H71" s="91">
        <f>F71*G71</f>
        <v>100588.98</v>
      </c>
      <c r="I71" s="182"/>
      <c r="J71" s="79">
        <f>VLOOKUP(D71,產線配置圖!$A$3:$C$40,2,0)</f>
        <v>17</v>
      </c>
      <c r="K71" s="80">
        <f>VLOOKUP(D71,產線配置圖!$A$3:$C$40,3,0)</f>
        <v>1500</v>
      </c>
      <c r="L71" s="93">
        <f>K71/J71</f>
        <v>88.235294117647058</v>
      </c>
      <c r="M71" s="94">
        <v>12</v>
      </c>
      <c r="N71" s="95">
        <f>G71/W71*60</f>
        <v>944.14285714284904</v>
      </c>
      <c r="O71" s="96">
        <f>N71/M71</f>
        <v>78.678571428570748</v>
      </c>
      <c r="P71" s="97">
        <f>M71-J71</f>
        <v>-5</v>
      </c>
      <c r="Q71" s="98">
        <f>O71-L71</f>
        <v>-9.5567226890763095</v>
      </c>
      <c r="R71" s="99">
        <f>O71/L71</f>
        <v>0.89169047619046848</v>
      </c>
      <c r="S71" s="440"/>
      <c r="T71" s="22">
        <v>0.39583333333333298</v>
      </c>
      <c r="U71" s="22">
        <v>0.49305555555555602</v>
      </c>
      <c r="V71" s="30">
        <f>(T71-U70)*24*60</f>
        <v>33.999999999999801</v>
      </c>
      <c r="W71" s="73">
        <f t="shared" si="6"/>
        <v>140.00000000000119</v>
      </c>
      <c r="X71" s="271"/>
      <c r="Y71" s="293"/>
      <c r="Z71" s="90"/>
      <c r="AA71" s="90"/>
      <c r="AB71" s="407" t="s">
        <v>242</v>
      </c>
      <c r="AC71" s="407"/>
      <c r="AD71" s="200"/>
      <c r="AE71" s="200"/>
      <c r="AF71" s="370">
        <f>N71-K71</f>
        <v>-555.85714285715096</v>
      </c>
      <c r="AG71" s="371">
        <f>N71/K71</f>
        <v>0.62942857142856601</v>
      </c>
      <c r="AH71" s="445"/>
    </row>
    <row r="72" spans="1:36" ht="15" customHeight="1">
      <c r="A72" s="472"/>
      <c r="B72" s="75" t="s">
        <v>81</v>
      </c>
      <c r="C72" s="58"/>
      <c r="D72" s="259" t="s">
        <v>206</v>
      </c>
      <c r="E72" s="60"/>
      <c r="F72" s="75">
        <f>VLOOKUP(D72,廠價表!$C$1:$E$43,3,0)</f>
        <v>45.66</v>
      </c>
      <c r="G72" s="273">
        <f>1761+240</f>
        <v>2001</v>
      </c>
      <c r="H72" s="91">
        <f>F72*G72</f>
        <v>91365.659999999989</v>
      </c>
      <c r="I72" s="182"/>
      <c r="J72" s="79">
        <f>VLOOKUP(D72,產線配置圖!$A$3:$C$40,2,0)</f>
        <v>17</v>
      </c>
      <c r="K72" s="80">
        <f>VLOOKUP(D72,產線配置圖!$A$3:$C$40,3,0)</f>
        <v>1500</v>
      </c>
      <c r="L72" s="93">
        <f>K72/J72</f>
        <v>88.235294117647058</v>
      </c>
      <c r="M72" s="94">
        <v>14</v>
      </c>
      <c r="N72" s="95">
        <f>G72/W72*60</f>
        <v>1044.0000000000023</v>
      </c>
      <c r="O72" s="96">
        <f>N72/M72</f>
        <v>74.57142857142874</v>
      </c>
      <c r="P72" s="97">
        <f>M72-J72</f>
        <v>-3</v>
      </c>
      <c r="Q72" s="98">
        <f>O72-L72</f>
        <v>-13.663865546218318</v>
      </c>
      <c r="R72" s="99">
        <f>O72/L72</f>
        <v>0.84514285714285908</v>
      </c>
      <c r="S72" s="440"/>
      <c r="T72" s="22">
        <v>0.55555555555555602</v>
      </c>
      <c r="U72" s="22">
        <v>0.63541666666666696</v>
      </c>
      <c r="V72" s="30">
        <f>(T72-U71)*24*60</f>
        <v>90</v>
      </c>
      <c r="W72" s="73">
        <f t="shared" si="6"/>
        <v>114.99999999999974</v>
      </c>
      <c r="X72" s="272"/>
      <c r="Y72" s="288"/>
      <c r="Z72" s="90"/>
      <c r="AA72" s="90"/>
      <c r="AB72" s="407" t="s">
        <v>242</v>
      </c>
      <c r="AC72" s="407"/>
      <c r="AD72" s="92"/>
      <c r="AE72" s="92"/>
      <c r="AF72" s="370">
        <f>N72-K72</f>
        <v>-455.99999999999773</v>
      </c>
      <c r="AG72" s="371">
        <f>N72/K72</f>
        <v>0.69600000000000151</v>
      </c>
      <c r="AH72" s="445"/>
    </row>
    <row r="73" spans="1:36" ht="15" customHeight="1">
      <c r="A73" s="472"/>
      <c r="B73" s="75"/>
      <c r="C73" s="58"/>
      <c r="D73" s="259"/>
      <c r="E73" s="60"/>
      <c r="F73" s="75"/>
      <c r="G73" s="273"/>
      <c r="H73" s="91"/>
      <c r="I73" s="182"/>
      <c r="J73" s="79"/>
      <c r="K73" s="80"/>
      <c r="L73" s="93"/>
      <c r="M73" s="94"/>
      <c r="N73" s="95"/>
      <c r="O73" s="96"/>
      <c r="P73" s="97"/>
      <c r="Q73" s="98"/>
      <c r="R73" s="99"/>
      <c r="S73" s="440"/>
      <c r="T73" s="22"/>
      <c r="U73" s="22"/>
      <c r="V73" s="30"/>
      <c r="W73" s="73">
        <f t="shared" si="6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91"/>
      <c r="I74" s="182"/>
      <c r="J74" s="79"/>
      <c r="K74" s="80"/>
      <c r="L74" s="93"/>
      <c r="M74" s="94"/>
      <c r="N74" s="95"/>
      <c r="O74" s="96"/>
      <c r="P74" s="97"/>
      <c r="Q74" s="98"/>
      <c r="R74" s="99"/>
      <c r="S74" s="440"/>
      <c r="T74" s="22"/>
      <c r="U74" s="22"/>
      <c r="V74" s="30"/>
      <c r="W74" s="73">
        <f t="shared" si="6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2"/>
      <c r="U75" s="22"/>
      <c r="V75" s="30"/>
      <c r="W75" s="256">
        <f t="shared" si="6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2"/>
      <c r="U76" s="22"/>
      <c r="V76" s="30"/>
      <c r="W76" s="248">
        <f t="shared" si="6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2"/>
      <c r="U77" s="22"/>
      <c r="V77" s="30"/>
      <c r="W77" s="73">
        <f t="shared" si="6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09"/>
      <c r="U78" s="109"/>
      <c r="V78" s="38"/>
      <c r="W78" s="73">
        <f t="shared" si="6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 t="s">
        <v>56</v>
      </c>
      <c r="D79" s="430" t="s">
        <v>42</v>
      </c>
      <c r="E79" s="430"/>
      <c r="F79" s="116"/>
      <c r="G79" s="117"/>
      <c r="H79" s="282"/>
      <c r="I79" s="268"/>
      <c r="J79" s="240">
        <f t="shared" ref="J79:O79" si="47">AVERAGE(J70:J78)</f>
        <v>15</v>
      </c>
      <c r="K79" s="240">
        <f t="shared" si="47"/>
        <v>1545.3333333333333</v>
      </c>
      <c r="L79" s="268">
        <f t="shared" si="47"/>
        <v>108.39928698752227</v>
      </c>
      <c r="M79" s="240">
        <f t="shared" si="47"/>
        <v>11.666666666666666</v>
      </c>
      <c r="N79" s="240">
        <f t="shared" si="47"/>
        <v>1047.2687411598276</v>
      </c>
      <c r="O79" s="268">
        <f t="shared" si="47"/>
        <v>93.811606160615796</v>
      </c>
      <c r="P79" s="269">
        <f>M79-J79</f>
        <v>-3.3333333333333339</v>
      </c>
      <c r="Q79" s="222">
        <f>N79-K79</f>
        <v>-498.06459217350562</v>
      </c>
      <c r="R79" s="223">
        <f>O79/L79</f>
        <v>0.86542641347275973</v>
      </c>
      <c r="S79" s="443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-498.06459217350562</v>
      </c>
      <c r="AG79" s="124">
        <f>N79/K79</f>
        <v>0.67769763232948299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5"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48:AC4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5:A15"/>
    <mergeCell ref="S5:S15"/>
    <mergeCell ref="AB5:AC5"/>
    <mergeCell ref="AH5:AH15"/>
    <mergeCell ref="AB6:AC6"/>
    <mergeCell ref="AB7:AC7"/>
    <mergeCell ref="D15:E15"/>
    <mergeCell ref="AB15:AC15"/>
    <mergeCell ref="AB9:AC9"/>
    <mergeCell ref="AB10:AC10"/>
    <mergeCell ref="AB11:AC11"/>
    <mergeCell ref="AB12:AC12"/>
    <mergeCell ref="AB14:AC14"/>
    <mergeCell ref="A2:B2"/>
    <mergeCell ref="A3:A4"/>
    <mergeCell ref="B3:B4"/>
    <mergeCell ref="D3:E4"/>
    <mergeCell ref="F3:F4"/>
    <mergeCell ref="M3:M4"/>
    <mergeCell ref="N3:N4"/>
    <mergeCell ref="O3:O4"/>
    <mergeCell ref="P3:P4"/>
    <mergeCell ref="P1:S2"/>
    <mergeCell ref="G3:G4"/>
    <mergeCell ref="Q3:Q4"/>
    <mergeCell ref="J1:L2"/>
    <mergeCell ref="M1:O2"/>
    <mergeCell ref="H3:H4"/>
    <mergeCell ref="I3:I4"/>
    <mergeCell ref="J3:J4"/>
    <mergeCell ref="K3:K4"/>
    <mergeCell ref="L3:L4"/>
    <mergeCell ref="AF1:AH2"/>
    <mergeCell ref="R3:R4"/>
    <mergeCell ref="S3:S4"/>
    <mergeCell ref="AD3:AE3"/>
    <mergeCell ref="AF3:AF4"/>
    <mergeCell ref="AG3:AG4"/>
    <mergeCell ref="AB13:AC13"/>
    <mergeCell ref="AH3:AH4"/>
    <mergeCell ref="T3:U3"/>
    <mergeCell ref="V3:V4"/>
    <mergeCell ref="W3:W4"/>
    <mergeCell ref="X3:Y3"/>
    <mergeCell ref="Z3:AA3"/>
    <mergeCell ref="AB3:AC4"/>
    <mergeCell ref="T1:Y2"/>
    <mergeCell ref="AB1:AC2"/>
  </mergeCells>
  <phoneticPr fontId="0" type="noConversion"/>
  <conditionalFormatting sqref="P5:P79">
    <cfRule type="cellIs" dxfId="28" priority="1" operator="greaterThan">
      <formula>0</formula>
    </cfRule>
  </conditionalFormatting>
  <conditionalFormatting sqref="Q5:Q79 AF5:AF79">
    <cfRule type="cellIs" dxfId="27" priority="4" operator="lessThan">
      <formula>0</formula>
    </cfRule>
  </conditionalFormatting>
  <conditionalFormatting sqref="R5:R79 AG5:AG79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S5:S10 S37:S62 AH59:AH62 S69:S76 AH69:AH76">
    <cfRule type="cellIs" dxfId="24" priority="7" operator="lessThan">
      <formula>0.8</formula>
    </cfRule>
  </conditionalFormatting>
  <conditionalFormatting sqref="S19:S25 AH19:AH25">
    <cfRule type="cellIs" dxfId="23" priority="6" operator="lessThan">
      <formula>0.8</formula>
    </cfRule>
  </conditionalFormatting>
  <conditionalFormatting sqref="S79">
    <cfRule type="cellIs" dxfId="22" priority="5" operator="lessThan">
      <formula>0.8</formula>
    </cfRule>
  </conditionalFormatting>
  <conditionalFormatting sqref="AH5:AH8 S15:S16 AH15:AH16 AH49 AH79">
    <cfRule type="cellIs" dxfId="21" priority="9" operator="lessThan">
      <formula>0.8</formula>
    </cfRule>
  </conditionalFormatting>
  <conditionalFormatting sqref="AH27 S27:S28">
    <cfRule type="cellIs" dxfId="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416536-B908-4646-B72B-539369EF8871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5464-B32E-42EE-892A-DB4E5927AF7C}">
  <dimension ref="B1:O26"/>
  <sheetViews>
    <sheetView zoomScale="70" zoomScaleNormal="70" workbookViewId="0">
      <selection activeCell="J17" sqref="J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46202</v>
      </c>
      <c r="E3" s="510"/>
      <c r="F3" s="3" t="s">
        <v>72</v>
      </c>
      <c r="G3" s="511">
        <f>'0629'!E1</f>
        <v>70123</v>
      </c>
      <c r="H3" s="511"/>
      <c r="I3" s="3" t="s">
        <v>2</v>
      </c>
      <c r="J3" s="512">
        <f>'0629'!G1</f>
        <v>3339458.0240000007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121.77957794928382</v>
      </c>
      <c r="G6" s="507"/>
      <c r="H6" s="508">
        <f>AVERAGE(D13:H13)</f>
        <v>120.04967535732241</v>
      </c>
      <c r="I6" s="508"/>
      <c r="J6" s="508">
        <f>AVERAGE(I13:J13)</f>
        <v>130.08867132867132</v>
      </c>
      <c r="K6" s="508"/>
      <c r="L6" s="516">
        <f>SUM(D18:J18)</f>
        <v>2</v>
      </c>
      <c r="M6" s="499">
        <f>SUM(D19:J19)</f>
        <v>20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110.31167221424244</v>
      </c>
      <c r="G7" s="496"/>
      <c r="H7" s="497">
        <f>AVERAGE(D14:H14)</f>
        <v>107.3561016173891</v>
      </c>
      <c r="I7" s="497"/>
      <c r="J7" s="497">
        <f>AVERAGE(I14:J14)</f>
        <v>121.02187583689388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0.9058306332789452</v>
      </c>
      <c r="G8" s="502"/>
      <c r="H8" s="502">
        <f>H7/H6</f>
        <v>0.89426398945143781</v>
      </c>
      <c r="I8" s="502"/>
      <c r="J8" s="502">
        <f>J7/J6</f>
        <v>0.93030295874980518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VALUE('0629'!L15)</f>
        <v>150</v>
      </c>
      <c r="E13" s="13">
        <f>VALUE('0629'!L26)</f>
        <v>158.32255979314803</v>
      </c>
      <c r="F13" s="13">
        <f>VALUE('0629'!L37)</f>
        <v>90.689542483660134</v>
      </c>
      <c r="G13" s="13">
        <f>VALUE('0629'!L48)</f>
        <v>100.74313725490197</v>
      </c>
      <c r="H13" s="13">
        <f>VALUE('0629'!L58)</f>
        <v>100.49313725490197</v>
      </c>
      <c r="I13" s="13">
        <f>VALUE('0629'!L69)</f>
        <v>130.42909090909092</v>
      </c>
      <c r="J13" s="13">
        <f>'0629'!L79</f>
        <v>129.74825174825173</v>
      </c>
    </row>
    <row r="14" spans="2:15" ht="39.950000000000003" customHeight="1">
      <c r="B14" s="490"/>
      <c r="C14" s="12" t="s">
        <v>100</v>
      </c>
      <c r="D14" s="13">
        <f>VALUE('0629'!O15)</f>
        <v>129.99149831649865</v>
      </c>
      <c r="E14" s="13">
        <f>VALUE('0629'!O26)</f>
        <v>143.01337336036934</v>
      </c>
      <c r="F14" s="13">
        <f>VALUE('0629'!O37)</f>
        <v>80.113427399821191</v>
      </c>
      <c r="G14" s="13">
        <f>VALUE('0629'!O48)</f>
        <v>87.856641431701121</v>
      </c>
      <c r="H14" s="13">
        <f>VALUE('0629'!O58)</f>
        <v>95.805567578555198</v>
      </c>
      <c r="I14" s="13">
        <f>VALUE('0629'!O69)</f>
        <v>125.08952519850909</v>
      </c>
      <c r="J14" s="13">
        <f>'0629'!O79</f>
        <v>116.95422647527869</v>
      </c>
    </row>
    <row r="15" spans="2:15" ht="39.950000000000003" customHeight="1">
      <c r="B15" s="491"/>
      <c r="C15" s="10" t="s">
        <v>26</v>
      </c>
      <c r="D15" s="14">
        <f t="shared" ref="D15:I15" si="1">D14/D13</f>
        <v>0.86660998877665762</v>
      </c>
      <c r="E15" s="14">
        <f t="shared" si="1"/>
        <v>0.90330382193933401</v>
      </c>
      <c r="F15" s="14">
        <f t="shared" si="1"/>
        <v>0.88338109561260081</v>
      </c>
      <c r="G15" s="14">
        <f t="shared" si="1"/>
        <v>0.87208562117144295</v>
      </c>
      <c r="H15" s="14">
        <f t="shared" si="1"/>
        <v>0.95335433041107376</v>
      </c>
      <c r="I15" s="14">
        <f t="shared" si="1"/>
        <v>0.95906154314681602</v>
      </c>
      <c r="J15" s="15">
        <f>'0629'!S70</f>
        <v>0.90139346695940792</v>
      </c>
    </row>
    <row r="16" spans="2:15" ht="17.25" customHeight="1">
      <c r="B16" s="492" t="s">
        <v>101</v>
      </c>
      <c r="C16" s="10" t="s">
        <v>34</v>
      </c>
      <c r="D16" s="16">
        <f>'0629'!T5</f>
        <v>0.3</v>
      </c>
      <c r="E16" s="16">
        <f>'0629'!T16</f>
        <v>0.29166666666666702</v>
      </c>
      <c r="F16" s="16">
        <f>'0629'!T27</f>
        <v>0.29027777777777802</v>
      </c>
      <c r="G16" s="16">
        <f>'0629'!T38</f>
        <v>0.33333333333333298</v>
      </c>
      <c r="H16" s="16">
        <f>'0629'!T49</f>
        <v>0.29027777777777802</v>
      </c>
      <c r="I16" s="16">
        <f>'0629'!T59</f>
        <v>0.29027777777777802</v>
      </c>
      <c r="J16" s="16">
        <f>'0629'!T70</f>
        <v>0.3125</v>
      </c>
    </row>
    <row r="17" spans="2:10" ht="17.25" customHeight="1">
      <c r="B17" s="493"/>
      <c r="C17" s="10" t="s">
        <v>35</v>
      </c>
      <c r="D17" s="22">
        <v>0.67361111111111105</v>
      </c>
      <c r="E17" s="19">
        <v>0.65902777777777799</v>
      </c>
      <c r="F17" s="19">
        <v>0.65902777777777799</v>
      </c>
      <c r="G17" s="210">
        <v>0.76041666666666696</v>
      </c>
      <c r="H17" s="21">
        <v>0.67361111111111105</v>
      </c>
      <c r="I17" s="22">
        <v>0.65833333333333299</v>
      </c>
      <c r="J17" s="22">
        <v>0.46180555555555602</v>
      </c>
    </row>
    <row r="18" spans="2:10" ht="17.25" customHeight="1">
      <c r="B18" s="494" t="s">
        <v>102</v>
      </c>
      <c r="C18" s="330" t="s">
        <v>36</v>
      </c>
      <c r="D18" s="358">
        <f>'0629'!Z15</f>
        <v>1</v>
      </c>
      <c r="E18" s="359">
        <f>'0629'!Z26</f>
        <v>0</v>
      </c>
      <c r="F18" s="359">
        <f>'0629'!Z37</f>
        <v>0</v>
      </c>
      <c r="G18" s="360">
        <f>'0629'!Z48</f>
        <v>0</v>
      </c>
      <c r="H18" s="360">
        <f>'0629'!Z58</f>
        <v>1</v>
      </c>
      <c r="I18" s="359">
        <f>'0629'!Z69</f>
        <v>0</v>
      </c>
      <c r="J18" s="359">
        <f>'0629'!AA79</f>
        <v>0</v>
      </c>
    </row>
    <row r="19" spans="2:10" ht="17.25" customHeight="1">
      <c r="B19" s="495"/>
      <c r="C19" s="330" t="s">
        <v>37</v>
      </c>
      <c r="D19" s="358">
        <f>'0629'!AA15</f>
        <v>10</v>
      </c>
      <c r="E19" s="359">
        <f>'0629'!AA26</f>
        <v>0</v>
      </c>
      <c r="F19" s="359">
        <f>'0629'!AA37</f>
        <v>0</v>
      </c>
      <c r="G19" s="360">
        <f>'0629'!AA48</f>
        <v>0</v>
      </c>
      <c r="H19" s="360">
        <f>'0629'!AA58</f>
        <v>10</v>
      </c>
      <c r="I19" s="359">
        <f>'0629'!AA69</f>
        <v>0</v>
      </c>
      <c r="J19" s="359">
        <f>'0629'!AB79</f>
        <v>0</v>
      </c>
    </row>
    <row r="20" spans="2:10" ht="17.25" customHeight="1">
      <c r="B20" s="494" t="s">
        <v>103</v>
      </c>
      <c r="C20" s="330" t="s">
        <v>36</v>
      </c>
      <c r="D20" s="358">
        <f>'0629'!AD15</f>
        <v>0</v>
      </c>
      <c r="E20" s="359">
        <f>'0629'!AD26</f>
        <v>0</v>
      </c>
      <c r="F20" s="359">
        <f>'0629'!AD37</f>
        <v>0</v>
      </c>
      <c r="G20" s="360">
        <f>'0629'!AD48</f>
        <v>0</v>
      </c>
      <c r="H20" s="360">
        <f>'0629'!AD58</f>
        <v>0</v>
      </c>
      <c r="I20" s="359">
        <f>'0629'!AD69</f>
        <v>0</v>
      </c>
      <c r="J20" s="359">
        <f>'0629'!AD79</f>
        <v>0</v>
      </c>
    </row>
    <row r="21" spans="2:10" ht="17.25" customHeight="1">
      <c r="B21" s="495"/>
      <c r="C21" s="330" t="s">
        <v>85</v>
      </c>
      <c r="D21" s="358">
        <f>'0629'!AE15</f>
        <v>0</v>
      </c>
      <c r="E21" s="359">
        <f>'0629'!AE26</f>
        <v>0</v>
      </c>
      <c r="F21" s="359">
        <f>'0629'!AE37</f>
        <v>0</v>
      </c>
      <c r="G21" s="360">
        <f>'0629'!AE48</f>
        <v>0</v>
      </c>
      <c r="H21" s="360">
        <f>'0629'!AE58</f>
        <v>0</v>
      </c>
      <c r="I21" s="359">
        <f>'0629'!AE69</f>
        <v>0</v>
      </c>
      <c r="J21" s="359">
        <f>'0629'!AE79</f>
        <v>0</v>
      </c>
    </row>
    <row r="22" spans="2:10" ht="17.25" customHeight="1">
      <c r="B22" s="477" t="s">
        <v>104</v>
      </c>
      <c r="C22" s="478"/>
      <c r="D22" s="23">
        <f>VALUE('0629'!M15)</f>
        <v>15</v>
      </c>
      <c r="E22" s="23">
        <f>VALUE('0629'!M26)</f>
        <v>14.333333333333334</v>
      </c>
      <c r="F22" s="23">
        <f>VALUE('0629'!M37)</f>
        <v>16.833333333333332</v>
      </c>
      <c r="G22" s="23">
        <f>VALUE('0629'!M48)</f>
        <v>17</v>
      </c>
      <c r="H22" s="23">
        <f>VALUE('0629'!M58)</f>
        <v>16.600000000000001</v>
      </c>
      <c r="I22" s="23">
        <f>VALUE('0629'!M69)</f>
        <v>12.8</v>
      </c>
      <c r="J22" s="23">
        <f>'0629'!M79</f>
        <v>10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31E8-4309-4DAC-84E3-F7A19A63AE35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J17" sqref="J17"/>
      <selection pane="topRight" activeCell="J17" sqref="J17"/>
      <selection pane="bottomLeft" activeCell="J17" sqref="J17"/>
      <selection pane="bottomRight" activeCell="J17" sqref="J1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70123</v>
      </c>
      <c r="F1" s="30" t="s">
        <v>2</v>
      </c>
      <c r="G1" s="31">
        <f>SUM(H5:H79)</f>
        <v>3339458.0240000007</v>
      </c>
      <c r="H1" s="32" t="s">
        <v>3</v>
      </c>
      <c r="I1" s="33">
        <f>M15+M26+M48+M58+M69+M79+M37</f>
        <v>102.56666666666666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243</v>
      </c>
      <c r="B2" s="381"/>
      <c r="C2" s="28"/>
      <c r="D2" s="28" t="s">
        <v>14</v>
      </c>
      <c r="E2" s="35">
        <f>AVERAGE(O15,O26,O37,O48,O58,O69,O79)</f>
        <v>111.26060853724762</v>
      </c>
      <c r="F2" s="36" t="s">
        <v>15</v>
      </c>
      <c r="G2" s="37">
        <f>G1/E1</f>
        <v>47.622863026396487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2</v>
      </c>
      <c r="AA2" s="339">
        <f>AA15+AA26+AA37+AA48+AA58+AA69+AA79</f>
        <v>20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2436</v>
      </c>
      <c r="H5" s="43">
        <f>F5*G5</f>
        <v>138535.32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1898.1818181818248</v>
      </c>
      <c r="O5" s="47">
        <f>N5/M5</f>
        <v>126.54545454545499</v>
      </c>
      <c r="P5" s="49">
        <f>M5-J5</f>
        <v>0</v>
      </c>
      <c r="Q5" s="50">
        <f>O5-L5</f>
        <v>-23.454545454545013</v>
      </c>
      <c r="R5" s="51">
        <f>O5/L5</f>
        <v>0.84363636363636663</v>
      </c>
      <c r="S5" s="439">
        <f>R15</f>
        <v>0.86660998877665762</v>
      </c>
      <c r="T5" s="319">
        <v>0.3</v>
      </c>
      <c r="U5" s="320">
        <v>0.35347222222222202</v>
      </c>
      <c r="V5" s="53"/>
      <c r="W5" s="54">
        <f t="shared" ref="W5:W14" si="0">(U5-T5)*24*60</f>
        <v>76.99999999999973</v>
      </c>
      <c r="X5" s="55"/>
      <c r="Y5" s="290"/>
      <c r="Z5" s="169">
        <v>1</v>
      </c>
      <c r="AA5" s="169">
        <v>10</v>
      </c>
      <c r="AB5" s="444" t="s">
        <v>244</v>
      </c>
      <c r="AC5" s="444"/>
      <c r="AD5" s="135"/>
      <c r="AE5" s="135"/>
      <c r="AF5" s="229">
        <f t="shared" ref="AF5:AF8" si="1">N5-K5</f>
        <v>-351.81818181817516</v>
      </c>
      <c r="AG5" s="52">
        <f t="shared" ref="AG5:AG8" si="2">N5/K5</f>
        <v>0.84363636363636663</v>
      </c>
      <c r="AH5" s="403">
        <f>AG15</f>
        <v>0.86660998877665762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f>2756+209</f>
        <v>2965</v>
      </c>
      <c r="H6" s="63">
        <f>F6*G6</f>
        <v>172474.05000000002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1976.6666666666665</v>
      </c>
      <c r="O6" s="67">
        <f>N6/M6</f>
        <v>131.77777777777777</v>
      </c>
      <c r="P6" s="69">
        <f>M6-J6</f>
        <v>0</v>
      </c>
      <c r="Q6" s="70">
        <f>O6-L6</f>
        <v>-18.222222222222229</v>
      </c>
      <c r="R6" s="71">
        <f>O6/L6</f>
        <v>0.87851851851851848</v>
      </c>
      <c r="S6" s="440"/>
      <c r="T6" s="16">
        <v>0.36111111111111099</v>
      </c>
      <c r="U6" s="16">
        <v>0.42361111111111099</v>
      </c>
      <c r="V6" s="30">
        <f>(T6-U5)*24*60</f>
        <v>11.000000000000121</v>
      </c>
      <c r="W6" s="73">
        <f t="shared" si="0"/>
        <v>90</v>
      </c>
      <c r="X6" s="22"/>
      <c r="Y6" s="84"/>
      <c r="Z6" s="90"/>
      <c r="AA6" s="90"/>
      <c r="AB6" s="407" t="s">
        <v>245</v>
      </c>
      <c r="AC6" s="407"/>
      <c r="AD6" s="149"/>
      <c r="AE6" s="149"/>
      <c r="AF6" s="307">
        <f t="shared" si="1"/>
        <v>-273.33333333333348</v>
      </c>
      <c r="AG6" s="72">
        <f t="shared" si="2"/>
        <v>0.87851851851851848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2204</v>
      </c>
      <c r="H7" s="78">
        <f>F7*G7</f>
        <v>108304.56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1836.666666666667</v>
      </c>
      <c r="O7" s="81">
        <f>N7/M7</f>
        <v>122.44444444444447</v>
      </c>
      <c r="P7" s="74">
        <f>M7-J7</f>
        <v>0</v>
      </c>
      <c r="Q7" s="83">
        <f>O7-L7</f>
        <v>-27.555555555555529</v>
      </c>
      <c r="R7" s="72">
        <f>O7/L7</f>
        <v>0.81629629629629652</v>
      </c>
      <c r="S7" s="440"/>
      <c r="T7" s="18">
        <v>0.43611111111111101</v>
      </c>
      <c r="U7" s="18">
        <v>0.48611111111111099</v>
      </c>
      <c r="V7" s="30">
        <f>(T7-U6)*24*60</f>
        <v>18.000000000000014</v>
      </c>
      <c r="W7" s="73">
        <f t="shared" si="0"/>
        <v>71.999999999999986</v>
      </c>
      <c r="X7" s="22">
        <v>0.49305555555555602</v>
      </c>
      <c r="Y7" s="84">
        <v>0.53472222222222199</v>
      </c>
      <c r="Z7" s="90"/>
      <c r="AA7" s="90"/>
      <c r="AB7" s="407"/>
      <c r="AC7" s="407"/>
      <c r="AD7" s="92"/>
      <c r="AE7" s="92"/>
      <c r="AF7" s="307">
        <f t="shared" si="1"/>
        <v>-413.33333333333303</v>
      </c>
      <c r="AG7" s="72">
        <f t="shared" si="2"/>
        <v>0.81629629629629641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3748</v>
      </c>
      <c r="H8" s="78">
        <f>F8*G8</f>
        <v>184176.72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2082.2222222222235</v>
      </c>
      <c r="O8" s="81">
        <f>N8/M8</f>
        <v>138.81481481481489</v>
      </c>
      <c r="P8" s="74">
        <f>M8-J8</f>
        <v>0</v>
      </c>
      <c r="Q8" s="83">
        <f>O8-L8</f>
        <v>-11.185185185185105</v>
      </c>
      <c r="R8" s="72">
        <f>O8/L8</f>
        <v>0.92543209876543264</v>
      </c>
      <c r="S8" s="440"/>
      <c r="T8" s="16">
        <v>0.56458333333333299</v>
      </c>
      <c r="U8" s="16">
        <v>0.63958333333333295</v>
      </c>
      <c r="V8" s="30">
        <f>(T8-U7)*24*60</f>
        <v>112.99999999999967</v>
      </c>
      <c r="W8" s="73">
        <f t="shared" si="0"/>
        <v>107.99999999999994</v>
      </c>
      <c r="X8" s="22"/>
      <c r="Y8" s="84"/>
      <c r="Z8" s="90"/>
      <c r="AA8" s="90"/>
      <c r="AB8" s="432" t="s">
        <v>246</v>
      </c>
      <c r="AC8" s="433"/>
      <c r="AD8" s="149"/>
      <c r="AE8" s="149"/>
      <c r="AF8" s="307">
        <f t="shared" si="1"/>
        <v>-167.77777777777646</v>
      </c>
      <c r="AG8" s="72">
        <f t="shared" si="2"/>
        <v>0.92543209876543264</v>
      </c>
      <c r="AH8" s="404"/>
    </row>
    <row r="9" spans="1:34" ht="15" customHeight="1">
      <c r="A9" s="437"/>
      <c r="B9" s="75" t="s">
        <v>81</v>
      </c>
      <c r="C9" s="86"/>
      <c r="D9" s="59" t="s">
        <v>113</v>
      </c>
      <c r="E9" s="87"/>
      <c r="F9" s="75">
        <f>VLOOKUP(D9,廠價表!$C$1:$E$43,3,0)</f>
        <v>56.87</v>
      </c>
      <c r="G9" s="62">
        <v>1043</v>
      </c>
      <c r="H9" s="78">
        <f>F9*G9</f>
        <v>59315.409999999996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>K9/J9</f>
        <v>150</v>
      </c>
      <c r="M9" s="82">
        <v>15</v>
      </c>
      <c r="N9" s="80">
        <f>G9/W9*60</f>
        <v>1955.6250000000166</v>
      </c>
      <c r="O9" s="81">
        <f>N9/M9</f>
        <v>130.37500000000111</v>
      </c>
      <c r="P9" s="74">
        <f>M9-J9</f>
        <v>0</v>
      </c>
      <c r="Q9" s="83">
        <f>O9-L9</f>
        <v>-19.624999999998892</v>
      </c>
      <c r="R9" s="72">
        <f>O9/L9</f>
        <v>0.86916666666667408</v>
      </c>
      <c r="S9" s="441"/>
      <c r="T9" s="22">
        <v>0.65138888888888902</v>
      </c>
      <c r="U9" s="22">
        <v>0.67361111111111105</v>
      </c>
      <c r="V9" s="30">
        <f>(T9-U8)*24*60</f>
        <v>17.000000000000739</v>
      </c>
      <c r="W9" s="73">
        <f t="shared" si="0"/>
        <v>31.999999999999726</v>
      </c>
      <c r="X9" s="22"/>
      <c r="Y9" s="84"/>
      <c r="Z9" s="90"/>
      <c r="AA9" s="90"/>
      <c r="AB9" s="407"/>
      <c r="AC9" s="407"/>
      <c r="AD9" s="149"/>
      <c r="AE9" s="149"/>
      <c r="AF9" s="307">
        <f>N9-K9</f>
        <v>-294.3749999999834</v>
      </c>
      <c r="AG9" s="72">
        <f>N9/K9</f>
        <v>0.86916666666667408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/>
      <c r="AG10" s="72"/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/>
      <c r="AG11" s="72"/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1949.8724747474796</v>
      </c>
      <c r="O15" s="117">
        <f t="shared" si="3"/>
        <v>129.99149831649865</v>
      </c>
      <c r="P15" s="121">
        <f>M15-J15</f>
        <v>0</v>
      </c>
      <c r="Q15" s="122">
        <f>O15-L15</f>
        <v>-20.00850168350135</v>
      </c>
      <c r="R15" s="123">
        <f>O15/L15</f>
        <v>0.86660998877665762</v>
      </c>
      <c r="S15" s="443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10</v>
      </c>
      <c r="AB15" s="431"/>
      <c r="AC15" s="431"/>
      <c r="AD15" s="323">
        <f>SUM(AD5:AD14)</f>
        <v>0</v>
      </c>
      <c r="AE15" s="323">
        <f>SUM(AE5:AE14)</f>
        <v>0</v>
      </c>
      <c r="AF15" s="309">
        <f t="shared" ref="AF15:AF21" si="4">N15-K15</f>
        <v>-300.1275252525204</v>
      </c>
      <c r="AG15" s="124">
        <f t="shared" ref="AG15:AG21" si="5">N15/K15</f>
        <v>0.86660998877665762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2993</v>
      </c>
      <c r="H16" s="134">
        <f>F16*G16</f>
        <v>151655.31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1995.3333333333333</v>
      </c>
      <c r="O16" s="141">
        <f>N16/M16</f>
        <v>142.52380952380952</v>
      </c>
      <c r="P16" s="142">
        <f>M16-J16</f>
        <v>0</v>
      </c>
      <c r="Q16" s="143">
        <f>O16-L16</f>
        <v>-18.190476190476204</v>
      </c>
      <c r="R16" s="144">
        <f>O16/L16</f>
        <v>0.88681481481481472</v>
      </c>
      <c r="S16" s="425">
        <f>R26</f>
        <v>0.90330382193933401</v>
      </c>
      <c r="T16" s="145">
        <v>0.29166666666666702</v>
      </c>
      <c r="U16" s="145">
        <v>0.35416666666666702</v>
      </c>
      <c r="V16" s="135"/>
      <c r="W16" s="146">
        <f t="shared" ref="W16:W78" si="6">(U16-T16)*24*60</f>
        <v>90</v>
      </c>
      <c r="X16" s="141"/>
      <c r="Y16" s="296"/>
      <c r="Z16" s="169"/>
      <c r="AA16" s="169"/>
      <c r="AB16" s="428"/>
      <c r="AC16" s="429"/>
      <c r="AD16" s="135"/>
      <c r="AE16" s="135"/>
      <c r="AF16" s="229">
        <f t="shared" si="4"/>
        <v>-254.66666666666674</v>
      </c>
      <c r="AG16" s="52">
        <f t="shared" si="5"/>
        <v>0.88681481481481483</v>
      </c>
      <c r="AH16" s="403">
        <f>AG26</f>
        <v>0.90265562730626048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2042</v>
      </c>
      <c r="H17" s="78">
        <f>F17*G17</f>
        <v>116822.82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1976.1290322580433</v>
      </c>
      <c r="O17" s="96">
        <f>N17/M17</f>
        <v>116.24288425047314</v>
      </c>
      <c r="P17" s="97">
        <f>M17-J17</f>
        <v>0</v>
      </c>
      <c r="Q17" s="98">
        <f>O17-L17</f>
        <v>-16.110056925997441</v>
      </c>
      <c r="R17" s="99">
        <f>O17/L17</f>
        <v>0.87827956989246381</v>
      </c>
      <c r="S17" s="426"/>
      <c r="T17" s="19">
        <v>0.36458333333333298</v>
      </c>
      <c r="U17" s="19">
        <v>0.40763888888888899</v>
      </c>
      <c r="V17" s="30">
        <f>(T17-U16)*24*60</f>
        <v>14.999999999998987</v>
      </c>
      <c r="W17" s="149">
        <f t="shared" si="6"/>
        <v>62.000000000000661</v>
      </c>
      <c r="X17" s="19"/>
      <c r="Y17" s="297"/>
      <c r="Z17" s="90"/>
      <c r="AA17" s="90"/>
      <c r="AB17" s="407"/>
      <c r="AC17" s="407"/>
      <c r="AD17" s="92"/>
      <c r="AE17" s="92"/>
      <c r="AF17" s="307">
        <f t="shared" si="4"/>
        <v>-273.87096774195675</v>
      </c>
      <c r="AG17" s="72">
        <f t="shared" si="5"/>
        <v>0.8782795698924637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1235</v>
      </c>
      <c r="H18" s="78">
        <f t="shared" ref="H18:H21" si="7">F18*G18</f>
        <v>69913.350000000006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 t="shared" ref="L18:L21" si="8">K18/J18</f>
        <v>150</v>
      </c>
      <c r="M18" s="148">
        <v>15</v>
      </c>
      <c r="N18" s="95">
        <f t="shared" ref="N18:N21" si="9">G18/W18*60</f>
        <v>2117.1428571429083</v>
      </c>
      <c r="O18" s="96">
        <f t="shared" ref="O18:O21" si="10">N18/M18</f>
        <v>141.14285714286055</v>
      </c>
      <c r="P18" s="97">
        <f t="shared" ref="P18:P21" si="11">M18-J18</f>
        <v>0</v>
      </c>
      <c r="Q18" s="98">
        <f t="shared" ref="Q18:Q21" si="12">O18-L18</f>
        <v>-8.8571428571394506</v>
      </c>
      <c r="R18" s="99">
        <f t="shared" ref="R18:R21" si="13">O18/L18</f>
        <v>0.94095238095240363</v>
      </c>
      <c r="S18" s="426"/>
      <c r="T18" s="19">
        <v>0.41527777777777802</v>
      </c>
      <c r="U18" s="19">
        <v>0.43958333333333299</v>
      </c>
      <c r="V18" s="30">
        <f>(T18-U17)*24*60</f>
        <v>11.000000000000201</v>
      </c>
      <c r="W18" s="149">
        <f t="shared" si="6"/>
        <v>34.999999999999154</v>
      </c>
      <c r="X18" s="22"/>
      <c r="Y18" s="84"/>
      <c r="Z18" s="90"/>
      <c r="AA18" s="90"/>
      <c r="AB18" s="407"/>
      <c r="AC18" s="407"/>
      <c r="AD18" s="92"/>
      <c r="AE18" s="92"/>
      <c r="AF18" s="307">
        <f t="shared" si="4"/>
        <v>-132.85714285709173</v>
      </c>
      <c r="AG18" s="72">
        <f t="shared" si="5"/>
        <v>0.94095238095240363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1879</v>
      </c>
      <c r="H19" s="78">
        <f t="shared" si="7"/>
        <v>94682.81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si="8"/>
        <v>173.07692307692307</v>
      </c>
      <c r="M19" s="148">
        <v>13</v>
      </c>
      <c r="N19" s="95">
        <f t="shared" si="9"/>
        <v>2127.1698113207876</v>
      </c>
      <c r="O19" s="96">
        <f t="shared" si="10"/>
        <v>163.62844702467598</v>
      </c>
      <c r="P19" s="97">
        <f t="shared" si="11"/>
        <v>0</v>
      </c>
      <c r="Q19" s="98">
        <f t="shared" si="12"/>
        <v>-9.4484760522470879</v>
      </c>
      <c r="R19" s="99">
        <f t="shared" si="13"/>
        <v>0.9454088050314613</v>
      </c>
      <c r="S19" s="426"/>
      <c r="T19" s="19">
        <v>0.44930555555555601</v>
      </c>
      <c r="U19" s="19">
        <v>0.48611111111111099</v>
      </c>
      <c r="V19" s="30">
        <f>(T19-U18)*24*60</f>
        <v>14.000000000001149</v>
      </c>
      <c r="W19" s="149">
        <f t="shared" si="6"/>
        <v>52.999999999999176</v>
      </c>
      <c r="X19" s="22">
        <v>0.49305555555555602</v>
      </c>
      <c r="Y19" s="84">
        <v>0.53472222222222199</v>
      </c>
      <c r="Z19" s="90"/>
      <c r="AA19" s="90"/>
      <c r="AB19" s="434"/>
      <c r="AC19" s="434"/>
      <c r="AD19" s="149"/>
      <c r="AE19" s="149"/>
      <c r="AF19" s="307">
        <f t="shared" si="4"/>
        <v>-122.83018867921237</v>
      </c>
      <c r="AG19" s="72">
        <f t="shared" si="5"/>
        <v>0.94540880503146119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3559</v>
      </c>
      <c r="H20" s="78">
        <f t="shared" si="7"/>
        <v>179338.01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8"/>
        <v>173.07692307692307</v>
      </c>
      <c r="M20" s="148">
        <v>13</v>
      </c>
      <c r="N20" s="95">
        <f t="shared" si="9"/>
        <v>1995.7009345794286</v>
      </c>
      <c r="O20" s="96">
        <f t="shared" si="10"/>
        <v>153.5154565061099</v>
      </c>
      <c r="P20" s="97">
        <f t="shared" si="11"/>
        <v>0</v>
      </c>
      <c r="Q20" s="98">
        <f t="shared" si="12"/>
        <v>-19.561466570813167</v>
      </c>
      <c r="R20" s="99">
        <f t="shared" si="13"/>
        <v>0.8869781931464128</v>
      </c>
      <c r="S20" s="426"/>
      <c r="T20" s="19">
        <v>0.54861111111111105</v>
      </c>
      <c r="U20" s="19">
        <v>0.62291666666666701</v>
      </c>
      <c r="V20" s="30">
        <f>(T20-U19)*24*60</f>
        <v>90.000000000000085</v>
      </c>
      <c r="W20" s="149">
        <f t="shared" si="6"/>
        <v>107.00000000000058</v>
      </c>
      <c r="X20" s="19"/>
      <c r="Y20" s="297"/>
      <c r="Z20" s="90"/>
      <c r="AA20" s="90"/>
      <c r="AB20" s="407"/>
      <c r="AC20" s="407"/>
      <c r="AD20" s="92"/>
      <c r="AE20" s="92"/>
      <c r="AF20" s="307">
        <f t="shared" si="4"/>
        <v>-254.29906542057142</v>
      </c>
      <c r="AG20" s="72">
        <f t="shared" si="5"/>
        <v>0.88697819314641269</v>
      </c>
      <c r="AH20" s="405"/>
    </row>
    <row r="21" spans="1:34" ht="15" customHeight="1">
      <c r="A21" s="423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v>1053</v>
      </c>
      <c r="H21" s="78">
        <f t="shared" si="7"/>
        <v>53355.51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8"/>
        <v>160.71428571428572</v>
      </c>
      <c r="M21" s="148">
        <v>14</v>
      </c>
      <c r="N21" s="95">
        <f t="shared" si="9"/>
        <v>1974.3750000000171</v>
      </c>
      <c r="O21" s="96">
        <f t="shared" si="10"/>
        <v>141.02678571428694</v>
      </c>
      <c r="P21" s="97">
        <f t="shared" si="11"/>
        <v>0</v>
      </c>
      <c r="Q21" s="98">
        <f t="shared" si="12"/>
        <v>-19.687499999998778</v>
      </c>
      <c r="R21" s="99">
        <f t="shared" si="13"/>
        <v>0.87750000000000761</v>
      </c>
      <c r="S21" s="426"/>
      <c r="T21" s="19">
        <v>0.63680555555555596</v>
      </c>
      <c r="U21" s="19">
        <v>0.65902777777777799</v>
      </c>
      <c r="V21" s="30">
        <f>(T21-U20)*24*60</f>
        <v>20.000000000000089</v>
      </c>
      <c r="W21" s="149">
        <f t="shared" si="6"/>
        <v>31.999999999999726</v>
      </c>
      <c r="X21" s="92"/>
      <c r="Y21" s="298"/>
      <c r="Z21" s="90"/>
      <c r="AA21" s="90"/>
      <c r="AB21" s="407"/>
      <c r="AC21" s="407"/>
      <c r="AD21" s="92"/>
      <c r="AE21" s="92"/>
      <c r="AF21" s="307">
        <f t="shared" si="4"/>
        <v>-275.62499999998295</v>
      </c>
      <c r="AG21" s="72">
        <f t="shared" si="5"/>
        <v>0.87750000000000761</v>
      </c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9"/>
      <c r="U22" s="19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6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6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6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4">AVERAGE(J16:J25)</f>
        <v>14.333333333333334</v>
      </c>
      <c r="K26" s="155">
        <f t="shared" si="14"/>
        <v>2250</v>
      </c>
      <c r="L26" s="158">
        <f t="shared" si="14"/>
        <v>158.32255979314803</v>
      </c>
      <c r="M26" s="155">
        <f t="shared" si="14"/>
        <v>14.333333333333334</v>
      </c>
      <c r="N26" s="155">
        <f t="shared" si="14"/>
        <v>2030.9751614390862</v>
      </c>
      <c r="O26" s="158">
        <f t="shared" si="14"/>
        <v>143.01337336036934</v>
      </c>
      <c r="P26" s="159">
        <f>M26-J26</f>
        <v>0</v>
      </c>
      <c r="Q26" s="160">
        <f>O26-L26</f>
        <v>-15.309186432778688</v>
      </c>
      <c r="R26" s="161">
        <f>O26/L26</f>
        <v>0.90330382193933401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1" si="15">N26-K26</f>
        <v>-219.02483856091385</v>
      </c>
      <c r="AG26" s="124">
        <f t="shared" ref="AG26:AG31" si="16">N26/K26</f>
        <v>0.90265562730626048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57.21</v>
      </c>
      <c r="G27" s="169">
        <f>509+132</f>
        <v>641</v>
      </c>
      <c r="H27" s="134">
        <f>F27*G27</f>
        <v>36671.61</v>
      </c>
      <c r="I27" s="135"/>
      <c r="J27" s="136">
        <f>VLOOKUP(D27,產線配置圖!$A$3:$C$40,2,0)</f>
        <v>18</v>
      </c>
      <c r="K27" s="137">
        <f>VLOOKUP(D27,產線配置圖!$A$3:$C$40,3,0)</f>
        <v>1565</v>
      </c>
      <c r="L27" s="138">
        <f>K27/J27</f>
        <v>86.944444444444443</v>
      </c>
      <c r="M27" s="170">
        <v>16</v>
      </c>
      <c r="N27" s="140">
        <f>G27/W27*60</f>
        <v>1131.1764705882417</v>
      </c>
      <c r="O27" s="141">
        <f>N27/M27</f>
        <v>70.698529411765108</v>
      </c>
      <c r="P27" s="142">
        <f>M27-J27</f>
        <v>-2</v>
      </c>
      <c r="Q27" s="143">
        <f>O27-L27</f>
        <v>-16.245915032679335</v>
      </c>
      <c r="R27" s="144">
        <f>O27/L27</f>
        <v>0.81314602518324086</v>
      </c>
      <c r="S27" s="425">
        <f>R37</f>
        <v>0.88338109561260081</v>
      </c>
      <c r="T27" s="171">
        <v>0.29027777777777802</v>
      </c>
      <c r="U27" s="171">
        <v>0.31388888888888899</v>
      </c>
      <c r="V27" s="135"/>
      <c r="W27" s="146">
        <f t="shared" si="6"/>
        <v>33.999999999999801</v>
      </c>
      <c r="X27" s="135"/>
      <c r="Y27" s="300" t="s">
        <v>46</v>
      </c>
      <c r="Z27" s="169"/>
      <c r="AA27" s="169"/>
      <c r="AB27" s="407" t="s">
        <v>140</v>
      </c>
      <c r="AC27" s="407"/>
      <c r="AD27" s="135"/>
      <c r="AE27" s="135"/>
      <c r="AF27" s="310">
        <f t="shared" si="15"/>
        <v>-433.82352941175827</v>
      </c>
      <c r="AG27" s="172">
        <f t="shared" si="16"/>
        <v>0.72279646682954746</v>
      </c>
      <c r="AH27" s="403">
        <f>AG37</f>
        <v>0.84296264988241376</v>
      </c>
    </row>
    <row r="28" spans="1:34" ht="15" customHeight="1">
      <c r="A28" s="457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1428</v>
      </c>
      <c r="H28" s="91">
        <f>F28*G28</f>
        <v>81695.88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1241.7391304347743</v>
      </c>
      <c r="O28" s="96">
        <f>N28/M28</f>
        <v>73.04347826086908</v>
      </c>
      <c r="P28" s="97">
        <f>M28-J28</f>
        <v>-1</v>
      </c>
      <c r="Q28" s="98">
        <f>O28-L28</f>
        <v>-17.845410628019806</v>
      </c>
      <c r="R28" s="99">
        <f>O28/L28</f>
        <v>0.80365685128095565</v>
      </c>
      <c r="S28" s="426"/>
      <c r="T28" s="19">
        <v>0.32361111111111102</v>
      </c>
      <c r="U28" s="19">
        <v>0.37152777777777801</v>
      </c>
      <c r="V28" s="92">
        <f>(T28-U27)*24*60</f>
        <v>13.99999999999971</v>
      </c>
      <c r="W28" s="149">
        <f t="shared" si="6"/>
        <v>69.000000000000469</v>
      </c>
      <c r="X28" s="174"/>
      <c r="Y28" s="301"/>
      <c r="Z28" s="335"/>
      <c r="AA28" s="335"/>
      <c r="AB28" s="432"/>
      <c r="AC28" s="433"/>
      <c r="AD28" s="92"/>
      <c r="AE28" s="92"/>
      <c r="AF28" s="311">
        <f t="shared" si="15"/>
        <v>-394.26086956522568</v>
      </c>
      <c r="AG28" s="99">
        <f t="shared" si="16"/>
        <v>0.75900924843201367</v>
      </c>
      <c r="AH28" s="445"/>
    </row>
    <row r="29" spans="1:34" ht="15" customHeight="1">
      <c r="A29" s="457"/>
      <c r="B29" s="75" t="s">
        <v>81</v>
      </c>
      <c r="C29" s="173"/>
      <c r="D29" s="59" t="s">
        <v>168</v>
      </c>
      <c r="E29" s="104"/>
      <c r="F29" s="75">
        <f>VLOOKUP(D29,廠價表!$C$1:$E$43,3,0)</f>
        <v>57.21</v>
      </c>
      <c r="G29" s="90">
        <v>1821</v>
      </c>
      <c r="H29" s="91">
        <f>F29*G29</f>
        <v>104179.41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17</v>
      </c>
      <c r="N29" s="95">
        <f>G29/W29*60</f>
        <v>1418.9610389610441</v>
      </c>
      <c r="O29" s="96">
        <f>N29/M29</f>
        <v>83.468296409473183</v>
      </c>
      <c r="P29" s="97">
        <f>M29-J29</f>
        <v>-1</v>
      </c>
      <c r="Q29" s="98">
        <f>O29-L29</f>
        <v>-7.4205924794157028</v>
      </c>
      <c r="R29" s="99">
        <f>O29/L29</f>
        <v>0.91835533946853143</v>
      </c>
      <c r="S29" s="426"/>
      <c r="T29" s="19">
        <v>0.37847222222222199</v>
      </c>
      <c r="U29" s="19">
        <v>0.43194444444444402</v>
      </c>
      <c r="V29" s="92">
        <f>(T29-U28)*24*60</f>
        <v>9.999999999999325</v>
      </c>
      <c r="W29" s="149">
        <f t="shared" si="6"/>
        <v>76.99999999999973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15"/>
        <v>-217.0389610389559</v>
      </c>
      <c r="AG29" s="99">
        <f t="shared" si="16"/>
        <v>0.86733559838694629</v>
      </c>
      <c r="AH29" s="445"/>
    </row>
    <row r="30" spans="1:34" ht="15" customHeight="1">
      <c r="A30" s="457"/>
      <c r="B30" s="75" t="s">
        <v>81</v>
      </c>
      <c r="C30" s="88"/>
      <c r="D30" s="59" t="s">
        <v>206</v>
      </c>
      <c r="E30" s="89"/>
      <c r="F30" s="75">
        <f>VLOOKUP(D30,廠價表!$C$1:$E$43,3,0)</f>
        <v>45.66</v>
      </c>
      <c r="G30" s="90">
        <v>1215</v>
      </c>
      <c r="H30" s="91">
        <f t="shared" ref="H30:H31" si="17">F30*G30</f>
        <v>55476.899999999994</v>
      </c>
      <c r="I30" s="92"/>
      <c r="J30" s="79">
        <f>VLOOKUP(D30,產線配置圖!$A$3:$C$40,2,0)</f>
        <v>17</v>
      </c>
      <c r="K30" s="80">
        <f>VLOOKUP(D30,產線配置圖!$A$3:$C$40,3,0)</f>
        <v>1500</v>
      </c>
      <c r="L30" s="93">
        <f t="shared" ref="L30:L31" si="18">K30/J30</f>
        <v>88.235294117647058</v>
      </c>
      <c r="M30" s="94">
        <v>17</v>
      </c>
      <c r="N30" s="95">
        <f t="shared" ref="N30:N31" si="19">G30/W30*60</f>
        <v>1375.471698113229</v>
      </c>
      <c r="O30" s="96">
        <f t="shared" ref="O30:O31" si="20">N30/M30</f>
        <v>80.910099889013466</v>
      </c>
      <c r="P30" s="97">
        <f t="shared" ref="P30:P31" si="21">M30-J30</f>
        <v>0</v>
      </c>
      <c r="Q30" s="98">
        <f t="shared" ref="Q30:Q31" si="22">O30-L30</f>
        <v>-7.3251942286335918</v>
      </c>
      <c r="R30" s="99">
        <f t="shared" ref="R30:R31" si="23">O30/L30</f>
        <v>0.91698113207548593</v>
      </c>
      <c r="S30" s="426"/>
      <c r="T30" s="19">
        <v>0.43888888888888899</v>
      </c>
      <c r="U30" s="19">
        <v>0.47569444444444398</v>
      </c>
      <c r="V30" s="92">
        <f>(T30-U29)*24*60</f>
        <v>10.000000000000764</v>
      </c>
      <c r="W30" s="149">
        <f t="shared" si="6"/>
        <v>52.999999999999176</v>
      </c>
      <c r="X30" s="174">
        <v>0.48611111111111099</v>
      </c>
      <c r="Y30" s="301">
        <v>0.52777777777777801</v>
      </c>
      <c r="Z30" s="335"/>
      <c r="AA30" s="335"/>
      <c r="AB30" s="407"/>
      <c r="AC30" s="407"/>
      <c r="AD30" s="92"/>
      <c r="AE30" s="92"/>
      <c r="AF30" s="312">
        <f t="shared" si="15"/>
        <v>-124.52830188677103</v>
      </c>
      <c r="AG30" s="99">
        <f t="shared" si="16"/>
        <v>0.91698113207548593</v>
      </c>
      <c r="AH30" s="446"/>
    </row>
    <row r="31" spans="1:34" ht="15" customHeight="1">
      <c r="A31" s="457"/>
      <c r="B31" s="75" t="s">
        <v>81</v>
      </c>
      <c r="C31" s="88"/>
      <c r="D31" s="175" t="s">
        <v>206</v>
      </c>
      <c r="E31" s="176"/>
      <c r="F31" s="75">
        <f>VLOOKUP(D31,廠價表!$C$1:$E$43,3,0)</f>
        <v>45.66</v>
      </c>
      <c r="G31" s="90">
        <v>2800</v>
      </c>
      <c r="H31" s="91">
        <f t="shared" si="17"/>
        <v>127847.99999999999</v>
      </c>
      <c r="I31" s="92"/>
      <c r="J31" s="79">
        <f>VLOOKUP(D31,產線配置圖!$A$3:$C$40,2,0)</f>
        <v>17</v>
      </c>
      <c r="K31" s="80">
        <v>1636</v>
      </c>
      <c r="L31" s="93">
        <f t="shared" si="18"/>
        <v>96.235294117647058</v>
      </c>
      <c r="M31" s="94">
        <v>17</v>
      </c>
      <c r="N31" s="95">
        <f t="shared" si="19"/>
        <v>1527.2727272727238</v>
      </c>
      <c r="O31" s="96">
        <f t="shared" si="20"/>
        <v>89.839572192513174</v>
      </c>
      <c r="P31" s="97">
        <f t="shared" si="21"/>
        <v>0</v>
      </c>
      <c r="Q31" s="98">
        <f t="shared" si="22"/>
        <v>-6.3957219251338842</v>
      </c>
      <c r="R31" s="99">
        <f t="shared" si="23"/>
        <v>0.93354078684151831</v>
      </c>
      <c r="S31" s="426"/>
      <c r="T31" s="19">
        <v>0.53472222222222199</v>
      </c>
      <c r="U31" s="19">
        <v>0.61111111111111105</v>
      </c>
      <c r="V31" s="92">
        <f>(T31-U30)*24*60</f>
        <v>85.000000000000341</v>
      </c>
      <c r="W31" s="149">
        <f t="shared" si="6"/>
        <v>110.00000000000026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5"/>
        <v>-108.72727272727616</v>
      </c>
      <c r="AG31" s="99">
        <f t="shared" si="16"/>
        <v>0.9335407868415182</v>
      </c>
      <c r="AH31" s="405"/>
    </row>
    <row r="32" spans="1:34" ht="15" customHeight="1">
      <c r="A32" s="457"/>
      <c r="B32" s="75" t="s">
        <v>81</v>
      </c>
      <c r="C32" s="102"/>
      <c r="D32" s="59" t="s">
        <v>124</v>
      </c>
      <c r="E32" s="176"/>
      <c r="F32" s="75">
        <f>VLOOKUP(D32,廠價表!$C$1:$E$43,3,0)</f>
        <v>57.21</v>
      </c>
      <c r="G32" s="90">
        <v>1500</v>
      </c>
      <c r="H32" s="91">
        <f>F32*G32</f>
        <v>85815</v>
      </c>
      <c r="I32" s="92"/>
      <c r="J32" s="79">
        <f>VLOOKUP(D32,產線配置圖!$A$3:$C$40,2,0)</f>
        <v>18</v>
      </c>
      <c r="K32" s="80">
        <v>1637</v>
      </c>
      <c r="L32" s="93">
        <f>K32/J32</f>
        <v>90.944444444444443</v>
      </c>
      <c r="M32" s="94">
        <v>17</v>
      </c>
      <c r="N32" s="95">
        <f>G32/W32*60</f>
        <v>1406.2499999999839</v>
      </c>
      <c r="O32" s="96">
        <f>N32/M32</f>
        <v>82.720588235293164</v>
      </c>
      <c r="P32" s="97">
        <f>M32-J32</f>
        <v>-1</v>
      </c>
      <c r="Q32" s="98">
        <f>O32-L32</f>
        <v>-8.223856209151279</v>
      </c>
      <c r="R32" s="99">
        <f>O32/L32</f>
        <v>0.90957274785294873</v>
      </c>
      <c r="S32" s="426"/>
      <c r="T32" s="19">
        <v>0.61458333333333304</v>
      </c>
      <c r="U32" s="19">
        <v>0.65902777777777799</v>
      </c>
      <c r="V32" s="92">
        <f>(T32-U31)*24*60</f>
        <v>4.9999999999996625</v>
      </c>
      <c r="W32" s="149">
        <f t="shared" si="6"/>
        <v>64.000000000000739</v>
      </c>
      <c r="X32" s="174"/>
      <c r="Y32" s="301"/>
      <c r="Z32" s="335"/>
      <c r="AA32" s="335"/>
      <c r="AB32" s="407"/>
      <c r="AC32" s="407"/>
      <c r="AD32" s="92"/>
      <c r="AE32" s="92"/>
      <c r="AF32" s="312">
        <f>N32-K32</f>
        <v>-230.75000000001614</v>
      </c>
      <c r="AG32" s="99">
        <f>N32/K32</f>
        <v>0.85904092852778491</v>
      </c>
      <c r="AH32" s="405"/>
    </row>
    <row r="33" spans="1:34" ht="15" customHeight="1">
      <c r="A33" s="457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6"/>
      <c r="T33" s="19"/>
      <c r="U33" s="19"/>
      <c r="V33" s="92"/>
      <c r="W33" s="149">
        <f t="shared" si="6"/>
        <v>0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6"/>
      <c r="T34" s="19"/>
      <c r="U34" s="19"/>
      <c r="V34" s="92"/>
      <c r="W34" s="149">
        <f t="shared" si="6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6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6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>
      <c r="A37" s="458"/>
      <c r="B37" s="152"/>
      <c r="C37" s="153" t="s">
        <v>47</v>
      </c>
      <c r="D37" s="447" t="s">
        <v>42</v>
      </c>
      <c r="E37" s="448"/>
      <c r="F37" s="154"/>
      <c r="G37" s="220"/>
      <c r="H37" s="156"/>
      <c r="I37" s="157"/>
      <c r="J37" s="155">
        <f t="shared" ref="J37:O37" si="24">AVERAGE(J27:J36)</f>
        <v>17.666666666666668</v>
      </c>
      <c r="K37" s="155">
        <f t="shared" si="24"/>
        <v>1601.6666666666667</v>
      </c>
      <c r="L37" s="158">
        <f t="shared" si="24"/>
        <v>90.689542483660134</v>
      </c>
      <c r="M37" s="155">
        <f t="shared" si="24"/>
        <v>16.833333333333332</v>
      </c>
      <c r="N37" s="155">
        <f t="shared" si="24"/>
        <v>1350.1451775616661</v>
      </c>
      <c r="O37" s="158">
        <f t="shared" si="24"/>
        <v>80.113427399821191</v>
      </c>
      <c r="P37" s="159">
        <f>M37-J37</f>
        <v>-0.8333333333333357</v>
      </c>
      <c r="Q37" s="160">
        <f>N37-K37</f>
        <v>-251.52148910500068</v>
      </c>
      <c r="R37" s="161">
        <f t="shared" ref="R37:R41" si="25">O37/L37</f>
        <v>0.88338109561260081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-251.52148910500068</v>
      </c>
      <c r="AG37" s="124">
        <f>N37/K37</f>
        <v>0.84296264988241376</v>
      </c>
      <c r="AH37" s="406"/>
    </row>
    <row r="38" spans="1:34" ht="15" customHeight="1">
      <c r="A38" s="450" t="s">
        <v>48</v>
      </c>
      <c r="B38" s="167" t="s">
        <v>128</v>
      </c>
      <c r="C38" s="373"/>
      <c r="D38" s="374" t="s">
        <v>129</v>
      </c>
      <c r="E38" s="176"/>
      <c r="F38" s="39">
        <f>VLOOKUP(D38,廠價表!$C$1:$E$43,3,0)</f>
        <v>49.91</v>
      </c>
      <c r="G38" s="186">
        <f>3436+140</f>
        <v>3576</v>
      </c>
      <c r="H38" s="134">
        <f>F38*G38</f>
        <v>178478.15999999997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1384.2580645161274</v>
      </c>
      <c r="O38" s="141">
        <f>N38/M38</f>
        <v>92.283870967741834</v>
      </c>
      <c r="P38" s="142">
        <f>M38-J38</f>
        <v>0</v>
      </c>
      <c r="Q38" s="143">
        <f>O38-L38</f>
        <v>-21.982795698924832</v>
      </c>
      <c r="R38" s="144">
        <f t="shared" si="25"/>
        <v>0.8076184740467488</v>
      </c>
      <c r="S38" s="453">
        <f>R48</f>
        <v>0.87208562117144295</v>
      </c>
      <c r="T38" s="191">
        <v>0.33333333333333298</v>
      </c>
      <c r="U38" s="191">
        <v>0.44097222222222199</v>
      </c>
      <c r="V38" s="192"/>
      <c r="W38" s="193">
        <f t="shared" si="6"/>
        <v>155.00000000000017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-329.74193548387257</v>
      </c>
      <c r="AG38" s="195">
        <f>N38/K38</f>
        <v>0.8076184740467488</v>
      </c>
      <c r="AH38" s="459">
        <f>AG48</f>
        <v>0.90061694257152958</v>
      </c>
    </row>
    <row r="39" spans="1:34" ht="15" customHeight="1">
      <c r="A39" s="451"/>
      <c r="B39" s="75" t="s">
        <v>128</v>
      </c>
      <c r="C39" s="207"/>
      <c r="D39" s="198" t="s">
        <v>130</v>
      </c>
      <c r="E39" s="178"/>
      <c r="F39" s="75">
        <f>VLOOKUP(D39,廠價表!$C$1:$E$43,3,0)</f>
        <v>44.3</v>
      </c>
      <c r="G39" s="199">
        <v>1810</v>
      </c>
      <c r="H39" s="91">
        <f t="shared" ref="H39:H40" si="26">F39*G39</f>
        <v>80183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 t="shared" ref="L39:L40" si="27">K39/J39</f>
        <v>96.235294117647058</v>
      </c>
      <c r="M39" s="201">
        <v>18</v>
      </c>
      <c r="N39" s="202">
        <f t="shared" ref="N39:N40" si="28">G39/W39*60</f>
        <v>1573.9130434782503</v>
      </c>
      <c r="O39" s="203">
        <f t="shared" ref="O39:O40" si="29">N39/M39</f>
        <v>87.43961352656946</v>
      </c>
      <c r="P39" s="97">
        <f t="shared" ref="P39:P40" si="30">M39-J39</f>
        <v>1</v>
      </c>
      <c r="Q39" s="98">
        <f t="shared" ref="Q39:Q40" si="31">O39-L39</f>
        <v>-8.7956805910775984</v>
      </c>
      <c r="R39" s="99">
        <f t="shared" ref="R39:R40" si="32">O39/L39</f>
        <v>0.9086023410462597</v>
      </c>
      <c r="S39" s="454"/>
      <c r="T39" s="20">
        <v>0.44861111111111102</v>
      </c>
      <c r="U39" s="210">
        <v>0.49652777777777801</v>
      </c>
      <c r="V39" s="92">
        <f>(T39-U38)*24*60</f>
        <v>11.000000000000201</v>
      </c>
      <c r="W39" s="205">
        <f t="shared" si="6"/>
        <v>69.000000000000469</v>
      </c>
      <c r="X39" s="174">
        <v>0.50694444444444398</v>
      </c>
      <c r="Y39" s="301">
        <v>0.54861111111111105</v>
      </c>
      <c r="Z39" s="90"/>
      <c r="AA39" s="90"/>
      <c r="AD39" s="200"/>
      <c r="AE39" s="200"/>
      <c r="AF39" s="314">
        <f>N39-K39</f>
        <v>-62.086956521749698</v>
      </c>
      <c r="AG39" s="206">
        <f>N39/K39</f>
        <v>0.96204953757839262</v>
      </c>
      <c r="AH39" s="460"/>
    </row>
    <row r="40" spans="1:34" ht="15" customHeight="1">
      <c r="A40" s="451"/>
      <c r="B40" s="75" t="s">
        <v>128</v>
      </c>
      <c r="C40" s="86"/>
      <c r="D40" s="198" t="s">
        <v>130</v>
      </c>
      <c r="E40" s="87"/>
      <c r="F40" s="75">
        <f>VLOOKUP(D40,廠價表!$C$1:$E$43,3,0)</f>
        <v>44.3</v>
      </c>
      <c r="G40" s="199">
        <v>2733</v>
      </c>
      <c r="H40" s="91">
        <f t="shared" si="26"/>
        <v>121071.9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 t="shared" si="27"/>
        <v>96.235294117647058</v>
      </c>
      <c r="M40" s="201">
        <v>18</v>
      </c>
      <c r="N40" s="202">
        <f t="shared" si="28"/>
        <v>1561.7142857143006</v>
      </c>
      <c r="O40" s="203">
        <f t="shared" si="29"/>
        <v>86.761904761905583</v>
      </c>
      <c r="P40" s="97">
        <f t="shared" si="30"/>
        <v>1</v>
      </c>
      <c r="Q40" s="98">
        <f t="shared" si="31"/>
        <v>-9.4733893557414746</v>
      </c>
      <c r="R40" s="99">
        <f t="shared" si="32"/>
        <v>0.90156013505647614</v>
      </c>
      <c r="S40" s="440"/>
      <c r="T40" s="210">
        <v>0.55902777777777801</v>
      </c>
      <c r="U40" s="210">
        <v>0.63194444444444398</v>
      </c>
      <c r="V40" s="92">
        <f t="shared" ref="V40:V41" si="33">(T40-U39)*24*60</f>
        <v>90</v>
      </c>
      <c r="W40" s="205">
        <f t="shared" si="6"/>
        <v>104.99999999999899</v>
      </c>
      <c r="X40" s="208"/>
      <c r="Y40" s="209"/>
      <c r="Z40" s="337"/>
      <c r="AA40" s="337"/>
      <c r="AB40" s="462"/>
      <c r="AC40" s="462"/>
      <c r="AD40" s="92"/>
      <c r="AE40" s="92"/>
      <c r="AF40" s="313">
        <f>N40-K40</f>
        <v>-74.285714285699441</v>
      </c>
      <c r="AG40" s="195">
        <f>N40/K40</f>
        <v>0.95459308417744537</v>
      </c>
      <c r="AH40" s="460"/>
    </row>
    <row r="41" spans="1:34" ht="15" customHeight="1">
      <c r="A41" s="451"/>
      <c r="B41" s="75" t="s">
        <v>128</v>
      </c>
      <c r="C41" s="86"/>
      <c r="D41" s="198" t="s">
        <v>130</v>
      </c>
      <c r="E41" s="87"/>
      <c r="F41" s="75">
        <f>VLOOKUP(D41,廠價表!$C$1:$E$43,3,0)</f>
        <v>44.3</v>
      </c>
      <c r="G41" s="199">
        <v>1444</v>
      </c>
      <c r="H41" s="91">
        <f>F41*G41</f>
        <v>63969.2</v>
      </c>
      <c r="I41" s="200"/>
      <c r="J41" s="148">
        <f>VLOOKUP(D41,產線配置圖!$A$3:$C$40,2,0)</f>
        <v>17</v>
      </c>
      <c r="K41" s="95">
        <f>VLOOKUP(D41,產線配置圖!$A$3:$C$40,3,0)</f>
        <v>1636</v>
      </c>
      <c r="L41" s="96">
        <f>K41/J41</f>
        <v>96.235294117647058</v>
      </c>
      <c r="M41" s="201">
        <v>17</v>
      </c>
      <c r="N41" s="202">
        <f>G41/W41*60</f>
        <v>1443.9999999999898</v>
      </c>
      <c r="O41" s="203">
        <f>N41/M41</f>
        <v>84.941176470587635</v>
      </c>
      <c r="P41" s="97">
        <f>M41-J41</f>
        <v>0</v>
      </c>
      <c r="Q41" s="98">
        <f>O41-L41</f>
        <v>-11.294117647059423</v>
      </c>
      <c r="R41" s="99">
        <f t="shared" si="25"/>
        <v>0.88264058679705981</v>
      </c>
      <c r="S41" s="440"/>
      <c r="T41" s="210">
        <v>0.71875</v>
      </c>
      <c r="U41" s="210">
        <v>0.76041666666666696</v>
      </c>
      <c r="V41" s="92">
        <f t="shared" si="33"/>
        <v>125.00000000000068</v>
      </c>
      <c r="W41" s="205">
        <f t="shared" si="6"/>
        <v>60.000000000000426</v>
      </c>
      <c r="X41" s="208"/>
      <c r="Y41" s="209"/>
      <c r="Z41" s="337"/>
      <c r="AA41" s="337"/>
      <c r="AB41" s="407"/>
      <c r="AC41" s="407"/>
      <c r="AD41" s="92"/>
      <c r="AE41" s="92"/>
      <c r="AF41" s="314">
        <f>N41-K41</f>
        <v>-192.00000000001023</v>
      </c>
      <c r="AG41" s="206">
        <f>N41/K41</f>
        <v>0.88264058679705981</v>
      </c>
      <c r="AH41" s="460"/>
    </row>
    <row r="42" spans="1:34" ht="15" customHeight="1">
      <c r="A42" s="451"/>
      <c r="B42" s="75"/>
      <c r="C42" s="102"/>
      <c r="D42" s="198"/>
      <c r="E42" s="104"/>
      <c r="F42" s="75"/>
      <c r="G42" s="202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40"/>
      <c r="T42" s="210"/>
      <c r="U42" s="210"/>
      <c r="V42" s="92"/>
      <c r="W42" s="205">
        <f t="shared" si="6"/>
        <v>0</v>
      </c>
      <c r="X42" s="208"/>
      <c r="Y42" s="211"/>
      <c r="Z42" s="338"/>
      <c r="AA42" s="338"/>
      <c r="AB42" s="407"/>
      <c r="AC42" s="407"/>
      <c r="AD42" s="92"/>
      <c r="AE42" s="92"/>
      <c r="AF42" s="314"/>
      <c r="AG42" s="206"/>
      <c r="AH42" s="460"/>
    </row>
    <row r="43" spans="1:34" ht="15" customHeight="1">
      <c r="A43" s="451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40"/>
      <c r="T43" s="210"/>
      <c r="U43" s="210"/>
      <c r="V43" s="92"/>
      <c r="W43" s="205">
        <f t="shared" si="6"/>
        <v>0</v>
      </c>
      <c r="X43" s="208"/>
      <c r="Y43" s="212"/>
      <c r="Z43" s="338"/>
      <c r="AA43" s="338"/>
      <c r="AB43" s="407"/>
      <c r="AC43" s="407"/>
      <c r="AD43" s="92"/>
      <c r="AE43" s="92"/>
      <c r="AF43" s="213"/>
      <c r="AG43" s="206"/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6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6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40"/>
      <c r="T46" s="216"/>
      <c r="U46" s="216"/>
      <c r="V46" s="200"/>
      <c r="W46" s="205">
        <f t="shared" si="6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40"/>
      <c r="T47" s="218"/>
      <c r="U47" s="218"/>
      <c r="V47" s="200"/>
      <c r="W47" s="205">
        <f t="shared" si="6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34">AVERAGE(J38:J47)</f>
        <v>16.5</v>
      </c>
      <c r="K48" s="155">
        <f t="shared" si="34"/>
        <v>1655.5</v>
      </c>
      <c r="L48" s="158">
        <f t="shared" si="34"/>
        <v>100.74313725490197</v>
      </c>
      <c r="M48" s="155">
        <f t="shared" si="34"/>
        <v>17</v>
      </c>
      <c r="N48" s="155">
        <f t="shared" si="34"/>
        <v>1490.9713484271672</v>
      </c>
      <c r="O48" s="158">
        <f t="shared" si="34"/>
        <v>87.856641431701121</v>
      </c>
      <c r="P48" s="221">
        <f>M48-J48</f>
        <v>0.5</v>
      </c>
      <c r="Q48" s="222">
        <f>N48-K48</f>
        <v>-164.52865157283281</v>
      </c>
      <c r="R48" s="223">
        <f t="shared" ref="R48:R51" si="35">O48/L48</f>
        <v>0.87208562117144295</v>
      </c>
      <c r="S48" s="443"/>
      <c r="T48" s="224"/>
      <c r="U48" s="224"/>
      <c r="V48" s="225"/>
      <c r="W48" s="226">
        <f t="shared" si="6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2" si="36">N48-K48</f>
        <v>-164.52865157283281</v>
      </c>
      <c r="AG48" s="162">
        <f t="shared" ref="AG48:AG52" si="37">N48/K48</f>
        <v>0.90061694257152958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f>2218+288</f>
        <v>2506</v>
      </c>
      <c r="H49" s="134">
        <f>F49*G49</f>
        <v>124097.12000000001</v>
      </c>
      <c r="I49" s="135"/>
      <c r="J49" s="36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1728.2758620689858</v>
      </c>
      <c r="O49" s="141">
        <f>N49/M49</f>
        <v>101.66328600405799</v>
      </c>
      <c r="P49" s="229">
        <f>M49-J49</f>
        <v>0</v>
      </c>
      <c r="Q49" s="230">
        <f>O49-L49</f>
        <v>-4.2190669371184697</v>
      </c>
      <c r="R49" s="52">
        <f t="shared" si="35"/>
        <v>0.96015325670499219</v>
      </c>
      <c r="S49" s="439">
        <f>R58</f>
        <v>0.95335433041107376</v>
      </c>
      <c r="T49" s="191">
        <v>0.29027777777777802</v>
      </c>
      <c r="U49" s="191">
        <v>0.35069444444444398</v>
      </c>
      <c r="V49" s="55"/>
      <c r="W49" s="193">
        <f t="shared" si="6"/>
        <v>86.999999999998977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36"/>
        <v>-71.724137931014184</v>
      </c>
      <c r="AG49" s="52">
        <f t="shared" si="37"/>
        <v>0.96015325670499208</v>
      </c>
      <c r="AH49" s="403">
        <f>AG58</f>
        <v>0.93301420696137449</v>
      </c>
    </row>
    <row r="50" spans="1:34" ht="15" customHeight="1">
      <c r="A50" s="469"/>
      <c r="B50" s="75" t="s">
        <v>81</v>
      </c>
      <c r="C50" s="76"/>
      <c r="D50" s="59" t="s">
        <v>133</v>
      </c>
      <c r="E50" s="77"/>
      <c r="F50" s="75">
        <f>VLOOKUP(D50,廠價表!$C$1:$E$43,3,0)</f>
        <v>50.289000000000001</v>
      </c>
      <c r="G50" s="202">
        <v>2526</v>
      </c>
      <c r="H50" s="231">
        <f>F50*G50</f>
        <v>127030.01400000001</v>
      </c>
      <c r="I50" s="177"/>
      <c r="J50" s="148">
        <f>VLOOKUP(D50,產線配置圖!$A$3:$C$40,2,0)</f>
        <v>18</v>
      </c>
      <c r="K50" s="62">
        <v>1636</v>
      </c>
      <c r="L50" s="81">
        <f>K50/J50</f>
        <v>90.888888888888886</v>
      </c>
      <c r="M50" s="233">
        <v>17</v>
      </c>
      <c r="N50" s="234">
        <f>G50/W50*60</f>
        <v>1471.4563106796079</v>
      </c>
      <c r="O50" s="235">
        <f>N50/M50</f>
        <v>86.556253569388701</v>
      </c>
      <c r="P50" s="74">
        <f>M50-J50</f>
        <v>-1</v>
      </c>
      <c r="Q50" s="83">
        <f>O50-L50</f>
        <v>-4.3326353195001843</v>
      </c>
      <c r="R50" s="72">
        <f t="shared" si="35"/>
        <v>0.952330418245108</v>
      </c>
      <c r="S50" s="440"/>
      <c r="T50" s="21">
        <v>0.35763888888888901</v>
      </c>
      <c r="U50" s="21">
        <v>0.42916666666666697</v>
      </c>
      <c r="V50" s="30">
        <f>(T50-U49)*24*60</f>
        <v>10.000000000000844</v>
      </c>
      <c r="W50" s="236">
        <f t="shared" si="6"/>
        <v>103.00000000000027</v>
      </c>
      <c r="X50" s="22"/>
      <c r="Y50" s="84"/>
      <c r="Z50" s="90">
        <v>1</v>
      </c>
      <c r="AA50" s="90">
        <v>10</v>
      </c>
      <c r="AB50" s="407" t="s">
        <v>247</v>
      </c>
      <c r="AC50" s="407"/>
      <c r="AD50" s="92"/>
      <c r="AE50" s="92"/>
      <c r="AF50" s="307">
        <f t="shared" si="36"/>
        <v>-164.5436893203921</v>
      </c>
      <c r="AG50" s="72">
        <f t="shared" si="37"/>
        <v>0.89942317278704642</v>
      </c>
      <c r="AH50" s="404"/>
    </row>
    <row r="51" spans="1:34" ht="15" customHeight="1">
      <c r="A51" s="469"/>
      <c r="B51" s="75" t="s">
        <v>81</v>
      </c>
      <c r="C51" s="76"/>
      <c r="D51" s="59" t="s">
        <v>132</v>
      </c>
      <c r="E51" s="77"/>
      <c r="F51" s="75">
        <v>49.97</v>
      </c>
      <c r="G51" s="202">
        <f>1257+75+78</f>
        <v>1410</v>
      </c>
      <c r="H51" s="231">
        <v>71007.37</v>
      </c>
      <c r="I51" s="177"/>
      <c r="J51" s="148">
        <f>VLOOKUP(D51,產線配置圖!$A$3:$C$40,2,0)</f>
        <v>16</v>
      </c>
      <c r="K51" s="62">
        <v>1800</v>
      </c>
      <c r="L51" s="81">
        <f t="shared" ref="L51:L52" si="38">K51/J51</f>
        <v>112.5</v>
      </c>
      <c r="M51" s="233">
        <v>16</v>
      </c>
      <c r="N51" s="234">
        <f t="shared" ref="N51:N52" si="39">G51/W51*60</f>
        <v>1692.0000000000114</v>
      </c>
      <c r="O51" s="235">
        <f t="shared" ref="O51:O52" si="40">N51/M51</f>
        <v>105.75000000000071</v>
      </c>
      <c r="P51" s="74">
        <v>-1</v>
      </c>
      <c r="Q51" s="83">
        <f t="shared" ref="Q51:Q52" si="41">O51-L51</f>
        <v>-6.7499999999992895</v>
      </c>
      <c r="R51" s="72">
        <f t="shared" si="35"/>
        <v>0.94000000000000627</v>
      </c>
      <c r="S51" s="440"/>
      <c r="T51" s="21">
        <v>0.43402777777777801</v>
      </c>
      <c r="U51" s="19">
        <v>0.46875</v>
      </c>
      <c r="V51" s="30">
        <f>(T51-U50)*24*60</f>
        <v>6.9999999999998952</v>
      </c>
      <c r="W51" s="236">
        <f t="shared" si="6"/>
        <v>49.999999999999659</v>
      </c>
      <c r="X51" s="22">
        <v>0.47916666666666702</v>
      </c>
      <c r="Y51" s="84">
        <v>0.52083333333333304</v>
      </c>
      <c r="Z51" s="90"/>
      <c r="AA51" s="90"/>
      <c r="AB51" s="407"/>
      <c r="AC51" s="407"/>
      <c r="AD51" s="92"/>
      <c r="AE51" s="92"/>
      <c r="AF51" s="307">
        <f t="shared" si="36"/>
        <v>-107.99999999998863</v>
      </c>
      <c r="AG51" s="72">
        <f t="shared" si="37"/>
        <v>0.94000000000000627</v>
      </c>
      <c r="AH51" s="404"/>
    </row>
    <row r="52" spans="1:34" ht="15" customHeight="1">
      <c r="A52" s="469"/>
      <c r="B52" s="75" t="s">
        <v>81</v>
      </c>
      <c r="C52" s="86"/>
      <c r="D52" s="59" t="s">
        <v>132</v>
      </c>
      <c r="E52" s="87"/>
      <c r="F52" s="75">
        <v>49.97</v>
      </c>
      <c r="G52" s="202">
        <v>4422</v>
      </c>
      <c r="H52" s="231">
        <v>158105.07999999999</v>
      </c>
      <c r="I52" s="232"/>
      <c r="J52" s="367">
        <f>VLOOKUP(D52,產線配置圖!$A$3:$C$40,2,0)</f>
        <v>16</v>
      </c>
      <c r="K52" s="80">
        <v>1636</v>
      </c>
      <c r="L52" s="81">
        <f t="shared" si="38"/>
        <v>102.25</v>
      </c>
      <c r="M52" s="233">
        <v>16</v>
      </c>
      <c r="N52" s="234">
        <f t="shared" si="39"/>
        <v>1579.2857142857094</v>
      </c>
      <c r="O52" s="235">
        <f t="shared" si="40"/>
        <v>98.70535714285684</v>
      </c>
      <c r="P52" s="74">
        <v>-2</v>
      </c>
      <c r="Q52" s="83">
        <f t="shared" si="41"/>
        <v>-3.5446428571431596</v>
      </c>
      <c r="R52" s="72">
        <f>O52/L52</f>
        <v>0.96533356618930899</v>
      </c>
      <c r="S52" s="440"/>
      <c r="T52" s="21">
        <v>0.52708333333333302</v>
      </c>
      <c r="U52" s="21">
        <v>0.64375000000000004</v>
      </c>
      <c r="V52" s="30">
        <f>(T52-U51)*24*60</f>
        <v>83.999999999999545</v>
      </c>
      <c r="W52" s="236">
        <f t="shared" si="6"/>
        <v>168.00000000000051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36"/>
        <v>-56.714285714290554</v>
      </c>
      <c r="AG52" s="72">
        <f t="shared" si="37"/>
        <v>0.96533356618930899</v>
      </c>
      <c r="AH52" s="404"/>
    </row>
    <row r="53" spans="1:34" ht="15" customHeight="1">
      <c r="A53" s="469"/>
      <c r="B53" s="101" t="s">
        <v>81</v>
      </c>
      <c r="C53" s="102"/>
      <c r="D53" s="103" t="s">
        <v>133</v>
      </c>
      <c r="E53" s="104"/>
      <c r="F53" s="75">
        <v>49.97</v>
      </c>
      <c r="G53" s="202">
        <v>734</v>
      </c>
      <c r="H53" s="231">
        <v>158106.07999999999</v>
      </c>
      <c r="I53" s="232"/>
      <c r="J53" s="367">
        <f>VLOOKUP(D53,產線配置圖!$A$3:$C$40,2,0)</f>
        <v>18</v>
      </c>
      <c r="K53" s="80">
        <v>1637</v>
      </c>
      <c r="L53" s="81">
        <f>K53/J53</f>
        <v>90.944444444444443</v>
      </c>
      <c r="M53" s="108">
        <v>17</v>
      </c>
      <c r="N53" s="234">
        <f>G53/W53*60</f>
        <v>1468.0000000000207</v>
      </c>
      <c r="O53" s="235">
        <f>N53/M53</f>
        <v>86.352941176471802</v>
      </c>
      <c r="P53" s="74">
        <v>-1</v>
      </c>
      <c r="Q53" s="83">
        <f>O53-L53</f>
        <v>-4.5915032679726409</v>
      </c>
      <c r="R53" s="72">
        <f>O53/L53</f>
        <v>0.94951309784758242</v>
      </c>
      <c r="S53" s="440"/>
      <c r="T53" s="21">
        <v>0.65277777777777801</v>
      </c>
      <c r="U53" s="21">
        <v>0.67361111111111105</v>
      </c>
      <c r="V53" s="30">
        <f>(T53-U52)*24*60</f>
        <v>13.000000000000274</v>
      </c>
      <c r="W53" s="236">
        <f t="shared" si="6"/>
        <v>29.999999999999574</v>
      </c>
      <c r="X53" s="30"/>
      <c r="Y53" s="151"/>
      <c r="Z53" s="90"/>
      <c r="AA53" s="90"/>
      <c r="AB53" s="407"/>
      <c r="AC53" s="407"/>
      <c r="AD53" s="92"/>
      <c r="AE53" s="92"/>
      <c r="AF53" s="307">
        <f>N53-K53</f>
        <v>-168.99999999997931</v>
      </c>
      <c r="AG53" s="72">
        <f>N53/K53</f>
        <v>0.89676237018938343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6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30"/>
      <c r="W55" s="236">
        <f t="shared" si="6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6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6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42">AVERAGE(J49:J57)</f>
        <v>17</v>
      </c>
      <c r="K58" s="120">
        <f t="shared" si="42"/>
        <v>1701.8</v>
      </c>
      <c r="L58" s="117">
        <f t="shared" si="42"/>
        <v>100.49313725490197</v>
      </c>
      <c r="M58" s="120">
        <f t="shared" si="42"/>
        <v>16.600000000000001</v>
      </c>
      <c r="N58" s="120">
        <f t="shared" si="42"/>
        <v>1587.8035774068671</v>
      </c>
      <c r="O58" s="117">
        <f t="shared" si="42"/>
        <v>95.805567578555198</v>
      </c>
      <c r="P58" s="121">
        <f>M58-J58</f>
        <v>-0.39999999999999858</v>
      </c>
      <c r="Q58" s="122">
        <f>N58-K58</f>
        <v>-113.99642259313282</v>
      </c>
      <c r="R58" s="123">
        <f t="shared" ref="R58:R63" si="43">O58/L58</f>
        <v>0.95335433041107376</v>
      </c>
      <c r="S58" s="443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10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 t="shared" ref="AF58:AF63" si="44">N58-K58</f>
        <v>-113.99642259313282</v>
      </c>
      <c r="AG58" s="124">
        <f t="shared" ref="AG58:AG63" si="45">N58/K58</f>
        <v>0.93301420696137449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2333</v>
      </c>
      <c r="H59" s="243">
        <f>F59*G59</f>
        <v>62967.67</v>
      </c>
      <c r="I59" s="55"/>
      <c r="J59" s="136">
        <f>VLOOKUP(D59,產線配置圖!$A$3:$C$40,2,0)</f>
        <v>15</v>
      </c>
      <c r="K59" s="137">
        <v>1636</v>
      </c>
      <c r="L59" s="138">
        <f>K59/J59</f>
        <v>109.06666666666666</v>
      </c>
      <c r="M59" s="244">
        <v>15</v>
      </c>
      <c r="N59" s="137">
        <f>G59/W59*60</f>
        <v>1555.3333333333333</v>
      </c>
      <c r="O59" s="138">
        <f>N59/M59</f>
        <v>103.68888888888888</v>
      </c>
      <c r="P59" s="56">
        <f>M59-J59</f>
        <v>0</v>
      </c>
      <c r="Q59" s="230">
        <f>O59-L59</f>
        <v>-5.37777777777778</v>
      </c>
      <c r="R59" s="52">
        <f t="shared" si="43"/>
        <v>0.95069274653626734</v>
      </c>
      <c r="S59" s="439">
        <f>R69</f>
        <v>0.95906154314681602</v>
      </c>
      <c r="T59" s="245">
        <v>0.29027777777777802</v>
      </c>
      <c r="U59" s="245">
        <v>0.35277777777777802</v>
      </c>
      <c r="V59" s="55"/>
      <c r="W59" s="54">
        <f t="shared" si="6"/>
        <v>90</v>
      </c>
      <c r="X59" s="55"/>
      <c r="Y59" s="290"/>
      <c r="Z59" s="169"/>
      <c r="AA59" s="169"/>
      <c r="AB59" s="429"/>
      <c r="AC59" s="429"/>
      <c r="AD59" s="135"/>
      <c r="AE59" s="135"/>
      <c r="AF59" s="310">
        <f t="shared" si="44"/>
        <v>-80.666666666666742</v>
      </c>
      <c r="AG59" s="246">
        <f t="shared" si="45"/>
        <v>0.95069274653626723</v>
      </c>
      <c r="AH59" s="403">
        <f>AG69</f>
        <v>0.95888012254439037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1912</v>
      </c>
      <c r="H60" s="78">
        <f>F60*G60</f>
        <v>54033.120000000003</v>
      </c>
      <c r="I60" s="30"/>
      <c r="J60" s="79">
        <f>VLOOKUP(D60,產線配置圖!$A$3:$C$40,2,0)</f>
        <v>12</v>
      </c>
      <c r="K60" s="80">
        <v>1636</v>
      </c>
      <c r="L60" s="81">
        <f>K60/J60</f>
        <v>136.33333333333334</v>
      </c>
      <c r="M60" s="82">
        <v>12</v>
      </c>
      <c r="N60" s="80">
        <f>G60/W60*60</f>
        <v>1593.3333333333337</v>
      </c>
      <c r="O60" s="81">
        <f>N60/M60</f>
        <v>132.7777777777778</v>
      </c>
      <c r="P60" s="74">
        <f>M60-J60</f>
        <v>0</v>
      </c>
      <c r="Q60" s="83">
        <f>O60-L60</f>
        <v>-3.5555555555555429</v>
      </c>
      <c r="R60" s="72">
        <f t="shared" si="43"/>
        <v>0.97392013039934811</v>
      </c>
      <c r="S60" s="467"/>
      <c r="T60" s="22">
        <v>0.36319444444444399</v>
      </c>
      <c r="U60" s="22">
        <v>0.41319444444444398</v>
      </c>
      <c r="V60" s="30">
        <f>(T60-U59)*24*60</f>
        <v>14.999999999998987</v>
      </c>
      <c r="W60" s="248">
        <f t="shared" si="6"/>
        <v>71.999999999999986</v>
      </c>
      <c r="X60" s="232"/>
      <c r="Y60" s="177"/>
      <c r="Z60" s="90"/>
      <c r="AA60" s="90"/>
      <c r="AB60" s="407"/>
      <c r="AC60" s="407"/>
      <c r="AD60" s="92"/>
      <c r="AE60" s="92"/>
      <c r="AF60" s="316">
        <f t="shared" si="44"/>
        <v>-42.666666666666288</v>
      </c>
      <c r="AG60" s="249">
        <f t="shared" si="45"/>
        <v>0.97392013039934822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2488</v>
      </c>
      <c r="H61" s="254">
        <f>F61*G61</f>
        <v>70310.880000000005</v>
      </c>
      <c r="I61" s="182"/>
      <c r="J61" s="106">
        <f>VLOOKUP(D61,產線配置圖!$A$3:$C$40,2,0)</f>
        <v>11</v>
      </c>
      <c r="K61" s="107">
        <v>1636</v>
      </c>
      <c r="L61" s="238">
        <f>K61/J61</f>
        <v>148.72727272727272</v>
      </c>
      <c r="M61" s="108">
        <v>11</v>
      </c>
      <c r="N61" s="107">
        <f>G61/W61*60</f>
        <v>1507.8787878787873</v>
      </c>
      <c r="O61" s="238">
        <f>N61/M61</f>
        <v>137.07988980716249</v>
      </c>
      <c r="P61" s="111">
        <f>M61-J61</f>
        <v>0</v>
      </c>
      <c r="Q61" s="255">
        <f>O61-L61</f>
        <v>-11.647382920110232</v>
      </c>
      <c r="R61" s="85">
        <f t="shared" si="43"/>
        <v>0.92168630065940549</v>
      </c>
      <c r="S61" s="440"/>
      <c r="T61" s="22">
        <v>0.42361111111111099</v>
      </c>
      <c r="U61" s="22">
        <v>0.49236111111111103</v>
      </c>
      <c r="V61" s="30">
        <f t="shared" ref="V61:V63" si="46">(T61-U60)*24*60</f>
        <v>15.000000000000506</v>
      </c>
      <c r="W61" s="256">
        <f t="shared" si="6"/>
        <v>99.000000000000043</v>
      </c>
      <c r="X61" s="22"/>
      <c r="Y61" s="84"/>
      <c r="Z61" s="90"/>
      <c r="AA61" s="90"/>
      <c r="AB61" s="407"/>
      <c r="AC61" s="407"/>
      <c r="AD61" s="92"/>
      <c r="AE61" s="92"/>
      <c r="AF61" s="317">
        <f t="shared" si="44"/>
        <v>-128.12121212121269</v>
      </c>
      <c r="AG61" s="247">
        <f t="shared" si="45"/>
        <v>0.92168630065940549</v>
      </c>
      <c r="AH61" s="404"/>
    </row>
    <row r="62" spans="1:34" ht="15" customHeight="1">
      <c r="A62" s="465"/>
      <c r="B62" s="258" t="s">
        <v>125</v>
      </c>
      <c r="C62" s="58"/>
      <c r="D62" s="259" t="s">
        <v>192</v>
      </c>
      <c r="E62" s="60"/>
      <c r="F62" s="250">
        <f>VLOOKUP(D62,廠價表!$C$1:$E$43,3,0)</f>
        <v>28.26</v>
      </c>
      <c r="G62" s="260">
        <v>2158</v>
      </c>
      <c r="H62" s="254">
        <f>F62*G62</f>
        <v>60985.08</v>
      </c>
      <c r="I62" s="182"/>
      <c r="J62" s="106">
        <f>VLOOKUP(D62,產線配置圖!$A$3:$C$40,2,0)</f>
        <v>11</v>
      </c>
      <c r="K62" s="107">
        <v>1637</v>
      </c>
      <c r="L62" s="238">
        <f>K62/J62</f>
        <v>148.81818181818181</v>
      </c>
      <c r="M62" s="108">
        <v>11</v>
      </c>
      <c r="N62" s="107">
        <f>G62/W62*60</f>
        <v>1618.4999999999895</v>
      </c>
      <c r="O62" s="238">
        <f>N62/M62</f>
        <v>147.13636363636269</v>
      </c>
      <c r="P62" s="111">
        <f>M62-J62</f>
        <v>0</v>
      </c>
      <c r="Q62" s="255">
        <f>O62-L62</f>
        <v>-1.6818181818191249</v>
      </c>
      <c r="R62" s="85">
        <f t="shared" si="43"/>
        <v>0.98869883934025027</v>
      </c>
      <c r="S62" s="440"/>
      <c r="T62" s="22">
        <v>0.54861111111111105</v>
      </c>
      <c r="U62" s="22">
        <v>0.60416666666666696</v>
      </c>
      <c r="V62" s="30">
        <f t="shared" si="46"/>
        <v>81.000000000000028</v>
      </c>
      <c r="W62" s="248">
        <f t="shared" si="6"/>
        <v>80.000000000000512</v>
      </c>
      <c r="X62" s="22">
        <v>0.5</v>
      </c>
      <c r="Y62" s="84">
        <v>0.54166666666666696</v>
      </c>
      <c r="Z62" s="90"/>
      <c r="AA62" s="90"/>
      <c r="AB62" s="407"/>
      <c r="AC62" s="407"/>
      <c r="AD62" s="92"/>
      <c r="AE62" s="92"/>
      <c r="AF62" s="317">
        <f t="shared" si="44"/>
        <v>-18.500000000010459</v>
      </c>
      <c r="AG62" s="247">
        <f t="shared" si="45"/>
        <v>0.98869883934025016</v>
      </c>
      <c r="AH62" s="404"/>
    </row>
    <row r="63" spans="1:34" ht="15" customHeight="1">
      <c r="A63" s="465"/>
      <c r="B63" s="75" t="s">
        <v>125</v>
      </c>
      <c r="C63" s="76"/>
      <c r="D63" s="175" t="s">
        <v>134</v>
      </c>
      <c r="E63" s="77"/>
      <c r="F63" s="250">
        <f>VLOOKUP(D63,廠價表!$C$1:$E$43,3,0)</f>
        <v>26.99</v>
      </c>
      <c r="G63" s="30">
        <v>1781</v>
      </c>
      <c r="H63" s="254">
        <f>F63*G63</f>
        <v>48069.189999999995</v>
      </c>
      <c r="I63" s="182"/>
      <c r="J63" s="106">
        <f>VLOOKUP(D63,產線配置圖!$A$3:$C$40,2,0)</f>
        <v>15</v>
      </c>
      <c r="K63" s="107">
        <v>1638</v>
      </c>
      <c r="L63" s="238">
        <f>K63/J63</f>
        <v>109.2</v>
      </c>
      <c r="M63" s="108">
        <v>15</v>
      </c>
      <c r="N63" s="107">
        <f>G63/W63*60</f>
        <v>1571.4705882353032</v>
      </c>
      <c r="O63" s="238">
        <f>N63/M63</f>
        <v>104.76470588235355</v>
      </c>
      <c r="P63" s="111">
        <f>M63-J63</f>
        <v>0</v>
      </c>
      <c r="Q63" s="255">
        <f>O63-L63</f>
        <v>-4.4352941176464498</v>
      </c>
      <c r="R63" s="85">
        <f t="shared" si="43"/>
        <v>0.95938375350140614</v>
      </c>
      <c r="S63" s="440"/>
      <c r="T63" s="22">
        <v>0.61111111111111105</v>
      </c>
      <c r="U63" s="22">
        <v>0.65833333333333299</v>
      </c>
      <c r="V63" s="30">
        <f t="shared" si="46"/>
        <v>9.9999999999994849</v>
      </c>
      <c r="W63" s="248">
        <f t="shared" si="6"/>
        <v>67.999999999999602</v>
      </c>
      <c r="X63" s="261"/>
      <c r="Y63" s="291"/>
      <c r="Z63" s="335"/>
      <c r="AA63" s="335"/>
      <c r="AB63" s="407"/>
      <c r="AC63" s="407"/>
      <c r="AD63" s="92"/>
      <c r="AE63" s="92"/>
      <c r="AF63" s="317">
        <f t="shared" si="44"/>
        <v>-66.529411764696761</v>
      </c>
      <c r="AG63" s="247">
        <f t="shared" si="45"/>
        <v>0.95938375350140614</v>
      </c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6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2"/>
      <c r="U65" s="22"/>
      <c r="V65" s="30"/>
      <c r="W65" s="73">
        <f t="shared" si="6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2"/>
      <c r="U66" s="22"/>
      <c r="V66" s="30"/>
      <c r="W66" s="73">
        <f t="shared" si="6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6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6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47">AVERAGE(J59:J68)</f>
        <v>12.8</v>
      </c>
      <c r="K69" s="240">
        <f t="shared" si="47"/>
        <v>1636.6</v>
      </c>
      <c r="L69" s="268">
        <f t="shared" si="47"/>
        <v>130.42909090909092</v>
      </c>
      <c r="M69" s="240">
        <f t="shared" si="47"/>
        <v>12.8</v>
      </c>
      <c r="N69" s="240">
        <f t="shared" si="47"/>
        <v>1569.3032085561492</v>
      </c>
      <c r="O69" s="268">
        <f t="shared" si="47"/>
        <v>125.08952519850909</v>
      </c>
      <c r="P69" s="269">
        <f>M69-J69</f>
        <v>0</v>
      </c>
      <c r="Q69" s="222">
        <f>N69-K69</f>
        <v>-67.29679144385068</v>
      </c>
      <c r="R69" s="123">
        <f>O69/L69</f>
        <v>0.95906154314681602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8">
        <f>N69-K69</f>
        <v>-67.29679144385068</v>
      </c>
      <c r="AG69" s="85">
        <f>N69/K69</f>
        <v>0.95888012254439037</v>
      </c>
      <c r="AH69" s="406"/>
    </row>
    <row r="70" spans="1:36" ht="15" customHeight="1">
      <c r="A70" s="471" t="s">
        <v>55</v>
      </c>
      <c r="B70" s="75" t="s">
        <v>81</v>
      </c>
      <c r="C70" s="58"/>
      <c r="D70" s="259" t="s">
        <v>123</v>
      </c>
      <c r="E70" s="60"/>
      <c r="F70" s="75">
        <f>VLOOKUP(D70,廠價表!$C$1:$E$43,3,0)</f>
        <v>50.67</v>
      </c>
      <c r="G70" s="273">
        <f>1509+72</f>
        <v>1581</v>
      </c>
      <c r="H70" s="91">
        <f>F70*G70</f>
        <v>80109.27</v>
      </c>
      <c r="I70" s="182"/>
      <c r="J70" s="79">
        <f>VLOOKUP(D70,產線配置圖!$A$3:$C$40,2,0)</f>
        <v>13</v>
      </c>
      <c r="K70" s="80">
        <f>VLOOKUP(D70,產線配置圖!$A$3:$C$40,3,0)</f>
        <v>1440</v>
      </c>
      <c r="L70" s="93">
        <f>K70/J70</f>
        <v>110.76923076923077</v>
      </c>
      <c r="M70" s="94">
        <v>11</v>
      </c>
      <c r="N70" s="95">
        <f>G70/W70*60</f>
        <v>998.52631578947728</v>
      </c>
      <c r="O70" s="96">
        <f>N70/M70</f>
        <v>90.775119617225201</v>
      </c>
      <c r="P70" s="97">
        <f>M70-J70</f>
        <v>-2</v>
      </c>
      <c r="Q70" s="98">
        <f>O70-L70</f>
        <v>-19.994111152005573</v>
      </c>
      <c r="R70" s="99">
        <f>O70/L70</f>
        <v>0.81949760765550528</v>
      </c>
      <c r="S70" s="439">
        <f>R79</f>
        <v>0.90139346695940792</v>
      </c>
      <c r="T70" s="22">
        <v>0.3125</v>
      </c>
      <c r="U70" s="22">
        <v>0.37847222222222199</v>
      </c>
      <c r="V70" s="55"/>
      <c r="W70" s="54">
        <f t="shared" si="6"/>
        <v>94.999999999999659</v>
      </c>
      <c r="X70" s="270"/>
      <c r="Y70" s="292"/>
      <c r="Z70" s="169"/>
      <c r="AA70" s="169"/>
      <c r="AB70" s="429"/>
      <c r="AC70" s="429"/>
      <c r="AD70" s="135"/>
      <c r="AE70" s="135"/>
      <c r="AF70" s="142">
        <f>N70-K70</f>
        <v>-441.47368421052272</v>
      </c>
      <c r="AG70" s="144">
        <f>N70/K70</f>
        <v>0.69342105263158149</v>
      </c>
      <c r="AH70" s="476">
        <f>AG79</f>
        <v>0.74340907535418299</v>
      </c>
    </row>
    <row r="71" spans="1:36" ht="15" customHeight="1">
      <c r="A71" s="472"/>
      <c r="B71" s="75" t="s">
        <v>125</v>
      </c>
      <c r="C71" s="58"/>
      <c r="D71" s="259" t="s">
        <v>192</v>
      </c>
      <c r="E71" s="60"/>
      <c r="F71" s="75">
        <f>VLOOKUP(D71,廠價表!$C$1:$E$43,3,0)</f>
        <v>28.26</v>
      </c>
      <c r="G71" s="273">
        <f>1632+515</f>
        <v>2147</v>
      </c>
      <c r="H71" s="91">
        <f>F71*G71</f>
        <v>60674.22</v>
      </c>
      <c r="I71" s="182"/>
      <c r="J71" s="79">
        <f>VLOOKUP(D71,產線配置圖!$A$3:$C$40,2,0)</f>
        <v>11</v>
      </c>
      <c r="K71" s="80">
        <f>VLOOKUP(D71,產線配置圖!$A$3:$C$40,3,0)</f>
        <v>1636</v>
      </c>
      <c r="L71" s="93">
        <f>K71/J71</f>
        <v>148.72727272727272</v>
      </c>
      <c r="M71" s="94">
        <v>9</v>
      </c>
      <c r="N71" s="95">
        <f>G71/W71*60</f>
        <v>1288.1999999999894</v>
      </c>
      <c r="O71" s="96">
        <f>N71/M71</f>
        <v>143.13333333333216</v>
      </c>
      <c r="P71" s="97">
        <f>M71-J71</f>
        <v>-2</v>
      </c>
      <c r="Q71" s="98">
        <f>O71-L71</f>
        <v>-5.5939393939405591</v>
      </c>
      <c r="R71" s="99">
        <f>O71/L71</f>
        <v>0.96238793806030187</v>
      </c>
      <c r="S71" s="440"/>
      <c r="T71" s="22">
        <v>0.39236111111111099</v>
      </c>
      <c r="U71" s="22">
        <v>0.46180555555555602</v>
      </c>
      <c r="V71" s="30">
        <f>(T71-U70)*24*60</f>
        <v>20.000000000000171</v>
      </c>
      <c r="W71" s="73">
        <f t="shared" si="6"/>
        <v>100.00000000000084</v>
      </c>
      <c r="X71" s="271"/>
      <c r="Y71" s="293"/>
      <c r="Z71" s="90"/>
      <c r="AA71" s="90"/>
      <c r="AB71" s="407"/>
      <c r="AC71" s="407"/>
      <c r="AD71" s="200"/>
      <c r="AE71" s="200"/>
      <c r="AF71" s="97">
        <f>N71-K71</f>
        <v>-347.80000000001064</v>
      </c>
      <c r="AG71" s="99">
        <f>N71/K71</f>
        <v>0.78740831295842872</v>
      </c>
      <c r="AH71" s="445"/>
    </row>
    <row r="72" spans="1:36" ht="15" customHeight="1">
      <c r="A72" s="472"/>
      <c r="B72" s="75"/>
      <c r="C72" s="58"/>
      <c r="D72" s="259"/>
      <c r="E72" s="60"/>
      <c r="F72" s="75"/>
      <c r="G72" s="273"/>
      <c r="H72" s="91"/>
      <c r="I72" s="182"/>
      <c r="J72" s="79"/>
      <c r="K72" s="80"/>
      <c r="L72" s="93"/>
      <c r="M72" s="94"/>
      <c r="N72" s="95"/>
      <c r="O72" s="96"/>
      <c r="P72" s="97"/>
      <c r="Q72" s="98"/>
      <c r="R72" s="99"/>
      <c r="S72" s="440"/>
      <c r="T72" s="22"/>
      <c r="U72" s="22"/>
      <c r="V72" s="30"/>
      <c r="W72" s="73">
        <f t="shared" si="6"/>
        <v>0</v>
      </c>
      <c r="X72" s="272"/>
      <c r="Y72" s="288"/>
      <c r="Z72" s="90"/>
      <c r="AA72" s="90"/>
      <c r="AB72" s="407"/>
      <c r="AC72" s="407"/>
      <c r="AD72" s="92"/>
      <c r="AE72" s="92"/>
      <c r="AF72" s="370"/>
      <c r="AG72" s="371"/>
      <c r="AH72" s="445"/>
    </row>
    <row r="73" spans="1:36" ht="15" customHeight="1">
      <c r="A73" s="472"/>
      <c r="B73" s="75"/>
      <c r="C73" s="58"/>
      <c r="D73" s="259"/>
      <c r="E73" s="60"/>
      <c r="F73" s="75"/>
      <c r="G73" s="273"/>
      <c r="H73" s="91"/>
      <c r="I73" s="182"/>
      <c r="J73" s="79"/>
      <c r="K73" s="80"/>
      <c r="L73" s="93"/>
      <c r="M73" s="94"/>
      <c r="N73" s="95"/>
      <c r="O73" s="96"/>
      <c r="P73" s="97"/>
      <c r="Q73" s="98"/>
      <c r="R73" s="99"/>
      <c r="S73" s="440"/>
      <c r="T73" s="22"/>
      <c r="U73" s="22"/>
      <c r="V73" s="30"/>
      <c r="W73" s="73">
        <f t="shared" si="6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91"/>
      <c r="I74" s="182"/>
      <c r="J74" s="79"/>
      <c r="K74" s="80"/>
      <c r="L74" s="93"/>
      <c r="M74" s="94"/>
      <c r="N74" s="95"/>
      <c r="O74" s="96"/>
      <c r="P74" s="97"/>
      <c r="Q74" s="98"/>
      <c r="R74" s="99"/>
      <c r="S74" s="440"/>
      <c r="T74" s="22"/>
      <c r="U74" s="22"/>
      <c r="V74" s="30"/>
      <c r="W74" s="73">
        <f t="shared" si="6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2"/>
      <c r="U75" s="22"/>
      <c r="V75" s="30"/>
      <c r="W75" s="256">
        <f t="shared" si="6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2"/>
      <c r="U76" s="22"/>
      <c r="V76" s="30"/>
      <c r="W76" s="248">
        <f t="shared" si="6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2"/>
      <c r="U77" s="22"/>
      <c r="V77" s="30"/>
      <c r="W77" s="73">
        <f t="shared" si="6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10"/>
      <c r="U78" s="110"/>
      <c r="V78" s="38"/>
      <c r="W78" s="73">
        <f t="shared" si="6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/>
      <c r="D79" s="430" t="s">
        <v>42</v>
      </c>
      <c r="E79" s="430"/>
      <c r="F79" s="116"/>
      <c r="G79" s="117"/>
      <c r="H79" s="282"/>
      <c r="I79" s="268"/>
      <c r="J79" s="240">
        <f t="shared" ref="J79:O79" si="48">AVERAGE(J70:J78)</f>
        <v>12</v>
      </c>
      <c r="K79" s="240">
        <f t="shared" si="48"/>
        <v>1538</v>
      </c>
      <c r="L79" s="268">
        <f t="shared" si="48"/>
        <v>129.74825174825173</v>
      </c>
      <c r="M79" s="240">
        <f t="shared" si="48"/>
        <v>10</v>
      </c>
      <c r="N79" s="240">
        <f t="shared" si="48"/>
        <v>1143.3631578947334</v>
      </c>
      <c r="O79" s="268">
        <f t="shared" si="48"/>
        <v>116.95422647527869</v>
      </c>
      <c r="P79" s="269">
        <f>M79-J79</f>
        <v>-2</v>
      </c>
      <c r="Q79" s="222">
        <f>N79-K79</f>
        <v>-394.63684210526662</v>
      </c>
      <c r="R79" s="123">
        <f>O79/L79</f>
        <v>0.90139346695940792</v>
      </c>
      <c r="S79" s="443"/>
      <c r="T79" s="372"/>
      <c r="U79" s="372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-394.63684210526662</v>
      </c>
      <c r="AG79" s="124">
        <f>N79/K79</f>
        <v>0.74340907535418299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48:AC48"/>
    <mergeCell ref="A38:A48"/>
    <mergeCell ref="S38:S48"/>
    <mergeCell ref="AB38:AC38"/>
    <mergeCell ref="D48:E48"/>
    <mergeCell ref="A27:A37"/>
    <mergeCell ref="S27:S37"/>
    <mergeCell ref="AB27:AC27"/>
    <mergeCell ref="AB34:AC34"/>
    <mergeCell ref="AB35:AC35"/>
    <mergeCell ref="AB36:AC36"/>
    <mergeCell ref="D37:E37"/>
    <mergeCell ref="AB37:AC37"/>
    <mergeCell ref="AH27:AH37"/>
    <mergeCell ref="AB28:AC28"/>
    <mergeCell ref="AB29:AC29"/>
    <mergeCell ref="AB30:AC30"/>
    <mergeCell ref="AB31:AC31"/>
    <mergeCell ref="AB32:AC32"/>
    <mergeCell ref="AB33:AC33"/>
    <mergeCell ref="D26:E26"/>
    <mergeCell ref="AB26:AC26"/>
    <mergeCell ref="AH16:AH26"/>
    <mergeCell ref="D15:E15"/>
    <mergeCell ref="AB15:AC15"/>
    <mergeCell ref="A16:A26"/>
    <mergeCell ref="S16:S26"/>
    <mergeCell ref="AB16:AC16"/>
    <mergeCell ref="A5:A15"/>
    <mergeCell ref="S5:S15"/>
    <mergeCell ref="AB21:AC21"/>
    <mergeCell ref="AB22:AC22"/>
    <mergeCell ref="AB23:AC23"/>
    <mergeCell ref="AB24:AC24"/>
    <mergeCell ref="AB25:AC25"/>
    <mergeCell ref="AB17:AC17"/>
    <mergeCell ref="AB18:AC18"/>
    <mergeCell ref="AB19:AC19"/>
    <mergeCell ref="AB20:AC20"/>
    <mergeCell ref="AG3:AG4"/>
    <mergeCell ref="AH3:AH4"/>
    <mergeCell ref="AB5:AC5"/>
    <mergeCell ref="AH5:AH15"/>
    <mergeCell ref="AB6:AC6"/>
    <mergeCell ref="AB7:AC7"/>
    <mergeCell ref="AB3:AC4"/>
    <mergeCell ref="AB9:AC9"/>
    <mergeCell ref="AB10:AC10"/>
    <mergeCell ref="AB11:AC11"/>
    <mergeCell ref="AB12:AC12"/>
    <mergeCell ref="AB13:AC13"/>
    <mergeCell ref="Z3:AA3"/>
    <mergeCell ref="AB14:AC14"/>
    <mergeCell ref="O3:O4"/>
    <mergeCell ref="P3:P4"/>
    <mergeCell ref="Q3:Q4"/>
    <mergeCell ref="R3:R4"/>
    <mergeCell ref="T3:U3"/>
    <mergeCell ref="AD3:AE3"/>
    <mergeCell ref="AF3:AF4"/>
    <mergeCell ref="A2:B2"/>
    <mergeCell ref="A3:A4"/>
    <mergeCell ref="B3:B4"/>
    <mergeCell ref="D3:E4"/>
    <mergeCell ref="F3:F4"/>
    <mergeCell ref="AB1:AC2"/>
    <mergeCell ref="AF1:AH2"/>
    <mergeCell ref="AB8:AC8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V3:V4"/>
    <mergeCell ref="W3:W4"/>
    <mergeCell ref="X3:Y3"/>
  </mergeCells>
  <phoneticPr fontId="0" type="noConversion"/>
  <conditionalFormatting sqref="P5:P79">
    <cfRule type="cellIs" dxfId="18" priority="1" operator="greaterThan">
      <formula>0</formula>
    </cfRule>
  </conditionalFormatting>
  <conditionalFormatting sqref="Q5:Q79 AF5:AF79">
    <cfRule type="cellIs" dxfId="17" priority="4" operator="lessThan">
      <formula>0</formula>
    </cfRule>
  </conditionalFormatting>
  <conditionalFormatting sqref="R5:R79 AG5:AG79">
    <cfRule type="cellIs" dxfId="16" priority="2" operator="greaterThan">
      <formula>1</formula>
    </cfRule>
    <cfRule type="cellIs" dxfId="15" priority="3" operator="lessThan">
      <formula>0.8</formula>
    </cfRule>
  </conditionalFormatting>
  <conditionalFormatting sqref="S5:S10 S37:S62 AH59:AH62 S69:S76 AH69:AH76">
    <cfRule type="cellIs" dxfId="14" priority="7" operator="lessThan">
      <formula>0.8</formula>
    </cfRule>
  </conditionalFormatting>
  <conditionalFormatting sqref="S19:S25 AH19:AH25">
    <cfRule type="cellIs" dxfId="13" priority="6" operator="lessThan">
      <formula>0.8</formula>
    </cfRule>
  </conditionalFormatting>
  <conditionalFormatting sqref="S79">
    <cfRule type="cellIs" dxfId="12" priority="5" operator="lessThan">
      <formula>0.8</formula>
    </cfRule>
  </conditionalFormatting>
  <conditionalFormatting sqref="AH5:AH8 S15:S16 AH15:AH16 AH49 AH79">
    <cfRule type="cellIs" dxfId="11" priority="9" operator="lessThan">
      <formula>0.8</formula>
    </cfRule>
  </conditionalFormatting>
  <conditionalFormatting sqref="AH27 S27:S28">
    <cfRule type="cellIs" dxfId="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4B2F28-F986-4E6E-A491-E1FFE0848716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707A3-398E-455E-B270-F043E64F6409}">
  <dimension ref="B1:O26"/>
  <sheetViews>
    <sheetView topLeftCell="A2" zoomScale="70" zoomScaleNormal="70" workbookViewId="0">
      <selection activeCell="M24" sqref="M2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35" width="8.85546875" style="2" customWidth="1"/>
    <col min="136" max="16384" width="8.85546875" style="2"/>
  </cols>
  <sheetData>
    <row r="1" spans="2:15" ht="27.75" customHeight="1">
      <c r="B1" s="509" t="s">
        <v>70</v>
      </c>
      <c r="C1" s="509"/>
      <c r="D1" s="509"/>
      <c r="E1" s="509"/>
      <c r="F1" s="509"/>
      <c r="G1" s="509"/>
      <c r="H1" s="509"/>
      <c r="I1" s="509"/>
      <c r="J1" s="509"/>
      <c r="K1" s="509"/>
      <c r="L1" s="1"/>
      <c r="M1" s="1"/>
    </row>
    <row r="2" spans="2:15" ht="27.75" customHeight="1"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1"/>
      <c r="M2" s="1"/>
    </row>
    <row r="3" spans="2:15" ht="46.5" customHeight="1">
      <c r="B3" s="503" t="s">
        <v>71</v>
      </c>
      <c r="C3" s="503"/>
      <c r="D3" s="510">
        <v>46203</v>
      </c>
      <c r="E3" s="510"/>
      <c r="F3" s="3" t="s">
        <v>72</v>
      </c>
      <c r="G3" s="511">
        <f>'0630'!E1</f>
        <v>73435</v>
      </c>
      <c r="H3" s="511"/>
      <c r="I3" s="3" t="s">
        <v>2</v>
      </c>
      <c r="J3" s="512">
        <f>'0630'!G1</f>
        <v>3534397.0800000005</v>
      </c>
      <c r="K3" s="512"/>
      <c r="L3" s="4"/>
    </row>
    <row r="4" spans="2:15" ht="24" customHeight="1">
      <c r="B4" s="503" t="s">
        <v>73</v>
      </c>
      <c r="C4" s="503"/>
      <c r="D4" s="504">
        <v>3</v>
      </c>
      <c r="E4" s="504"/>
      <c r="F4" s="513" t="s">
        <v>74</v>
      </c>
      <c r="G4" s="513"/>
      <c r="H4" s="513" t="s">
        <v>75</v>
      </c>
      <c r="I4" s="513"/>
      <c r="J4" s="504" t="s">
        <v>76</v>
      </c>
      <c r="K4" s="513"/>
      <c r="L4" s="480" t="s">
        <v>77</v>
      </c>
      <c r="M4" s="481"/>
      <c r="N4" s="481" t="s">
        <v>78</v>
      </c>
      <c r="O4" s="481"/>
    </row>
    <row r="5" spans="2:15" ht="24" customHeight="1">
      <c r="B5" s="503" t="s">
        <v>14</v>
      </c>
      <c r="C5" s="503"/>
      <c r="D5" s="504" t="s">
        <v>79</v>
      </c>
      <c r="E5" s="504"/>
      <c r="F5" s="504" t="s">
        <v>80</v>
      </c>
      <c r="G5" s="504"/>
      <c r="H5" s="505" t="s">
        <v>81</v>
      </c>
      <c r="I5" s="505"/>
      <c r="J5" s="506" t="s">
        <v>82</v>
      </c>
      <c r="K5" s="506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503"/>
      <c r="C6" s="503"/>
      <c r="D6" s="503" t="s">
        <v>86</v>
      </c>
      <c r="E6" s="503"/>
      <c r="F6" s="507">
        <f>AVERAGE(D13:I13)</f>
        <v>122.33189979682625</v>
      </c>
      <c r="G6" s="507"/>
      <c r="H6" s="508">
        <f>AVERAGE(D13:H13)</f>
        <v>120.71246157437334</v>
      </c>
      <c r="I6" s="508"/>
      <c r="J6" s="508">
        <f>AVERAGE(I13:J13)</f>
        <v>121.25242424242424</v>
      </c>
      <c r="K6" s="508"/>
      <c r="L6" s="516">
        <f>SUM(D18:J18)</f>
        <v>12</v>
      </c>
      <c r="M6" s="499">
        <f>SUM(D19:J19)</f>
        <v>0</v>
      </c>
      <c r="N6" s="517">
        <f>SUM(D20:J20)</f>
        <v>0</v>
      </c>
      <c r="O6" s="499">
        <f>SUM(D20:J20)</f>
        <v>0</v>
      </c>
    </row>
    <row r="7" spans="2:15" ht="39.6" customHeight="1">
      <c r="B7" s="503"/>
      <c r="C7" s="503"/>
      <c r="D7" s="501" t="s">
        <v>87</v>
      </c>
      <c r="E7" s="501"/>
      <c r="F7" s="496">
        <f>AVERAGE(D14:I14)</f>
        <v>112.76859597612697</v>
      </c>
      <c r="G7" s="496"/>
      <c r="H7" s="497">
        <f>AVERAGE(D14:H14)</f>
        <v>111.92679900124799</v>
      </c>
      <c r="I7" s="497"/>
      <c r="J7" s="497">
        <f>AVERAGE(I14:J14)</f>
        <v>105.88745946863614</v>
      </c>
      <c r="K7" s="497"/>
      <c r="L7" s="498" t="e">
        <f t="shared" ref="L7:O8" si="0">AVERAGE(K14:L14)</f>
        <v>#DIV/0!</v>
      </c>
      <c r="M7" s="499" t="e">
        <f t="shared" si="0"/>
        <v>#DIV/0!</v>
      </c>
      <c r="N7" s="500" t="e">
        <f t="shared" si="0"/>
        <v>#DIV/0!</v>
      </c>
      <c r="O7" s="499" t="e">
        <f t="shared" si="0"/>
        <v>#DIV/0!</v>
      </c>
    </row>
    <row r="8" spans="2:15" ht="39.6" customHeight="1">
      <c r="B8" s="503"/>
      <c r="C8" s="503"/>
      <c r="D8" s="501" t="s">
        <v>27</v>
      </c>
      <c r="E8" s="501"/>
      <c r="F8" s="502">
        <f>F7/F6</f>
        <v>0.92182493824928413</v>
      </c>
      <c r="G8" s="502"/>
      <c r="H8" s="502">
        <f>H7/H6</f>
        <v>0.92721826347885106</v>
      </c>
      <c r="I8" s="502"/>
      <c r="J8" s="502">
        <f>J7/J6</f>
        <v>0.87328117462568511</v>
      </c>
      <c r="K8" s="502"/>
      <c r="L8" s="498" t="e">
        <f t="shared" si="0"/>
        <v>#DIV/0!</v>
      </c>
      <c r="M8" s="499" t="e">
        <f t="shared" si="0"/>
        <v>#DIV/0!</v>
      </c>
      <c r="N8" s="500" t="e">
        <f t="shared" si="0"/>
        <v>#DIV/0!</v>
      </c>
      <c r="O8" s="499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77" t="s">
        <v>89</v>
      </c>
      <c r="C10" s="478"/>
      <c r="D10" s="482" t="s">
        <v>90</v>
      </c>
      <c r="E10" s="483"/>
      <c r="F10" s="483"/>
      <c r="G10" s="483"/>
      <c r="H10" s="483"/>
      <c r="I10" s="483"/>
      <c r="J10" s="484"/>
    </row>
    <row r="11" spans="2:15" ht="17.25" customHeight="1">
      <c r="B11" s="485" t="s">
        <v>91</v>
      </c>
      <c r="C11" s="48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87"/>
      <c r="C12" s="48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89" t="s">
        <v>14</v>
      </c>
      <c r="C13" s="12" t="s">
        <v>99</v>
      </c>
      <c r="D13" s="13">
        <f>VALUE('0630'!L15)</f>
        <v>150</v>
      </c>
      <c r="E13" s="13">
        <f>VALUE('0630'!L26)</f>
        <v>158.32255979314803</v>
      </c>
      <c r="F13" s="13">
        <f>VALUE('0630'!L37)</f>
        <v>93.724369747899161</v>
      </c>
      <c r="G13" s="13">
        <f>VALUE('0630'!L48)</f>
        <v>101.24862996480643</v>
      </c>
      <c r="H13" s="13">
        <f>VALUE('0630'!L58)</f>
        <v>100.26674836601308</v>
      </c>
      <c r="I13" s="13">
        <f>VALUE('0630'!L69)</f>
        <v>130.42909090909092</v>
      </c>
      <c r="J13" s="13">
        <f>'0630'!L79</f>
        <v>112.07575757575758</v>
      </c>
    </row>
    <row r="14" spans="2:15" ht="39.950000000000003" customHeight="1">
      <c r="B14" s="490"/>
      <c r="C14" s="12" t="s">
        <v>100</v>
      </c>
      <c r="D14" s="13">
        <f>VALUE('0630'!O15)</f>
        <v>140.41972296534121</v>
      </c>
      <c r="E14" s="13">
        <f>VALUE('0630'!O26)</f>
        <v>142.55766004471533</v>
      </c>
      <c r="F14" s="13">
        <f>VALUE('0630'!O37)</f>
        <v>87.008340935406366</v>
      </c>
      <c r="G14" s="13">
        <f>VALUE('0630'!O48)</f>
        <v>94.149319855202222</v>
      </c>
      <c r="H14" s="13">
        <f>VALUE('0630'!O58)</f>
        <v>95.498951205574855</v>
      </c>
      <c r="I14" s="13">
        <f>VALUE('0630'!O69)</f>
        <v>116.97758085052189</v>
      </c>
      <c r="J14" s="13">
        <f>'0630'!O79</f>
        <v>94.797338086750401</v>
      </c>
    </row>
    <row r="15" spans="2:15" ht="39.950000000000003" customHeight="1">
      <c r="B15" s="491"/>
      <c r="C15" s="10" t="s">
        <v>26</v>
      </c>
      <c r="D15" s="14">
        <f t="shared" ref="D15:I15" si="1">D14/D13</f>
        <v>0.93613148643560806</v>
      </c>
      <c r="E15" s="14">
        <f t="shared" si="1"/>
        <v>0.90042543672215825</v>
      </c>
      <c r="F15" s="14">
        <f t="shared" si="1"/>
        <v>0.92834276900919532</v>
      </c>
      <c r="G15" s="14">
        <f t="shared" si="1"/>
        <v>0.9298824081661955</v>
      </c>
      <c r="H15" s="14">
        <f t="shared" si="1"/>
        <v>0.95244887025722735</v>
      </c>
      <c r="I15" s="14">
        <f t="shared" si="1"/>
        <v>0.89686725587971217</v>
      </c>
      <c r="J15" s="15">
        <f>'0630'!S70</f>
        <v>0.84583267726450273</v>
      </c>
    </row>
    <row r="16" spans="2:15" ht="17.25" customHeight="1">
      <c r="B16" s="492" t="s">
        <v>101</v>
      </c>
      <c r="C16" s="10" t="s">
        <v>34</v>
      </c>
      <c r="D16" s="16">
        <f>'0630'!T5</f>
        <v>0.29375000000000001</v>
      </c>
      <c r="E16" s="16">
        <f>'0630'!T16</f>
        <v>0.29166666666666702</v>
      </c>
      <c r="F16" s="16">
        <f>'0630'!T27</f>
        <v>0.2902777777777778</v>
      </c>
      <c r="G16" s="16">
        <f>'0630'!T38</f>
        <v>0.33194444444444443</v>
      </c>
      <c r="H16" s="16">
        <f>'0630'!T49</f>
        <v>0.2902777777777778</v>
      </c>
      <c r="I16" s="16">
        <f>'0630'!T59</f>
        <v>0.29166666666666702</v>
      </c>
      <c r="J16" s="16">
        <f>'0630'!T70</f>
        <v>0.29166666666666702</v>
      </c>
    </row>
    <row r="17" spans="2:10" ht="17.25" customHeight="1">
      <c r="B17" s="493"/>
      <c r="C17" s="10" t="s">
        <v>35</v>
      </c>
      <c r="D17" s="16">
        <v>0.61458333333333304</v>
      </c>
      <c r="E17" s="19">
        <v>0.62777777777777799</v>
      </c>
      <c r="F17" s="19">
        <v>0.72777777777777775</v>
      </c>
      <c r="G17" s="210">
        <v>0.72569444444444442</v>
      </c>
      <c r="H17" s="21">
        <v>0.66319444444444442</v>
      </c>
      <c r="I17" s="22">
        <v>0.66666666666666696</v>
      </c>
      <c r="J17" s="22">
        <v>0.63541666666666663</v>
      </c>
    </row>
    <row r="18" spans="2:10" ht="17.25" customHeight="1">
      <c r="B18" s="494" t="s">
        <v>102</v>
      </c>
      <c r="C18" s="330" t="s">
        <v>36</v>
      </c>
      <c r="D18" s="358">
        <f>'0630'!Z15</f>
        <v>0</v>
      </c>
      <c r="E18" s="359">
        <f>'0630'!Z26</f>
        <v>0</v>
      </c>
      <c r="F18" s="359">
        <f>'0630'!Z37</f>
        <v>0</v>
      </c>
      <c r="G18" s="360">
        <f>'0630'!Z48</f>
        <v>0</v>
      </c>
      <c r="H18" s="360">
        <f>'0630'!Z58</f>
        <v>0</v>
      </c>
      <c r="I18" s="359">
        <f>'0630'!Z69</f>
        <v>0</v>
      </c>
      <c r="J18" s="359">
        <f>'0630'!AA79</f>
        <v>12</v>
      </c>
    </row>
    <row r="19" spans="2:10" ht="17.25" customHeight="1">
      <c r="B19" s="495"/>
      <c r="C19" s="330" t="s">
        <v>37</v>
      </c>
      <c r="D19" s="358">
        <f>'0630'!AA15</f>
        <v>0</v>
      </c>
      <c r="E19" s="359">
        <f>'0630'!AA26</f>
        <v>0</v>
      </c>
      <c r="F19" s="359">
        <f>'0630'!AA37</f>
        <v>0</v>
      </c>
      <c r="G19" s="360">
        <f>'0630'!AA48</f>
        <v>0</v>
      </c>
      <c r="H19" s="360">
        <f>'0630'!AA58</f>
        <v>0</v>
      </c>
      <c r="I19" s="359">
        <f>'0630'!AA69</f>
        <v>0</v>
      </c>
      <c r="J19" s="359">
        <f>'0630'!AB79</f>
        <v>0</v>
      </c>
    </row>
    <row r="20" spans="2:10" ht="17.25" customHeight="1">
      <c r="B20" s="494" t="s">
        <v>103</v>
      </c>
      <c r="C20" s="330" t="s">
        <v>36</v>
      </c>
      <c r="D20" s="358">
        <f>'0630'!AD15</f>
        <v>0</v>
      </c>
      <c r="E20" s="359">
        <f>'0630'!AD26</f>
        <v>0</v>
      </c>
      <c r="F20" s="359">
        <f>'0630'!AD37</f>
        <v>0</v>
      </c>
      <c r="G20" s="360">
        <f>'0630'!AD48</f>
        <v>0</v>
      </c>
      <c r="H20" s="360">
        <f>'0630'!AD58</f>
        <v>0</v>
      </c>
      <c r="I20" s="359">
        <f>'0630'!AD69</f>
        <v>0</v>
      </c>
      <c r="J20" s="359">
        <f>'0630'!AD79</f>
        <v>0</v>
      </c>
    </row>
    <row r="21" spans="2:10" ht="17.25" customHeight="1">
      <c r="B21" s="495"/>
      <c r="C21" s="330" t="s">
        <v>85</v>
      </c>
      <c r="D21" s="358">
        <f>'0630'!AE15</f>
        <v>0</v>
      </c>
      <c r="E21" s="359">
        <f>'0630'!AE26</f>
        <v>0</v>
      </c>
      <c r="F21" s="359">
        <f>'0630'!AE37</f>
        <v>0</v>
      </c>
      <c r="G21" s="360">
        <f>'0630'!AE48</f>
        <v>0</v>
      </c>
      <c r="H21" s="360">
        <f>'0630'!AE58</f>
        <v>0</v>
      </c>
      <c r="I21" s="359">
        <f>'0630'!AE69</f>
        <v>0</v>
      </c>
      <c r="J21" s="359">
        <f>'0630'!AE79</f>
        <v>0</v>
      </c>
    </row>
    <row r="22" spans="2:10" ht="17.25" customHeight="1">
      <c r="B22" s="477" t="s">
        <v>104</v>
      </c>
      <c r="C22" s="478"/>
      <c r="D22" s="23">
        <f>VALUE('0630'!M15)</f>
        <v>15</v>
      </c>
      <c r="E22" s="23">
        <f>VALUE('0630'!M26)</f>
        <v>14.333333333333334</v>
      </c>
      <c r="F22" s="23">
        <f>VALUE('0630'!M37)</f>
        <v>16.285714285714285</v>
      </c>
      <c r="G22" s="23">
        <f>VALUE('0630'!M48)</f>
        <v>15.666666666666666</v>
      </c>
      <c r="H22" s="23">
        <f>VALUE('0630'!M58)</f>
        <v>16</v>
      </c>
      <c r="I22" s="23">
        <f>VALUE('0630'!M69)</f>
        <v>12.8</v>
      </c>
      <c r="J22" s="23">
        <f>'0630'!M79</f>
        <v>13</v>
      </c>
    </row>
    <row r="23" spans="2:10" ht="17.25" customHeight="1">
      <c r="B23" s="477" t="s">
        <v>105</v>
      </c>
      <c r="C23" s="478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77" t="s">
        <v>109</v>
      </c>
      <c r="C24" s="478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77" t="s">
        <v>111</v>
      </c>
      <c r="C25" s="478"/>
      <c r="D25" s="25"/>
      <c r="E25" s="25"/>
      <c r="F25" s="25"/>
      <c r="G25" s="25"/>
      <c r="H25" s="25"/>
      <c r="I25" s="25"/>
      <c r="J25" s="25"/>
    </row>
    <row r="26" spans="2:10">
      <c r="B26" s="479"/>
      <c r="C26" s="47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7756-6CBD-499A-8BCB-7F0CE344A48C}">
  <sheetPr>
    <tabColor theme="9" tint="0.79998168889431442"/>
  </sheetPr>
  <dimension ref="A1:AJ92"/>
  <sheetViews>
    <sheetView tabSelected="1" zoomScale="69" zoomScaleNormal="69" workbookViewId="0">
      <pane xSplit="5" ySplit="4" topLeftCell="F5" activePane="bottomRight" state="frozen"/>
      <selection activeCell="J17" sqref="J17"/>
      <selection pane="topRight" activeCell="J17" sqref="J17"/>
      <selection pane="bottomLeft" activeCell="J17" sqref="J17"/>
      <selection pane="bottomRight" activeCell="U33" sqref="U3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35" width="8.7109375" style="34" customWidth="1"/>
    <col min="13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73435</v>
      </c>
      <c r="F1" s="30" t="s">
        <v>2</v>
      </c>
      <c r="G1" s="31">
        <f>SUM(H5:H79)</f>
        <v>3534397.0800000005</v>
      </c>
      <c r="H1" s="32" t="s">
        <v>3</v>
      </c>
      <c r="I1" s="33">
        <f>M15+M26+M48+M58+M69+M79+M37</f>
        <v>103.08571428571429</v>
      </c>
      <c r="J1" s="386" t="s">
        <v>4</v>
      </c>
      <c r="K1" s="386"/>
      <c r="L1" s="386"/>
      <c r="M1" s="386" t="s">
        <v>5</v>
      </c>
      <c r="N1" s="386"/>
      <c r="O1" s="386"/>
      <c r="P1" s="386" t="s">
        <v>6</v>
      </c>
      <c r="Q1" s="386"/>
      <c r="R1" s="386"/>
      <c r="S1" s="386"/>
      <c r="T1" s="386" t="s">
        <v>7</v>
      </c>
      <c r="U1" s="386"/>
      <c r="V1" s="386"/>
      <c r="W1" s="386"/>
      <c r="X1" s="386"/>
      <c r="Y1" s="386"/>
      <c r="Z1" s="294" t="s">
        <v>8</v>
      </c>
      <c r="AA1" s="294" t="s">
        <v>9</v>
      </c>
      <c r="AB1" s="386" t="s">
        <v>10</v>
      </c>
      <c r="AC1" s="386"/>
      <c r="AD1" s="294" t="s">
        <v>8</v>
      </c>
      <c r="AE1" s="294" t="s">
        <v>11</v>
      </c>
      <c r="AF1" s="386" t="s">
        <v>12</v>
      </c>
      <c r="AG1" s="388"/>
      <c r="AH1" s="388"/>
    </row>
    <row r="2" spans="1:34" ht="23.25">
      <c r="A2" s="381" t="s">
        <v>248</v>
      </c>
      <c r="B2" s="381"/>
      <c r="C2" s="28"/>
      <c r="D2" s="28" t="s">
        <v>14</v>
      </c>
      <c r="E2" s="35">
        <f>AVERAGE(O15,O26,O37,O48,O58,O69,O79)</f>
        <v>110.20127342050175</v>
      </c>
      <c r="F2" s="36" t="s">
        <v>15</v>
      </c>
      <c r="G2" s="37">
        <f>G1/E1</f>
        <v>48.129598692721459</v>
      </c>
      <c r="H2" s="32" t="s">
        <v>16</v>
      </c>
      <c r="I2" s="32">
        <f>COUNT(I5:I79)</f>
        <v>0</v>
      </c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39">
        <f>Z15+Z26+Z37+Z48+Z58+Z69+Z79</f>
        <v>2</v>
      </c>
      <c r="AA2" s="339">
        <f>AA15+AA26+AA37+AA48+AA58+AA69+AA79</f>
        <v>12</v>
      </c>
      <c r="AB2" s="387"/>
      <c r="AC2" s="387"/>
      <c r="AD2" s="340">
        <f>AD15+AD26+AD37+AD48+AD58+AD69+AD79</f>
        <v>0</v>
      </c>
      <c r="AE2" s="340">
        <f>AE15+AE26+AE37+AE48+AE58+AE69+AE79</f>
        <v>0</v>
      </c>
      <c r="AF2" s="388"/>
      <c r="AG2" s="388"/>
      <c r="AH2" s="388"/>
    </row>
    <row r="3" spans="1:34" ht="32.1" customHeight="1">
      <c r="A3" s="382" t="s">
        <v>17</v>
      </c>
      <c r="B3" s="382" t="s">
        <v>18</v>
      </c>
      <c r="C3" s="30"/>
      <c r="D3" s="382" t="s">
        <v>19</v>
      </c>
      <c r="E3" s="382"/>
      <c r="F3" s="384" t="s">
        <v>20</v>
      </c>
      <c r="G3" s="395" t="s">
        <v>21</v>
      </c>
      <c r="H3" s="384" t="s">
        <v>22</v>
      </c>
      <c r="I3" s="413" t="s">
        <v>23</v>
      </c>
      <c r="J3" s="389" t="s">
        <v>24</v>
      </c>
      <c r="K3" s="391" t="s">
        <v>25</v>
      </c>
      <c r="L3" s="393" t="s">
        <v>14</v>
      </c>
      <c r="M3" s="395" t="s">
        <v>24</v>
      </c>
      <c r="N3" s="391" t="s">
        <v>25</v>
      </c>
      <c r="O3" s="393" t="s">
        <v>14</v>
      </c>
      <c r="P3" s="389" t="s">
        <v>24</v>
      </c>
      <c r="Q3" s="393" t="s">
        <v>14</v>
      </c>
      <c r="R3" s="419" t="s">
        <v>26</v>
      </c>
      <c r="S3" s="401" t="s">
        <v>27</v>
      </c>
      <c r="T3" s="395" t="s">
        <v>28</v>
      </c>
      <c r="U3" s="395"/>
      <c r="V3" s="412" t="s">
        <v>29</v>
      </c>
      <c r="W3" s="413" t="s">
        <v>30</v>
      </c>
      <c r="X3" s="395" t="s">
        <v>31</v>
      </c>
      <c r="Y3" s="415"/>
      <c r="Z3" s="408" t="s">
        <v>32</v>
      </c>
      <c r="AA3" s="409"/>
      <c r="AB3" s="416"/>
      <c r="AC3" s="417"/>
      <c r="AD3" s="408" t="s">
        <v>33</v>
      </c>
      <c r="AE3" s="409"/>
      <c r="AF3" s="410" t="s">
        <v>25</v>
      </c>
      <c r="AG3" s="397" t="s">
        <v>26</v>
      </c>
      <c r="AH3" s="399" t="s">
        <v>27</v>
      </c>
    </row>
    <row r="4" spans="1:34">
      <c r="A4" s="383"/>
      <c r="B4" s="383"/>
      <c r="C4" s="38"/>
      <c r="D4" s="383"/>
      <c r="E4" s="383"/>
      <c r="F4" s="385"/>
      <c r="G4" s="396"/>
      <c r="H4" s="385"/>
      <c r="I4" s="414"/>
      <c r="J4" s="390"/>
      <c r="K4" s="392"/>
      <c r="L4" s="394"/>
      <c r="M4" s="396"/>
      <c r="N4" s="392"/>
      <c r="O4" s="394"/>
      <c r="P4" s="390"/>
      <c r="Q4" s="394"/>
      <c r="R4" s="420"/>
      <c r="S4" s="402"/>
      <c r="T4" s="342" t="s">
        <v>34</v>
      </c>
      <c r="U4" s="342" t="s">
        <v>35</v>
      </c>
      <c r="V4" s="396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18"/>
      <c r="AC4" s="418"/>
      <c r="AD4" s="344" t="s">
        <v>38</v>
      </c>
      <c r="AE4" s="344" t="s">
        <v>39</v>
      </c>
      <c r="AF4" s="411"/>
      <c r="AG4" s="398"/>
      <c r="AH4" s="400"/>
    </row>
    <row r="5" spans="1:34" ht="15" customHeight="1">
      <c r="A5" s="435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3106</v>
      </c>
      <c r="H5" s="43">
        <f>F5*G5</f>
        <v>176638.22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2093.932584269648</v>
      </c>
      <c r="O5" s="47">
        <f>N5/M5</f>
        <v>139.59550561797653</v>
      </c>
      <c r="P5" s="49">
        <f>M5-J5</f>
        <v>0</v>
      </c>
      <c r="Q5" s="50">
        <f>O5-L5</f>
        <v>-10.404494382023472</v>
      </c>
      <c r="R5" s="51">
        <f>O5/L5</f>
        <v>0.93063670411984356</v>
      </c>
      <c r="S5" s="439">
        <f>R15</f>
        <v>0.93613148643560806</v>
      </c>
      <c r="T5" s="319">
        <v>0.29375000000000001</v>
      </c>
      <c r="U5" s="320">
        <v>0.35555555555555601</v>
      </c>
      <c r="V5" s="53"/>
      <c r="W5" s="54">
        <f t="shared" ref="W5:W14" si="0">(U5-T5)*24*60</f>
        <v>89.000000000000639</v>
      </c>
      <c r="X5" s="55"/>
      <c r="Y5" s="290"/>
      <c r="Z5" s="169"/>
      <c r="AA5" s="169"/>
      <c r="AB5" s="444"/>
      <c r="AC5" s="444"/>
      <c r="AD5" s="135"/>
      <c r="AE5" s="135"/>
      <c r="AF5" s="229">
        <f t="shared" ref="AF5:AF9" si="1">N5-K5</f>
        <v>-156.06741573035197</v>
      </c>
      <c r="AG5" s="52">
        <f t="shared" ref="AG5:AG9" si="2">N5/K5</f>
        <v>0.93063670411984356</v>
      </c>
      <c r="AH5" s="403">
        <f>AG15</f>
        <v>0.93613148643560795</v>
      </c>
    </row>
    <row r="6" spans="1:34" ht="15" customHeight="1">
      <c r="A6" s="436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2647</v>
      </c>
      <c r="H6" s="63">
        <f>F6*G6</f>
        <v>153975.99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2117.6000000000145</v>
      </c>
      <c r="O6" s="67">
        <f>N6/M6</f>
        <v>141.17333333333428</v>
      </c>
      <c r="P6" s="69">
        <f>M6-J6</f>
        <v>0</v>
      </c>
      <c r="Q6" s="70">
        <f>O6-L6</f>
        <v>-8.8266666666657159</v>
      </c>
      <c r="R6" s="71">
        <f>O6/L6</f>
        <v>0.94115555555556185</v>
      </c>
      <c r="S6" s="440"/>
      <c r="T6" s="16">
        <v>0.36180555555555599</v>
      </c>
      <c r="U6" s="16">
        <v>0.41388888888888897</v>
      </c>
      <c r="V6" s="30">
        <f>(T6-U5)*24*60</f>
        <v>8.999999999999968</v>
      </c>
      <c r="W6" s="73">
        <f t="shared" si="0"/>
        <v>74.999999999999488</v>
      </c>
      <c r="X6" s="22"/>
      <c r="Y6" s="84"/>
      <c r="Z6" s="90"/>
      <c r="AA6" s="90"/>
      <c r="AB6" s="407"/>
      <c r="AC6" s="407"/>
      <c r="AD6" s="149"/>
      <c r="AE6" s="149"/>
      <c r="AF6" s="307">
        <f t="shared" si="1"/>
        <v>-132.39999999998554</v>
      </c>
      <c r="AG6" s="72">
        <f t="shared" si="2"/>
        <v>0.94115555555556196</v>
      </c>
      <c r="AH6" s="404"/>
    </row>
    <row r="7" spans="1:34" ht="15" customHeight="1">
      <c r="A7" s="436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2784</v>
      </c>
      <c r="H7" s="78">
        <f>F7*G7</f>
        <v>136805.76000000001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2062.2222222222231</v>
      </c>
      <c r="O7" s="81">
        <f>N7/M7</f>
        <v>137.48148148148155</v>
      </c>
      <c r="P7" s="74">
        <f>M7-J7</f>
        <v>0</v>
      </c>
      <c r="Q7" s="83">
        <f>O7-L7</f>
        <v>-12.518518518518448</v>
      </c>
      <c r="R7" s="72">
        <f>O7/L7</f>
        <v>0.9165432098765437</v>
      </c>
      <c r="S7" s="440"/>
      <c r="T7" s="18">
        <v>0.42013888888888901</v>
      </c>
      <c r="U7" s="18">
        <v>0.47638888888888897</v>
      </c>
      <c r="V7" s="30">
        <f>(T7-U6)*24*60</f>
        <v>9.000000000000048</v>
      </c>
      <c r="W7" s="73">
        <f t="shared" si="0"/>
        <v>80.999999999999957</v>
      </c>
      <c r="X7" s="22">
        <v>0.49305555555555602</v>
      </c>
      <c r="Y7" s="84">
        <v>0.53472222222222199</v>
      </c>
      <c r="Z7" s="90"/>
      <c r="AA7" s="90"/>
      <c r="AB7" s="407"/>
      <c r="AC7" s="407"/>
      <c r="AD7" s="92"/>
      <c r="AE7" s="92"/>
      <c r="AF7" s="307">
        <f t="shared" si="1"/>
        <v>-187.77777777777692</v>
      </c>
      <c r="AG7" s="72">
        <f t="shared" si="2"/>
        <v>0.91654320987654359</v>
      </c>
      <c r="AH7" s="404"/>
    </row>
    <row r="8" spans="1:34" ht="15" customHeight="1">
      <c r="A8" s="436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3263</v>
      </c>
      <c r="H8" s="78">
        <f>F8*G8</f>
        <v>160343.82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2151.4285714285866</v>
      </c>
      <c r="O8" s="81">
        <f>N8/M8</f>
        <v>143.42857142857244</v>
      </c>
      <c r="P8" s="74">
        <f>M8-J8</f>
        <v>0</v>
      </c>
      <c r="Q8" s="83">
        <f>O8-L8</f>
        <v>-6.5714285714275604</v>
      </c>
      <c r="R8" s="72">
        <f>O8/L8</f>
        <v>0.95619047619048292</v>
      </c>
      <c r="S8" s="440"/>
      <c r="T8" s="16">
        <v>0.55138888888888904</v>
      </c>
      <c r="U8" s="16">
        <v>0.61458333333333304</v>
      </c>
      <c r="V8" s="30">
        <f>(T8-U7)*24*60</f>
        <v>108.0000000000001</v>
      </c>
      <c r="W8" s="73">
        <f t="shared" si="0"/>
        <v>90.999999999999361</v>
      </c>
      <c r="X8" s="22"/>
      <c r="Y8" s="84"/>
      <c r="Z8" s="90"/>
      <c r="AA8" s="90"/>
      <c r="AB8" s="432"/>
      <c r="AC8" s="433"/>
      <c r="AD8" s="149"/>
      <c r="AE8" s="149"/>
      <c r="AF8" s="307">
        <f t="shared" si="1"/>
        <v>-98.571428571413435</v>
      </c>
      <c r="AG8" s="72">
        <f t="shared" si="2"/>
        <v>0.95619047619048292</v>
      </c>
      <c r="AH8" s="404"/>
    </row>
    <row r="9" spans="1:34" ht="15" customHeight="1">
      <c r="A9" s="437"/>
      <c r="B9" s="75"/>
      <c r="C9" s="86"/>
      <c r="D9" s="59"/>
      <c r="E9" s="87"/>
      <c r="F9" s="75"/>
      <c r="G9" s="62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41"/>
      <c r="T9" s="22"/>
      <c r="U9" s="22"/>
      <c r="V9" s="30"/>
      <c r="W9" s="73">
        <f t="shared" si="0"/>
        <v>0</v>
      </c>
      <c r="X9" s="22"/>
      <c r="Y9" s="84"/>
      <c r="Z9" s="90"/>
      <c r="AA9" s="90"/>
      <c r="AB9" s="407"/>
      <c r="AC9" s="407"/>
      <c r="AD9" s="149"/>
      <c r="AE9" s="149"/>
      <c r="AF9" s="307">
        <f t="shared" si="1"/>
        <v>0</v>
      </c>
      <c r="AG9" s="72" t="e">
        <f t="shared" si="2"/>
        <v>#DIV/0!</v>
      </c>
      <c r="AH9" s="405"/>
    </row>
    <row r="10" spans="1:34" ht="15" customHeight="1">
      <c r="A10" s="437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41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07"/>
      <c r="AC10" s="407"/>
      <c r="AD10" s="92"/>
      <c r="AE10" s="92"/>
      <c r="AF10" s="307"/>
      <c r="AG10" s="72"/>
      <c r="AH10" s="405"/>
    </row>
    <row r="11" spans="1:34" ht="15" customHeight="1">
      <c r="A11" s="437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41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34"/>
      <c r="AC11" s="434"/>
      <c r="AD11" s="149"/>
      <c r="AE11" s="149"/>
      <c r="AF11" s="307"/>
      <c r="AG11" s="72"/>
      <c r="AH11" s="405"/>
    </row>
    <row r="12" spans="1:34" ht="15" customHeight="1">
      <c r="A12" s="437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41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34"/>
      <c r="AC12" s="434"/>
      <c r="AD12" s="149"/>
      <c r="AE12" s="149"/>
      <c r="AF12" s="308"/>
      <c r="AG12" s="85"/>
      <c r="AH12" s="405"/>
    </row>
    <row r="13" spans="1:34" ht="15" customHeight="1">
      <c r="A13" s="437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07"/>
      <c r="AC13" s="407"/>
      <c r="AD13" s="92"/>
      <c r="AE13" s="92"/>
      <c r="AF13" s="308"/>
      <c r="AG13" s="85"/>
      <c r="AH13" s="405"/>
    </row>
    <row r="14" spans="1:34" ht="15" customHeight="1">
      <c r="A14" s="437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41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07"/>
      <c r="AC14" s="407"/>
      <c r="AD14" s="92"/>
      <c r="AE14" s="92"/>
      <c r="AF14" s="308"/>
      <c r="AG14" s="85"/>
      <c r="AH14" s="405"/>
    </row>
    <row r="15" spans="1:34" ht="15" customHeight="1">
      <c r="A15" s="438"/>
      <c r="B15" s="115"/>
      <c r="C15" s="115" t="s">
        <v>41</v>
      </c>
      <c r="D15" s="430" t="s">
        <v>42</v>
      </c>
      <c r="E15" s="430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2106.2958444801179</v>
      </c>
      <c r="O15" s="117">
        <f t="shared" si="3"/>
        <v>140.41972296534121</v>
      </c>
      <c r="P15" s="121">
        <f>M15-J15</f>
        <v>0</v>
      </c>
      <c r="Q15" s="122">
        <f>O15-L15</f>
        <v>-9.580277034658792</v>
      </c>
      <c r="R15" s="123">
        <f>O15/L15</f>
        <v>0.93613148643560806</v>
      </c>
      <c r="S15" s="4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31"/>
      <c r="AC15" s="431"/>
      <c r="AD15" s="323">
        <f>SUM(AD5:AD14)</f>
        <v>0</v>
      </c>
      <c r="AE15" s="323">
        <f>SUM(AE5:AE14)</f>
        <v>0</v>
      </c>
      <c r="AF15" s="309">
        <f t="shared" ref="AF15:AF21" si="4">N15-K15</f>
        <v>-143.70415551988208</v>
      </c>
      <c r="AG15" s="124">
        <f t="shared" ref="AG15:AG21" si="5">N15/K15</f>
        <v>0.93613148643560795</v>
      </c>
      <c r="AH15" s="406"/>
    </row>
    <row r="16" spans="1:34" ht="15" customHeight="1">
      <c r="A16" s="421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2256</v>
      </c>
      <c r="H16" s="134">
        <f>F16*G16</f>
        <v>114311.52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2148.5714285714307</v>
      </c>
      <c r="O16" s="141">
        <f>N16/M16</f>
        <v>153.46938775510219</v>
      </c>
      <c r="P16" s="142">
        <f>M16-J16</f>
        <v>0</v>
      </c>
      <c r="Q16" s="143">
        <f>O16-L16</f>
        <v>-7.2448979591835325</v>
      </c>
      <c r="R16" s="144">
        <f>O16/L16</f>
        <v>0.95492063492063584</v>
      </c>
      <c r="S16" s="425">
        <f>R26</f>
        <v>0.90042543672215825</v>
      </c>
      <c r="T16" s="145">
        <v>0.29166666666666702</v>
      </c>
      <c r="U16" s="145">
        <v>0.33541666666666697</v>
      </c>
      <c r="V16" s="135"/>
      <c r="W16" s="146">
        <f t="shared" ref="W16:W78" si="6">(U16-T16)*24*60</f>
        <v>62.999999999999936</v>
      </c>
      <c r="X16" s="141"/>
      <c r="Y16" s="296"/>
      <c r="Z16" s="169"/>
      <c r="AA16" s="169"/>
      <c r="AB16" s="428"/>
      <c r="AC16" s="429"/>
      <c r="AD16" s="135"/>
      <c r="AE16" s="135"/>
      <c r="AF16" s="229">
        <f t="shared" si="4"/>
        <v>-101.42857142856928</v>
      </c>
      <c r="AG16" s="52">
        <f t="shared" si="5"/>
        <v>0.95492063492063584</v>
      </c>
      <c r="AH16" s="403">
        <f>AG26</f>
        <v>0.90050669873891043</v>
      </c>
    </row>
    <row r="17" spans="1:34" ht="15" customHeight="1">
      <c r="A17" s="422"/>
      <c r="B17" s="75" t="s">
        <v>81</v>
      </c>
      <c r="C17" s="76"/>
      <c r="D17" s="59" t="s">
        <v>118</v>
      </c>
      <c r="E17" s="77"/>
      <c r="F17" s="75">
        <f>VLOOKUP(D17,廠價表!$C$1:$E$43,3,0)</f>
        <v>57.21</v>
      </c>
      <c r="G17" s="147">
        <v>1801</v>
      </c>
      <c r="H17" s="78">
        <f>F17*G17</f>
        <v>103035.21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2078.0769230769306</v>
      </c>
      <c r="O17" s="96">
        <f>N17/M17</f>
        <v>122.23981900452533</v>
      </c>
      <c r="P17" s="97">
        <f>M17-J17</f>
        <v>0</v>
      </c>
      <c r="Q17" s="98">
        <f>O17-L17</f>
        <v>-10.11312217194525</v>
      </c>
      <c r="R17" s="99">
        <f>O17/L17</f>
        <v>0.92358974358974699</v>
      </c>
      <c r="S17" s="426"/>
      <c r="T17" s="19">
        <v>0.343055555555556</v>
      </c>
      <c r="U17" s="19">
        <v>0.37916666666666698</v>
      </c>
      <c r="V17" s="30">
        <f>(T17-U16)*24*60</f>
        <v>11.000000000000201</v>
      </c>
      <c r="W17" s="149">
        <f t="shared" si="6"/>
        <v>51.999999999999815</v>
      </c>
      <c r="X17" s="19"/>
      <c r="Y17" s="297"/>
      <c r="Z17" s="90"/>
      <c r="AA17" s="90"/>
      <c r="AB17" s="407"/>
      <c r="AC17" s="407"/>
      <c r="AD17" s="92"/>
      <c r="AE17" s="92"/>
      <c r="AF17" s="307">
        <f t="shared" si="4"/>
        <v>-171.9230769230694</v>
      </c>
      <c r="AG17" s="72">
        <f t="shared" si="5"/>
        <v>0.92358974358974688</v>
      </c>
      <c r="AH17" s="404"/>
    </row>
    <row r="18" spans="1:34" ht="15" customHeight="1">
      <c r="A18" s="422"/>
      <c r="B18" s="75" t="s">
        <v>81</v>
      </c>
      <c r="C18" s="76"/>
      <c r="D18" s="59" t="s">
        <v>119</v>
      </c>
      <c r="E18" s="77"/>
      <c r="F18" s="75">
        <f>VLOOKUP(D18,廠價表!$C$1:$E$43,3,0)</f>
        <v>56.61</v>
      </c>
      <c r="G18" s="147">
        <v>992</v>
      </c>
      <c r="H18" s="78">
        <f t="shared" ref="H18:H21" si="7">F18*G18</f>
        <v>56157.120000000003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 t="shared" ref="L18:L21" si="8">K18/J18</f>
        <v>150</v>
      </c>
      <c r="M18" s="148">
        <v>15</v>
      </c>
      <c r="N18" s="95">
        <f t="shared" ref="N18:N21" si="9">G18/W18*60</f>
        <v>1984.0000000000334</v>
      </c>
      <c r="O18" s="96">
        <f t="shared" ref="O18:O21" si="10">N18/M18</f>
        <v>132.2666666666689</v>
      </c>
      <c r="P18" s="97">
        <f t="shared" ref="P18:P21" si="11">M18-J18</f>
        <v>0</v>
      </c>
      <c r="Q18" s="98">
        <f t="shared" ref="Q18:Q21" si="12">O18-L18</f>
        <v>-17.733333333331103</v>
      </c>
      <c r="R18" s="99">
        <f t="shared" ref="R18:R21" si="13">O18/L18</f>
        <v>0.88177777777779265</v>
      </c>
      <c r="S18" s="426"/>
      <c r="T18" s="19">
        <v>0.38680555555555601</v>
      </c>
      <c r="U18" s="19">
        <v>0.40763888888888899</v>
      </c>
      <c r="V18" s="30">
        <f>(T18-U17)*24*60</f>
        <v>11.000000000000201</v>
      </c>
      <c r="W18" s="149">
        <f t="shared" si="6"/>
        <v>29.999999999999496</v>
      </c>
      <c r="X18" s="22"/>
      <c r="Y18" s="84"/>
      <c r="Z18" s="90"/>
      <c r="AA18" s="90"/>
      <c r="AB18" s="407"/>
      <c r="AC18" s="407"/>
      <c r="AD18" s="92"/>
      <c r="AE18" s="92"/>
      <c r="AF18" s="307">
        <f t="shared" si="4"/>
        <v>-265.99999999996658</v>
      </c>
      <c r="AG18" s="72">
        <f t="shared" si="5"/>
        <v>0.88177777777779265</v>
      </c>
      <c r="AH18" s="404"/>
    </row>
    <row r="19" spans="1:34" ht="15" customHeight="1">
      <c r="A19" s="422"/>
      <c r="B19" s="75" t="s">
        <v>81</v>
      </c>
      <c r="C19" s="76"/>
      <c r="D19" s="59" t="s">
        <v>120</v>
      </c>
      <c r="E19" s="77"/>
      <c r="F19" s="75">
        <f>VLOOKUP(D19,廠價表!$C$1:$E$43,3,0)</f>
        <v>50.39</v>
      </c>
      <c r="G19" s="147">
        <v>3147</v>
      </c>
      <c r="H19" s="78">
        <f t="shared" si="7"/>
        <v>158577.33000000002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si="8"/>
        <v>173.07692307692307</v>
      </c>
      <c r="M19" s="148">
        <v>13</v>
      </c>
      <c r="N19" s="95">
        <f t="shared" si="9"/>
        <v>2121.5730337078517</v>
      </c>
      <c r="O19" s="96">
        <f t="shared" si="10"/>
        <v>163.19792566983475</v>
      </c>
      <c r="P19" s="97">
        <f t="shared" si="11"/>
        <v>0</v>
      </c>
      <c r="Q19" s="98">
        <f t="shared" si="12"/>
        <v>-9.8789974070883204</v>
      </c>
      <c r="R19" s="99">
        <f t="shared" si="13"/>
        <v>0.94292134831460084</v>
      </c>
      <c r="S19" s="426"/>
      <c r="T19" s="19">
        <v>0.41458333333333303</v>
      </c>
      <c r="U19" s="19">
        <v>0.47638888888888897</v>
      </c>
      <c r="V19" s="30">
        <f>(T19-U18)*24*60</f>
        <v>9.9999999999994049</v>
      </c>
      <c r="W19" s="149">
        <f t="shared" si="6"/>
        <v>89.000000000000568</v>
      </c>
      <c r="X19" s="22">
        <v>0.49305555555555602</v>
      </c>
      <c r="Y19" s="84">
        <v>0.53472222222222199</v>
      </c>
      <c r="Z19" s="90"/>
      <c r="AA19" s="90"/>
      <c r="AB19" s="434"/>
      <c r="AC19" s="434"/>
      <c r="AD19" s="149"/>
      <c r="AE19" s="149"/>
      <c r="AF19" s="307">
        <f t="shared" si="4"/>
        <v>-128.42696629214834</v>
      </c>
      <c r="AG19" s="72">
        <f t="shared" si="5"/>
        <v>0.94292134831460073</v>
      </c>
      <c r="AH19" s="405"/>
    </row>
    <row r="20" spans="1:34" ht="15" customHeight="1">
      <c r="A20" s="422"/>
      <c r="B20" s="75" t="s">
        <v>81</v>
      </c>
      <c r="C20" s="76"/>
      <c r="D20" s="59" t="s">
        <v>120</v>
      </c>
      <c r="E20" s="77"/>
      <c r="F20" s="75">
        <f>VLOOKUP(D20,廠價表!$C$1:$E$43,3,0)</f>
        <v>50.39</v>
      </c>
      <c r="G20" s="147">
        <v>1866</v>
      </c>
      <c r="H20" s="78">
        <f t="shared" si="7"/>
        <v>94027.74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8"/>
        <v>173.07692307692307</v>
      </c>
      <c r="M20" s="148">
        <v>13</v>
      </c>
      <c r="N20" s="95">
        <f t="shared" si="9"/>
        <v>1999.2857142857099</v>
      </c>
      <c r="O20" s="96">
        <f t="shared" si="10"/>
        <v>153.79120879120845</v>
      </c>
      <c r="P20" s="97">
        <f t="shared" si="11"/>
        <v>0</v>
      </c>
      <c r="Q20" s="98">
        <f t="shared" si="12"/>
        <v>-19.285714285714619</v>
      </c>
      <c r="R20" s="99">
        <f t="shared" si="13"/>
        <v>0.88857142857142668</v>
      </c>
      <c r="S20" s="426"/>
      <c r="T20" s="19">
        <v>0.54861111111111105</v>
      </c>
      <c r="U20" s="19">
        <v>0.58750000000000002</v>
      </c>
      <c r="V20" s="30">
        <f>(T20-U19)*24*60</f>
        <v>103.99999999999979</v>
      </c>
      <c r="W20" s="149">
        <f t="shared" si="6"/>
        <v>56.000000000000121</v>
      </c>
      <c r="X20" s="19"/>
      <c r="Y20" s="297"/>
      <c r="Z20" s="90"/>
      <c r="AA20" s="90"/>
      <c r="AB20" s="407"/>
      <c r="AC20" s="407"/>
      <c r="AD20" s="92"/>
      <c r="AE20" s="92"/>
      <c r="AF20" s="307">
        <f t="shared" si="4"/>
        <v>-250.7142857142901</v>
      </c>
      <c r="AG20" s="72">
        <f t="shared" si="5"/>
        <v>0.88857142857142657</v>
      </c>
      <c r="AH20" s="405"/>
    </row>
    <row r="21" spans="1:34" ht="15" customHeight="1">
      <c r="A21" s="423"/>
      <c r="B21" s="75" t="s">
        <v>81</v>
      </c>
      <c r="C21" s="76"/>
      <c r="D21" s="59" t="s">
        <v>116</v>
      </c>
      <c r="E21" s="77"/>
      <c r="F21" s="75">
        <f>VLOOKUP(D21,廠價表!$C$1:$E$43,3,0)</f>
        <v>50.67</v>
      </c>
      <c r="G21" s="147">
        <f>1266+103</f>
        <v>1369</v>
      </c>
      <c r="H21" s="78">
        <f t="shared" si="7"/>
        <v>69367.23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8"/>
        <v>160.71428571428572</v>
      </c>
      <c r="M21" s="148">
        <v>14</v>
      </c>
      <c r="N21" s="95">
        <f t="shared" si="9"/>
        <v>1825.3333333333333</v>
      </c>
      <c r="O21" s="96">
        <f t="shared" si="10"/>
        <v>130.38095238095238</v>
      </c>
      <c r="P21" s="97">
        <f t="shared" si="11"/>
        <v>0</v>
      </c>
      <c r="Q21" s="98">
        <f t="shared" si="12"/>
        <v>-30.333333333333343</v>
      </c>
      <c r="R21" s="99">
        <f t="shared" si="13"/>
        <v>0.81125925925925924</v>
      </c>
      <c r="S21" s="426"/>
      <c r="T21" s="19">
        <v>0.59652777777777799</v>
      </c>
      <c r="U21" s="19">
        <v>0.62777777777777799</v>
      </c>
      <c r="V21" s="30">
        <f>(T21-U20)*24*60</f>
        <v>13.000000000000274</v>
      </c>
      <c r="W21" s="149">
        <f>(U21-T21)*24*60</f>
        <v>45</v>
      </c>
      <c r="X21" s="92"/>
      <c r="Y21" s="298"/>
      <c r="Z21" s="90"/>
      <c r="AA21" s="90"/>
      <c r="AB21" s="407"/>
      <c r="AC21" s="407"/>
      <c r="AD21" s="92"/>
      <c r="AE21" s="92"/>
      <c r="AF21" s="307">
        <f t="shared" si="4"/>
        <v>-424.66666666666674</v>
      </c>
      <c r="AG21" s="72">
        <f t="shared" si="5"/>
        <v>0.81125925925925924</v>
      </c>
      <c r="AH21" s="405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6"/>
      <c r="T22" s="19"/>
      <c r="U22" s="19"/>
      <c r="V22" s="92"/>
      <c r="W22" s="149">
        <v>0</v>
      </c>
      <c r="X22" s="92"/>
      <c r="Y22" s="298"/>
      <c r="Z22" s="90"/>
      <c r="AA22" s="90"/>
      <c r="AB22" s="407"/>
      <c r="AC22" s="407"/>
      <c r="AD22" s="92"/>
      <c r="AE22" s="92"/>
      <c r="AF22" s="308"/>
      <c r="AG22" s="85"/>
      <c r="AH22" s="405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6"/>
      <c r="T23" s="150"/>
      <c r="U23" s="150"/>
      <c r="W23" s="149">
        <f t="shared" si="6"/>
        <v>0</v>
      </c>
      <c r="X23" s="92"/>
      <c r="Y23" s="298"/>
      <c r="Z23" s="90"/>
      <c r="AA23" s="90"/>
      <c r="AB23" s="407"/>
      <c r="AC23" s="407"/>
      <c r="AD23" s="92"/>
      <c r="AE23" s="92"/>
      <c r="AF23" s="308"/>
      <c r="AG23" s="85"/>
      <c r="AH23" s="405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6"/>
      <c r="T24" s="150"/>
      <c r="U24" s="150"/>
      <c r="V24" s="92"/>
      <c r="W24" s="149">
        <f t="shared" si="6"/>
        <v>0</v>
      </c>
      <c r="X24" s="92"/>
      <c r="Y24" s="298"/>
      <c r="Z24" s="90"/>
      <c r="AA24" s="90"/>
      <c r="AB24" s="407"/>
      <c r="AC24" s="407"/>
      <c r="AD24" s="92"/>
      <c r="AE24" s="92"/>
      <c r="AF24" s="308"/>
      <c r="AG24" s="85"/>
      <c r="AH24" s="405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6"/>
      <c r="T25" s="150"/>
      <c r="U25" s="150"/>
      <c r="V25" s="92"/>
      <c r="W25" s="149">
        <f t="shared" si="6"/>
        <v>0</v>
      </c>
      <c r="X25" s="92"/>
      <c r="Y25" s="298"/>
      <c r="Z25" s="90"/>
      <c r="AA25" s="90"/>
      <c r="AB25" s="407"/>
      <c r="AC25" s="407"/>
      <c r="AD25" s="92"/>
      <c r="AE25" s="92"/>
      <c r="AF25" s="308"/>
      <c r="AG25" s="85"/>
      <c r="AH25" s="405"/>
    </row>
    <row r="26" spans="1:34" ht="15" customHeight="1" thickBot="1">
      <c r="A26" s="424"/>
      <c r="B26" s="152"/>
      <c r="C26" s="153" t="s">
        <v>44</v>
      </c>
      <c r="D26" s="430" t="s">
        <v>42</v>
      </c>
      <c r="E26" s="430"/>
      <c r="F26" s="154"/>
      <c r="G26" s="155"/>
      <c r="H26" s="156"/>
      <c r="I26" s="157"/>
      <c r="J26" s="155">
        <f t="shared" ref="J26:O26" si="14">AVERAGE(J16:J25)</f>
        <v>14.333333333333334</v>
      </c>
      <c r="K26" s="155">
        <f t="shared" si="14"/>
        <v>2250</v>
      </c>
      <c r="L26" s="158">
        <f t="shared" si="14"/>
        <v>158.32255979314803</v>
      </c>
      <c r="M26" s="155">
        <f t="shared" si="14"/>
        <v>14.333333333333334</v>
      </c>
      <c r="N26" s="155">
        <f t="shared" si="14"/>
        <v>2026.1400721625484</v>
      </c>
      <c r="O26" s="158">
        <f t="shared" si="14"/>
        <v>142.55766004471533</v>
      </c>
      <c r="P26" s="159">
        <f>M26-J26</f>
        <v>0</v>
      </c>
      <c r="Q26" s="160">
        <f>O26-L26</f>
        <v>-15.764899748432697</v>
      </c>
      <c r="R26" s="161">
        <f>O26/L26</f>
        <v>0.90042543672215825</v>
      </c>
      <c r="S26" s="42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31"/>
      <c r="AC26" s="431"/>
      <c r="AD26" s="323">
        <f>SUM(AD16:AD25)</f>
        <v>0</v>
      </c>
      <c r="AE26" s="323">
        <f>SUM(AE16:AE25)</f>
        <v>0</v>
      </c>
      <c r="AF26" s="309">
        <f t="shared" ref="AF26:AF32" si="15">N26-K26</f>
        <v>-223.85992783745155</v>
      </c>
      <c r="AG26" s="124">
        <f t="shared" ref="AG26:AG32" si="16">N26/K26</f>
        <v>0.90050669873891043</v>
      </c>
      <c r="AH26" s="406"/>
    </row>
    <row r="27" spans="1:34" ht="15" customHeight="1">
      <c r="A27" s="456" t="s">
        <v>45</v>
      </c>
      <c r="B27" s="167" t="s">
        <v>81</v>
      </c>
      <c r="C27" s="130"/>
      <c r="D27" s="168" t="s">
        <v>124</v>
      </c>
      <c r="E27" s="132"/>
      <c r="F27" s="129">
        <f>VLOOKUP(D27,廠價表!$C$1:$E$43,3,0)</f>
        <v>57.21</v>
      </c>
      <c r="G27" s="169">
        <v>2458</v>
      </c>
      <c r="H27" s="134">
        <f>F27*G27</f>
        <v>140622.18</v>
      </c>
      <c r="I27" s="135"/>
      <c r="J27" s="375">
        <f>VLOOKUP(D27,產線配置圖!$A$3:$C$40,2,0)</f>
        <v>18</v>
      </c>
      <c r="K27" s="377">
        <f>VLOOKUP(D27,產線配置圖!$A$3:$C$40,3,0)</f>
        <v>1636</v>
      </c>
      <c r="L27" s="376">
        <f>K27/J27</f>
        <v>90.888888888888886</v>
      </c>
      <c r="M27" s="170">
        <v>18</v>
      </c>
      <c r="N27" s="140">
        <f>G27/W27*60</f>
        <v>1568.9361702127555</v>
      </c>
      <c r="O27" s="141">
        <f>N27/M27</f>
        <v>87.163120567375302</v>
      </c>
      <c r="P27" s="142">
        <f>M27-J27</f>
        <v>0</v>
      </c>
      <c r="Q27" s="143">
        <f>O27-L27</f>
        <v>-3.7257683215135842</v>
      </c>
      <c r="R27" s="144">
        <f>O27/L27</f>
        <v>0.95900743900535179</v>
      </c>
      <c r="S27" s="425">
        <f>R37</f>
        <v>0.92834276900919532</v>
      </c>
      <c r="T27" s="171">
        <v>0.2902777777777778</v>
      </c>
      <c r="U27" s="171">
        <v>0.35555555555555601</v>
      </c>
      <c r="V27" s="135"/>
      <c r="W27" s="146">
        <f t="shared" si="6"/>
        <v>94.000000000000625</v>
      </c>
      <c r="X27" s="135"/>
      <c r="Y27" s="300" t="s">
        <v>46</v>
      </c>
      <c r="Z27" s="169"/>
      <c r="AA27" s="169"/>
      <c r="AB27" s="407" t="s">
        <v>140</v>
      </c>
      <c r="AC27" s="407"/>
      <c r="AD27" s="135"/>
      <c r="AE27" s="135"/>
      <c r="AF27" s="310">
        <f t="shared" si="15"/>
        <v>-67.063829787244458</v>
      </c>
      <c r="AG27" s="172">
        <f t="shared" si="16"/>
        <v>0.95900743900535179</v>
      </c>
      <c r="AH27" s="403">
        <f>AG37</f>
        <v>0.9082176902173188</v>
      </c>
    </row>
    <row r="28" spans="1:34" ht="15" customHeight="1">
      <c r="A28" s="457"/>
      <c r="B28" s="75" t="s">
        <v>81</v>
      </c>
      <c r="C28" s="173"/>
      <c r="D28" s="59" t="s">
        <v>206</v>
      </c>
      <c r="E28" s="104"/>
      <c r="F28" s="75">
        <f>VLOOKUP(D28,廠價表!$C$1:$E$43,3,0)</f>
        <v>45.66</v>
      </c>
      <c r="G28" s="90">
        <v>1375</v>
      </c>
      <c r="H28" s="91">
        <f>F28*G28</f>
        <v>62782.499999999993</v>
      </c>
      <c r="I28" s="92"/>
      <c r="J28" s="274">
        <f>VLOOKUP(D28,產線配置圖!$A$3:$C$40,2,0)</f>
        <v>17</v>
      </c>
      <c r="K28" s="95">
        <f>VLOOKUP(D28,產線配置圖!$A$3:$C$40,3,0)</f>
        <v>1500</v>
      </c>
      <c r="L28" s="93">
        <f>K28/J28</f>
        <v>88.235294117647058</v>
      </c>
      <c r="M28" s="94">
        <v>16</v>
      </c>
      <c r="N28" s="95">
        <f>G28/W28*60</f>
        <v>1374.9999999999995</v>
      </c>
      <c r="O28" s="96">
        <f>N28/M28</f>
        <v>85.937499999999972</v>
      </c>
      <c r="P28" s="97">
        <f>M28-J28</f>
        <v>-1</v>
      </c>
      <c r="Q28" s="98">
        <f>O28-L28</f>
        <v>-2.2977941176470864</v>
      </c>
      <c r="R28" s="99">
        <f>O28/L28</f>
        <v>0.97395833333333304</v>
      </c>
      <c r="S28" s="426"/>
      <c r="T28" s="19">
        <v>0.36249999999999999</v>
      </c>
      <c r="U28" s="19">
        <v>0.40416666666666667</v>
      </c>
      <c r="V28" s="92">
        <f t="shared" ref="V28:V33" si="17">(T28-U27)*24*60</f>
        <v>9.999999999999325</v>
      </c>
      <c r="W28" s="149">
        <f t="shared" si="6"/>
        <v>60.000000000000028</v>
      </c>
      <c r="X28" s="174"/>
      <c r="Y28" s="301"/>
      <c r="Z28" s="335"/>
      <c r="AA28" s="335"/>
      <c r="AB28" s="432"/>
      <c r="AC28" s="433"/>
      <c r="AD28" s="92"/>
      <c r="AE28" s="92"/>
      <c r="AF28" s="311">
        <f t="shared" si="15"/>
        <v>-125.00000000000045</v>
      </c>
      <c r="AG28" s="99">
        <f t="shared" si="16"/>
        <v>0.91666666666666641</v>
      </c>
      <c r="AH28" s="445"/>
    </row>
    <row r="29" spans="1:34" ht="15" customHeight="1">
      <c r="A29" s="457"/>
      <c r="B29" s="75" t="s">
        <v>81</v>
      </c>
      <c r="C29" s="173"/>
      <c r="D29" s="59" t="s">
        <v>168</v>
      </c>
      <c r="E29" s="104"/>
      <c r="F29" s="75">
        <f>VLOOKUP(D29,廠價表!$C$1:$E$43,3,0)</f>
        <v>57.21</v>
      </c>
      <c r="G29" s="90">
        <v>1613</v>
      </c>
      <c r="H29" s="91">
        <f>F29*G29</f>
        <v>92279.73</v>
      </c>
      <c r="I29" s="92"/>
      <c r="J29" s="274">
        <f>VLOOKUP(D29,產線配置圖!$A$3:$C$40,2,0)</f>
        <v>18</v>
      </c>
      <c r="K29" s="95">
        <f>VLOOKUP(D29,產線配置圖!$A$3:$C$40,3,0)</f>
        <v>1565</v>
      </c>
      <c r="L29" s="93">
        <f>K29/J29</f>
        <v>86.944444444444443</v>
      </c>
      <c r="M29" s="94">
        <v>16</v>
      </c>
      <c r="N29" s="95">
        <f>G29/W29*60</f>
        <v>1209.7499999999995</v>
      </c>
      <c r="O29" s="96">
        <f>N29/M29</f>
        <v>75.609374999999972</v>
      </c>
      <c r="P29" s="97">
        <f>M29-J29</f>
        <v>-2</v>
      </c>
      <c r="Q29" s="98">
        <f>O29-L29</f>
        <v>-11.335069444444471</v>
      </c>
      <c r="R29" s="99">
        <f>O29/L29</f>
        <v>0.86962859424920091</v>
      </c>
      <c r="S29" s="426"/>
      <c r="T29" s="19">
        <v>0.40972222222222221</v>
      </c>
      <c r="U29" s="19">
        <v>0.46527777777777779</v>
      </c>
      <c r="V29" s="92">
        <f t="shared" si="17"/>
        <v>7.9999999999999716</v>
      </c>
      <c r="W29" s="149">
        <f t="shared" si="6"/>
        <v>80.000000000000028</v>
      </c>
      <c r="X29" s="22"/>
      <c r="Y29" s="84"/>
      <c r="Z29" s="90"/>
      <c r="AA29" s="90"/>
      <c r="AB29" s="407"/>
      <c r="AC29" s="407"/>
      <c r="AD29" s="92"/>
      <c r="AE29" s="92"/>
      <c r="AF29" s="312">
        <f t="shared" si="15"/>
        <v>-355.25000000000045</v>
      </c>
      <c r="AG29" s="99">
        <f t="shared" si="16"/>
        <v>0.77300319488817859</v>
      </c>
      <c r="AH29" s="445"/>
    </row>
    <row r="30" spans="1:34" ht="15" customHeight="1">
      <c r="A30" s="457"/>
      <c r="B30" s="75" t="s">
        <v>81</v>
      </c>
      <c r="C30" s="88"/>
      <c r="D30" s="59" t="s">
        <v>206</v>
      </c>
      <c r="E30" s="89"/>
      <c r="F30" s="75">
        <f>VLOOKUP(D30,廠價表!$C$1:$E$43,3,0)</f>
        <v>45.66</v>
      </c>
      <c r="G30" s="90">
        <v>1800</v>
      </c>
      <c r="H30" s="91">
        <f t="shared" ref="H30:H32" si="18">F30*G30</f>
        <v>82188</v>
      </c>
      <c r="I30" s="92"/>
      <c r="J30" s="274">
        <f>VLOOKUP(D30,產線配置圖!$A$3:$C$40,2,0)</f>
        <v>17</v>
      </c>
      <c r="K30" s="95">
        <f>VLOOKUP(D30,產線配置圖!$A$3:$C$40,3,0)</f>
        <v>1500</v>
      </c>
      <c r="L30" s="93">
        <f t="shared" ref="L30:L32" si="19">K30/J30</f>
        <v>88.235294117647058</v>
      </c>
      <c r="M30" s="94">
        <v>17</v>
      </c>
      <c r="N30" s="95">
        <f t="shared" ref="N30:N32" si="20">G30/W30*60</f>
        <v>1459.4594594594582</v>
      </c>
      <c r="O30" s="96">
        <f t="shared" ref="O30:O32" si="21">N30/M30</f>
        <v>85.850556438791656</v>
      </c>
      <c r="P30" s="97">
        <f t="shared" ref="P30:P32" si="22">M30-J30</f>
        <v>0</v>
      </c>
      <c r="Q30" s="98">
        <f t="shared" ref="Q30:Q32" si="23">O30-L30</f>
        <v>-2.3847376788554016</v>
      </c>
      <c r="R30" s="99">
        <f t="shared" ref="R30:R32" si="24">O30/L30</f>
        <v>0.97297297297297214</v>
      </c>
      <c r="S30" s="426"/>
      <c r="T30" s="19">
        <v>0.52777777777777779</v>
      </c>
      <c r="U30" s="19">
        <v>0.57916666666666672</v>
      </c>
      <c r="V30" s="92">
        <f t="shared" si="17"/>
        <v>90</v>
      </c>
      <c r="W30" s="149">
        <f t="shared" si="6"/>
        <v>74.000000000000057</v>
      </c>
      <c r="X30" s="174">
        <v>0.47916666666666669</v>
      </c>
      <c r="Y30" s="301">
        <v>0.52083333333333337</v>
      </c>
      <c r="Z30" s="335"/>
      <c r="AA30" s="335"/>
      <c r="AB30" s="407"/>
      <c r="AC30" s="407"/>
      <c r="AD30" s="92"/>
      <c r="AE30" s="92"/>
      <c r="AF30" s="312">
        <f t="shared" si="15"/>
        <v>-40.54054054054177</v>
      </c>
      <c r="AG30" s="99">
        <f t="shared" si="16"/>
        <v>0.97297297297297214</v>
      </c>
      <c r="AH30" s="446"/>
    </row>
    <row r="31" spans="1:34" ht="15" customHeight="1">
      <c r="A31" s="457"/>
      <c r="B31" s="75" t="s">
        <v>81</v>
      </c>
      <c r="C31" s="88"/>
      <c r="D31" s="175" t="s">
        <v>228</v>
      </c>
      <c r="E31" s="176"/>
      <c r="F31" s="75">
        <f>VLOOKUP(D31,廠價表!$C$1:$E$43,3,0)</f>
        <v>46.34</v>
      </c>
      <c r="G31" s="90">
        <v>1800</v>
      </c>
      <c r="H31" s="91">
        <f t="shared" si="18"/>
        <v>83412</v>
      </c>
      <c r="I31" s="92"/>
      <c r="J31" s="274">
        <f>VLOOKUP(D31,產線配置圖!$A$3:$C$40,2,0)</f>
        <v>16</v>
      </c>
      <c r="K31" s="95">
        <v>1500</v>
      </c>
      <c r="L31" s="93">
        <f t="shared" si="19"/>
        <v>93.75</v>
      </c>
      <c r="M31" s="94">
        <v>16</v>
      </c>
      <c r="N31" s="95">
        <f t="shared" si="20"/>
        <v>1479.4520547945096</v>
      </c>
      <c r="O31" s="96">
        <f t="shared" si="21"/>
        <v>92.465753424656853</v>
      </c>
      <c r="P31" s="97">
        <f t="shared" si="22"/>
        <v>0</v>
      </c>
      <c r="Q31" s="98">
        <f t="shared" si="23"/>
        <v>-1.2842465753431469</v>
      </c>
      <c r="R31" s="99">
        <f t="shared" si="24"/>
        <v>0.98630136986300643</v>
      </c>
      <c r="S31" s="426"/>
      <c r="T31" s="19">
        <v>0.58611111111111114</v>
      </c>
      <c r="U31" s="19">
        <v>0.63680555555555596</v>
      </c>
      <c r="V31" s="92">
        <f t="shared" si="17"/>
        <v>9.9999999999999645</v>
      </c>
      <c r="W31" s="149">
        <f t="shared" si="6"/>
        <v>73.00000000000054</v>
      </c>
      <c r="X31" s="174"/>
      <c r="Y31" s="301"/>
      <c r="Z31" s="335"/>
      <c r="AA31" s="335"/>
      <c r="AB31" s="407"/>
      <c r="AC31" s="407"/>
      <c r="AD31" s="92"/>
      <c r="AE31" s="92"/>
      <c r="AF31" s="312">
        <f t="shared" si="15"/>
        <v>-20.54794520549035</v>
      </c>
      <c r="AG31" s="99">
        <f t="shared" si="16"/>
        <v>0.98630136986300643</v>
      </c>
      <c r="AH31" s="405"/>
    </row>
    <row r="32" spans="1:34" ht="15" customHeight="1">
      <c r="A32" s="457"/>
      <c r="B32" s="75" t="s">
        <v>128</v>
      </c>
      <c r="C32" s="102"/>
      <c r="D32" s="59" t="s">
        <v>129</v>
      </c>
      <c r="E32" s="176"/>
      <c r="F32" s="75">
        <f>VLOOKUP(D32,廠價表!$C$1:$E$43,3,0)</f>
        <v>49.91</v>
      </c>
      <c r="G32" s="90">
        <v>1080</v>
      </c>
      <c r="H32" s="91">
        <f t="shared" si="18"/>
        <v>53902.799999999996</v>
      </c>
      <c r="I32" s="92"/>
      <c r="J32" s="274">
        <f>VLOOKUP(D32,產線配置圖!$A$3:$C$40,2,0)</f>
        <v>15</v>
      </c>
      <c r="K32" s="95">
        <f>VLOOKUP(D32,產線配置圖!$A$3:$C$40,3,0)</f>
        <v>1714</v>
      </c>
      <c r="L32" s="93">
        <f t="shared" si="19"/>
        <v>114.26666666666667</v>
      </c>
      <c r="M32" s="94">
        <v>15</v>
      </c>
      <c r="N32" s="95">
        <f t="shared" si="20"/>
        <v>1378.7234042553193</v>
      </c>
      <c r="O32" s="96">
        <f t="shared" si="21"/>
        <v>91.914893617021292</v>
      </c>
      <c r="P32" s="97">
        <f t="shared" si="22"/>
        <v>0</v>
      </c>
      <c r="Q32" s="98">
        <f t="shared" si="23"/>
        <v>-22.351773049645374</v>
      </c>
      <c r="R32" s="99">
        <f t="shared" si="24"/>
        <v>0.80438938404627736</v>
      </c>
      <c r="S32" s="426"/>
      <c r="T32" s="19">
        <v>0.64236111111111116</v>
      </c>
      <c r="U32" s="19">
        <v>0.67500000000000004</v>
      </c>
      <c r="V32" s="92">
        <f t="shared" si="17"/>
        <v>7.999999999999492</v>
      </c>
      <c r="W32" s="149">
        <f t="shared" si="6"/>
        <v>46.999999999999993</v>
      </c>
      <c r="X32" s="174"/>
      <c r="Y32" s="301"/>
      <c r="Z32" s="335"/>
      <c r="AA32" s="335"/>
      <c r="AB32" s="407" t="s">
        <v>261</v>
      </c>
      <c r="AC32" s="407"/>
      <c r="AD32" s="92"/>
      <c r="AE32" s="92"/>
      <c r="AF32" s="312">
        <f t="shared" si="15"/>
        <v>-335.27659574468066</v>
      </c>
      <c r="AG32" s="99">
        <f t="shared" si="16"/>
        <v>0.80438938404627736</v>
      </c>
      <c r="AH32" s="405"/>
    </row>
    <row r="33" spans="1:34" ht="15" customHeight="1">
      <c r="A33" s="457"/>
      <c r="B33" s="75" t="s">
        <v>81</v>
      </c>
      <c r="C33" s="177"/>
      <c r="D33" s="59" t="s">
        <v>228</v>
      </c>
      <c r="E33" s="178"/>
      <c r="F33" s="75">
        <f>VLOOKUP(D33,廠價表!$C$1:$E$43,3,0)</f>
        <v>46.34</v>
      </c>
      <c r="G33" s="90">
        <v>1538</v>
      </c>
      <c r="H33" s="91">
        <f t="shared" ref="H33" si="25">F33*G33</f>
        <v>71270.92</v>
      </c>
      <c r="I33" s="92"/>
      <c r="J33" s="274">
        <f>VLOOKUP(D33,產線配置圖!$A$3:$C$40,2,0)</f>
        <v>16</v>
      </c>
      <c r="K33" s="95">
        <v>1500</v>
      </c>
      <c r="L33" s="93">
        <f t="shared" ref="L33" si="26">K33/J33</f>
        <v>93.75</v>
      </c>
      <c r="M33" s="94">
        <v>16</v>
      </c>
      <c r="N33" s="95">
        <f t="shared" ref="N33" si="27">G33/W33*60</f>
        <v>1441.8749999999907</v>
      </c>
      <c r="O33" s="96">
        <f t="shared" ref="O33" si="28">N33/M33</f>
        <v>90.117187499999417</v>
      </c>
      <c r="P33" s="97">
        <f t="shared" ref="P33" si="29">M33-J33</f>
        <v>0</v>
      </c>
      <c r="Q33" s="98">
        <f t="shared" ref="Q33" si="30">O33-L33</f>
        <v>-3.6328125000005826</v>
      </c>
      <c r="R33" s="99">
        <f t="shared" ref="R33" si="31">O33/L33</f>
        <v>0.96124999999999383</v>
      </c>
      <c r="S33" s="426"/>
      <c r="T33" s="19">
        <v>0.68333333333333302</v>
      </c>
      <c r="U33" s="19">
        <v>0.72777777777777775</v>
      </c>
      <c r="V33" s="92">
        <f t="shared" si="17"/>
        <v>11.999999999999478</v>
      </c>
      <c r="W33" s="149">
        <f t="shared" si="6"/>
        <v>64.000000000000412</v>
      </c>
      <c r="X33" s="174"/>
      <c r="Y33" s="301"/>
      <c r="Z33" s="335"/>
      <c r="AA33" s="335"/>
      <c r="AB33" s="407"/>
      <c r="AC33" s="407"/>
      <c r="AD33" s="92"/>
      <c r="AE33" s="92"/>
      <c r="AF33" s="307"/>
      <c r="AG33" s="112"/>
      <c r="AH33" s="405"/>
    </row>
    <row r="34" spans="1:34" ht="15" customHeight="1">
      <c r="A34" s="457"/>
      <c r="B34" s="75"/>
      <c r="C34" s="173"/>
      <c r="D34" s="59"/>
      <c r="E34" s="104"/>
      <c r="F34" s="75"/>
      <c r="G34" s="90"/>
      <c r="H34" s="91"/>
      <c r="I34" s="92"/>
      <c r="J34" s="79"/>
      <c r="K34" s="234"/>
      <c r="L34" s="93"/>
      <c r="M34" s="94"/>
      <c r="N34" s="95"/>
      <c r="O34" s="96"/>
      <c r="P34" s="97"/>
      <c r="Q34" s="98"/>
      <c r="R34" s="99"/>
      <c r="S34" s="426"/>
      <c r="T34" s="19"/>
      <c r="U34" s="19"/>
      <c r="V34" s="92"/>
      <c r="W34" s="149">
        <f t="shared" si="6"/>
        <v>0</v>
      </c>
      <c r="X34" s="174"/>
      <c r="Y34" s="301"/>
      <c r="Z34" s="335"/>
      <c r="AA34" s="335"/>
      <c r="AB34" s="407"/>
      <c r="AC34" s="407"/>
      <c r="AD34" s="92"/>
      <c r="AE34" s="92"/>
      <c r="AF34" s="307"/>
      <c r="AG34" s="112"/>
      <c r="AH34" s="405"/>
    </row>
    <row r="35" spans="1:34" ht="15" customHeight="1">
      <c r="A35" s="457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6"/>
      <c r="T35" s="150"/>
      <c r="U35" s="150"/>
      <c r="V35" s="92"/>
      <c r="W35" s="149">
        <f t="shared" si="6"/>
        <v>0</v>
      </c>
      <c r="X35" s="174"/>
      <c r="Y35" s="301"/>
      <c r="Z35" s="335"/>
      <c r="AA35" s="335"/>
      <c r="AB35" s="407"/>
      <c r="AC35" s="407"/>
      <c r="AD35" s="92"/>
      <c r="AE35" s="92"/>
      <c r="AF35" s="307"/>
      <c r="AG35" s="112"/>
      <c r="AH35" s="405"/>
    </row>
    <row r="36" spans="1:34" ht="15" customHeight="1">
      <c r="A36" s="457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6"/>
      <c r="T36" s="150"/>
      <c r="U36" s="150"/>
      <c r="V36" s="92"/>
      <c r="W36" s="149">
        <f t="shared" si="6"/>
        <v>0</v>
      </c>
      <c r="X36" s="174"/>
      <c r="Y36" s="301"/>
      <c r="Z36" s="335"/>
      <c r="AA36" s="335"/>
      <c r="AB36" s="407"/>
      <c r="AC36" s="407"/>
      <c r="AD36" s="92"/>
      <c r="AE36" s="92"/>
      <c r="AF36" s="307"/>
      <c r="AG36" s="112"/>
      <c r="AH36" s="405"/>
    </row>
    <row r="37" spans="1:34" ht="15" customHeight="1" thickBot="1">
      <c r="A37" s="458"/>
      <c r="B37" s="152"/>
      <c r="C37" s="153" t="s">
        <v>47</v>
      </c>
      <c r="D37" s="447" t="s">
        <v>42</v>
      </c>
      <c r="E37" s="448"/>
      <c r="F37" s="154"/>
      <c r="G37" s="220"/>
      <c r="H37" s="156"/>
      <c r="I37" s="157"/>
      <c r="J37" s="155">
        <f t="shared" ref="J37:O37" si="32">AVERAGE(J27:J36)</f>
        <v>16.714285714285715</v>
      </c>
      <c r="K37" s="155">
        <f t="shared" si="32"/>
        <v>1559.2857142857142</v>
      </c>
      <c r="L37" s="158">
        <f t="shared" si="32"/>
        <v>93.724369747899161</v>
      </c>
      <c r="M37" s="155">
        <f t="shared" si="32"/>
        <v>16.285714285714285</v>
      </c>
      <c r="N37" s="155">
        <f t="shared" si="32"/>
        <v>1416.1708698174334</v>
      </c>
      <c r="O37" s="158">
        <f t="shared" si="32"/>
        <v>87.008340935406366</v>
      </c>
      <c r="P37" s="159">
        <f>M37-J37</f>
        <v>-0.4285714285714306</v>
      </c>
      <c r="Q37" s="160">
        <f>N37-K37</f>
        <v>-143.11484446828081</v>
      </c>
      <c r="R37" s="161">
        <f t="shared" ref="R37:R38" si="33">O37/L37</f>
        <v>0.92834276900919532</v>
      </c>
      <c r="S37" s="42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9"/>
      <c r="AC37" s="449"/>
      <c r="AD37" s="324">
        <f>SUM(AD27:AD36)</f>
        <v>0</v>
      </c>
      <c r="AE37" s="324">
        <f>SUM(AE27:AE36)</f>
        <v>0</v>
      </c>
      <c r="AF37" s="309">
        <f>N37-K37</f>
        <v>-143.11484446828081</v>
      </c>
      <c r="AG37" s="124">
        <f>N37/K37</f>
        <v>0.9082176902173188</v>
      </c>
      <c r="AH37" s="406"/>
    </row>
    <row r="38" spans="1:34" ht="15" customHeight="1">
      <c r="A38" s="450" t="s">
        <v>48</v>
      </c>
      <c r="B38" s="167" t="s">
        <v>81</v>
      </c>
      <c r="C38" s="373"/>
      <c r="D38" s="374" t="s">
        <v>123</v>
      </c>
      <c r="E38" s="176"/>
      <c r="F38" s="39">
        <f>VLOOKUP(D38,廠價表!$C$1:$E$43,3,0)</f>
        <v>50.67</v>
      </c>
      <c r="G38" s="186">
        <f>1136+151+24</f>
        <v>1311</v>
      </c>
      <c r="H38" s="134">
        <f>F38*G38</f>
        <v>66428.37</v>
      </c>
      <c r="I38" s="135"/>
      <c r="J38" s="187">
        <f>VLOOKUP(D38,產線配置圖!$A$3:$C$40,2,0)</f>
        <v>13</v>
      </c>
      <c r="K38" s="188">
        <f>VLOOKUP(D38,產線配置圖!$A$3:$C$40,3,0)</f>
        <v>1440</v>
      </c>
      <c r="L38" s="189">
        <f>K38/J38</f>
        <v>110.76923076923077</v>
      </c>
      <c r="M38" s="190">
        <v>11</v>
      </c>
      <c r="N38" s="140">
        <f>G38/W38*60</f>
        <v>1062.9729729729722</v>
      </c>
      <c r="O38" s="141">
        <f>N38/M38</f>
        <v>96.633906633906562</v>
      </c>
      <c r="P38" s="142">
        <f>M38-J38</f>
        <v>-2</v>
      </c>
      <c r="Q38" s="143">
        <f>O38-L38</f>
        <v>-14.135324135324211</v>
      </c>
      <c r="R38" s="144">
        <f t="shared" si="33"/>
        <v>0.87238943488943421</v>
      </c>
      <c r="S38" s="453">
        <f>R48</f>
        <v>0.9298824081661955</v>
      </c>
      <c r="T38" s="191">
        <v>0.33194444444444443</v>
      </c>
      <c r="U38" s="191">
        <v>0.38333333333333336</v>
      </c>
      <c r="V38" s="192"/>
      <c r="W38" s="193">
        <f t="shared" si="6"/>
        <v>74.000000000000057</v>
      </c>
      <c r="X38" s="194"/>
      <c r="Y38" s="302"/>
      <c r="Z38" s="336"/>
      <c r="AA38" s="336"/>
      <c r="AB38" s="455"/>
      <c r="AC38" s="455"/>
      <c r="AD38" s="192"/>
      <c r="AE38" s="192"/>
      <c r="AF38" s="313">
        <f>N38-K38</f>
        <v>-377.02702702702777</v>
      </c>
      <c r="AG38" s="195">
        <f>N38/K38</f>
        <v>0.73817567567567521</v>
      </c>
      <c r="AH38" s="459">
        <f>AG48</f>
        <v>0.92048869480369189</v>
      </c>
    </row>
    <row r="39" spans="1:34" ht="15" customHeight="1">
      <c r="A39" s="451"/>
      <c r="B39" s="75" t="s">
        <v>128</v>
      </c>
      <c r="C39" s="86"/>
      <c r="D39" s="198" t="s">
        <v>129</v>
      </c>
      <c r="E39" s="87"/>
      <c r="F39" s="75">
        <f>VLOOKUP(D39,廠價表!$C$1:$E$43,3,0)</f>
        <v>49.91</v>
      </c>
      <c r="G39" s="199">
        <f>2013+315</f>
        <v>2328</v>
      </c>
      <c r="H39" s="91">
        <f t="shared" ref="H39:H42" si="34">F39*G39</f>
        <v>116190.48</v>
      </c>
      <c r="I39" s="200"/>
      <c r="J39" s="148">
        <f>VLOOKUP(D39,產線配置圖!$A$3:$C$40,2,0)</f>
        <v>15</v>
      </c>
      <c r="K39" s="95">
        <f>VLOOKUP(D39,產線配置圖!$A$3:$C$40,3,0)</f>
        <v>1714</v>
      </c>
      <c r="L39" s="96">
        <f t="shared" ref="L39:L42" si="35">K39/J39</f>
        <v>114.26666666666667</v>
      </c>
      <c r="M39" s="201">
        <v>15</v>
      </c>
      <c r="N39" s="202">
        <f t="shared" ref="N39:N42" si="36">G39/W39*60</f>
        <v>1662.8571428571422</v>
      </c>
      <c r="O39" s="203">
        <f t="shared" ref="O39:O42" si="37">N39/M39</f>
        <v>110.85714285714282</v>
      </c>
      <c r="P39" s="97">
        <f t="shared" ref="P39:P42" si="38">M39-J39</f>
        <v>0</v>
      </c>
      <c r="Q39" s="98">
        <f t="shared" ref="Q39:Q42" si="39">O39-L39</f>
        <v>-3.4095238095238471</v>
      </c>
      <c r="R39" s="99">
        <f t="shared" ref="R39:R42" si="40">O39/L39</f>
        <v>0.97016169361560223</v>
      </c>
      <c r="S39" s="454"/>
      <c r="T39" s="210">
        <v>0.40277777777777779</v>
      </c>
      <c r="U39" s="210">
        <v>0.46111111111111114</v>
      </c>
      <c r="V39" s="92">
        <f>(T39-U38)*24*60</f>
        <v>27.999999999999979</v>
      </c>
      <c r="W39" s="205">
        <f t="shared" si="6"/>
        <v>84.000000000000028</v>
      </c>
      <c r="X39" s="174"/>
      <c r="Y39" s="301"/>
      <c r="Z39" s="90"/>
      <c r="AA39" s="90"/>
      <c r="AD39" s="200"/>
      <c r="AE39" s="200"/>
      <c r="AF39" s="380">
        <f>N39-K39</f>
        <v>-51.142857142857792</v>
      </c>
      <c r="AG39" s="206">
        <f>N39/K39</f>
        <v>0.97016169361560223</v>
      </c>
      <c r="AH39" s="460"/>
    </row>
    <row r="40" spans="1:34" ht="15" customHeight="1">
      <c r="A40" s="451"/>
      <c r="B40" s="75" t="s">
        <v>128</v>
      </c>
      <c r="C40" s="86"/>
      <c r="D40" s="198" t="s">
        <v>130</v>
      </c>
      <c r="E40" s="87"/>
      <c r="F40" s="75">
        <f>VLOOKUP(D40,廠價表!$C$1:$E$43,3,0)</f>
        <v>44.3</v>
      </c>
      <c r="G40" s="199">
        <v>1613</v>
      </c>
      <c r="H40" s="91">
        <f t="shared" si="34"/>
        <v>71455.899999999994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 t="shared" si="35"/>
        <v>96.235294117647058</v>
      </c>
      <c r="M40" s="201">
        <v>17</v>
      </c>
      <c r="N40" s="202">
        <f t="shared" si="36"/>
        <v>1536.1904761904777</v>
      </c>
      <c r="O40" s="203">
        <f t="shared" si="37"/>
        <v>90.364145658263396</v>
      </c>
      <c r="P40" s="97">
        <f t="shared" si="38"/>
        <v>0</v>
      </c>
      <c r="Q40" s="98">
        <f t="shared" si="39"/>
        <v>-5.8711484593836616</v>
      </c>
      <c r="R40" s="99">
        <f t="shared" si="40"/>
        <v>0.93899173361276145</v>
      </c>
      <c r="S40" s="440"/>
      <c r="T40" s="210">
        <v>0.46805555555555556</v>
      </c>
      <c r="U40" s="210">
        <v>0.51180555555555551</v>
      </c>
      <c r="V40" s="92">
        <f t="shared" ref="V40:V43" si="41">(T40-U39)*24*60</f>
        <v>9.9999999999999645</v>
      </c>
      <c r="W40" s="205">
        <f t="shared" si="6"/>
        <v>62.999999999999936</v>
      </c>
      <c r="X40" s="208"/>
      <c r="Y40" s="209"/>
      <c r="Z40" s="337"/>
      <c r="AA40" s="337"/>
      <c r="AB40" s="462"/>
      <c r="AC40" s="462"/>
      <c r="AD40" s="92"/>
      <c r="AE40" s="92"/>
      <c r="AF40" s="378">
        <f>N40-K40</f>
        <v>-99.809523809522261</v>
      </c>
      <c r="AG40" s="379">
        <f>N40/K40</f>
        <v>0.93899173361276145</v>
      </c>
      <c r="AH40" s="460"/>
    </row>
    <row r="41" spans="1:34" ht="15" customHeight="1">
      <c r="A41" s="451"/>
      <c r="B41" s="75" t="s">
        <v>128</v>
      </c>
      <c r="C41" s="102"/>
      <c r="D41" s="198" t="s">
        <v>130</v>
      </c>
      <c r="E41" s="104"/>
      <c r="F41" s="75">
        <f>VLOOKUP(D41,廠價表!$C$1:$E$43,3,0)</f>
        <v>44.3</v>
      </c>
      <c r="G41" s="202">
        <v>2690</v>
      </c>
      <c r="H41" s="91">
        <f t="shared" si="34"/>
        <v>119166.99999999999</v>
      </c>
      <c r="I41" s="200"/>
      <c r="J41" s="148">
        <f>VLOOKUP(D41,產線配置圖!$A$3:$C$40,2,0)</f>
        <v>17</v>
      </c>
      <c r="K41" s="95">
        <f>VLOOKUP(D41,產線配置圖!$A$3:$C$40,3,0)</f>
        <v>1636</v>
      </c>
      <c r="L41" s="96">
        <f t="shared" si="35"/>
        <v>96.235294117647058</v>
      </c>
      <c r="M41" s="201">
        <v>17</v>
      </c>
      <c r="N41" s="202">
        <f t="shared" si="36"/>
        <v>1614.0000000000005</v>
      </c>
      <c r="O41" s="203">
        <f t="shared" si="37"/>
        <v>94.94117647058826</v>
      </c>
      <c r="P41" s="97">
        <f t="shared" si="38"/>
        <v>0</v>
      </c>
      <c r="Q41" s="98">
        <f t="shared" si="39"/>
        <v>-1.2941176470587976</v>
      </c>
      <c r="R41" s="99">
        <f t="shared" si="40"/>
        <v>0.98655256723716411</v>
      </c>
      <c r="S41" s="440"/>
      <c r="T41" s="210">
        <v>0.5708333333333333</v>
      </c>
      <c r="U41" s="210">
        <v>0.64027777777777772</v>
      </c>
      <c r="V41" s="92">
        <f t="shared" si="41"/>
        <v>85.000000000000014</v>
      </c>
      <c r="W41" s="205">
        <f t="shared" si="6"/>
        <v>99.999999999999972</v>
      </c>
      <c r="X41" s="208">
        <v>0.52083333333333337</v>
      </c>
      <c r="Y41" s="209">
        <v>0.5625</v>
      </c>
      <c r="Z41" s="337"/>
      <c r="AA41" s="337"/>
      <c r="AB41" s="407"/>
      <c r="AC41" s="407"/>
      <c r="AD41" s="92"/>
      <c r="AE41" s="92"/>
      <c r="AF41" s="314">
        <f>N41-K41</f>
        <v>-21.999999999999545</v>
      </c>
      <c r="AG41" s="206">
        <f>N41/K41</f>
        <v>0.98655256723716411</v>
      </c>
      <c r="AH41" s="460"/>
    </row>
    <row r="42" spans="1:34" ht="15" customHeight="1">
      <c r="A42" s="451"/>
      <c r="B42" s="75" t="s">
        <v>128</v>
      </c>
      <c r="C42" s="102"/>
      <c r="D42" s="198" t="s">
        <v>130</v>
      </c>
      <c r="E42" s="104"/>
      <c r="F42" s="75">
        <f>VLOOKUP(D42,廠價表!$C$1:$E$43,3,0)</f>
        <v>44.3</v>
      </c>
      <c r="G42" s="202">
        <v>1551</v>
      </c>
      <c r="H42" s="91">
        <f t="shared" si="34"/>
        <v>68709.299999999988</v>
      </c>
      <c r="I42" s="200"/>
      <c r="J42" s="148">
        <f>VLOOKUP(D42,產線配置圖!$A$3:$C$40,2,0)</f>
        <v>17</v>
      </c>
      <c r="K42" s="95">
        <f>VLOOKUP(D42,產線配置圖!$A$3:$C$40,3,0)</f>
        <v>1636</v>
      </c>
      <c r="L42" s="96">
        <f t="shared" si="35"/>
        <v>96.235294117647058</v>
      </c>
      <c r="M42" s="201">
        <v>17</v>
      </c>
      <c r="N42" s="202">
        <f t="shared" si="36"/>
        <v>1431.6923076923092</v>
      </c>
      <c r="O42" s="203">
        <f t="shared" si="37"/>
        <v>84.217194570135831</v>
      </c>
      <c r="P42" s="97">
        <f t="shared" si="38"/>
        <v>0</v>
      </c>
      <c r="Q42" s="98">
        <f t="shared" si="39"/>
        <v>-12.018099547511227</v>
      </c>
      <c r="R42" s="99">
        <f t="shared" si="40"/>
        <v>0.87511754748918646</v>
      </c>
      <c r="S42" s="440"/>
      <c r="T42" s="210">
        <v>0.64722222222222225</v>
      </c>
      <c r="U42" s="210">
        <v>0.69236111111111109</v>
      </c>
      <c r="V42" s="92">
        <f t="shared" si="41"/>
        <v>10.000000000000124</v>
      </c>
      <c r="W42" s="205">
        <f t="shared" si="6"/>
        <v>64.999999999999929</v>
      </c>
      <c r="X42" s="208"/>
      <c r="Y42" s="211"/>
      <c r="Z42" s="338"/>
      <c r="AA42" s="338"/>
      <c r="AB42" s="407"/>
      <c r="AC42" s="407"/>
      <c r="AD42" s="92"/>
      <c r="AE42" s="92"/>
      <c r="AF42" s="314">
        <f t="shared" ref="AF42:AF43" si="42">N42-K42</f>
        <v>-204.30769230769079</v>
      </c>
      <c r="AG42" s="206">
        <f t="shared" ref="AG42:AG43" si="43">N42/K42</f>
        <v>0.87511754748918658</v>
      </c>
      <c r="AH42" s="460"/>
    </row>
    <row r="43" spans="1:34" ht="15" customHeight="1">
      <c r="A43" s="451"/>
      <c r="B43" s="75" t="s">
        <v>81</v>
      </c>
      <c r="C43" s="86"/>
      <c r="D43" s="198" t="s">
        <v>228</v>
      </c>
      <c r="E43" s="87"/>
      <c r="F43" s="75">
        <f>VLOOKUP(D43,廠價表!$C$1:$E$43,3,0)</f>
        <v>46.34</v>
      </c>
      <c r="G43" s="199">
        <f>680+270+46</f>
        <v>996</v>
      </c>
      <c r="H43" s="91">
        <f t="shared" ref="H43" si="44">F43*G43</f>
        <v>46154.640000000007</v>
      </c>
      <c r="I43" s="200"/>
      <c r="J43" s="148">
        <f>VLOOKUP(D43,產線配置圖!$A$3:$C$40,2,0)</f>
        <v>16</v>
      </c>
      <c r="K43" s="95">
        <v>1500</v>
      </c>
      <c r="L43" s="96">
        <f t="shared" ref="L43" si="45">K43/J43</f>
        <v>93.75</v>
      </c>
      <c r="M43" s="201">
        <v>17</v>
      </c>
      <c r="N43" s="202">
        <f t="shared" ref="N43" si="46">G43/W43*60</f>
        <v>1493.9999999999995</v>
      </c>
      <c r="O43" s="203">
        <f t="shared" ref="O43" si="47">N43/M43</f>
        <v>87.88235294117645</v>
      </c>
      <c r="P43" s="97">
        <f t="shared" ref="P43" si="48">M43-J43</f>
        <v>1</v>
      </c>
      <c r="Q43" s="98">
        <f t="shared" ref="Q43" si="49">O43-L43</f>
        <v>-5.8676470588235503</v>
      </c>
      <c r="R43" s="99">
        <f t="shared" ref="R43" si="50">O43/L43</f>
        <v>0.93741176470588217</v>
      </c>
      <c r="S43" s="440"/>
      <c r="T43" s="210">
        <v>0.69791666666666663</v>
      </c>
      <c r="U43" s="210">
        <v>0.72569444444444442</v>
      </c>
      <c r="V43" s="92">
        <f t="shared" si="41"/>
        <v>7.9999999999999716</v>
      </c>
      <c r="W43" s="205">
        <f t="shared" si="6"/>
        <v>40.000000000000014</v>
      </c>
      <c r="X43" s="208"/>
      <c r="Y43" s="212"/>
      <c r="Z43" s="338"/>
      <c r="AA43" s="338"/>
      <c r="AB43" s="407"/>
      <c r="AC43" s="407"/>
      <c r="AD43" s="92"/>
      <c r="AE43" s="92"/>
      <c r="AF43" s="314">
        <f t="shared" si="42"/>
        <v>-6.0000000000004547</v>
      </c>
      <c r="AG43" s="206">
        <f t="shared" si="43"/>
        <v>0.99599999999999966</v>
      </c>
      <c r="AH43" s="460"/>
    </row>
    <row r="44" spans="1:34" ht="15" customHeight="1">
      <c r="A44" s="451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40"/>
      <c r="T44" s="210"/>
      <c r="U44" s="210"/>
      <c r="V44" s="92"/>
      <c r="W44" s="205">
        <f t="shared" si="6"/>
        <v>0</v>
      </c>
      <c r="X44" s="208"/>
      <c r="Y44" s="212"/>
      <c r="Z44" s="338"/>
      <c r="AA44" s="338"/>
      <c r="AB44" s="407"/>
      <c r="AC44" s="407"/>
      <c r="AD44" s="92"/>
      <c r="AE44" s="92"/>
      <c r="AF44" s="213"/>
      <c r="AG44" s="206"/>
      <c r="AH44" s="460"/>
    </row>
    <row r="45" spans="1:34" ht="15" customHeight="1">
      <c r="A45" s="451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40"/>
      <c r="T45" s="210"/>
      <c r="U45" s="210"/>
      <c r="V45" s="200"/>
      <c r="W45" s="205">
        <f t="shared" si="6"/>
        <v>0</v>
      </c>
      <c r="X45" s="208"/>
      <c r="Y45" s="212"/>
      <c r="Z45" s="338"/>
      <c r="AA45" s="338"/>
      <c r="AB45" s="407"/>
      <c r="AC45" s="407"/>
      <c r="AD45" s="92"/>
      <c r="AE45" s="92"/>
      <c r="AF45" s="213"/>
      <c r="AG45" s="206"/>
      <c r="AH45" s="460"/>
    </row>
    <row r="46" spans="1:34" ht="15" customHeight="1">
      <c r="A46" s="451"/>
      <c r="B46" s="214"/>
      <c r="C46" s="102"/>
      <c r="D46" s="103"/>
      <c r="E46" s="104"/>
      <c r="F46" s="105"/>
      <c r="G46" s="202"/>
      <c r="H46" s="215"/>
      <c r="I46" s="200"/>
      <c r="J46" s="148"/>
      <c r="K46" s="95"/>
      <c r="L46" s="96"/>
      <c r="M46" s="201"/>
      <c r="N46" s="202"/>
      <c r="O46" s="203"/>
      <c r="P46" s="97"/>
      <c r="Q46" s="98"/>
      <c r="R46" s="99"/>
      <c r="S46" s="440"/>
      <c r="T46" s="20"/>
      <c r="U46" s="20"/>
      <c r="V46" s="200"/>
      <c r="W46" s="205">
        <f t="shared" si="6"/>
        <v>0</v>
      </c>
      <c r="X46" s="208"/>
      <c r="Y46" s="212"/>
      <c r="Z46" s="338"/>
      <c r="AA46" s="338"/>
      <c r="AB46" s="407"/>
      <c r="AC46" s="407"/>
      <c r="AD46" s="92"/>
      <c r="AE46" s="92"/>
      <c r="AF46" s="213"/>
      <c r="AG46" s="206"/>
      <c r="AH46" s="460"/>
    </row>
    <row r="47" spans="1:34" ht="15" customHeight="1">
      <c r="A47" s="451"/>
      <c r="B47" s="217"/>
      <c r="C47" s="102"/>
      <c r="D47" s="103"/>
      <c r="E47" s="104"/>
      <c r="F47" s="105"/>
      <c r="G47" s="202"/>
      <c r="H47" s="215"/>
      <c r="I47" s="200"/>
      <c r="J47" s="148"/>
      <c r="K47" s="95"/>
      <c r="L47" s="96"/>
      <c r="M47" s="201"/>
      <c r="N47" s="202"/>
      <c r="O47" s="203"/>
      <c r="P47" s="97"/>
      <c r="Q47" s="98"/>
      <c r="R47" s="99"/>
      <c r="S47" s="440"/>
      <c r="T47" s="210"/>
      <c r="U47" s="210"/>
      <c r="V47" s="200"/>
      <c r="W47" s="205">
        <f t="shared" si="6"/>
        <v>0</v>
      </c>
      <c r="X47" s="208"/>
      <c r="Y47" s="212"/>
      <c r="Z47" s="338"/>
      <c r="AA47" s="338"/>
      <c r="AB47" s="407"/>
      <c r="AC47" s="407"/>
      <c r="AD47" s="92"/>
      <c r="AE47" s="92"/>
      <c r="AF47" s="213"/>
      <c r="AG47" s="206"/>
      <c r="AH47" s="460"/>
    </row>
    <row r="48" spans="1:34" ht="15" customHeight="1">
      <c r="A48" s="452"/>
      <c r="B48" s="219"/>
      <c r="C48" s="153" t="s">
        <v>49</v>
      </c>
      <c r="D48" s="430" t="s">
        <v>42</v>
      </c>
      <c r="E48" s="430"/>
      <c r="F48" s="154"/>
      <c r="G48" s="220"/>
      <c r="H48" s="156"/>
      <c r="I48" s="157"/>
      <c r="J48" s="155">
        <f t="shared" ref="J48:O48" si="51">AVERAGE(J38:J47)</f>
        <v>15.833333333333334</v>
      </c>
      <c r="K48" s="155">
        <f t="shared" si="51"/>
        <v>1593.6666666666667</v>
      </c>
      <c r="L48" s="158">
        <f t="shared" si="51"/>
        <v>101.24862996480643</v>
      </c>
      <c r="M48" s="155">
        <f t="shared" si="51"/>
        <v>15.666666666666666</v>
      </c>
      <c r="N48" s="155">
        <f t="shared" si="51"/>
        <v>1466.9521499521504</v>
      </c>
      <c r="O48" s="158">
        <f t="shared" si="51"/>
        <v>94.149319855202222</v>
      </c>
      <c r="P48" s="221">
        <f>M48-J48</f>
        <v>-0.16666666666666785</v>
      </c>
      <c r="Q48" s="222">
        <f>N48-K48</f>
        <v>-126.71451671451632</v>
      </c>
      <c r="R48" s="223">
        <f t="shared" ref="R48:R51" si="52">O48/L48</f>
        <v>0.9298824081661955</v>
      </c>
      <c r="S48" s="443"/>
      <c r="T48" s="224"/>
      <c r="U48" s="224"/>
      <c r="V48" s="225"/>
      <c r="W48" s="226">
        <f t="shared" si="6"/>
        <v>0</v>
      </c>
      <c r="X48" s="227"/>
      <c r="Y48" s="303"/>
      <c r="Z48" s="334">
        <f>SUM(Z38:Z47)</f>
        <v>0</v>
      </c>
      <c r="AA48" s="334">
        <f>SUM(AA38:AA47)</f>
        <v>0</v>
      </c>
      <c r="AB48" s="431"/>
      <c r="AC48" s="431"/>
      <c r="AD48" s="323">
        <f>SUM(AD38:AD47)</f>
        <v>0</v>
      </c>
      <c r="AE48" s="323">
        <f>SUM(AE38:AE47)</f>
        <v>0</v>
      </c>
      <c r="AF48" s="315">
        <f t="shared" ref="AF48:AF53" si="53">N48-K48</f>
        <v>-126.71451671451632</v>
      </c>
      <c r="AG48" s="162">
        <f t="shared" ref="AG48:AG53" si="54">N48/K48</f>
        <v>0.92048869480369189</v>
      </c>
      <c r="AH48" s="461"/>
    </row>
    <row r="49" spans="1:34" ht="15" customHeight="1">
      <c r="A49" s="468" t="s">
        <v>50</v>
      </c>
      <c r="B49" s="129" t="s">
        <v>128</v>
      </c>
      <c r="C49" s="130"/>
      <c r="D49" s="131" t="s">
        <v>131</v>
      </c>
      <c r="E49" s="132"/>
      <c r="F49" s="129">
        <f>VLOOKUP(D49,廠價表!$C$1:$E$43,3,0)</f>
        <v>49.52</v>
      </c>
      <c r="G49" s="228">
        <f>2103+99</f>
        <v>2202</v>
      </c>
      <c r="H49" s="134">
        <f>F49*G49</f>
        <v>109043.04000000001</v>
      </c>
      <c r="I49" s="135"/>
      <c r="J49" s="36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16</v>
      </c>
      <c r="N49" s="140">
        <f>G49/W49*60</f>
        <v>1572.857142857144</v>
      </c>
      <c r="O49" s="141">
        <f>N49/M49</f>
        <v>98.303571428571502</v>
      </c>
      <c r="P49" s="229">
        <f>M49-J49</f>
        <v>-1</v>
      </c>
      <c r="Q49" s="230">
        <f>O49-L49</f>
        <v>-7.5787815126049622</v>
      </c>
      <c r="R49" s="52">
        <f t="shared" si="52"/>
        <v>0.9284226190476198</v>
      </c>
      <c r="S49" s="439">
        <f>R58</f>
        <v>0.95244887025722735</v>
      </c>
      <c r="T49" s="191">
        <v>0.2902777777777778</v>
      </c>
      <c r="U49" s="191">
        <v>0.34861111111111109</v>
      </c>
      <c r="V49" s="55"/>
      <c r="W49" s="193">
        <f t="shared" si="6"/>
        <v>83.999999999999943</v>
      </c>
      <c r="X49" s="55"/>
      <c r="Y49" s="290"/>
      <c r="Z49" s="169"/>
      <c r="AA49" s="169"/>
      <c r="AB49" s="429"/>
      <c r="AC49" s="429"/>
      <c r="AD49" s="135"/>
      <c r="AE49" s="135"/>
      <c r="AF49" s="229">
        <f t="shared" si="53"/>
        <v>-227.14285714285597</v>
      </c>
      <c r="AG49" s="52">
        <f t="shared" si="54"/>
        <v>0.87380952380952448</v>
      </c>
      <c r="AH49" s="403">
        <f>AG58</f>
        <v>0.89786297995604525</v>
      </c>
    </row>
    <row r="50" spans="1:34" ht="15" customHeight="1">
      <c r="A50" s="469"/>
      <c r="B50" s="75" t="s">
        <v>81</v>
      </c>
      <c r="C50" s="76"/>
      <c r="D50" s="59" t="s">
        <v>132</v>
      </c>
      <c r="E50" s="77"/>
      <c r="F50" s="75">
        <f>VLOOKUP(D50,廠價表!$C$1:$E$43,3,0)</f>
        <v>49.97</v>
      </c>
      <c r="G50" s="202">
        <v>3520</v>
      </c>
      <c r="H50" s="231">
        <f>F50*G50</f>
        <v>175894.39999999999</v>
      </c>
      <c r="I50" s="177"/>
      <c r="J50" s="148">
        <f>VLOOKUP(D50,產線配置圖!$A$3:$C$40,2,0)</f>
        <v>16</v>
      </c>
      <c r="K50" s="62">
        <v>1636</v>
      </c>
      <c r="L50" s="81">
        <f>K50/J50</f>
        <v>102.25</v>
      </c>
      <c r="M50" s="233">
        <v>16</v>
      </c>
      <c r="N50" s="234">
        <f>G50/W50*60</f>
        <v>1476.9230769230855</v>
      </c>
      <c r="O50" s="235">
        <f>N50/M50</f>
        <v>92.307692307692847</v>
      </c>
      <c r="P50" s="74">
        <f>M50-J50</f>
        <v>0</v>
      </c>
      <c r="Q50" s="83">
        <f>O50-L50</f>
        <v>-9.9423076923071534</v>
      </c>
      <c r="R50" s="72">
        <f t="shared" si="52"/>
        <v>0.9027647169456513</v>
      </c>
      <c r="S50" s="440"/>
      <c r="T50" s="21">
        <v>0.35416666666666702</v>
      </c>
      <c r="U50" s="21">
        <v>0.453472222222222</v>
      </c>
      <c r="V50" s="30">
        <f>(T50-U49)*24*60</f>
        <v>8.0000000000005311</v>
      </c>
      <c r="W50" s="236">
        <f t="shared" si="6"/>
        <v>142.99999999999918</v>
      </c>
      <c r="X50" s="22"/>
      <c r="Y50" s="84"/>
      <c r="Z50" s="90"/>
      <c r="AA50" s="90"/>
      <c r="AB50" s="407" t="s">
        <v>262</v>
      </c>
      <c r="AC50" s="407"/>
      <c r="AD50" s="92"/>
      <c r="AE50" s="92"/>
      <c r="AF50" s="307">
        <f t="shared" si="53"/>
        <v>-159.07692307691445</v>
      </c>
      <c r="AG50" s="72">
        <f t="shared" si="54"/>
        <v>0.9027647169456513</v>
      </c>
      <c r="AH50" s="404"/>
    </row>
    <row r="51" spans="1:34" ht="15" customHeight="1">
      <c r="A51" s="469"/>
      <c r="B51" s="75" t="s">
        <v>81</v>
      </c>
      <c r="C51" s="76"/>
      <c r="D51" s="59" t="s">
        <v>133</v>
      </c>
      <c r="E51" s="77"/>
      <c r="F51" s="75">
        <v>49.97</v>
      </c>
      <c r="G51" s="202">
        <v>836</v>
      </c>
      <c r="H51" s="231">
        <v>71007.37</v>
      </c>
      <c r="I51" s="177"/>
      <c r="J51" s="148">
        <f>VLOOKUP(D51,產線配置圖!$A$3:$C$40,2,0)</f>
        <v>18</v>
      </c>
      <c r="K51" s="62">
        <v>1800</v>
      </c>
      <c r="L51" s="81">
        <f t="shared" ref="L51:L53" si="55">K51/J51</f>
        <v>100</v>
      </c>
      <c r="M51" s="233">
        <v>16</v>
      </c>
      <c r="N51" s="234">
        <f t="shared" ref="N51:N53" si="56">G51/W51*60</f>
        <v>1519.9999999999759</v>
      </c>
      <c r="O51" s="235">
        <f t="shared" ref="O51:O53" si="57">N51/M51</f>
        <v>94.999999999998494</v>
      </c>
      <c r="P51" s="74">
        <v>-1</v>
      </c>
      <c r="Q51" s="83">
        <f t="shared" ref="Q51:Q53" si="58">O51-L51</f>
        <v>-5.0000000000015064</v>
      </c>
      <c r="R51" s="72">
        <f t="shared" si="52"/>
        <v>0.94999999999998497</v>
      </c>
      <c r="S51" s="440"/>
      <c r="T51" s="21">
        <v>0.45833333333333298</v>
      </c>
      <c r="U51" s="19">
        <v>0.48125000000000001</v>
      </c>
      <c r="V51" s="30">
        <f>(T51-U50)*24*60</f>
        <v>6.9999999999998153</v>
      </c>
      <c r="W51" s="236">
        <f t="shared" si="6"/>
        <v>33.000000000000526</v>
      </c>
      <c r="X51" s="22">
        <v>0.4861111111111111</v>
      </c>
      <c r="Y51" s="84">
        <v>0.52777777777777779</v>
      </c>
      <c r="Z51" s="90"/>
      <c r="AA51" s="90"/>
      <c r="AB51" s="407"/>
      <c r="AC51" s="407"/>
      <c r="AD51" s="92"/>
      <c r="AE51" s="92"/>
      <c r="AF51" s="307">
        <f t="shared" si="53"/>
        <v>-280.0000000000241</v>
      </c>
      <c r="AG51" s="72">
        <f t="shared" si="54"/>
        <v>0.84444444444443101</v>
      </c>
      <c r="AH51" s="404"/>
    </row>
    <row r="52" spans="1:34" ht="15" customHeight="1">
      <c r="A52" s="469"/>
      <c r="B52" s="75" t="s">
        <v>81</v>
      </c>
      <c r="C52" s="86"/>
      <c r="D52" s="59" t="s">
        <v>133</v>
      </c>
      <c r="E52" s="87"/>
      <c r="F52" s="75">
        <v>49.97</v>
      </c>
      <c r="G52" s="202">
        <v>2150</v>
      </c>
      <c r="H52" s="231">
        <v>158105.07999999999</v>
      </c>
      <c r="I52" s="232"/>
      <c r="J52" s="367">
        <f>VLOOKUP(D52,產線配置圖!$A$3:$C$40,2,0)</f>
        <v>18</v>
      </c>
      <c r="K52" s="80">
        <v>1636</v>
      </c>
      <c r="L52" s="81">
        <f t="shared" si="55"/>
        <v>90.888888888888886</v>
      </c>
      <c r="M52" s="233">
        <v>16</v>
      </c>
      <c r="N52" s="234">
        <f t="shared" si="56"/>
        <v>1449.4382022471857</v>
      </c>
      <c r="O52" s="235">
        <f t="shared" si="57"/>
        <v>90.589887640449106</v>
      </c>
      <c r="P52" s="74">
        <v>-2</v>
      </c>
      <c r="Q52" s="83">
        <f t="shared" si="58"/>
        <v>-0.29900124843977949</v>
      </c>
      <c r="R52" s="72">
        <f>O52/L52</f>
        <v>0.99671025521276524</v>
      </c>
      <c r="S52" s="440"/>
      <c r="T52" s="21">
        <v>0.53472222222222221</v>
      </c>
      <c r="U52" s="21">
        <v>0.59652777777777799</v>
      </c>
      <c r="V52" s="30">
        <f>(T52-U51)*24*60</f>
        <v>76.999999999999972</v>
      </c>
      <c r="W52" s="236">
        <f t="shared" si="6"/>
        <v>89.000000000000327</v>
      </c>
      <c r="X52" s="22"/>
      <c r="Y52" s="84"/>
      <c r="Z52" s="90"/>
      <c r="AA52" s="90"/>
      <c r="AB52" s="407"/>
      <c r="AC52" s="407"/>
      <c r="AD52" s="92"/>
      <c r="AE52" s="92"/>
      <c r="AF52" s="307">
        <f t="shared" si="53"/>
        <v>-186.5617977528143</v>
      </c>
      <c r="AG52" s="72">
        <f t="shared" si="54"/>
        <v>0.88596467130023571</v>
      </c>
      <c r="AH52" s="404"/>
    </row>
    <row r="53" spans="1:34" ht="15" customHeight="1">
      <c r="A53" s="469"/>
      <c r="B53" s="101" t="s">
        <v>81</v>
      </c>
      <c r="C53" s="102"/>
      <c r="D53" s="103" t="s">
        <v>132</v>
      </c>
      <c r="E53" s="104"/>
      <c r="F53" s="75">
        <v>49.97</v>
      </c>
      <c r="G53" s="202">
        <v>2323</v>
      </c>
      <c r="H53" s="231">
        <v>158106.07999999999</v>
      </c>
      <c r="I53" s="232"/>
      <c r="J53" s="367">
        <f>VLOOKUP(D53,產線配置圖!$A$3:$C$40,2,0)</f>
        <v>16</v>
      </c>
      <c r="K53" s="80">
        <v>1637</v>
      </c>
      <c r="L53" s="81">
        <f t="shared" si="55"/>
        <v>102.3125</v>
      </c>
      <c r="M53" s="108">
        <v>16</v>
      </c>
      <c r="N53" s="234">
        <f t="shared" si="56"/>
        <v>1620.6976744185984</v>
      </c>
      <c r="O53" s="235">
        <f t="shared" si="57"/>
        <v>101.2936046511624</v>
      </c>
      <c r="P53" s="74">
        <v>-1</v>
      </c>
      <c r="Q53" s="83">
        <f t="shared" si="58"/>
        <v>-1.0188953488376029</v>
      </c>
      <c r="R53" s="72">
        <f>O53/L53</f>
        <v>0.99004134051227755</v>
      </c>
      <c r="S53" s="440"/>
      <c r="T53" s="21">
        <v>0.60347222222222197</v>
      </c>
      <c r="U53" s="21">
        <v>0.66319444444444442</v>
      </c>
      <c r="V53" s="30">
        <f>(T53-U52)*24*60</f>
        <v>9.999999999999325</v>
      </c>
      <c r="W53" s="236">
        <f t="shared" si="6"/>
        <v>86.000000000000341</v>
      </c>
      <c r="X53" s="30"/>
      <c r="Y53" s="151"/>
      <c r="Z53" s="90"/>
      <c r="AA53" s="90"/>
      <c r="AB53" s="407"/>
      <c r="AC53" s="407"/>
      <c r="AD53" s="92"/>
      <c r="AE53" s="92"/>
      <c r="AF53" s="307">
        <f t="shared" si="53"/>
        <v>-16.302325581401647</v>
      </c>
      <c r="AG53" s="72">
        <f t="shared" si="54"/>
        <v>0.99004134051227755</v>
      </c>
      <c r="AH53" s="404"/>
    </row>
    <row r="54" spans="1:34" ht="15" customHeight="1">
      <c r="A54" s="46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40"/>
      <c r="T54" s="21"/>
      <c r="U54" s="21"/>
      <c r="V54" s="30"/>
      <c r="W54" s="236">
        <f t="shared" si="6"/>
        <v>0</v>
      </c>
      <c r="X54" s="30"/>
      <c r="Y54" s="151"/>
      <c r="Z54" s="90"/>
      <c r="AA54" s="90"/>
      <c r="AB54" s="407"/>
      <c r="AC54" s="407"/>
      <c r="AD54" s="92"/>
      <c r="AE54" s="92"/>
      <c r="AF54" s="307"/>
      <c r="AG54" s="72"/>
      <c r="AH54" s="404"/>
    </row>
    <row r="55" spans="1:34" ht="15" customHeight="1">
      <c r="A55" s="46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40"/>
      <c r="T55" s="21"/>
      <c r="U55" s="21"/>
      <c r="V55" s="30"/>
      <c r="W55" s="236">
        <f t="shared" si="6"/>
        <v>0</v>
      </c>
      <c r="X55" s="30"/>
      <c r="Y55" s="151"/>
      <c r="Z55" s="90"/>
      <c r="AA55" s="90"/>
      <c r="AB55" s="407"/>
      <c r="AC55" s="407"/>
      <c r="AD55" s="92"/>
      <c r="AE55" s="92"/>
      <c r="AF55" s="307"/>
      <c r="AG55" s="72"/>
      <c r="AH55" s="404"/>
    </row>
    <row r="56" spans="1:34" ht="15" customHeight="1">
      <c r="A56" s="46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40"/>
      <c r="T56" s="21"/>
      <c r="U56" s="21"/>
      <c r="V56" s="237"/>
      <c r="W56" s="236">
        <f t="shared" si="6"/>
        <v>0</v>
      </c>
      <c r="X56" s="30"/>
      <c r="Y56" s="151"/>
      <c r="Z56" s="90"/>
      <c r="AA56" s="90"/>
      <c r="AB56" s="407"/>
      <c r="AC56" s="407"/>
      <c r="AD56" s="92"/>
      <c r="AE56" s="92"/>
      <c r="AF56" s="307"/>
      <c r="AG56" s="72"/>
      <c r="AH56" s="404"/>
    </row>
    <row r="57" spans="1:34" ht="15" customHeight="1">
      <c r="A57" s="46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40"/>
      <c r="T57" s="114"/>
      <c r="U57" s="114"/>
      <c r="V57" s="237"/>
      <c r="W57" s="236">
        <f t="shared" si="6"/>
        <v>0</v>
      </c>
      <c r="X57" s="30"/>
      <c r="Y57" s="151"/>
      <c r="Z57" s="90"/>
      <c r="AA57" s="90"/>
      <c r="AB57" s="407"/>
      <c r="AC57" s="407"/>
      <c r="AD57" s="92"/>
      <c r="AE57" s="92"/>
      <c r="AF57" s="307"/>
      <c r="AG57" s="72"/>
      <c r="AH57" s="404"/>
    </row>
    <row r="58" spans="1:34" ht="15" customHeight="1">
      <c r="A58" s="470"/>
      <c r="B58" s="239"/>
      <c r="C58" s="153" t="s">
        <v>51</v>
      </c>
      <c r="D58" s="430" t="s">
        <v>42</v>
      </c>
      <c r="E58" s="430"/>
      <c r="F58" s="116"/>
      <c r="G58" s="240"/>
      <c r="H58" s="118"/>
      <c r="I58" s="117"/>
      <c r="J58" s="120">
        <f t="shared" ref="J58:O58" si="59">AVERAGE(J49:J57)</f>
        <v>17</v>
      </c>
      <c r="K58" s="120">
        <f t="shared" si="59"/>
        <v>1701.8</v>
      </c>
      <c r="L58" s="117">
        <f t="shared" si="59"/>
        <v>100.26674836601308</v>
      </c>
      <c r="M58" s="120">
        <f t="shared" si="59"/>
        <v>16</v>
      </c>
      <c r="N58" s="120">
        <f t="shared" si="59"/>
        <v>1527.9832192891977</v>
      </c>
      <c r="O58" s="117">
        <f t="shared" si="59"/>
        <v>95.498951205574855</v>
      </c>
      <c r="P58" s="121">
        <f>M58-J58</f>
        <v>-1</v>
      </c>
      <c r="Q58" s="122">
        <f>N58-K58</f>
        <v>-173.81678071080228</v>
      </c>
      <c r="R58" s="123">
        <f t="shared" ref="R58:R62" si="60">O58/L58</f>
        <v>0.95244887025722735</v>
      </c>
      <c r="S58" s="44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31"/>
      <c r="AC58" s="431"/>
      <c r="AD58" s="323">
        <f>SUM(AD49:AD57)</f>
        <v>0</v>
      </c>
      <c r="AE58" s="323">
        <f>SUM(AE49:AE57)</f>
        <v>0</v>
      </c>
      <c r="AF58" s="309">
        <f t="shared" ref="AF58:AF63" si="61">N58-K58</f>
        <v>-173.81678071080228</v>
      </c>
      <c r="AG58" s="124">
        <f t="shared" ref="AG58:AG63" si="62">N58/K58</f>
        <v>0.89786297995604525</v>
      </c>
      <c r="AH58" s="406"/>
    </row>
    <row r="59" spans="1:34" ht="15" customHeight="1">
      <c r="A59" s="463" t="s">
        <v>52</v>
      </c>
      <c r="B59" s="129" t="s">
        <v>125</v>
      </c>
      <c r="C59" s="130"/>
      <c r="D59" s="131" t="s">
        <v>134</v>
      </c>
      <c r="E59" s="132"/>
      <c r="F59" s="129">
        <f>VLOOKUP(D59,廠價表!$C$1:$E$43,3,0)</f>
        <v>26.99</v>
      </c>
      <c r="G59" s="55">
        <v>2237</v>
      </c>
      <c r="H59" s="243">
        <f>F59*G59</f>
        <v>60376.63</v>
      </c>
      <c r="I59" s="55"/>
      <c r="J59" s="136">
        <f>VLOOKUP(D59,產線配置圖!$A$3:$C$40,2,0)</f>
        <v>15</v>
      </c>
      <c r="K59" s="137">
        <v>1636</v>
      </c>
      <c r="L59" s="138">
        <f>K59/J59</f>
        <v>109.06666666666666</v>
      </c>
      <c r="M59" s="244">
        <v>15</v>
      </c>
      <c r="N59" s="137">
        <f>G59/W59*60</f>
        <v>1579.0588235294335</v>
      </c>
      <c r="O59" s="138">
        <f>N59/M59</f>
        <v>105.27058823529556</v>
      </c>
      <c r="P59" s="56">
        <f>M59-J59</f>
        <v>0</v>
      </c>
      <c r="Q59" s="230">
        <f>O59-L59</f>
        <v>-3.7960784313711002</v>
      </c>
      <c r="R59" s="52">
        <f t="shared" si="60"/>
        <v>0.96519487990796671</v>
      </c>
      <c r="S59" s="439">
        <f>R69</f>
        <v>0.89686725587971217</v>
      </c>
      <c r="T59" s="245">
        <v>0.29166666666666702</v>
      </c>
      <c r="U59" s="245">
        <v>0.35069444444444398</v>
      </c>
      <c r="V59" s="55"/>
      <c r="W59" s="54">
        <f t="shared" si="6"/>
        <v>84.99999999999882</v>
      </c>
      <c r="X59" s="55"/>
      <c r="Y59" s="290"/>
      <c r="Z59" s="169"/>
      <c r="AA59" s="169"/>
      <c r="AB59" s="429"/>
      <c r="AC59" s="429"/>
      <c r="AD59" s="135"/>
      <c r="AE59" s="135"/>
      <c r="AF59" s="310">
        <f t="shared" si="61"/>
        <v>-56.941176470566461</v>
      </c>
      <c r="AG59" s="246">
        <f t="shared" si="62"/>
        <v>0.96519487990796671</v>
      </c>
      <c r="AH59" s="403">
        <f>AG69</f>
        <v>0.89986228879918073</v>
      </c>
    </row>
    <row r="60" spans="1:34" ht="15" customHeight="1">
      <c r="A60" s="464"/>
      <c r="B60" s="75" t="s">
        <v>125</v>
      </c>
      <c r="C60" s="86"/>
      <c r="D60" s="175" t="s">
        <v>135</v>
      </c>
      <c r="E60" s="87"/>
      <c r="F60" s="75">
        <f>VLOOKUP(D60,廠價表!$C$1:$E$43,3,0)</f>
        <v>28.26</v>
      </c>
      <c r="G60" s="30">
        <v>1864</v>
      </c>
      <c r="H60" s="78">
        <f>F60*G60</f>
        <v>52676.639999999999</v>
      </c>
      <c r="I60" s="30"/>
      <c r="J60" s="79">
        <f>VLOOKUP(D60,產線配置圖!$A$3:$C$40,2,0)</f>
        <v>12</v>
      </c>
      <c r="K60" s="80">
        <v>1636</v>
      </c>
      <c r="L60" s="81">
        <f>K60/J60</f>
        <v>136.33333333333334</v>
      </c>
      <c r="M60" s="82">
        <v>12</v>
      </c>
      <c r="N60" s="80">
        <f>G60/W60*60</f>
        <v>1491.1999999999798</v>
      </c>
      <c r="O60" s="81">
        <f>N60/M60</f>
        <v>124.26666666666499</v>
      </c>
      <c r="P60" s="74">
        <f>M60-J60</f>
        <v>0</v>
      </c>
      <c r="Q60" s="83">
        <f>O60-L60</f>
        <v>-12.066666666668354</v>
      </c>
      <c r="R60" s="72">
        <f t="shared" si="60"/>
        <v>0.91149144254277492</v>
      </c>
      <c r="S60" s="467"/>
      <c r="T60" s="22">
        <v>0.36458333333333298</v>
      </c>
      <c r="U60" s="22">
        <v>0.41666666666666702</v>
      </c>
      <c r="V60" s="30">
        <f>(T60-U59)*24*60</f>
        <v>20.000000000000171</v>
      </c>
      <c r="W60" s="248">
        <f t="shared" si="6"/>
        <v>75.000000000001009</v>
      </c>
      <c r="X60" s="232"/>
      <c r="Y60" s="177"/>
      <c r="Z60" s="90"/>
      <c r="AA60" s="90"/>
      <c r="AB60" s="407"/>
      <c r="AC60" s="407"/>
      <c r="AD60" s="92"/>
      <c r="AE60" s="92"/>
      <c r="AF60" s="316">
        <f t="shared" si="61"/>
        <v>-144.80000000002019</v>
      </c>
      <c r="AG60" s="249">
        <f t="shared" si="62"/>
        <v>0.91149144254277492</v>
      </c>
      <c r="AH60" s="475"/>
    </row>
    <row r="61" spans="1:34" ht="15" customHeight="1">
      <c r="A61" s="465"/>
      <c r="B61" s="250" t="s">
        <v>125</v>
      </c>
      <c r="C61" s="251"/>
      <c r="D61" s="252" t="s">
        <v>126</v>
      </c>
      <c r="E61" s="253"/>
      <c r="F61" s="250">
        <f>VLOOKUP(D61,廠價表!$C$1:$E$43,3,0)</f>
        <v>28.26</v>
      </c>
      <c r="G61" s="38">
        <v>2316</v>
      </c>
      <c r="H61" s="254">
        <f>F61*G61</f>
        <v>65450.16</v>
      </c>
      <c r="I61" s="182"/>
      <c r="J61" s="106">
        <f>VLOOKUP(D61,產線配置圖!$A$3:$C$40,2,0)</f>
        <v>11</v>
      </c>
      <c r="K61" s="107">
        <v>1636</v>
      </c>
      <c r="L61" s="238">
        <f>K61/J61</f>
        <v>148.72727272727272</v>
      </c>
      <c r="M61" s="108">
        <v>11</v>
      </c>
      <c r="N61" s="107">
        <f>G61/W61*60</f>
        <v>1389.5999999999883</v>
      </c>
      <c r="O61" s="238">
        <f>N61/M61</f>
        <v>126.32727272727166</v>
      </c>
      <c r="P61" s="111">
        <f>M61-J61</f>
        <v>0</v>
      </c>
      <c r="Q61" s="255">
        <f>O61-L61</f>
        <v>-22.400000000001057</v>
      </c>
      <c r="R61" s="85">
        <f t="shared" si="60"/>
        <v>0.84938875305622763</v>
      </c>
      <c r="S61" s="440"/>
      <c r="T61" s="22">
        <v>0.42361111111111099</v>
      </c>
      <c r="U61" s="22">
        <v>0.49305555555555602</v>
      </c>
      <c r="V61" s="30">
        <f t="shared" ref="V61:V63" si="63">(T61-U60)*24*60</f>
        <v>9.999999999999325</v>
      </c>
      <c r="W61" s="256">
        <f t="shared" si="6"/>
        <v>100.00000000000084</v>
      </c>
      <c r="X61" s="22"/>
      <c r="Y61" s="84"/>
      <c r="Z61" s="90"/>
      <c r="AA61" s="90"/>
      <c r="AB61" s="407"/>
      <c r="AC61" s="407"/>
      <c r="AD61" s="92"/>
      <c r="AE61" s="92"/>
      <c r="AF61" s="317">
        <f t="shared" si="61"/>
        <v>-246.40000000001169</v>
      </c>
      <c r="AG61" s="247">
        <f t="shared" si="62"/>
        <v>0.84938875305622763</v>
      </c>
      <c r="AH61" s="404"/>
    </row>
    <row r="62" spans="1:34" ht="15" customHeight="1">
      <c r="A62" s="465"/>
      <c r="B62" s="258" t="s">
        <v>125</v>
      </c>
      <c r="C62" s="58"/>
      <c r="D62" s="259" t="s">
        <v>192</v>
      </c>
      <c r="E62" s="60"/>
      <c r="F62" s="250">
        <f>VLOOKUP(D62,廠價表!$C$1:$E$43,3,0)</f>
        <v>28.26</v>
      </c>
      <c r="G62" s="260">
        <f>1879+34+280</f>
        <v>2193</v>
      </c>
      <c r="H62" s="254">
        <f>F62*G62</f>
        <v>61974.18</v>
      </c>
      <c r="I62" s="182"/>
      <c r="J62" s="106">
        <f>VLOOKUP(D62,產線配置圖!$A$3:$C$40,2,0)</f>
        <v>11</v>
      </c>
      <c r="K62" s="107">
        <v>1637</v>
      </c>
      <c r="L62" s="238">
        <f>K62/J62</f>
        <v>148.81818181818181</v>
      </c>
      <c r="M62" s="108">
        <v>11</v>
      </c>
      <c r="N62" s="107">
        <f>G62/W62*60</f>
        <v>1462.0000000000025</v>
      </c>
      <c r="O62" s="238">
        <f>N62/M62</f>
        <v>132.90909090909113</v>
      </c>
      <c r="P62" s="111">
        <f>M62-J62</f>
        <v>0</v>
      </c>
      <c r="Q62" s="255">
        <f>O62-L62</f>
        <v>-15.909090909090679</v>
      </c>
      <c r="R62" s="85">
        <f t="shared" si="60"/>
        <v>0.89309712889432047</v>
      </c>
      <c r="S62" s="440"/>
      <c r="T62" s="22">
        <v>0.54513888888888895</v>
      </c>
      <c r="U62" s="22">
        <v>0.60763888888888884</v>
      </c>
      <c r="V62" s="30">
        <f t="shared" si="63"/>
        <v>74.999999999999417</v>
      </c>
      <c r="W62" s="248">
        <f t="shared" si="6"/>
        <v>89.999999999999844</v>
      </c>
      <c r="X62" s="22">
        <v>0.5</v>
      </c>
      <c r="Y62" s="84">
        <v>0.54166666666666696</v>
      </c>
      <c r="Z62" s="90"/>
      <c r="AA62" s="90"/>
      <c r="AB62" s="407"/>
      <c r="AC62" s="407"/>
      <c r="AD62" s="92"/>
      <c r="AE62" s="92"/>
      <c r="AF62" s="317">
        <f t="shared" si="61"/>
        <v>-174.9999999999975</v>
      </c>
      <c r="AG62" s="247">
        <f t="shared" si="62"/>
        <v>0.89309712889432036</v>
      </c>
      <c r="AH62" s="404"/>
    </row>
    <row r="63" spans="1:34" ht="15" customHeight="1">
      <c r="A63" s="465"/>
      <c r="B63" s="75" t="s">
        <v>125</v>
      </c>
      <c r="C63" s="76"/>
      <c r="D63" s="175" t="s">
        <v>134</v>
      </c>
      <c r="E63" s="77"/>
      <c r="F63" s="250">
        <f>VLOOKUP(D63,廠價表!$C$1:$E$43,3,0)</f>
        <v>26.99</v>
      </c>
      <c r="G63" s="30">
        <v>1682</v>
      </c>
      <c r="H63" s="254">
        <f>F63*G63</f>
        <v>45397.18</v>
      </c>
      <c r="I63" s="182"/>
      <c r="J63" s="106">
        <f>VLOOKUP(D63,產線配置圖!$A$3:$C$40,2,0)</f>
        <v>15</v>
      </c>
      <c r="K63" s="107">
        <v>1638</v>
      </c>
      <c r="L63" s="238">
        <f>K63/J63</f>
        <v>109.2</v>
      </c>
      <c r="M63" s="82">
        <v>15</v>
      </c>
      <c r="N63" s="107">
        <f>G63/W63*60</f>
        <v>1441.714285714291</v>
      </c>
      <c r="O63" s="238">
        <f>N63/M63</f>
        <v>96.114285714286069</v>
      </c>
      <c r="P63" s="111">
        <f>M63-J63</f>
        <v>0</v>
      </c>
      <c r="Q63" s="255">
        <f>O63-L63</f>
        <v>-13.085714285713934</v>
      </c>
      <c r="R63" s="85">
        <f t="shared" ref="R63" si="64">O63/L63</f>
        <v>0.88016745159602627</v>
      </c>
      <c r="S63" s="440"/>
      <c r="T63" s="22">
        <v>0.61805555555555602</v>
      </c>
      <c r="U63" s="22">
        <v>0.66666666666666696</v>
      </c>
      <c r="V63" s="30">
        <f t="shared" si="63"/>
        <v>15.000000000000746</v>
      </c>
      <c r="W63" s="248">
        <f t="shared" si="6"/>
        <v>69.999999999999744</v>
      </c>
      <c r="X63" s="261"/>
      <c r="Y63" s="291"/>
      <c r="Z63" s="335"/>
      <c r="AA63" s="335"/>
      <c r="AB63" s="407"/>
      <c r="AC63" s="407"/>
      <c r="AD63" s="92"/>
      <c r="AE63" s="92"/>
      <c r="AF63" s="317">
        <f t="shared" si="61"/>
        <v>-196.28571428570899</v>
      </c>
      <c r="AG63" s="247">
        <f t="shared" si="62"/>
        <v>0.88016745159602627</v>
      </c>
      <c r="AH63" s="404"/>
    </row>
    <row r="64" spans="1:34" ht="15" customHeight="1">
      <c r="A64" s="46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40"/>
      <c r="T64" s="22"/>
      <c r="U64" s="22"/>
      <c r="V64" s="30"/>
      <c r="W64" s="73">
        <f t="shared" si="6"/>
        <v>0</v>
      </c>
      <c r="X64" s="261"/>
      <c r="Y64" s="291"/>
      <c r="Z64" s="335"/>
      <c r="AA64" s="335"/>
      <c r="AB64" s="407"/>
      <c r="AC64" s="407"/>
      <c r="AD64" s="92"/>
      <c r="AE64" s="92"/>
      <c r="AF64" s="307"/>
      <c r="AG64" s="262"/>
      <c r="AH64" s="404"/>
    </row>
    <row r="65" spans="1:36" ht="15" customHeight="1">
      <c r="A65" s="46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40"/>
      <c r="T65" s="22"/>
      <c r="U65" s="22"/>
      <c r="V65" s="30"/>
      <c r="W65" s="73">
        <f t="shared" si="6"/>
        <v>0</v>
      </c>
      <c r="X65" s="261"/>
      <c r="Y65" s="291"/>
      <c r="Z65" s="335"/>
      <c r="AA65" s="335"/>
      <c r="AB65" s="407"/>
      <c r="AC65" s="407"/>
      <c r="AD65" s="92"/>
      <c r="AE65" s="92"/>
      <c r="AF65" s="307"/>
      <c r="AG65" s="262"/>
      <c r="AH65" s="404"/>
    </row>
    <row r="66" spans="1:36" ht="15" customHeight="1">
      <c r="A66" s="46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40"/>
      <c r="T66" s="22"/>
      <c r="U66" s="22"/>
      <c r="V66" s="30"/>
      <c r="W66" s="73">
        <f t="shared" si="6"/>
        <v>0</v>
      </c>
      <c r="X66" s="261"/>
      <c r="Y66" s="291"/>
      <c r="Z66" s="335"/>
      <c r="AA66" s="335"/>
      <c r="AB66" s="407"/>
      <c r="AC66" s="407"/>
      <c r="AD66" s="92"/>
      <c r="AE66" s="92"/>
      <c r="AF66" s="307"/>
      <c r="AG66" s="262"/>
      <c r="AH66" s="404"/>
    </row>
    <row r="67" spans="1:36" ht="15" customHeight="1">
      <c r="A67" s="46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40"/>
      <c r="T67" s="263"/>
      <c r="U67" s="263"/>
      <c r="V67" s="30"/>
      <c r="W67" s="73">
        <f t="shared" si="6"/>
        <v>0</v>
      </c>
      <c r="X67" s="261"/>
      <c r="Y67" s="291"/>
      <c r="Z67" s="335"/>
      <c r="AA67" s="335"/>
      <c r="AB67" s="407"/>
      <c r="AC67" s="407"/>
      <c r="AD67" s="92"/>
      <c r="AE67" s="92"/>
      <c r="AF67" s="307"/>
      <c r="AG67" s="262"/>
      <c r="AH67" s="404"/>
    </row>
    <row r="68" spans="1:36" ht="15" customHeight="1">
      <c r="A68" s="46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40"/>
      <c r="T68" s="263"/>
      <c r="U68" s="263"/>
      <c r="V68" s="30"/>
      <c r="W68" s="73">
        <f t="shared" si="6"/>
        <v>0</v>
      </c>
      <c r="X68" s="261"/>
      <c r="Y68" s="291"/>
      <c r="Z68" s="335"/>
      <c r="AA68" s="335"/>
      <c r="AB68" s="407" t="s">
        <v>53</v>
      </c>
      <c r="AC68" s="407"/>
      <c r="AD68" s="92"/>
      <c r="AE68" s="92"/>
      <c r="AF68" s="307"/>
      <c r="AG68" s="262"/>
      <c r="AH68" s="404"/>
    </row>
    <row r="69" spans="1:36" ht="15" customHeight="1">
      <c r="A69" s="466"/>
      <c r="B69" s="239"/>
      <c r="C69" s="153" t="s">
        <v>54</v>
      </c>
      <c r="D69" s="430" t="s">
        <v>42</v>
      </c>
      <c r="E69" s="430"/>
      <c r="F69" s="116"/>
      <c r="G69" s="117"/>
      <c r="H69" s="118"/>
      <c r="I69" s="267"/>
      <c r="J69" s="240">
        <f t="shared" ref="J69:O69" si="65">AVERAGE(J59:J68)</f>
        <v>12.8</v>
      </c>
      <c r="K69" s="240">
        <f t="shared" si="65"/>
        <v>1636.6</v>
      </c>
      <c r="L69" s="268">
        <f t="shared" si="65"/>
        <v>130.42909090909092</v>
      </c>
      <c r="M69" s="240">
        <f t="shared" si="65"/>
        <v>12.8</v>
      </c>
      <c r="N69" s="240">
        <f t="shared" si="65"/>
        <v>1472.7146218487392</v>
      </c>
      <c r="O69" s="268">
        <f t="shared" si="65"/>
        <v>116.97758085052189</v>
      </c>
      <c r="P69" s="269">
        <f>M69-J69</f>
        <v>0</v>
      </c>
      <c r="Q69" s="222">
        <f>N69-K69</f>
        <v>-163.88537815126074</v>
      </c>
      <c r="R69" s="123">
        <f>O69/L69</f>
        <v>0.89686725587971217</v>
      </c>
      <c r="S69" s="443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31"/>
      <c r="AC69" s="431"/>
      <c r="AD69" s="323">
        <f>SUM(AD59:AD68)</f>
        <v>0</v>
      </c>
      <c r="AE69" s="323">
        <f>SUM(AE59:AE68)</f>
        <v>0</v>
      </c>
      <c r="AF69" s="308">
        <f>N69-K69</f>
        <v>-163.88537815126074</v>
      </c>
      <c r="AG69" s="85">
        <f>N69/K69</f>
        <v>0.89986228879918073</v>
      </c>
      <c r="AH69" s="406"/>
    </row>
    <row r="70" spans="1:36" ht="15" customHeight="1">
      <c r="A70" s="471" t="s">
        <v>55</v>
      </c>
      <c r="B70" s="75" t="s">
        <v>125</v>
      </c>
      <c r="C70" s="58"/>
      <c r="D70" s="259" t="s">
        <v>192</v>
      </c>
      <c r="E70" s="60"/>
      <c r="F70" s="75">
        <f>VLOOKUP(D70,廠價表!$C$1:$E$43,3,0)</f>
        <v>28.26</v>
      </c>
      <c r="G70" s="273">
        <v>1837</v>
      </c>
      <c r="H70" s="91">
        <f>F70*G70</f>
        <v>51913.62</v>
      </c>
      <c r="I70" s="182"/>
      <c r="J70" s="79">
        <f>VLOOKUP(D70,產線配置圖!$A$3:$C$40,2,0)</f>
        <v>11</v>
      </c>
      <c r="K70" s="80">
        <f>VLOOKUP(D70,產線配置圖!$A$3:$C$40,3,0)</f>
        <v>1636</v>
      </c>
      <c r="L70" s="93">
        <f>K70/J70</f>
        <v>148.72727272727272</v>
      </c>
      <c r="M70" s="94">
        <v>9</v>
      </c>
      <c r="N70" s="95">
        <f>G70/W70*60</f>
        <v>1296.7058823529592</v>
      </c>
      <c r="O70" s="96">
        <f>N70/M70</f>
        <v>144.07843137255102</v>
      </c>
      <c r="P70" s="97">
        <f>M70-J70</f>
        <v>-2</v>
      </c>
      <c r="Q70" s="98">
        <f>O70-L70</f>
        <v>-4.6488413547216965</v>
      </c>
      <c r="R70" s="99">
        <f>O70/L70</f>
        <v>0.9687425092286438</v>
      </c>
      <c r="S70" s="439">
        <f>R79</f>
        <v>0.84583267726450273</v>
      </c>
      <c r="T70" s="22">
        <v>0.29166666666666702</v>
      </c>
      <c r="U70" s="22">
        <v>0.35069444444444398</v>
      </c>
      <c r="V70" s="55"/>
      <c r="W70" s="54">
        <f t="shared" si="6"/>
        <v>84.99999999999882</v>
      </c>
      <c r="X70" s="270"/>
      <c r="Y70" s="292"/>
      <c r="Z70" s="169"/>
      <c r="AA70" s="169"/>
      <c r="AB70" s="429"/>
      <c r="AC70" s="429"/>
      <c r="AD70" s="135"/>
      <c r="AE70" s="135"/>
      <c r="AF70" s="142">
        <f>N70-K70</f>
        <v>-339.29411764704082</v>
      </c>
      <c r="AG70" s="144">
        <f>N70/K70</f>
        <v>0.79260750755070852</v>
      </c>
      <c r="AH70" s="476">
        <f>AG79</f>
        <v>0.73369491494142824</v>
      </c>
    </row>
    <row r="71" spans="1:36" ht="15" customHeight="1">
      <c r="A71" s="472"/>
      <c r="B71" s="75" t="s">
        <v>81</v>
      </c>
      <c r="C71" s="58"/>
      <c r="D71" s="259" t="s">
        <v>228</v>
      </c>
      <c r="E71" s="60"/>
      <c r="F71" s="75">
        <f>VLOOKUP(D71,廠價表!$C$1:$E$43,3,0)</f>
        <v>46.34</v>
      </c>
      <c r="G71" s="273">
        <v>2973</v>
      </c>
      <c r="H71" s="91">
        <f>F71*G71</f>
        <v>137768.82</v>
      </c>
      <c r="I71" s="182"/>
      <c r="J71" s="79">
        <f>VLOOKUP(D71,產線配置圖!$A$3:$C$40,2,0)</f>
        <v>16</v>
      </c>
      <c r="K71" s="80">
        <v>1500</v>
      </c>
      <c r="L71" s="93">
        <f>K71/J71</f>
        <v>93.75</v>
      </c>
      <c r="M71" s="94">
        <v>15</v>
      </c>
      <c r="N71" s="95">
        <f>G71/W71*60</f>
        <v>953.90374331550572</v>
      </c>
      <c r="O71" s="96">
        <f>N71/M71</f>
        <v>63.593582887700379</v>
      </c>
      <c r="P71" s="97">
        <f>M71-J71</f>
        <v>-1</v>
      </c>
      <c r="Q71" s="98">
        <f>O71-L71</f>
        <v>-30.156417112299621</v>
      </c>
      <c r="R71" s="99">
        <f>O71/L71</f>
        <v>0.67833155080213736</v>
      </c>
      <c r="S71" s="440"/>
      <c r="T71" s="22">
        <v>0.37083333333333302</v>
      </c>
      <c r="U71" s="22">
        <v>0.50069444444444444</v>
      </c>
      <c r="V71" s="30">
        <f>(T71-U70)*24*60</f>
        <v>29.000000000000217</v>
      </c>
      <c r="W71" s="73">
        <f t="shared" si="6"/>
        <v>187.00000000000045</v>
      </c>
      <c r="X71" s="271"/>
      <c r="Y71" s="293"/>
      <c r="Z71" s="90">
        <v>2</v>
      </c>
      <c r="AA71" s="90">
        <v>12</v>
      </c>
      <c r="AB71" s="407" t="s">
        <v>263</v>
      </c>
      <c r="AC71" s="407"/>
      <c r="AD71" s="200"/>
      <c r="AE71" s="200"/>
      <c r="AF71" s="97">
        <f>N71-K71</f>
        <v>-546.09625668449428</v>
      </c>
      <c r="AG71" s="99">
        <f>N71/K71</f>
        <v>0.63593582887700384</v>
      </c>
      <c r="AH71" s="445"/>
    </row>
    <row r="72" spans="1:36" ht="15" customHeight="1">
      <c r="A72" s="472"/>
      <c r="B72" s="75" t="s">
        <v>81</v>
      </c>
      <c r="C72" s="58"/>
      <c r="D72" s="259" t="s">
        <v>228</v>
      </c>
      <c r="E72" s="60"/>
      <c r="F72" s="75">
        <f>VLOOKUP(D72,廠價表!$C$1:$E$43,3,0)</f>
        <v>46.34</v>
      </c>
      <c r="G72" s="30">
        <v>1918</v>
      </c>
      <c r="H72" s="91">
        <f>F72*G72</f>
        <v>88880.12000000001</v>
      </c>
      <c r="I72" s="182"/>
      <c r="J72" s="79">
        <f>VLOOKUP(D72,產線配置圖!$A$3:$C$40,2,0)</f>
        <v>16</v>
      </c>
      <c r="K72" s="80">
        <v>1500</v>
      </c>
      <c r="L72" s="93">
        <f>K72/J72</f>
        <v>93.75</v>
      </c>
      <c r="M72" s="94">
        <v>15</v>
      </c>
      <c r="N72" s="95">
        <f>G72/W72*60</f>
        <v>1150.7999999999968</v>
      </c>
      <c r="O72" s="96">
        <f>N72/M72</f>
        <v>76.719999999999786</v>
      </c>
      <c r="P72" s="97">
        <f>M72-J72</f>
        <v>-1</v>
      </c>
      <c r="Q72" s="98">
        <f>O72-L72</f>
        <v>-17.030000000000214</v>
      </c>
      <c r="R72" s="99">
        <f>O72/L72</f>
        <v>0.81834666666666434</v>
      </c>
      <c r="S72" s="440"/>
      <c r="T72" s="22">
        <v>0.56597222222222199</v>
      </c>
      <c r="U72" s="22">
        <v>0.63541666666666663</v>
      </c>
      <c r="V72" s="30">
        <f>(T72-U71)*24*60</f>
        <v>93.999999999999659</v>
      </c>
      <c r="W72" s="73">
        <f t="shared" si="6"/>
        <v>100.00000000000028</v>
      </c>
      <c r="X72" s="272"/>
      <c r="Y72" s="288"/>
      <c r="Z72" s="90"/>
      <c r="AA72" s="90"/>
      <c r="AB72" s="407"/>
      <c r="AC72" s="407"/>
      <c r="AD72" s="92"/>
      <c r="AE72" s="92"/>
      <c r="AF72" s="370"/>
      <c r="AG72" s="371"/>
      <c r="AH72" s="445"/>
    </row>
    <row r="73" spans="1:36" ht="15" customHeight="1">
      <c r="A73" s="472"/>
      <c r="B73" s="75"/>
      <c r="C73" s="58"/>
      <c r="D73" s="259"/>
      <c r="E73" s="60"/>
      <c r="F73" s="75"/>
      <c r="G73" s="273"/>
      <c r="H73" s="91"/>
      <c r="I73" s="182"/>
      <c r="J73" s="79"/>
      <c r="K73" s="80"/>
      <c r="L73" s="93"/>
      <c r="M73" s="94"/>
      <c r="N73" s="95"/>
      <c r="O73" s="96"/>
      <c r="P73" s="97"/>
      <c r="Q73" s="98"/>
      <c r="R73" s="99"/>
      <c r="S73" s="440"/>
      <c r="T73" s="22"/>
      <c r="U73" s="22"/>
      <c r="V73" s="30"/>
      <c r="W73" s="73">
        <f t="shared" si="6"/>
        <v>0</v>
      </c>
      <c r="X73" s="22"/>
      <c r="Y73" s="84"/>
      <c r="Z73" s="90"/>
      <c r="AA73" s="90"/>
      <c r="AB73" s="407"/>
      <c r="AC73" s="407"/>
      <c r="AD73" s="92"/>
      <c r="AE73" s="92"/>
      <c r="AF73" s="311"/>
      <c r="AG73" s="99"/>
      <c r="AH73" s="445"/>
    </row>
    <row r="74" spans="1:36" ht="15" customHeight="1">
      <c r="A74" s="472"/>
      <c r="B74" s="75"/>
      <c r="C74" s="58"/>
      <c r="D74" s="259"/>
      <c r="E74" s="60"/>
      <c r="F74" s="75"/>
      <c r="G74" s="273"/>
      <c r="H74" s="91"/>
      <c r="I74" s="182"/>
      <c r="J74" s="79"/>
      <c r="K74" s="80"/>
      <c r="L74" s="93"/>
      <c r="M74" s="94"/>
      <c r="N74" s="95"/>
      <c r="O74" s="96"/>
      <c r="P74" s="97"/>
      <c r="Q74" s="98"/>
      <c r="R74" s="99"/>
      <c r="S74" s="440"/>
      <c r="T74" s="22"/>
      <c r="U74" s="22"/>
      <c r="V74" s="30"/>
      <c r="W74" s="73">
        <f t="shared" si="6"/>
        <v>0</v>
      </c>
      <c r="X74" s="22"/>
      <c r="Y74" s="84"/>
      <c r="Z74" s="90"/>
      <c r="AA74" s="90"/>
      <c r="AB74" s="407"/>
      <c r="AC74" s="407"/>
      <c r="AD74" s="92"/>
      <c r="AE74" s="92"/>
      <c r="AF74" s="311"/>
      <c r="AG74" s="99"/>
      <c r="AH74" s="445"/>
    </row>
    <row r="75" spans="1:36" ht="15" customHeight="1">
      <c r="A75" s="47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40"/>
      <c r="T75" s="22"/>
      <c r="U75" s="22"/>
      <c r="V75" s="30"/>
      <c r="W75" s="256">
        <f t="shared" si="6"/>
        <v>0</v>
      </c>
      <c r="X75" s="279"/>
      <c r="Y75" s="304"/>
      <c r="Z75" s="90"/>
      <c r="AA75" s="90"/>
      <c r="AB75" s="407"/>
      <c r="AC75" s="407"/>
      <c r="AD75" s="92"/>
      <c r="AE75" s="92"/>
      <c r="AF75" s="318"/>
      <c r="AG75" s="280"/>
      <c r="AH75" s="404"/>
    </row>
    <row r="76" spans="1:36" ht="15" customHeight="1">
      <c r="A76" s="47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41"/>
      <c r="T76" s="22"/>
      <c r="U76" s="22"/>
      <c r="V76" s="30"/>
      <c r="W76" s="248">
        <f t="shared" si="6"/>
        <v>0</v>
      </c>
      <c r="X76" s="235"/>
      <c r="Y76" s="305"/>
      <c r="Z76" s="90"/>
      <c r="AA76" s="90"/>
      <c r="AB76" s="407"/>
      <c r="AC76" s="407"/>
      <c r="AD76" s="92"/>
      <c r="AE76" s="92"/>
      <c r="AF76" s="317"/>
      <c r="AG76" s="247"/>
      <c r="AH76" s="405"/>
    </row>
    <row r="77" spans="1:36" ht="15" customHeight="1">
      <c r="A77" s="47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41"/>
      <c r="T77" s="22"/>
      <c r="U77" s="22"/>
      <c r="V77" s="30"/>
      <c r="W77" s="73">
        <f t="shared" si="6"/>
        <v>0</v>
      </c>
      <c r="X77" s="261"/>
      <c r="Y77" s="291"/>
      <c r="Z77" s="335"/>
      <c r="AA77" s="335"/>
      <c r="AB77" s="407"/>
      <c r="AC77" s="407"/>
      <c r="AD77" s="92"/>
      <c r="AE77" s="92"/>
      <c r="AF77" s="307"/>
      <c r="AG77" s="262"/>
      <c r="AH77" s="405"/>
    </row>
    <row r="78" spans="1:36" ht="15" customHeight="1">
      <c r="A78" s="47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74"/>
      <c r="T78" s="110"/>
      <c r="U78" s="110"/>
      <c r="V78" s="38"/>
      <c r="W78" s="73">
        <f t="shared" si="6"/>
        <v>0</v>
      </c>
      <c r="X78" s="281"/>
      <c r="Y78" s="306"/>
      <c r="Z78" s="335"/>
      <c r="AA78" s="335"/>
      <c r="AB78" s="407"/>
      <c r="AC78" s="407"/>
      <c r="AD78" s="92"/>
      <c r="AE78" s="92"/>
      <c r="AF78" s="308"/>
      <c r="AG78" s="112"/>
      <c r="AH78" s="405"/>
    </row>
    <row r="79" spans="1:36" ht="15" customHeight="1">
      <c r="A79" s="473"/>
      <c r="B79" s="239"/>
      <c r="C79" s="153"/>
      <c r="D79" s="430" t="s">
        <v>42</v>
      </c>
      <c r="E79" s="430"/>
      <c r="F79" s="116"/>
      <c r="G79" s="117"/>
      <c r="H79" s="282"/>
      <c r="I79" s="268"/>
      <c r="J79" s="240">
        <f t="shared" ref="J79:O79" si="66">AVERAGE(J70:J78)</f>
        <v>14.333333333333334</v>
      </c>
      <c r="K79" s="240">
        <f t="shared" si="66"/>
        <v>1545.3333333333333</v>
      </c>
      <c r="L79" s="268">
        <f t="shared" si="66"/>
        <v>112.07575757575758</v>
      </c>
      <c r="M79" s="240">
        <f t="shared" si="66"/>
        <v>13</v>
      </c>
      <c r="N79" s="240">
        <f t="shared" si="66"/>
        <v>1133.8032085561538</v>
      </c>
      <c r="O79" s="268">
        <f t="shared" si="66"/>
        <v>94.797338086750401</v>
      </c>
      <c r="P79" s="269">
        <f>M79-J79</f>
        <v>-1.3333333333333339</v>
      </c>
      <c r="Q79" s="222">
        <f>N79-K79</f>
        <v>-411.53012477717948</v>
      </c>
      <c r="R79" s="123">
        <f>O79/L79</f>
        <v>0.84583267726450273</v>
      </c>
      <c r="S79" s="443"/>
      <c r="T79" s="372"/>
      <c r="U79" s="372"/>
      <c r="V79" s="126"/>
      <c r="W79" s="242"/>
      <c r="X79" s="128"/>
      <c r="Y79" s="295"/>
      <c r="Z79" s="334">
        <f>SUM(Z70:Z78)</f>
        <v>2</v>
      </c>
      <c r="AA79" s="334">
        <f>SUM(AA70:AA78)</f>
        <v>12</v>
      </c>
      <c r="AB79" s="431"/>
      <c r="AC79" s="431"/>
      <c r="AD79" s="323">
        <f>SUM(AD70:AD78)</f>
        <v>0</v>
      </c>
      <c r="AE79" s="323">
        <f>SUM(AE70:AE78)</f>
        <v>0</v>
      </c>
      <c r="AF79" s="309">
        <f>N79-K79</f>
        <v>-411.53012477717948</v>
      </c>
      <c r="AG79" s="124">
        <f>N79/K79</f>
        <v>0.73369491494142824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48:AC4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27:A37"/>
    <mergeCell ref="S27:S37"/>
    <mergeCell ref="AB27:AC2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16:A26"/>
    <mergeCell ref="S16:S26"/>
    <mergeCell ref="AB16:AC16"/>
    <mergeCell ref="D26:E26"/>
    <mergeCell ref="AB26:AC26"/>
    <mergeCell ref="H3:H4"/>
    <mergeCell ref="I3:I4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5:A15"/>
    <mergeCell ref="S5:S15"/>
    <mergeCell ref="AB5:AC5"/>
    <mergeCell ref="AH5:AH15"/>
    <mergeCell ref="AB6:AC6"/>
    <mergeCell ref="AB7:AC7"/>
    <mergeCell ref="G3:G4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A2:B2"/>
    <mergeCell ref="A3:A4"/>
    <mergeCell ref="B3:B4"/>
    <mergeCell ref="D3:E4"/>
    <mergeCell ref="F3:F4"/>
    <mergeCell ref="P1:S2"/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</mergeCells>
  <phoneticPr fontId="0" type="noConversion"/>
  <conditionalFormatting sqref="P5:P79">
    <cfRule type="cellIs" dxfId="8" priority="1" operator="greaterThan">
      <formula>0</formula>
    </cfRule>
  </conditionalFormatting>
  <conditionalFormatting sqref="Q5:Q79 AF5:AF79">
    <cfRule type="cellIs" dxfId="7" priority="4" operator="lessThan">
      <formula>0</formula>
    </cfRule>
  </conditionalFormatting>
  <conditionalFormatting sqref="R5:R79 AG5:AG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H59:AH62 S69:S76 AH69:AH76">
    <cfRule type="cellIs" dxfId="4" priority="7" operator="lessThan">
      <formula>0.8</formula>
    </cfRule>
  </conditionalFormatting>
  <conditionalFormatting sqref="S19:S25 AH19:AH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H5:AH8 S15:S16 AH15:AH16 AH49 AH79">
    <cfRule type="cellIs" dxfId="1" priority="9" operator="lessThan">
      <formula>0.8</formula>
    </cfRule>
  </conditionalFormatting>
  <conditionalFormatting sqref="AH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EC9C32-3C20-493F-AF33-C0C51FB669CA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5A58F4-4CC1-4086-B558-639CABBBAC30}"/>
</file>

<file path=customXml/itemProps2.xml><?xml version="1.0" encoding="utf-8"?>
<ds:datastoreItem xmlns:ds="http://schemas.openxmlformats.org/officeDocument/2006/customXml" ds:itemID="{7E6DB54C-B6FE-411C-8C27-4312ED19AF7C}"/>
</file>

<file path=customXml/itemProps3.xml><?xml version="1.0" encoding="utf-8"?>
<ds:datastoreItem xmlns:ds="http://schemas.openxmlformats.org/officeDocument/2006/customXml" ds:itemID="{8C942729-9F3A-40CF-BC74-E3D5711D49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64</vt:i4>
      </vt:variant>
      <vt:variant>
        <vt:lpstr>具名範圍</vt:lpstr>
      </vt:variant>
      <vt:variant>
        <vt:i4>91</vt:i4>
      </vt:variant>
    </vt:vector>
  </HeadingPairs>
  <TitlesOfParts>
    <vt:vector size="155" baseType="lpstr">
      <vt:lpstr>廠價表</vt:lpstr>
      <vt:lpstr>產線配置圖</vt:lpstr>
      <vt:lpstr>範本總</vt:lpstr>
      <vt:lpstr>範本</vt:lpstr>
      <vt:lpstr>0601總</vt:lpstr>
      <vt:lpstr>0601</vt:lpstr>
      <vt:lpstr>0602總</vt:lpstr>
      <vt:lpstr>0602</vt:lpstr>
      <vt:lpstr>0603總</vt:lpstr>
      <vt:lpstr>0603</vt:lpstr>
      <vt:lpstr>0604總</vt:lpstr>
      <vt:lpstr>0604</vt:lpstr>
      <vt:lpstr>0605總</vt:lpstr>
      <vt:lpstr>0605</vt:lpstr>
      <vt:lpstr>0606總</vt:lpstr>
      <vt:lpstr>0606</vt:lpstr>
      <vt:lpstr>0607總</vt:lpstr>
      <vt:lpstr>0607</vt:lpstr>
      <vt:lpstr>0608總</vt:lpstr>
      <vt:lpstr>0608</vt:lpstr>
      <vt:lpstr>0609總</vt:lpstr>
      <vt:lpstr>0609</vt:lpstr>
      <vt:lpstr>0610總</vt:lpstr>
      <vt:lpstr>0610</vt:lpstr>
      <vt:lpstr>0611總</vt:lpstr>
      <vt:lpstr>0611</vt:lpstr>
      <vt:lpstr>0612總</vt:lpstr>
      <vt:lpstr>0612</vt:lpstr>
      <vt:lpstr>0613總</vt:lpstr>
      <vt:lpstr>0613</vt:lpstr>
      <vt:lpstr>0614總</vt:lpstr>
      <vt:lpstr>0614</vt:lpstr>
      <vt:lpstr>0615總</vt:lpstr>
      <vt:lpstr>0615</vt:lpstr>
      <vt:lpstr>0616總</vt:lpstr>
      <vt:lpstr>0616</vt:lpstr>
      <vt:lpstr>0617總</vt:lpstr>
      <vt:lpstr>0617</vt:lpstr>
      <vt:lpstr>0618總</vt:lpstr>
      <vt:lpstr>0618</vt:lpstr>
      <vt:lpstr>0619總</vt:lpstr>
      <vt:lpstr>0619</vt:lpstr>
      <vt:lpstr>0620總</vt:lpstr>
      <vt:lpstr>0620</vt:lpstr>
      <vt:lpstr>0621總</vt:lpstr>
      <vt:lpstr>0621</vt:lpstr>
      <vt:lpstr>0622總</vt:lpstr>
      <vt:lpstr>0622</vt:lpstr>
      <vt:lpstr>0623總</vt:lpstr>
      <vt:lpstr>0623</vt:lpstr>
      <vt:lpstr>0624總</vt:lpstr>
      <vt:lpstr>0624</vt:lpstr>
      <vt:lpstr>0625總</vt:lpstr>
      <vt:lpstr>0625</vt:lpstr>
      <vt:lpstr>0626總</vt:lpstr>
      <vt:lpstr>0626</vt:lpstr>
      <vt:lpstr>0627總</vt:lpstr>
      <vt:lpstr>0627</vt:lpstr>
      <vt:lpstr>0628總</vt:lpstr>
      <vt:lpstr>0628</vt:lpstr>
      <vt:lpstr>0629總</vt:lpstr>
      <vt:lpstr>0629</vt:lpstr>
      <vt:lpstr>0630總</vt:lpstr>
      <vt:lpstr>0630</vt:lpstr>
      <vt:lpstr>'0601'!_FilterDatabase</vt:lpstr>
      <vt:lpstr>'0601總'!_FilterDatabase</vt:lpstr>
      <vt:lpstr>'0602'!_FilterDatabase</vt:lpstr>
      <vt:lpstr>'0602總'!_FilterDatabase</vt:lpstr>
      <vt:lpstr>'0603'!_FilterDatabase</vt:lpstr>
      <vt:lpstr>'0603總'!_FilterDatabase</vt:lpstr>
      <vt:lpstr>'0604'!_FilterDatabase</vt:lpstr>
      <vt:lpstr>'0604總'!_FilterDatabase</vt:lpstr>
      <vt:lpstr>'0605'!_FilterDatabase</vt:lpstr>
      <vt:lpstr>'0605總'!_FilterDatabase</vt:lpstr>
      <vt:lpstr>'0606'!_FilterDatabase</vt:lpstr>
      <vt:lpstr>'0606總'!_FilterDatabase</vt:lpstr>
      <vt:lpstr>'0607'!_FilterDatabase</vt:lpstr>
      <vt:lpstr>'0607總'!_FilterDatabase</vt:lpstr>
      <vt:lpstr>'0608'!_FilterDatabase</vt:lpstr>
      <vt:lpstr>'0608總'!_FilterDatabase</vt:lpstr>
      <vt:lpstr>'0609'!_FilterDatabase</vt:lpstr>
      <vt:lpstr>'0609總'!_FilterDatabase</vt:lpstr>
      <vt:lpstr>'0610'!_FilterDatabase</vt:lpstr>
      <vt:lpstr>'0610總'!_FilterDatabase</vt:lpstr>
      <vt:lpstr>'0611'!_FilterDatabase</vt:lpstr>
      <vt:lpstr>'0611總'!_FilterDatabase</vt:lpstr>
      <vt:lpstr>'0612'!_FilterDatabase</vt:lpstr>
      <vt:lpstr>'0612總'!_FilterDatabase</vt:lpstr>
      <vt:lpstr>'0613'!_FilterDatabase</vt:lpstr>
      <vt:lpstr>'0613總'!_FilterDatabase</vt:lpstr>
      <vt:lpstr>'0614'!_FilterDatabase</vt:lpstr>
      <vt:lpstr>'0614總'!_FilterDatabase</vt:lpstr>
      <vt:lpstr>'0615'!_FilterDatabase</vt:lpstr>
      <vt:lpstr>'0615總'!_FilterDatabase</vt:lpstr>
      <vt:lpstr>'0616'!_FilterDatabase</vt:lpstr>
      <vt:lpstr>'0616總'!_FilterDatabase</vt:lpstr>
      <vt:lpstr>'0617'!_FilterDatabase</vt:lpstr>
      <vt:lpstr>'0617總'!_FilterDatabase</vt:lpstr>
      <vt:lpstr>'0618'!_FilterDatabase</vt:lpstr>
      <vt:lpstr>'0618總'!_FilterDatabase</vt:lpstr>
      <vt:lpstr>'0619'!_FilterDatabase</vt:lpstr>
      <vt:lpstr>'0619總'!_FilterDatabase</vt:lpstr>
      <vt:lpstr>'0620'!_FilterDatabase</vt:lpstr>
      <vt:lpstr>'0620總'!_FilterDatabase</vt:lpstr>
      <vt:lpstr>'0621'!_FilterDatabase</vt:lpstr>
      <vt:lpstr>'0621總'!_FilterDatabase</vt:lpstr>
      <vt:lpstr>'0622'!_FilterDatabase</vt:lpstr>
      <vt:lpstr>'0622總'!_FilterDatabase</vt:lpstr>
      <vt:lpstr>'0623'!_FilterDatabase</vt:lpstr>
      <vt:lpstr>'0623總'!_FilterDatabase</vt:lpstr>
      <vt:lpstr>'0624'!_FilterDatabase</vt:lpstr>
      <vt:lpstr>'0624總'!_FilterDatabase</vt:lpstr>
      <vt:lpstr>'0625'!_FilterDatabase</vt:lpstr>
      <vt:lpstr>'0625總'!_FilterDatabase</vt:lpstr>
      <vt:lpstr>'0626'!_FilterDatabase</vt:lpstr>
      <vt:lpstr>'0626總'!_FilterDatabase</vt:lpstr>
      <vt:lpstr>'0627'!_FilterDatabase</vt:lpstr>
      <vt:lpstr>'0627總'!_FilterDatabase</vt:lpstr>
      <vt:lpstr>'0628'!_FilterDatabase</vt:lpstr>
      <vt:lpstr>'0628總'!_FilterDatabase</vt:lpstr>
      <vt:lpstr>'0629'!_FilterDatabase</vt:lpstr>
      <vt:lpstr>'0629總'!_FilterDatabase</vt:lpstr>
      <vt:lpstr>'0630'!_FilterDatabase</vt:lpstr>
      <vt:lpstr>'0630總'!_FilterDatabase</vt:lpstr>
      <vt:lpstr>'0601'!Print_Area</vt:lpstr>
      <vt:lpstr>'0602'!Print_Area</vt:lpstr>
      <vt:lpstr>'0603'!Print_Area</vt:lpstr>
      <vt:lpstr>'0604'!Print_Area</vt:lpstr>
      <vt:lpstr>'0605'!Print_Area</vt:lpstr>
      <vt:lpstr>'0606'!Print_Area</vt:lpstr>
      <vt:lpstr>'0607'!Print_Area</vt:lpstr>
      <vt:lpstr>'0608'!Print_Area</vt:lpstr>
      <vt:lpstr>'0609'!Print_Area</vt:lpstr>
      <vt:lpstr>'0610'!Print_Area</vt:lpstr>
      <vt:lpstr>'0611'!Print_Area</vt:lpstr>
      <vt:lpstr>'0612'!Print_Area</vt:lpstr>
      <vt:lpstr>'0613'!Print_Area</vt:lpstr>
      <vt:lpstr>'0614'!Print_Area</vt:lpstr>
      <vt:lpstr>'0615'!Print_Area</vt:lpstr>
      <vt:lpstr>'0616'!Print_Area</vt:lpstr>
      <vt:lpstr>'0617'!Print_Area</vt:lpstr>
      <vt:lpstr>'0618'!Print_Area</vt:lpstr>
      <vt:lpstr>'0619'!Print_Area</vt:lpstr>
      <vt:lpstr>'0620'!Print_Area</vt:lpstr>
      <vt:lpstr>'0621'!Print_Area</vt:lpstr>
      <vt:lpstr>'0622'!Print_Area</vt:lpstr>
      <vt:lpstr>'0623'!Print_Area</vt:lpstr>
      <vt:lpstr>'0624'!Print_Area</vt:lpstr>
      <vt:lpstr>'0625'!Print_Area</vt:lpstr>
      <vt:lpstr>'0626'!Print_Area</vt:lpstr>
      <vt:lpstr>'0627'!Print_Area</vt:lpstr>
      <vt:lpstr>'0628'!Print_Area</vt:lpstr>
      <vt:lpstr>'0629'!Print_Area</vt:lpstr>
      <vt:lpstr>'0630'!Print_Area</vt:lpstr>
      <vt:lpstr>範本!Print_Area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2026-07-03T02:19:03Z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