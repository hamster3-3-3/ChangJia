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/>
  <xr:revisionPtr revIDLastSave="0" documentId="13_ncr:1_{1BA01CFB-8F50-4F42-86B4-39AB19D0E07B}" xr6:coauthVersionLast="47" xr6:coauthVersionMax="47" xr10:uidLastSave="{00000000-0000-0000-0000-000000000000}"/>
  <bookViews>
    <workbookView xWindow="-120" yWindow="-120" windowWidth="29040" windowHeight="15720" tabRatio="826" firstSheet="53" activeTab="64" xr2:uid="{00000000-000D-0000-FFFF-FFFF00000000}"/>
  </bookViews>
  <sheets>
    <sheet name="廠價表" sheetId="5" r:id="rId1"/>
    <sheet name="產線配置圖" sheetId="4" r:id="rId2"/>
    <sheet name="範本總" sheetId="2" state="hidden" r:id="rId3"/>
    <sheet name="範本" sheetId="3" state="hidden" r:id="rId4"/>
    <sheet name="0801總" sheetId="68" r:id="rId5"/>
    <sheet name="0801" sheetId="69" r:id="rId6"/>
    <sheet name="0802總" sheetId="70" r:id="rId7"/>
    <sheet name="0802" sheetId="71" r:id="rId8"/>
    <sheet name="0803總" sheetId="72" r:id="rId9"/>
    <sheet name="0803" sheetId="73" r:id="rId10"/>
    <sheet name="0804總" sheetId="12" r:id="rId11"/>
    <sheet name="0804" sheetId="13" r:id="rId12"/>
    <sheet name="0805總" sheetId="14" r:id="rId13"/>
    <sheet name="0805" sheetId="15" r:id="rId14"/>
    <sheet name="0806總" sheetId="16" r:id="rId15"/>
    <sheet name="0806" sheetId="17" r:id="rId16"/>
    <sheet name="0807總" sheetId="74" r:id="rId17"/>
    <sheet name="0807" sheetId="75" r:id="rId18"/>
    <sheet name="0808總" sheetId="76" r:id="rId19"/>
    <sheet name="0808" sheetId="77" r:id="rId20"/>
    <sheet name="0809總" sheetId="78" r:id="rId21"/>
    <sheet name="0809" sheetId="79" r:id="rId22"/>
    <sheet name="0810總" sheetId="80" r:id="rId23"/>
    <sheet name="0810" sheetId="81" r:id="rId24"/>
    <sheet name="0811總" sheetId="82" r:id="rId25"/>
    <sheet name="0811" sheetId="83" r:id="rId26"/>
    <sheet name="0812總" sheetId="84" r:id="rId27"/>
    <sheet name="0812" sheetId="85" r:id="rId28"/>
    <sheet name="0813總" sheetId="86" r:id="rId29"/>
    <sheet name="0813" sheetId="87" r:id="rId30"/>
    <sheet name="0814總" sheetId="32" r:id="rId31"/>
    <sheet name="0814" sheetId="33" r:id="rId32"/>
    <sheet name="0815總" sheetId="34" r:id="rId33"/>
    <sheet name="0815" sheetId="35" r:id="rId34"/>
    <sheet name="0816總" sheetId="36" r:id="rId35"/>
    <sheet name="0816" sheetId="37" r:id="rId36"/>
    <sheet name="0817總" sheetId="38" r:id="rId37"/>
    <sheet name="0817" sheetId="39" r:id="rId38"/>
    <sheet name="0818總" sheetId="88" r:id="rId39"/>
    <sheet name="0818" sheetId="89" r:id="rId40"/>
    <sheet name="0819總" sheetId="42" r:id="rId41"/>
    <sheet name="0819" sheetId="43" r:id="rId42"/>
    <sheet name="0820總" sheetId="44" r:id="rId43"/>
    <sheet name="0820" sheetId="45" r:id="rId44"/>
    <sheet name="0821總" sheetId="46" r:id="rId45"/>
    <sheet name="0821" sheetId="47" r:id="rId46"/>
    <sheet name="0822總" sheetId="48" r:id="rId47"/>
    <sheet name="0822" sheetId="49" r:id="rId48"/>
    <sheet name="0823總" sheetId="50" r:id="rId49"/>
    <sheet name="0823" sheetId="51" r:id="rId50"/>
    <sheet name="0824總" sheetId="52" r:id="rId51"/>
    <sheet name="0824" sheetId="53" r:id="rId52"/>
    <sheet name="0825總" sheetId="54" r:id="rId53"/>
    <sheet name="0825" sheetId="55" r:id="rId54"/>
    <sheet name="0826總" sheetId="56" r:id="rId55"/>
    <sheet name="0826" sheetId="57" r:id="rId56"/>
    <sheet name="0827總" sheetId="58" r:id="rId57"/>
    <sheet name="0827" sheetId="59" r:id="rId58"/>
    <sheet name="0828總" sheetId="60" r:id="rId59"/>
    <sheet name="0828" sheetId="61" r:id="rId60"/>
    <sheet name="0829總" sheetId="62" r:id="rId61"/>
    <sheet name="0829" sheetId="63" r:id="rId62"/>
    <sheet name="0830總" sheetId="64" r:id="rId63"/>
    <sheet name="0830" sheetId="65" r:id="rId64"/>
    <sheet name="0831總" sheetId="66" r:id="rId65"/>
    <sheet name="0831" sheetId="67" r:id="rId66"/>
  </sheets>
  <externalReferences>
    <externalReference r:id="rId67"/>
    <externalReference r:id="rId68"/>
  </externalReferences>
  <definedNames>
    <definedName name="_xlnm._FilterDatabase" localSheetId="5">'0801'!$A$4:$AJ$79</definedName>
    <definedName name="_xlnm._FilterDatabase" localSheetId="4">'0801總'!$B$10:$J$25</definedName>
    <definedName name="_xlnm._FilterDatabase" localSheetId="7">'0802'!$A$4:$AJ$79</definedName>
    <definedName name="_xlnm._FilterDatabase" localSheetId="6">'0802總'!$B$10:$J$25</definedName>
    <definedName name="_xlnm._FilterDatabase" localSheetId="9">'0803'!$A$4:$AJ$79</definedName>
    <definedName name="_xlnm._FilterDatabase" localSheetId="8">'0803總'!$B$10:$J$25</definedName>
    <definedName name="_xlnm._FilterDatabase" localSheetId="11">'0804'!$A$4:$AJ$79</definedName>
    <definedName name="_xlnm._FilterDatabase" localSheetId="10">'0804總'!$B$10:$J$25</definedName>
    <definedName name="_xlnm._FilterDatabase" localSheetId="13">'0805'!$A$4:$AJ$79</definedName>
    <definedName name="_xlnm._FilterDatabase" localSheetId="12">'0805總'!$B$10:$J$25</definedName>
    <definedName name="_xlnm._FilterDatabase" localSheetId="15">'0806'!$A$4:$AJ$79</definedName>
    <definedName name="_xlnm._FilterDatabase" localSheetId="14">'0806總'!$B$10:$J$25</definedName>
    <definedName name="_xlnm._FilterDatabase" localSheetId="17">'0807'!$A$4:$AJ$79</definedName>
    <definedName name="_xlnm._FilterDatabase" localSheetId="16">'0807總'!$B$10:$J$25</definedName>
    <definedName name="_xlnm._FilterDatabase" localSheetId="19">'0808'!$A$4:$AJ$79</definedName>
    <definedName name="_xlnm._FilterDatabase" localSheetId="18">'0808總'!$B$10:$J$25</definedName>
    <definedName name="_xlnm._FilterDatabase" localSheetId="21">'0809'!$A$4:$AJ$79</definedName>
    <definedName name="_xlnm._FilterDatabase" localSheetId="20">'0809總'!$B$10:$J$25</definedName>
    <definedName name="_xlnm._FilterDatabase" localSheetId="23">'0810'!$A$4:$AJ$79</definedName>
    <definedName name="_xlnm._FilterDatabase" localSheetId="22">'0810總'!$B$10:$J$25</definedName>
    <definedName name="_xlnm._FilterDatabase" localSheetId="25">'0811'!$A$4:$AJ$79</definedName>
    <definedName name="_xlnm._FilterDatabase" localSheetId="24">'0811總'!$B$10:$J$25</definedName>
    <definedName name="_xlnm._FilterDatabase" localSheetId="27">'0812'!$A$4:$AJ$79</definedName>
    <definedName name="_xlnm._FilterDatabase" localSheetId="26">'0812總'!$B$10:$J$25</definedName>
    <definedName name="_xlnm._FilterDatabase" localSheetId="29">'0813'!$A$4:$AJ$79</definedName>
    <definedName name="_xlnm._FilterDatabase" localSheetId="28">'0813總'!$B$10:$J$25</definedName>
    <definedName name="_xlnm._FilterDatabase" localSheetId="31">'0814'!$A$4:$AJ$79</definedName>
    <definedName name="_xlnm._FilterDatabase" localSheetId="30">'0814總'!$B$10:$J$25</definedName>
    <definedName name="_xlnm._FilterDatabase" localSheetId="33">'0815'!$A$4:$AJ$79</definedName>
    <definedName name="_xlnm._FilterDatabase" localSheetId="32">'0815總'!$B$10:$J$25</definedName>
    <definedName name="_xlnm._FilterDatabase" localSheetId="35">'0816'!$A$4:$AJ$79</definedName>
    <definedName name="_xlnm._FilterDatabase" localSheetId="34">'0816總'!$B$10:$J$25</definedName>
    <definedName name="_xlnm._FilterDatabase" localSheetId="37">'0817'!$A$4:$AJ$79</definedName>
    <definedName name="_xlnm._FilterDatabase" localSheetId="36">'0817總'!$B$10:$J$25</definedName>
    <definedName name="_xlnm._FilterDatabase" localSheetId="39">'0818'!$A$4:$AJ$79</definedName>
    <definedName name="_xlnm._FilterDatabase" localSheetId="38">'0818總'!$B$10:$J$25</definedName>
    <definedName name="_xlnm._FilterDatabase" localSheetId="41">'0819'!$A$4:$AJ$79</definedName>
    <definedName name="_xlnm._FilterDatabase" localSheetId="40">'0819總'!$B$10:$J$25</definedName>
    <definedName name="_xlnm._FilterDatabase" localSheetId="43">'0820'!$A$4:$AJ$79</definedName>
    <definedName name="_xlnm._FilterDatabase" localSheetId="42">'0820總'!$B$10:$J$25</definedName>
    <definedName name="_xlnm._FilterDatabase" localSheetId="45">'0821'!$A$4:$AJ$79</definedName>
    <definedName name="_xlnm._FilterDatabase" localSheetId="44">'0821總'!$B$10:$J$25</definedName>
    <definedName name="_xlnm._FilterDatabase" localSheetId="47">'0822'!$A$4:$AJ$79</definedName>
    <definedName name="_xlnm._FilterDatabase" localSheetId="46">'0822總'!$B$10:$J$25</definedName>
    <definedName name="_xlnm._FilterDatabase" localSheetId="49">'0823'!$A$4:$AJ$79</definedName>
    <definedName name="_xlnm._FilterDatabase" localSheetId="48">'0823總'!$B$10:$J$25</definedName>
    <definedName name="_xlnm._FilterDatabase" localSheetId="51">'0824'!$A$4:$AJ$79</definedName>
    <definedName name="_xlnm._FilterDatabase" localSheetId="50">'0824總'!$B$10:$J$25</definedName>
    <definedName name="_xlnm._FilterDatabase" localSheetId="53">'0825'!$A$4:$AJ$79</definedName>
    <definedName name="_xlnm._FilterDatabase" localSheetId="52">'0825總'!$B$10:$J$25</definedName>
    <definedName name="_xlnm._FilterDatabase" localSheetId="55">'0826'!$A$4:$AJ$79</definedName>
    <definedName name="_xlnm._FilterDatabase" localSheetId="54">'0826總'!$B$10:$J$25</definedName>
    <definedName name="_xlnm._FilterDatabase" localSheetId="57">'0827'!$A$4:$AJ$79</definedName>
    <definedName name="_xlnm._FilterDatabase" localSheetId="56">'0827總'!$B$10:$J$25</definedName>
    <definedName name="_xlnm._FilterDatabase" localSheetId="59">'0828'!$A$4:$AJ$79</definedName>
    <definedName name="_xlnm._FilterDatabase" localSheetId="58">'0828總'!$B$10:$J$25</definedName>
    <definedName name="_xlnm._FilterDatabase" localSheetId="61">'0829'!$A$4:$AJ$79</definedName>
    <definedName name="_xlnm._FilterDatabase" localSheetId="60">'0829總'!$B$10:$J$25</definedName>
    <definedName name="_xlnm._FilterDatabase" localSheetId="63">'0830'!$A$4:$AJ$79</definedName>
    <definedName name="_xlnm._FilterDatabase" localSheetId="62">'0830總'!$B$10:$J$25</definedName>
    <definedName name="_xlnm._FilterDatabase" localSheetId="65">'0831'!$A$4:$AJ$79</definedName>
    <definedName name="_xlnm._FilterDatabase" localSheetId="64">'0831總'!$B$10:$J$25</definedName>
    <definedName name="_xlnm._FilterDatabase" localSheetId="3" hidden="1">範本!$A$4:$AJ$79</definedName>
    <definedName name="_xlnm._FilterDatabase" localSheetId="2" hidden="1">範本總!$B$10:$J$25</definedName>
    <definedName name="_xlnm.Print_Area" localSheetId="5">'0801'!$A$1:$AH$79</definedName>
    <definedName name="_xlnm.Print_Area" localSheetId="7">'0802'!$A$1:$AH$79</definedName>
    <definedName name="_xlnm.Print_Area" localSheetId="9">'0803'!$A$1:$AH$79</definedName>
    <definedName name="_xlnm.Print_Area" localSheetId="11">'0804'!$A$1:$AH$79</definedName>
    <definedName name="_xlnm.Print_Area" localSheetId="13">'0805'!$A$1:$AH$79</definedName>
    <definedName name="_xlnm.Print_Area" localSheetId="15">'0806'!$A$1:$AH$79</definedName>
    <definedName name="_xlnm.Print_Area" localSheetId="17">'0807'!$A$1:$AH$79</definedName>
    <definedName name="_xlnm.Print_Area" localSheetId="19">'0808'!$A$1:$AH$79</definedName>
    <definedName name="_xlnm.Print_Area" localSheetId="21">'0809'!$A$1:$AH$79</definedName>
    <definedName name="_xlnm.Print_Area" localSheetId="23">'0810'!$A$1:$AH$79</definedName>
    <definedName name="_xlnm.Print_Area" localSheetId="25">'0811'!$A$1:$AH$79</definedName>
    <definedName name="_xlnm.Print_Area" localSheetId="27">'0812'!$A$1:$AH$79</definedName>
    <definedName name="_xlnm.Print_Area" localSheetId="29">'0813'!$A$1:$AH$79</definedName>
    <definedName name="_xlnm.Print_Area" localSheetId="31">'0814'!$A$1:$AH$79</definedName>
    <definedName name="_xlnm.Print_Area" localSheetId="33">'0815'!$A$1:$AH$79</definedName>
    <definedName name="_xlnm.Print_Area" localSheetId="35">'0816'!$A$1:$AH$79</definedName>
    <definedName name="_xlnm.Print_Area" localSheetId="37">'0817'!$A$1:$AH$79</definedName>
    <definedName name="_xlnm.Print_Area" localSheetId="39">'0818'!$A$1:$AH$79</definedName>
    <definedName name="_xlnm.Print_Area" localSheetId="41">'0819'!$A$1:$AH$79</definedName>
    <definedName name="_xlnm.Print_Area" localSheetId="43">'0820'!$A$1:$AH$79</definedName>
    <definedName name="_xlnm.Print_Area" localSheetId="45">'0821'!$A$1:$AH$79</definedName>
    <definedName name="_xlnm.Print_Area" localSheetId="47">'0822'!$A$1:$AH$79</definedName>
    <definedName name="_xlnm.Print_Area" localSheetId="49">'0823'!$A$1:$AH$79</definedName>
    <definedName name="_xlnm.Print_Area" localSheetId="51">'0824'!$A$1:$AH$79</definedName>
    <definedName name="_xlnm.Print_Area" localSheetId="53">'0825'!$A$1:$AH$79</definedName>
    <definedName name="_xlnm.Print_Area" localSheetId="55">'0826'!$A$1:$AH$79</definedName>
    <definedName name="_xlnm.Print_Area" localSheetId="57">'0827'!$A$1:$AH$79</definedName>
    <definedName name="_xlnm.Print_Area" localSheetId="59">'0828'!$A$1:$AH$79</definedName>
    <definedName name="_xlnm.Print_Area" localSheetId="61">'0829'!$A$1:$AH$79</definedName>
    <definedName name="_xlnm.Print_Area" localSheetId="63">'0830'!$A$1:$AH$79</definedName>
    <definedName name="_xlnm.Print_Area" localSheetId="65">'0831'!$A$1:$AH$79</definedName>
    <definedName name="_xlnm.Print_Area" localSheetId="3">範本!$A$1:$AH$79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6" l="1"/>
  <c r="F7" i="66"/>
  <c r="F6" i="66"/>
  <c r="J7" i="66"/>
  <c r="J6" i="66"/>
  <c r="J8" i="66"/>
  <c r="P8" i="67"/>
  <c r="V31" i="67"/>
  <c r="V32" i="67"/>
  <c r="V33" i="67"/>
  <c r="V30" i="67"/>
  <c r="V21" i="67"/>
  <c r="F30" i="67"/>
  <c r="F31" i="67"/>
  <c r="F32" i="67"/>
  <c r="H32" i="67" s="1"/>
  <c r="F33" i="67"/>
  <c r="H30" i="67"/>
  <c r="J30" i="67"/>
  <c r="K30" i="67"/>
  <c r="AG30" i="67" s="1"/>
  <c r="L30" i="67"/>
  <c r="H31" i="67"/>
  <c r="J31" i="67"/>
  <c r="K31" i="67"/>
  <c r="L31" i="67"/>
  <c r="J32" i="67"/>
  <c r="P32" i="67" s="1"/>
  <c r="K32" i="67"/>
  <c r="L32" i="67"/>
  <c r="H33" i="67"/>
  <c r="J33" i="67"/>
  <c r="K33" i="67"/>
  <c r="L33" i="67"/>
  <c r="N30" i="67"/>
  <c r="O30" i="67"/>
  <c r="Q30" i="67" s="1"/>
  <c r="P30" i="67"/>
  <c r="R30" i="67"/>
  <c r="N31" i="67"/>
  <c r="O31" i="67" s="1"/>
  <c r="Q31" i="67" s="1"/>
  <c r="P31" i="67"/>
  <c r="N32" i="67"/>
  <c r="O32" i="67"/>
  <c r="N33" i="67"/>
  <c r="O33" i="67"/>
  <c r="P33" i="67"/>
  <c r="Q33" i="67"/>
  <c r="R33" i="67"/>
  <c r="P19" i="67"/>
  <c r="N20" i="67"/>
  <c r="O20" i="67"/>
  <c r="Q20" i="67" s="1"/>
  <c r="P20" i="67"/>
  <c r="P21" i="67"/>
  <c r="H19" i="67"/>
  <c r="J19" i="67"/>
  <c r="K19" i="67"/>
  <c r="L19" i="67"/>
  <c r="H20" i="67"/>
  <c r="J20" i="67"/>
  <c r="K20" i="67"/>
  <c r="L20" i="67" s="1"/>
  <c r="H21" i="67"/>
  <c r="K21" i="67"/>
  <c r="L21" i="67"/>
  <c r="F19" i="67"/>
  <c r="F20" i="67"/>
  <c r="F21" i="67"/>
  <c r="V8" i="67"/>
  <c r="V9" i="67"/>
  <c r="V10" i="67"/>
  <c r="V11" i="67"/>
  <c r="V12" i="67"/>
  <c r="P7" i="67"/>
  <c r="P9" i="67"/>
  <c r="N10" i="67"/>
  <c r="O10" i="67"/>
  <c r="P10" i="67"/>
  <c r="N11" i="67"/>
  <c r="AG11" i="67" s="1"/>
  <c r="P11" i="67"/>
  <c r="P12" i="67"/>
  <c r="H8" i="67"/>
  <c r="K8" i="67"/>
  <c r="L8" i="67" s="1"/>
  <c r="H9" i="67"/>
  <c r="K9" i="67"/>
  <c r="L9" i="67" s="1"/>
  <c r="H10" i="67"/>
  <c r="K10" i="67"/>
  <c r="AG10" i="67" s="1"/>
  <c r="L10" i="67"/>
  <c r="R10" i="67" s="1"/>
  <c r="H11" i="67"/>
  <c r="J11" i="67"/>
  <c r="K11" i="67"/>
  <c r="L11" i="67" s="1"/>
  <c r="H12" i="67"/>
  <c r="K12" i="67"/>
  <c r="L12" i="67" s="1"/>
  <c r="F7" i="67"/>
  <c r="F8" i="67"/>
  <c r="F9" i="67"/>
  <c r="F10" i="67"/>
  <c r="F11" i="67"/>
  <c r="F12" i="67"/>
  <c r="N51" i="67"/>
  <c r="O51" i="67" s="1"/>
  <c r="Q51" i="67" s="1"/>
  <c r="P51" i="67"/>
  <c r="P52" i="67"/>
  <c r="N53" i="67"/>
  <c r="O53" i="67"/>
  <c r="Q53" i="67" s="1"/>
  <c r="P53" i="67"/>
  <c r="N54" i="67"/>
  <c r="O54" i="67"/>
  <c r="P54" i="67"/>
  <c r="Q54" i="67"/>
  <c r="R54" i="67"/>
  <c r="H51" i="67"/>
  <c r="J51" i="67"/>
  <c r="K51" i="67"/>
  <c r="K58" i="67" s="1"/>
  <c r="H52" i="67"/>
  <c r="J52" i="67"/>
  <c r="K52" i="67"/>
  <c r="L52" i="67" s="1"/>
  <c r="H53" i="67"/>
  <c r="J53" i="67"/>
  <c r="K53" i="67"/>
  <c r="L53" i="67"/>
  <c r="H54" i="67"/>
  <c r="J54" i="67"/>
  <c r="L54" i="67" s="1"/>
  <c r="K54" i="67"/>
  <c r="F51" i="67"/>
  <c r="F52" i="67"/>
  <c r="F53" i="67"/>
  <c r="F54" i="67"/>
  <c r="V52" i="67"/>
  <c r="V53" i="67"/>
  <c r="V54" i="67"/>
  <c r="V50" i="67"/>
  <c r="K50" i="67"/>
  <c r="L50" i="67" s="1"/>
  <c r="J50" i="67"/>
  <c r="P50" i="67" s="1"/>
  <c r="F50" i="67"/>
  <c r="H50" i="67" s="1"/>
  <c r="V61" i="67"/>
  <c r="V62" i="67"/>
  <c r="V63" i="67"/>
  <c r="V64" i="67"/>
  <c r="P62" i="67"/>
  <c r="N63" i="67"/>
  <c r="O63" i="67"/>
  <c r="R63" i="67" s="1"/>
  <c r="P63" i="67"/>
  <c r="Q63" i="67"/>
  <c r="P64" i="67"/>
  <c r="H62" i="67"/>
  <c r="J62" i="67"/>
  <c r="K62" i="67"/>
  <c r="L62" i="67" s="1"/>
  <c r="H63" i="67"/>
  <c r="J63" i="67"/>
  <c r="K63" i="67"/>
  <c r="L63" i="67"/>
  <c r="H64" i="67"/>
  <c r="J64" i="67"/>
  <c r="L64" i="67" s="1"/>
  <c r="K64" i="67"/>
  <c r="F62" i="67"/>
  <c r="F63" i="67"/>
  <c r="F64" i="67"/>
  <c r="AE79" i="67"/>
  <c r="AD79" i="67"/>
  <c r="AA79" i="67"/>
  <c r="J18" i="66" s="1"/>
  <c r="Z79" i="67"/>
  <c r="W78" i="67"/>
  <c r="W77" i="67"/>
  <c r="W76" i="67"/>
  <c r="W75" i="67"/>
  <c r="W74" i="67"/>
  <c r="W73" i="67"/>
  <c r="W72" i="67"/>
  <c r="W71" i="67"/>
  <c r="W70" i="67"/>
  <c r="AE69" i="67"/>
  <c r="AD69" i="67"/>
  <c r="AA69" i="67"/>
  <c r="Z69" i="67"/>
  <c r="M69" i="67"/>
  <c r="I22" i="66" s="1"/>
  <c r="W68" i="67"/>
  <c r="H68" i="67"/>
  <c r="W67" i="67"/>
  <c r="W66" i="67"/>
  <c r="W65" i="67"/>
  <c r="W64" i="67"/>
  <c r="N64" i="67" s="1"/>
  <c r="O64" i="67" s="1"/>
  <c r="Q64" i="67" s="1"/>
  <c r="W63" i="67"/>
  <c r="W62" i="67"/>
  <c r="N62" i="67" s="1"/>
  <c r="W61" i="67"/>
  <c r="N61" i="67" s="1"/>
  <c r="P61" i="67"/>
  <c r="L61" i="67"/>
  <c r="K61" i="67"/>
  <c r="J61" i="67"/>
  <c r="F61" i="67"/>
  <c r="H61" i="67" s="1"/>
  <c r="W60" i="67"/>
  <c r="N60" i="67" s="1"/>
  <c r="V60" i="67"/>
  <c r="P60" i="67"/>
  <c r="L60" i="67"/>
  <c r="K60" i="67"/>
  <c r="J60" i="67"/>
  <c r="F60" i="67"/>
  <c r="H60" i="67" s="1"/>
  <c r="W59" i="67"/>
  <c r="N59" i="67" s="1"/>
  <c r="K59" i="67"/>
  <c r="J59" i="67"/>
  <c r="F59" i="67"/>
  <c r="H59" i="67" s="1"/>
  <c r="AE58" i="67"/>
  <c r="H21" i="66" s="1"/>
  <c r="AD58" i="67"/>
  <c r="H20" i="66" s="1"/>
  <c r="AA58" i="67"/>
  <c r="H19" i="66" s="1"/>
  <c r="Z58" i="67"/>
  <c r="M58" i="67"/>
  <c r="H22" i="66" s="1"/>
  <c r="W57" i="67"/>
  <c r="W56" i="67"/>
  <c r="W55" i="67"/>
  <c r="W54" i="67"/>
  <c r="W53" i="67"/>
  <c r="W52" i="67"/>
  <c r="N52" i="67" s="1"/>
  <c r="W51" i="67"/>
  <c r="V51" i="67"/>
  <c r="W50" i="67"/>
  <c r="N50" i="67" s="1"/>
  <c r="O50" i="67" s="1"/>
  <c r="W49" i="67"/>
  <c r="N49" i="67" s="1"/>
  <c r="P49" i="67"/>
  <c r="L49" i="67"/>
  <c r="K49" i="67"/>
  <c r="J49" i="67"/>
  <c r="F49" i="67"/>
  <c r="H49" i="67" s="1"/>
  <c r="AE48" i="67"/>
  <c r="AD48" i="67"/>
  <c r="G20" i="66" s="1"/>
  <c r="AA48" i="67"/>
  <c r="Z48" i="67"/>
  <c r="W48" i="67"/>
  <c r="M48" i="67"/>
  <c r="K48" i="67"/>
  <c r="W47" i="67"/>
  <c r="H47" i="67"/>
  <c r="W46" i="67"/>
  <c r="W45" i="67"/>
  <c r="W44" i="67"/>
  <c r="W43" i="67"/>
  <c r="W42" i="67"/>
  <c r="AG41" i="67"/>
  <c r="AF41" i="67"/>
  <c r="W41" i="67"/>
  <c r="W40" i="67"/>
  <c r="N40" i="67" s="1"/>
  <c r="O40" i="67" s="1"/>
  <c r="V40" i="67"/>
  <c r="K40" i="67"/>
  <c r="J40" i="67"/>
  <c r="P40" i="67" s="1"/>
  <c r="H40" i="67"/>
  <c r="F40" i="67"/>
  <c r="W39" i="67"/>
  <c r="N39" i="67" s="1"/>
  <c r="V39" i="67"/>
  <c r="K39" i="67"/>
  <c r="J39" i="67"/>
  <c r="H39" i="67"/>
  <c r="F39" i="67"/>
  <c r="W38" i="67"/>
  <c r="P38" i="67"/>
  <c r="N38" i="67"/>
  <c r="L38" i="67"/>
  <c r="K38" i="67"/>
  <c r="J38" i="67"/>
  <c r="H38" i="67"/>
  <c r="F38" i="67"/>
  <c r="AE37" i="67"/>
  <c r="AD37" i="67"/>
  <c r="F20" i="66" s="1"/>
  <c r="AA37" i="67"/>
  <c r="F19" i="66" s="1"/>
  <c r="Z37" i="67"/>
  <c r="F18" i="66" s="1"/>
  <c r="M37" i="67"/>
  <c r="F22" i="66" s="1"/>
  <c r="W36" i="67"/>
  <c r="H36" i="67"/>
  <c r="W35" i="67"/>
  <c r="W34" i="67"/>
  <c r="W33" i="67"/>
  <c r="W32" i="67"/>
  <c r="AF31" i="67"/>
  <c r="W31" i="67"/>
  <c r="W30" i="67"/>
  <c r="W29" i="67"/>
  <c r="N29" i="67" s="1"/>
  <c r="O29" i="67" s="1"/>
  <c r="V29" i="67"/>
  <c r="K29" i="67"/>
  <c r="J29" i="67"/>
  <c r="J37" i="67" s="1"/>
  <c r="F29" i="67"/>
  <c r="H29" i="67" s="1"/>
  <c r="W28" i="67"/>
  <c r="V28" i="67"/>
  <c r="N28" i="67"/>
  <c r="L28" i="67"/>
  <c r="K28" i="67"/>
  <c r="J28" i="67"/>
  <c r="P28" i="67" s="1"/>
  <c r="F28" i="67"/>
  <c r="H28" i="67" s="1"/>
  <c r="W27" i="67"/>
  <c r="P27" i="67"/>
  <c r="N27" i="67"/>
  <c r="L27" i="67"/>
  <c r="K27" i="67"/>
  <c r="K37" i="67" s="1"/>
  <c r="J27" i="67"/>
  <c r="F27" i="67"/>
  <c r="H27" i="67" s="1"/>
  <c r="AE26" i="67"/>
  <c r="AD26" i="67"/>
  <c r="AA26" i="67"/>
  <c r="Z26" i="67"/>
  <c r="M26" i="67"/>
  <c r="W25" i="67"/>
  <c r="H25" i="67"/>
  <c r="W24" i="67"/>
  <c r="H24" i="67"/>
  <c r="W23" i="67"/>
  <c r="W21" i="67"/>
  <c r="N21" i="67" s="1"/>
  <c r="O21" i="67" s="1"/>
  <c r="R21" i="67" s="1"/>
  <c r="W20" i="67"/>
  <c r="V20" i="67"/>
  <c r="W19" i="67"/>
  <c r="N19" i="67" s="1"/>
  <c r="AF19" i="67" s="1"/>
  <c r="V19" i="67"/>
  <c r="W18" i="67"/>
  <c r="V18" i="67"/>
  <c r="P18" i="67"/>
  <c r="N18" i="67"/>
  <c r="K18" i="67"/>
  <c r="J18" i="67"/>
  <c r="L18" i="67" s="1"/>
  <c r="H18" i="67"/>
  <c r="F18" i="67"/>
  <c r="W17" i="67"/>
  <c r="N17" i="67" s="1"/>
  <c r="V17" i="67"/>
  <c r="P17" i="67"/>
  <c r="L17" i="67"/>
  <c r="K17" i="67"/>
  <c r="H17" i="67"/>
  <c r="F17" i="67"/>
  <c r="W16" i="67"/>
  <c r="N16" i="67"/>
  <c r="AG16" i="67" s="1"/>
  <c r="K16" i="67"/>
  <c r="J16" i="67"/>
  <c r="F16" i="67"/>
  <c r="H16" i="67" s="1"/>
  <c r="AE15" i="67"/>
  <c r="AD15" i="67"/>
  <c r="AA15" i="67"/>
  <c r="Z15" i="67"/>
  <c r="M15" i="67"/>
  <c r="D22" i="66" s="1"/>
  <c r="W14" i="67"/>
  <c r="W13" i="67"/>
  <c r="W12" i="67"/>
  <c r="N12" i="67" s="1"/>
  <c r="O12" i="67" s="1"/>
  <c r="W11" i="67"/>
  <c r="W10" i="67"/>
  <c r="W9" i="67"/>
  <c r="N9" i="67" s="1"/>
  <c r="O9" i="67" s="1"/>
  <c r="W8" i="67"/>
  <c r="N8" i="67" s="1"/>
  <c r="W7" i="67"/>
  <c r="N7" i="67" s="1"/>
  <c r="O7" i="67" s="1"/>
  <c r="Q7" i="67" s="1"/>
  <c r="V7" i="67"/>
  <c r="K7" i="67"/>
  <c r="J7" i="67"/>
  <c r="H7" i="67"/>
  <c r="W6" i="67"/>
  <c r="N6" i="67" s="1"/>
  <c r="V6" i="67"/>
  <c r="K6" i="67"/>
  <c r="P6" i="67"/>
  <c r="F6" i="67"/>
  <c r="H6" i="67" s="1"/>
  <c r="W5" i="67"/>
  <c r="N5" i="67" s="1"/>
  <c r="O5" i="67" s="1"/>
  <c r="K5" i="67"/>
  <c r="J5" i="67"/>
  <c r="H5" i="67"/>
  <c r="F5" i="67"/>
  <c r="I2" i="67"/>
  <c r="E1" i="67"/>
  <c r="G3" i="66" s="1"/>
  <c r="J22" i="66"/>
  <c r="J21" i="66"/>
  <c r="I21" i="66"/>
  <c r="G21" i="66"/>
  <c r="F21" i="66"/>
  <c r="E21" i="66"/>
  <c r="D21" i="66"/>
  <c r="J20" i="66"/>
  <c r="I20" i="66"/>
  <c r="D20" i="66"/>
  <c r="J19" i="66"/>
  <c r="I19" i="66"/>
  <c r="G19" i="66"/>
  <c r="E19" i="66"/>
  <c r="H18" i="66"/>
  <c r="G18" i="66"/>
  <c r="E18" i="66"/>
  <c r="D18" i="66"/>
  <c r="I16" i="66"/>
  <c r="H16" i="66"/>
  <c r="G16" i="66"/>
  <c r="F16" i="66"/>
  <c r="E16" i="66"/>
  <c r="D16" i="66"/>
  <c r="J13" i="66"/>
  <c r="D3" i="66"/>
  <c r="AE79" i="65"/>
  <c r="AD79" i="65"/>
  <c r="AA79" i="65"/>
  <c r="Z79" i="65"/>
  <c r="M79" i="65"/>
  <c r="J79" i="65"/>
  <c r="W78" i="65"/>
  <c r="H78" i="65"/>
  <c r="W77" i="65"/>
  <c r="H77" i="65"/>
  <c r="W76" i="65"/>
  <c r="H76" i="65"/>
  <c r="W75" i="65"/>
  <c r="H75" i="65"/>
  <c r="W74" i="65"/>
  <c r="W73" i="65"/>
  <c r="W72" i="65"/>
  <c r="V72" i="65"/>
  <c r="P72" i="65"/>
  <c r="O72" i="65"/>
  <c r="N72" i="65"/>
  <c r="K72" i="65"/>
  <c r="L72" i="65" s="1"/>
  <c r="R72" i="65" s="1"/>
  <c r="J72" i="65"/>
  <c r="H72" i="65"/>
  <c r="F72" i="65"/>
  <c r="W71" i="65"/>
  <c r="V71" i="65"/>
  <c r="N71" i="65"/>
  <c r="O71" i="65" s="1"/>
  <c r="K71" i="65"/>
  <c r="L71" i="65" s="1"/>
  <c r="J71" i="65"/>
  <c r="P71" i="65" s="1"/>
  <c r="F71" i="65"/>
  <c r="H71" i="65" s="1"/>
  <c r="W70" i="65"/>
  <c r="N70" i="65" s="1"/>
  <c r="K70" i="65"/>
  <c r="J70" i="65"/>
  <c r="P70" i="65" s="1"/>
  <c r="F70" i="65"/>
  <c r="H70" i="65" s="1"/>
  <c r="AE69" i="65"/>
  <c r="AD69" i="65"/>
  <c r="AA69" i="65"/>
  <c r="Z69" i="65"/>
  <c r="M69" i="65"/>
  <c r="J69" i="65"/>
  <c r="P69" i="65" s="1"/>
  <c r="W68" i="65"/>
  <c r="H68" i="65"/>
  <c r="W67" i="65"/>
  <c r="W66" i="65"/>
  <c r="W65" i="65"/>
  <c r="W64" i="65"/>
  <c r="W63" i="65"/>
  <c r="W62" i="65"/>
  <c r="N62" i="65" s="1"/>
  <c r="V62" i="65"/>
  <c r="K62" i="65"/>
  <c r="L62" i="65" s="1"/>
  <c r="J62" i="65"/>
  <c r="P62" i="65" s="1"/>
  <c r="H62" i="65"/>
  <c r="F62" i="65"/>
  <c r="W61" i="65"/>
  <c r="N61" i="65" s="1"/>
  <c r="V61" i="65"/>
  <c r="P61" i="65"/>
  <c r="O61" i="65"/>
  <c r="K61" i="65"/>
  <c r="J61" i="65"/>
  <c r="H61" i="65"/>
  <c r="F61" i="65"/>
  <c r="W60" i="65"/>
  <c r="V60" i="65"/>
  <c r="N60" i="65"/>
  <c r="K60" i="65"/>
  <c r="J60" i="65"/>
  <c r="P60" i="65" s="1"/>
  <c r="F60" i="65"/>
  <c r="H60" i="65" s="1"/>
  <c r="W59" i="65"/>
  <c r="P59" i="65"/>
  <c r="O59" i="65"/>
  <c r="N59" i="65"/>
  <c r="AG59" i="65" s="1"/>
  <c r="L59" i="65"/>
  <c r="K59" i="65"/>
  <c r="J59" i="65"/>
  <c r="F59" i="65"/>
  <c r="H59" i="65" s="1"/>
  <c r="AE58" i="65"/>
  <c r="AD58" i="65"/>
  <c r="AA58" i="65"/>
  <c r="Z58" i="65"/>
  <c r="M58" i="65"/>
  <c r="K58" i="65"/>
  <c r="J58" i="65"/>
  <c r="P58" i="65" s="1"/>
  <c r="W57" i="65"/>
  <c r="W56" i="65"/>
  <c r="W55" i="65"/>
  <c r="W54" i="65"/>
  <c r="AG53" i="65"/>
  <c r="AF53" i="65"/>
  <c r="W53" i="65"/>
  <c r="AF52" i="65"/>
  <c r="W52" i="65"/>
  <c r="V52" i="65"/>
  <c r="R52" i="65"/>
  <c r="Q52" i="65"/>
  <c r="P52" i="65"/>
  <c r="O52" i="65"/>
  <c r="N52" i="65"/>
  <c r="K52" i="65"/>
  <c r="L52" i="65" s="1"/>
  <c r="J52" i="65"/>
  <c r="F52" i="65"/>
  <c r="H52" i="65" s="1"/>
  <c r="AG51" i="65"/>
  <c r="W51" i="65"/>
  <c r="N51" i="65" s="1"/>
  <c r="AF51" i="65" s="1"/>
  <c r="V51" i="65"/>
  <c r="P51" i="65"/>
  <c r="O51" i="65"/>
  <c r="K51" i="65"/>
  <c r="L51" i="65" s="1"/>
  <c r="J51" i="65"/>
  <c r="F51" i="65"/>
  <c r="H51" i="65" s="1"/>
  <c r="W50" i="65"/>
  <c r="N50" i="65" s="1"/>
  <c r="V50" i="65"/>
  <c r="P50" i="65"/>
  <c r="K50" i="65"/>
  <c r="J50" i="65"/>
  <c r="H50" i="65"/>
  <c r="F50" i="65"/>
  <c r="AG49" i="65"/>
  <c r="W49" i="65"/>
  <c r="N49" i="65" s="1"/>
  <c r="O49" i="65"/>
  <c r="K49" i="65"/>
  <c r="J49" i="65"/>
  <c r="P49" i="65" s="1"/>
  <c r="H49" i="65"/>
  <c r="F49" i="65"/>
  <c r="AE48" i="65"/>
  <c r="AD48" i="65"/>
  <c r="AA48" i="65"/>
  <c r="Z48" i="65"/>
  <c r="Z2" i="65" s="1"/>
  <c r="W48" i="65"/>
  <c r="M48" i="65"/>
  <c r="W47" i="65"/>
  <c r="H47" i="65"/>
  <c r="W46" i="65"/>
  <c r="W45" i="65"/>
  <c r="W44" i="65"/>
  <c r="W43" i="65"/>
  <c r="W42" i="65"/>
  <c r="AG41" i="65"/>
  <c r="AF41" i="65"/>
  <c r="W41" i="65"/>
  <c r="W40" i="65"/>
  <c r="N40" i="65" s="1"/>
  <c r="V40" i="65"/>
  <c r="P40" i="65"/>
  <c r="O40" i="65"/>
  <c r="L40" i="65"/>
  <c r="K40" i="65"/>
  <c r="J40" i="65"/>
  <c r="F40" i="65"/>
  <c r="H40" i="65" s="1"/>
  <c r="W39" i="65"/>
  <c r="V39" i="65"/>
  <c r="P39" i="65"/>
  <c r="N39" i="65"/>
  <c r="L39" i="65"/>
  <c r="K39" i="65"/>
  <c r="J39" i="65"/>
  <c r="F39" i="65"/>
  <c r="H39" i="65" s="1"/>
  <c r="AG38" i="65"/>
  <c r="W38" i="65"/>
  <c r="N38" i="65" s="1"/>
  <c r="P38" i="65"/>
  <c r="K38" i="65"/>
  <c r="K48" i="65" s="1"/>
  <c r="J38" i="65"/>
  <c r="H38" i="65"/>
  <c r="F38" i="65"/>
  <c r="AE37" i="65"/>
  <c r="AD37" i="65"/>
  <c r="AA37" i="65"/>
  <c r="Z37" i="65"/>
  <c r="M37" i="65"/>
  <c r="W36" i="65"/>
  <c r="H36" i="65"/>
  <c r="W35" i="65"/>
  <c r="W34" i="65"/>
  <c r="W33" i="65"/>
  <c r="W32" i="65"/>
  <c r="W31" i="65"/>
  <c r="N31" i="65" s="1"/>
  <c r="V31" i="65"/>
  <c r="P31" i="65"/>
  <c r="K31" i="65"/>
  <c r="J31" i="65"/>
  <c r="F31" i="65"/>
  <c r="H31" i="65" s="1"/>
  <c r="W30" i="65"/>
  <c r="N30" i="65" s="1"/>
  <c r="V30" i="65"/>
  <c r="K30" i="65"/>
  <c r="J30" i="65"/>
  <c r="P30" i="65" s="1"/>
  <c r="H30" i="65"/>
  <c r="F30" i="65"/>
  <c r="W29" i="65"/>
  <c r="N29" i="65" s="1"/>
  <c r="V29" i="65"/>
  <c r="K29" i="65"/>
  <c r="J29" i="65"/>
  <c r="H29" i="65"/>
  <c r="F29" i="65"/>
  <c r="W28" i="65"/>
  <c r="V28" i="65"/>
  <c r="P28" i="65"/>
  <c r="O28" i="65"/>
  <c r="N28" i="65"/>
  <c r="K28" i="65"/>
  <c r="J28" i="65"/>
  <c r="H28" i="65"/>
  <c r="F28" i="65"/>
  <c r="AF27" i="65"/>
  <c r="W27" i="65"/>
  <c r="N27" i="65" s="1"/>
  <c r="J27" i="65"/>
  <c r="F27" i="65"/>
  <c r="H27" i="65" s="1"/>
  <c r="AE26" i="65"/>
  <c r="AD26" i="65"/>
  <c r="AA26" i="65"/>
  <c r="AA2" i="65" s="1"/>
  <c r="Z26" i="65"/>
  <c r="M26" i="65"/>
  <c r="W25" i="65"/>
  <c r="H25" i="65"/>
  <c r="W24" i="65"/>
  <c r="H24" i="65"/>
  <c r="W23" i="65"/>
  <c r="W21" i="65"/>
  <c r="W20" i="65"/>
  <c r="W19" i="65"/>
  <c r="N19" i="65" s="1"/>
  <c r="V19" i="65"/>
  <c r="K19" i="65"/>
  <c r="J19" i="65"/>
  <c r="F19" i="65"/>
  <c r="H19" i="65" s="1"/>
  <c r="AG18" i="65"/>
  <c r="W18" i="65"/>
  <c r="V18" i="65"/>
  <c r="P18" i="65"/>
  <c r="O18" i="65"/>
  <c r="N18" i="65"/>
  <c r="AF18" i="65" s="1"/>
  <c r="L18" i="65"/>
  <c r="K18" i="65"/>
  <c r="J18" i="65"/>
  <c r="F18" i="65"/>
  <c r="H18" i="65" s="1"/>
  <c r="AG17" i="65"/>
  <c r="AF17" i="65"/>
  <c r="W17" i="65"/>
  <c r="N17" i="65" s="1"/>
  <c r="V17" i="65"/>
  <c r="R17" i="65"/>
  <c r="Q17" i="65"/>
  <c r="P17" i="65"/>
  <c r="O17" i="65"/>
  <c r="K17" i="65"/>
  <c r="L17" i="65" s="1"/>
  <c r="J17" i="65"/>
  <c r="F17" i="65"/>
  <c r="H17" i="65" s="1"/>
  <c r="W16" i="65"/>
  <c r="P16" i="65"/>
  <c r="O16" i="65"/>
  <c r="N16" i="65"/>
  <c r="K16" i="65"/>
  <c r="F16" i="65"/>
  <c r="H16" i="65" s="1"/>
  <c r="AE15" i="65"/>
  <c r="AD15" i="65"/>
  <c r="AA15" i="65"/>
  <c r="Z15" i="65"/>
  <c r="M15" i="65"/>
  <c r="J15" i="65"/>
  <c r="W14" i="65"/>
  <c r="W13" i="65"/>
  <c r="W12" i="65"/>
  <c r="AG11" i="65"/>
  <c r="AF11" i="65"/>
  <c r="W11" i="65"/>
  <c r="AG10" i="65"/>
  <c r="AF10" i="65"/>
  <c r="W10" i="65"/>
  <c r="W9" i="65"/>
  <c r="N9" i="65" s="1"/>
  <c r="V9" i="65"/>
  <c r="P9" i="65"/>
  <c r="L9" i="65"/>
  <c r="K9" i="65"/>
  <c r="F9" i="65"/>
  <c r="H9" i="65" s="1"/>
  <c r="AF8" i="65"/>
  <c r="W8" i="65"/>
  <c r="V8" i="65"/>
  <c r="Q8" i="65"/>
  <c r="P8" i="65"/>
  <c r="N8" i="65"/>
  <c r="O8" i="65" s="1"/>
  <c r="R8" i="65" s="1"/>
  <c r="L8" i="65"/>
  <c r="K8" i="65"/>
  <c r="F8" i="65"/>
  <c r="H8" i="65" s="1"/>
  <c r="AG7" i="65"/>
  <c r="W7" i="65"/>
  <c r="V7" i="65"/>
  <c r="P7" i="65"/>
  <c r="N7" i="65"/>
  <c r="O7" i="65" s="1"/>
  <c r="K7" i="65"/>
  <c r="J7" i="65"/>
  <c r="H7" i="65"/>
  <c r="F7" i="65"/>
  <c r="W6" i="65"/>
  <c r="V6" i="65"/>
  <c r="P6" i="65"/>
  <c r="N6" i="65"/>
  <c r="K6" i="65"/>
  <c r="H6" i="65"/>
  <c r="F6" i="65"/>
  <c r="AG5" i="65"/>
  <c r="W5" i="65"/>
  <c r="N5" i="65" s="1"/>
  <c r="P5" i="65"/>
  <c r="O5" i="65"/>
  <c r="L5" i="65"/>
  <c r="K5" i="65"/>
  <c r="F5" i="65"/>
  <c r="H5" i="65" s="1"/>
  <c r="I2" i="65"/>
  <c r="I1" i="65"/>
  <c r="E1" i="65"/>
  <c r="AE79" i="63"/>
  <c r="J21" i="62" s="1"/>
  <c r="AD79" i="63"/>
  <c r="J20" i="62" s="1"/>
  <c r="AA79" i="63"/>
  <c r="Z79" i="63"/>
  <c r="M79" i="63"/>
  <c r="K79" i="63"/>
  <c r="J79" i="63"/>
  <c r="P79" i="63" s="1"/>
  <c r="W78" i="63"/>
  <c r="H78" i="63"/>
  <c r="W77" i="63"/>
  <c r="H77" i="63"/>
  <c r="W76" i="63"/>
  <c r="H76" i="63"/>
  <c r="W75" i="63"/>
  <c r="H75" i="63"/>
  <c r="W74" i="63"/>
  <c r="W73" i="63"/>
  <c r="W72" i="63"/>
  <c r="W71" i="63"/>
  <c r="W70" i="63"/>
  <c r="N70" i="63" s="1"/>
  <c r="P70" i="63"/>
  <c r="L70" i="63"/>
  <c r="L79" i="63" s="1"/>
  <c r="J13" i="62" s="1"/>
  <c r="K70" i="63"/>
  <c r="J70" i="63"/>
  <c r="H70" i="63"/>
  <c r="F70" i="63"/>
  <c r="AE69" i="63"/>
  <c r="I21" i="62" s="1"/>
  <c r="AD69" i="63"/>
  <c r="I20" i="62" s="1"/>
  <c r="AA69" i="63"/>
  <c r="Z69" i="63"/>
  <c r="M69" i="63"/>
  <c r="W68" i="63"/>
  <c r="H68" i="63"/>
  <c r="W67" i="63"/>
  <c r="W66" i="63"/>
  <c r="W65" i="63"/>
  <c r="W64" i="63"/>
  <c r="W63" i="63"/>
  <c r="AG62" i="63"/>
  <c r="AF62" i="63"/>
  <c r="W62" i="63"/>
  <c r="W61" i="63"/>
  <c r="N61" i="63" s="1"/>
  <c r="V61" i="63"/>
  <c r="P61" i="63"/>
  <c r="K61" i="63"/>
  <c r="J61" i="63"/>
  <c r="L61" i="63" s="1"/>
  <c r="F61" i="63"/>
  <c r="H61" i="63" s="1"/>
  <c r="W60" i="63"/>
  <c r="V60" i="63"/>
  <c r="P60" i="63"/>
  <c r="O60" i="63"/>
  <c r="N60" i="63"/>
  <c r="L60" i="63"/>
  <c r="K60" i="63"/>
  <c r="AG60" i="63" s="1"/>
  <c r="J60" i="63"/>
  <c r="H60" i="63"/>
  <c r="F60" i="63"/>
  <c r="W59" i="63"/>
  <c r="N59" i="63" s="1"/>
  <c r="P59" i="63"/>
  <c r="K59" i="63"/>
  <c r="L59" i="63" s="1"/>
  <c r="J59" i="63"/>
  <c r="F59" i="63"/>
  <c r="H59" i="63" s="1"/>
  <c r="AE58" i="63"/>
  <c r="AD58" i="63"/>
  <c r="H20" i="62" s="1"/>
  <c r="AA58" i="63"/>
  <c r="H19" i="62" s="1"/>
  <c r="Z58" i="63"/>
  <c r="M58" i="63"/>
  <c r="W57" i="63"/>
  <c r="W56" i="63"/>
  <c r="W55" i="63"/>
  <c r="W54" i="63"/>
  <c r="AG53" i="63"/>
  <c r="AF53" i="63"/>
  <c r="W53" i="63"/>
  <c r="W52" i="63"/>
  <c r="V52" i="63"/>
  <c r="P52" i="63"/>
  <c r="O52" i="63"/>
  <c r="N52" i="63"/>
  <c r="L52" i="63"/>
  <c r="Q52" i="63" s="1"/>
  <c r="K52" i="63"/>
  <c r="AF52" i="63" s="1"/>
  <c r="J52" i="63"/>
  <c r="F52" i="63"/>
  <c r="H52" i="63" s="1"/>
  <c r="W51" i="63"/>
  <c r="V51" i="63"/>
  <c r="P51" i="63"/>
  <c r="N51" i="63"/>
  <c r="K51" i="63"/>
  <c r="L51" i="63" s="1"/>
  <c r="J51" i="63"/>
  <c r="F51" i="63"/>
  <c r="H51" i="63" s="1"/>
  <c r="W50" i="63"/>
  <c r="N50" i="63" s="1"/>
  <c r="O50" i="63" s="1"/>
  <c r="V50" i="63"/>
  <c r="P50" i="63"/>
  <c r="K50" i="63"/>
  <c r="J50" i="63"/>
  <c r="H50" i="63"/>
  <c r="F50" i="63"/>
  <c r="W49" i="63"/>
  <c r="N49" i="63" s="1"/>
  <c r="P49" i="63"/>
  <c r="O49" i="63"/>
  <c r="K49" i="63"/>
  <c r="J49" i="63"/>
  <c r="J58" i="63" s="1"/>
  <c r="F49" i="63"/>
  <c r="H49" i="63" s="1"/>
  <c r="AE48" i="63"/>
  <c r="AD48" i="63"/>
  <c r="AA48" i="63"/>
  <c r="AA2" i="63" s="1"/>
  <c r="M6" i="62" s="1"/>
  <c r="Z48" i="63"/>
  <c r="W48" i="63"/>
  <c r="M48" i="63"/>
  <c r="W47" i="63"/>
  <c r="H47" i="63"/>
  <c r="W46" i="63"/>
  <c r="W45" i="63"/>
  <c r="W44" i="63"/>
  <c r="W43" i="63"/>
  <c r="W42" i="63"/>
  <c r="AG41" i="63"/>
  <c r="AF41" i="63"/>
  <c r="W41" i="63"/>
  <c r="AG40" i="63"/>
  <c r="AF40" i="63"/>
  <c r="W40" i="63"/>
  <c r="W39" i="63"/>
  <c r="N39" i="63" s="1"/>
  <c r="V39" i="63"/>
  <c r="P39" i="63"/>
  <c r="K39" i="63"/>
  <c r="L39" i="63" s="1"/>
  <c r="J39" i="63"/>
  <c r="H39" i="63"/>
  <c r="F39" i="63"/>
  <c r="W38" i="63"/>
  <c r="N38" i="63" s="1"/>
  <c r="L38" i="63"/>
  <c r="K38" i="63"/>
  <c r="K48" i="63" s="1"/>
  <c r="J38" i="63"/>
  <c r="H38" i="63"/>
  <c r="F38" i="63"/>
  <c r="AE37" i="63"/>
  <c r="F21" i="62" s="1"/>
  <c r="AD37" i="63"/>
  <c r="AA37" i="63"/>
  <c r="Z37" i="63"/>
  <c r="M37" i="63"/>
  <c r="W36" i="63"/>
  <c r="H36" i="63"/>
  <c r="W35" i="63"/>
  <c r="W34" i="63"/>
  <c r="W33" i="63"/>
  <c r="W32" i="63"/>
  <c r="W31" i="63"/>
  <c r="N31" i="63" s="1"/>
  <c r="V31" i="63"/>
  <c r="L31" i="63"/>
  <c r="K31" i="63"/>
  <c r="K37" i="63" s="1"/>
  <c r="J31" i="63"/>
  <c r="P31" i="63" s="1"/>
  <c r="H31" i="63"/>
  <c r="F31" i="63"/>
  <c r="AG30" i="63"/>
  <c r="W30" i="63"/>
  <c r="N30" i="63" s="1"/>
  <c r="O30" i="63" s="1"/>
  <c r="V30" i="63"/>
  <c r="K30" i="63"/>
  <c r="J30" i="63"/>
  <c r="P30" i="63" s="1"/>
  <c r="H30" i="63"/>
  <c r="F30" i="63"/>
  <c r="W29" i="63"/>
  <c r="N29" i="63" s="1"/>
  <c r="V29" i="63"/>
  <c r="P29" i="63"/>
  <c r="K29" i="63"/>
  <c r="L29" i="63" s="1"/>
  <c r="J29" i="63"/>
  <c r="F29" i="63"/>
  <c r="H29" i="63" s="1"/>
  <c r="AG28" i="63"/>
  <c r="W28" i="63"/>
  <c r="V28" i="63"/>
  <c r="O28" i="63"/>
  <c r="N28" i="63"/>
  <c r="AF28" i="63" s="1"/>
  <c r="L28" i="63"/>
  <c r="K28" i="63"/>
  <c r="J28" i="63"/>
  <c r="P28" i="63" s="1"/>
  <c r="H28" i="63"/>
  <c r="F28" i="63"/>
  <c r="W27" i="63"/>
  <c r="N27" i="63" s="1"/>
  <c r="P27" i="63"/>
  <c r="L27" i="63"/>
  <c r="J27" i="63"/>
  <c r="F27" i="63"/>
  <c r="H27" i="63" s="1"/>
  <c r="AE26" i="63"/>
  <c r="AD26" i="63"/>
  <c r="AA26" i="63"/>
  <c r="Z26" i="63"/>
  <c r="M26" i="63"/>
  <c r="W25" i="63"/>
  <c r="H25" i="63"/>
  <c r="W24" i="63"/>
  <c r="H24" i="63"/>
  <c r="W23" i="63"/>
  <c r="W21" i="63"/>
  <c r="W20" i="63"/>
  <c r="W19" i="63"/>
  <c r="V19" i="63"/>
  <c r="P19" i="63"/>
  <c r="N19" i="63"/>
  <c r="K19" i="63"/>
  <c r="J19" i="63"/>
  <c r="F19" i="63"/>
  <c r="H19" i="63" s="1"/>
  <c r="AG18" i="63"/>
  <c r="W18" i="63"/>
  <c r="N18" i="63" s="1"/>
  <c r="V18" i="63"/>
  <c r="K18" i="63"/>
  <c r="J18" i="63"/>
  <c r="F18" i="63"/>
  <c r="H18" i="63" s="1"/>
  <c r="W17" i="63"/>
  <c r="N17" i="63" s="1"/>
  <c r="V17" i="63"/>
  <c r="K17" i="63"/>
  <c r="J17" i="63"/>
  <c r="F17" i="63"/>
  <c r="H17" i="63" s="1"/>
  <c r="W16" i="63"/>
  <c r="N16" i="63" s="1"/>
  <c r="P16" i="63"/>
  <c r="L16" i="63"/>
  <c r="K16" i="63"/>
  <c r="F16" i="63"/>
  <c r="H16" i="63" s="1"/>
  <c r="AE15" i="63"/>
  <c r="AD15" i="63"/>
  <c r="AA15" i="63"/>
  <c r="Z15" i="63"/>
  <c r="M15" i="63"/>
  <c r="W14" i="63"/>
  <c r="W13" i="63"/>
  <c r="W12" i="63"/>
  <c r="AG11" i="63"/>
  <c r="AF11" i="63"/>
  <c r="W11" i="63"/>
  <c r="W10" i="63"/>
  <c r="N10" i="63" s="1"/>
  <c r="V10" i="63"/>
  <c r="L10" i="63"/>
  <c r="K10" i="63"/>
  <c r="J10" i="63"/>
  <c r="P10" i="63" s="1"/>
  <c r="F10" i="63"/>
  <c r="H10" i="63" s="1"/>
  <c r="W9" i="63"/>
  <c r="V9" i="63"/>
  <c r="P9" i="63"/>
  <c r="O9" i="63"/>
  <c r="N9" i="63"/>
  <c r="K9" i="63"/>
  <c r="K15" i="63" s="1"/>
  <c r="H9" i="63"/>
  <c r="F9" i="63"/>
  <c r="W8" i="63"/>
  <c r="V8" i="63"/>
  <c r="P8" i="63"/>
  <c r="O8" i="63"/>
  <c r="N8" i="63"/>
  <c r="L8" i="63"/>
  <c r="K8" i="63"/>
  <c r="H8" i="63"/>
  <c r="F8" i="63"/>
  <c r="AG7" i="63"/>
  <c r="W7" i="63"/>
  <c r="V7" i="63"/>
  <c r="P7" i="63"/>
  <c r="N7" i="63"/>
  <c r="L7" i="63"/>
  <c r="K7" i="63"/>
  <c r="J7" i="63"/>
  <c r="F7" i="63"/>
  <c r="H7" i="63" s="1"/>
  <c r="W6" i="63"/>
  <c r="N6" i="63" s="1"/>
  <c r="V6" i="63"/>
  <c r="P6" i="63"/>
  <c r="L6" i="63"/>
  <c r="K6" i="63"/>
  <c r="F6" i="63"/>
  <c r="H6" i="63" s="1"/>
  <c r="AF5" i="63"/>
  <c r="W5" i="63"/>
  <c r="R5" i="63"/>
  <c r="Q5" i="63"/>
  <c r="P5" i="63"/>
  <c r="O5" i="63"/>
  <c r="N5" i="63"/>
  <c r="K5" i="63"/>
  <c r="L5" i="63" s="1"/>
  <c r="F5" i="63"/>
  <c r="H5" i="63" s="1"/>
  <c r="AD2" i="63"/>
  <c r="N6" i="62" s="1"/>
  <c r="Z2" i="63"/>
  <c r="L6" i="62" s="1"/>
  <c r="I2" i="63"/>
  <c r="I1" i="63"/>
  <c r="E1" i="63"/>
  <c r="J22" i="62"/>
  <c r="I22" i="62"/>
  <c r="G22" i="62"/>
  <c r="E22" i="62"/>
  <c r="D22" i="62"/>
  <c r="H21" i="62"/>
  <c r="G21" i="62"/>
  <c r="E21" i="62"/>
  <c r="D21" i="62"/>
  <c r="G20" i="62"/>
  <c r="F20" i="62"/>
  <c r="E20" i="62"/>
  <c r="D20" i="62"/>
  <c r="J19" i="62"/>
  <c r="I19" i="62"/>
  <c r="G19" i="62"/>
  <c r="F19" i="62"/>
  <c r="E19" i="62"/>
  <c r="D19" i="62"/>
  <c r="J18" i="62"/>
  <c r="I18" i="62"/>
  <c r="H18" i="62"/>
  <c r="G18" i="62"/>
  <c r="F18" i="62"/>
  <c r="E18" i="62"/>
  <c r="D18" i="62"/>
  <c r="J16" i="62"/>
  <c r="I16" i="62"/>
  <c r="H16" i="62"/>
  <c r="G16" i="62"/>
  <c r="F16" i="62"/>
  <c r="E16" i="62"/>
  <c r="D16" i="62"/>
  <c r="G3" i="62"/>
  <c r="D3" i="62"/>
  <c r="AE79" i="61"/>
  <c r="J21" i="60" s="1"/>
  <c r="AD79" i="61"/>
  <c r="AA79" i="61"/>
  <c r="Z79" i="61"/>
  <c r="M79" i="61"/>
  <c r="K79" i="61"/>
  <c r="W78" i="61"/>
  <c r="H78" i="61"/>
  <c r="W77" i="61"/>
  <c r="H77" i="61"/>
  <c r="W76" i="61"/>
  <c r="H76" i="61"/>
  <c r="W75" i="61"/>
  <c r="H75" i="61"/>
  <c r="W74" i="61"/>
  <c r="W73" i="61"/>
  <c r="W72" i="61"/>
  <c r="W71" i="61"/>
  <c r="W70" i="61"/>
  <c r="N70" i="61" s="1"/>
  <c r="P70" i="61"/>
  <c r="O70" i="61"/>
  <c r="K70" i="61"/>
  <c r="J70" i="61"/>
  <c r="J79" i="61" s="1"/>
  <c r="P79" i="61" s="1"/>
  <c r="F70" i="61"/>
  <c r="H70" i="61" s="1"/>
  <c r="AE69" i="61"/>
  <c r="AD69" i="61"/>
  <c r="AA69" i="61"/>
  <c r="Z69" i="61"/>
  <c r="M69" i="61"/>
  <c r="W68" i="61"/>
  <c r="H68" i="61"/>
  <c r="W67" i="61"/>
  <c r="W66" i="61"/>
  <c r="W65" i="61"/>
  <c r="W64" i="61"/>
  <c r="W63" i="61"/>
  <c r="N63" i="61" s="1"/>
  <c r="V63" i="61"/>
  <c r="O63" i="61"/>
  <c r="L63" i="61"/>
  <c r="K63" i="61"/>
  <c r="J63" i="61"/>
  <c r="P63" i="61" s="1"/>
  <c r="H63" i="61"/>
  <c r="F63" i="61"/>
  <c r="W62" i="61"/>
  <c r="V62" i="61"/>
  <c r="R62" i="61"/>
  <c r="O62" i="61"/>
  <c r="N62" i="61"/>
  <c r="L62" i="61"/>
  <c r="K62" i="61"/>
  <c r="AG62" i="61" s="1"/>
  <c r="J62" i="61"/>
  <c r="P62" i="61" s="1"/>
  <c r="H62" i="61"/>
  <c r="F62" i="61"/>
  <c r="W61" i="61"/>
  <c r="N61" i="61" s="1"/>
  <c r="V61" i="61"/>
  <c r="P61" i="61"/>
  <c r="K61" i="61"/>
  <c r="J61" i="61"/>
  <c r="F61" i="61"/>
  <c r="H61" i="61" s="1"/>
  <c r="W60" i="61"/>
  <c r="V60" i="61"/>
  <c r="N60" i="61"/>
  <c r="K60" i="61"/>
  <c r="K69" i="61" s="1"/>
  <c r="J60" i="61"/>
  <c r="H60" i="61"/>
  <c r="F60" i="61"/>
  <c r="AG59" i="61"/>
  <c r="AF59" i="61"/>
  <c r="W59" i="61"/>
  <c r="N59" i="61" s="1"/>
  <c r="P59" i="61"/>
  <c r="K59" i="61"/>
  <c r="L59" i="61" s="1"/>
  <c r="J59" i="61"/>
  <c r="F59" i="61"/>
  <c r="H59" i="61" s="1"/>
  <c r="AE58" i="61"/>
  <c r="AD58" i="61"/>
  <c r="H20" i="60" s="1"/>
  <c r="AA58" i="61"/>
  <c r="Z58" i="61"/>
  <c r="M58" i="61"/>
  <c r="H22" i="60" s="1"/>
  <c r="J58" i="61"/>
  <c r="P58" i="61" s="1"/>
  <c r="W57" i="61"/>
  <c r="W56" i="61"/>
  <c r="W55" i="61"/>
  <c r="W54" i="61"/>
  <c r="AG53" i="61"/>
  <c r="AF53" i="61"/>
  <c r="W53" i="61"/>
  <c r="W52" i="61"/>
  <c r="N52" i="61" s="1"/>
  <c r="V52" i="61"/>
  <c r="P52" i="61"/>
  <c r="K52" i="61"/>
  <c r="L52" i="61" s="1"/>
  <c r="J52" i="61"/>
  <c r="F52" i="61"/>
  <c r="H52" i="61" s="1"/>
  <c r="AF51" i="61"/>
  <c r="W51" i="61"/>
  <c r="N51" i="61" s="1"/>
  <c r="V51" i="61"/>
  <c r="P51" i="61"/>
  <c r="K51" i="61"/>
  <c r="L51" i="61" s="1"/>
  <c r="J51" i="61"/>
  <c r="F51" i="61"/>
  <c r="H51" i="61" s="1"/>
  <c r="W50" i="61"/>
  <c r="V50" i="61"/>
  <c r="P50" i="61"/>
  <c r="N50" i="61"/>
  <c r="L50" i="61"/>
  <c r="K50" i="61"/>
  <c r="J50" i="61"/>
  <c r="F50" i="61"/>
  <c r="H50" i="61" s="1"/>
  <c r="AG49" i="61"/>
  <c r="AF49" i="61"/>
  <c r="W49" i="61"/>
  <c r="P49" i="61"/>
  <c r="O49" i="61"/>
  <c r="N49" i="61"/>
  <c r="L49" i="61"/>
  <c r="L58" i="61" s="1"/>
  <c r="H13" i="60" s="1"/>
  <c r="K49" i="61"/>
  <c r="J49" i="61"/>
  <c r="F49" i="61"/>
  <c r="H49" i="61" s="1"/>
  <c r="AE48" i="61"/>
  <c r="AD48" i="61"/>
  <c r="AA48" i="61"/>
  <c r="G19" i="60" s="1"/>
  <c r="Z48" i="61"/>
  <c r="W48" i="61"/>
  <c r="M48" i="61"/>
  <c r="W47" i="61"/>
  <c r="H47" i="61"/>
  <c r="W46" i="61"/>
  <c r="W45" i="61"/>
  <c r="W44" i="61"/>
  <c r="W43" i="61"/>
  <c r="W42" i="61"/>
  <c r="AG41" i="61"/>
  <c r="AF41" i="61"/>
  <c r="W41" i="61"/>
  <c r="AG40" i="61"/>
  <c r="AF40" i="61"/>
  <c r="W40" i="61"/>
  <c r="AF39" i="61"/>
  <c r="W39" i="61"/>
  <c r="V39" i="61"/>
  <c r="P39" i="61"/>
  <c r="O39" i="61"/>
  <c r="Q39" i="61" s="1"/>
  <c r="N39" i="61"/>
  <c r="AG39" i="61" s="1"/>
  <c r="K39" i="61"/>
  <c r="L39" i="61" s="1"/>
  <c r="J39" i="61"/>
  <c r="F39" i="61"/>
  <c r="H39" i="61" s="1"/>
  <c r="W38" i="61"/>
  <c r="N38" i="61" s="1"/>
  <c r="P38" i="61"/>
  <c r="L38" i="61"/>
  <c r="L48" i="61" s="1"/>
  <c r="K38" i="61"/>
  <c r="J38" i="61"/>
  <c r="J48" i="61" s="1"/>
  <c r="F38" i="61"/>
  <c r="H38" i="61" s="1"/>
  <c r="AE37" i="61"/>
  <c r="AD37" i="61"/>
  <c r="AA37" i="61"/>
  <c r="F19" i="60" s="1"/>
  <c r="Z37" i="61"/>
  <c r="F18" i="60" s="1"/>
  <c r="M37" i="61"/>
  <c r="F22" i="60" s="1"/>
  <c r="W36" i="61"/>
  <c r="H36" i="61"/>
  <c r="W35" i="61"/>
  <c r="W34" i="61"/>
  <c r="W33" i="61"/>
  <c r="W32" i="61"/>
  <c r="AG31" i="61"/>
  <c r="AF31" i="61"/>
  <c r="W31" i="61"/>
  <c r="W30" i="61"/>
  <c r="V30" i="61"/>
  <c r="O30" i="61"/>
  <c r="N30" i="61"/>
  <c r="K30" i="61"/>
  <c r="L30" i="61" s="1"/>
  <c r="R30" i="61" s="1"/>
  <c r="J30" i="61"/>
  <c r="H30" i="61"/>
  <c r="F30" i="61"/>
  <c r="W29" i="61"/>
  <c r="N29" i="61" s="1"/>
  <c r="V29" i="61"/>
  <c r="P29" i="61"/>
  <c r="L29" i="61"/>
  <c r="K29" i="61"/>
  <c r="J29" i="61"/>
  <c r="F29" i="61"/>
  <c r="H29" i="61" s="1"/>
  <c r="W28" i="61"/>
  <c r="V28" i="61"/>
  <c r="P28" i="61"/>
  <c r="N28" i="61"/>
  <c r="O28" i="61" s="1"/>
  <c r="K28" i="61"/>
  <c r="J28" i="61"/>
  <c r="F28" i="61"/>
  <c r="H28" i="61" s="1"/>
  <c r="AF27" i="61"/>
  <c r="W27" i="61"/>
  <c r="N27" i="61"/>
  <c r="L27" i="61"/>
  <c r="J27" i="61"/>
  <c r="P27" i="61" s="1"/>
  <c r="F27" i="61"/>
  <c r="H27" i="61" s="1"/>
  <c r="AE26" i="61"/>
  <c r="AD26" i="61"/>
  <c r="AA26" i="61"/>
  <c r="E19" i="60" s="1"/>
  <c r="Z26" i="61"/>
  <c r="M26" i="61"/>
  <c r="K26" i="61"/>
  <c r="J26" i="61"/>
  <c r="P26" i="61" s="1"/>
  <c r="W25" i="61"/>
  <c r="H25" i="61"/>
  <c r="W24" i="61"/>
  <c r="H24" i="61"/>
  <c r="W23" i="61"/>
  <c r="W21" i="61"/>
  <c r="W20" i="61"/>
  <c r="AG19" i="61"/>
  <c r="AF19" i="61"/>
  <c r="W19" i="61"/>
  <c r="AG18" i="61"/>
  <c r="AF18" i="61"/>
  <c r="W18" i="61"/>
  <c r="N18" i="61" s="1"/>
  <c r="O18" i="61" s="1"/>
  <c r="V18" i="61"/>
  <c r="K18" i="61"/>
  <c r="J18" i="61"/>
  <c r="P18" i="61" s="1"/>
  <c r="F18" i="61"/>
  <c r="H18" i="61" s="1"/>
  <c r="AF17" i="61"/>
  <c r="W17" i="61"/>
  <c r="V17" i="61"/>
  <c r="R17" i="61"/>
  <c r="P17" i="61"/>
  <c r="N17" i="61"/>
  <c r="O17" i="61" s="1"/>
  <c r="Q17" i="61" s="1"/>
  <c r="K17" i="61"/>
  <c r="L17" i="61" s="1"/>
  <c r="J17" i="61"/>
  <c r="F17" i="61"/>
  <c r="H17" i="61" s="1"/>
  <c r="AF16" i="61"/>
  <c r="W16" i="61"/>
  <c r="P16" i="61"/>
  <c r="O16" i="61"/>
  <c r="N16" i="61"/>
  <c r="AG16" i="61" s="1"/>
  <c r="L16" i="61"/>
  <c r="K16" i="61"/>
  <c r="F16" i="61"/>
  <c r="H16" i="61" s="1"/>
  <c r="AE15" i="61"/>
  <c r="AD15" i="61"/>
  <c r="AA15" i="61"/>
  <c r="Z15" i="61"/>
  <c r="M15" i="61"/>
  <c r="W14" i="61"/>
  <c r="W13" i="61"/>
  <c r="W12" i="61"/>
  <c r="AG11" i="61"/>
  <c r="AF11" i="61"/>
  <c r="W11" i="61"/>
  <c r="AG10" i="61"/>
  <c r="AF10" i="61"/>
  <c r="W10" i="61"/>
  <c r="W9" i="61"/>
  <c r="N9" i="61" s="1"/>
  <c r="V9" i="61"/>
  <c r="P9" i="61"/>
  <c r="O9" i="61"/>
  <c r="L9" i="61"/>
  <c r="K9" i="61"/>
  <c r="J9" i="61"/>
  <c r="F9" i="61"/>
  <c r="H9" i="61" s="1"/>
  <c r="W8" i="61"/>
  <c r="N8" i="61" s="1"/>
  <c r="V8" i="61"/>
  <c r="P8" i="61"/>
  <c r="K8" i="61"/>
  <c r="F8" i="61"/>
  <c r="H8" i="61" s="1"/>
  <c r="W7" i="61"/>
  <c r="V7" i="61"/>
  <c r="N7" i="61"/>
  <c r="K7" i="61"/>
  <c r="J7" i="61"/>
  <c r="F7" i="61"/>
  <c r="H7" i="61" s="1"/>
  <c r="AF6" i="61"/>
  <c r="W6" i="61"/>
  <c r="V6" i="61"/>
  <c r="P6" i="61"/>
  <c r="N6" i="61"/>
  <c r="L6" i="61"/>
  <c r="K6" i="61"/>
  <c r="H6" i="61"/>
  <c r="F6" i="61"/>
  <c r="AF5" i="61"/>
  <c r="W5" i="61"/>
  <c r="N5" i="61" s="1"/>
  <c r="P5" i="61"/>
  <c r="L5" i="61"/>
  <c r="K5" i="61"/>
  <c r="F5" i="61"/>
  <c r="H5" i="61" s="1"/>
  <c r="I2" i="61"/>
  <c r="I1" i="61"/>
  <c r="E1" i="61"/>
  <c r="J22" i="60"/>
  <c r="I22" i="60"/>
  <c r="G22" i="60"/>
  <c r="E22" i="60"/>
  <c r="D22" i="60"/>
  <c r="I21" i="60"/>
  <c r="H21" i="60"/>
  <c r="G21" i="60"/>
  <c r="F21" i="60"/>
  <c r="E21" i="60"/>
  <c r="J20" i="60"/>
  <c r="I20" i="60"/>
  <c r="G20" i="60"/>
  <c r="F20" i="60"/>
  <c r="E20" i="60"/>
  <c r="D20" i="60"/>
  <c r="J19" i="60"/>
  <c r="I19" i="60"/>
  <c r="H19" i="60"/>
  <c r="J18" i="60"/>
  <c r="I18" i="60"/>
  <c r="H18" i="60"/>
  <c r="G18" i="60"/>
  <c r="E18" i="60"/>
  <c r="D18" i="60"/>
  <c r="J16" i="60"/>
  <c r="I16" i="60"/>
  <c r="H16" i="60"/>
  <c r="G16" i="60"/>
  <c r="F16" i="60"/>
  <c r="E16" i="60"/>
  <c r="D16" i="60"/>
  <c r="G13" i="60"/>
  <c r="G3" i="60"/>
  <c r="D3" i="60"/>
  <c r="AE79" i="59"/>
  <c r="J21" i="58" s="1"/>
  <c r="AD79" i="59"/>
  <c r="AA79" i="59"/>
  <c r="J18" i="58" s="1"/>
  <c r="Z79" i="59"/>
  <c r="M79" i="59"/>
  <c r="J79" i="59"/>
  <c r="W78" i="59"/>
  <c r="H78" i="59"/>
  <c r="W77" i="59"/>
  <c r="H77" i="59"/>
  <c r="W76" i="59"/>
  <c r="H76" i="59"/>
  <c r="W75" i="59"/>
  <c r="H75" i="59"/>
  <c r="W74" i="59"/>
  <c r="W73" i="59"/>
  <c r="W72" i="59"/>
  <c r="W71" i="59"/>
  <c r="AG70" i="59"/>
  <c r="AF70" i="59"/>
  <c r="W70" i="59"/>
  <c r="N70" i="59" s="1"/>
  <c r="N79" i="59" s="1"/>
  <c r="O70" i="59"/>
  <c r="K70" i="59"/>
  <c r="J70" i="59"/>
  <c r="P70" i="59" s="1"/>
  <c r="H70" i="59"/>
  <c r="F70" i="59"/>
  <c r="AE69" i="59"/>
  <c r="AD69" i="59"/>
  <c r="AA69" i="59"/>
  <c r="I19" i="58" s="1"/>
  <c r="Z69" i="59"/>
  <c r="M69" i="59"/>
  <c r="W68" i="59"/>
  <c r="H68" i="59"/>
  <c r="W67" i="59"/>
  <c r="W66" i="59"/>
  <c r="W65" i="59"/>
  <c r="W64" i="59"/>
  <c r="W63" i="59"/>
  <c r="W62" i="59"/>
  <c r="N62" i="59" s="1"/>
  <c r="V62" i="59"/>
  <c r="K62" i="59"/>
  <c r="J62" i="59"/>
  <c r="P62" i="59" s="1"/>
  <c r="F62" i="59"/>
  <c r="H62" i="59" s="1"/>
  <c r="W61" i="59"/>
  <c r="V61" i="59"/>
  <c r="P61" i="59"/>
  <c r="N61" i="59"/>
  <c r="K61" i="59"/>
  <c r="L61" i="59" s="1"/>
  <c r="J61" i="59"/>
  <c r="H61" i="59"/>
  <c r="F61" i="59"/>
  <c r="W60" i="59"/>
  <c r="V60" i="59"/>
  <c r="P60" i="59"/>
  <c r="N60" i="59"/>
  <c r="K60" i="59"/>
  <c r="J60" i="59"/>
  <c r="F60" i="59"/>
  <c r="H60" i="59" s="1"/>
  <c r="W59" i="59"/>
  <c r="R59" i="59"/>
  <c r="P59" i="59"/>
  <c r="O59" i="59"/>
  <c r="N59" i="59"/>
  <c r="K59" i="59"/>
  <c r="L59" i="59" s="1"/>
  <c r="J59" i="59"/>
  <c r="H59" i="59"/>
  <c r="F59" i="59"/>
  <c r="AE58" i="59"/>
  <c r="H21" i="58" s="1"/>
  <c r="AD58" i="59"/>
  <c r="H20" i="58" s="1"/>
  <c r="AA58" i="59"/>
  <c r="H19" i="58" s="1"/>
  <c r="Z58" i="59"/>
  <c r="M58" i="59"/>
  <c r="P58" i="59" s="1"/>
  <c r="J58" i="59"/>
  <c r="W57" i="59"/>
  <c r="W56" i="59"/>
  <c r="W55" i="59"/>
  <c r="W54" i="59"/>
  <c r="W53" i="59"/>
  <c r="V53" i="59"/>
  <c r="P53" i="59"/>
  <c r="N53" i="59"/>
  <c r="K53" i="59"/>
  <c r="L53" i="59" s="1"/>
  <c r="J53" i="59"/>
  <c r="F53" i="59"/>
  <c r="H53" i="59" s="1"/>
  <c r="AG52" i="59"/>
  <c r="W52" i="59"/>
  <c r="N52" i="59" s="1"/>
  <c r="AF52" i="59" s="1"/>
  <c r="V52" i="59"/>
  <c r="P52" i="59"/>
  <c r="O52" i="59"/>
  <c r="L52" i="59"/>
  <c r="K52" i="59"/>
  <c r="J52" i="59"/>
  <c r="H52" i="59"/>
  <c r="F52" i="59"/>
  <c r="W51" i="59"/>
  <c r="N51" i="59" s="1"/>
  <c r="V51" i="59"/>
  <c r="P51" i="59"/>
  <c r="K51" i="59"/>
  <c r="J51" i="59"/>
  <c r="H51" i="59"/>
  <c r="F51" i="59"/>
  <c r="W50" i="59"/>
  <c r="V50" i="59"/>
  <c r="N50" i="59"/>
  <c r="O50" i="59" s="1"/>
  <c r="K50" i="59"/>
  <c r="J50" i="59"/>
  <c r="P50" i="59" s="1"/>
  <c r="F50" i="59"/>
  <c r="H50" i="59" s="1"/>
  <c r="W49" i="59"/>
  <c r="N49" i="59" s="1"/>
  <c r="P49" i="59"/>
  <c r="K49" i="59"/>
  <c r="J49" i="59"/>
  <c r="F49" i="59"/>
  <c r="H49" i="59" s="1"/>
  <c r="AE48" i="59"/>
  <c r="AD48" i="59"/>
  <c r="AA48" i="59"/>
  <c r="G19" i="58" s="1"/>
  <c r="Z48" i="59"/>
  <c r="G18" i="58" s="1"/>
  <c r="W48" i="59"/>
  <c r="M48" i="59"/>
  <c r="P48" i="59" s="1"/>
  <c r="J48" i="59"/>
  <c r="W47" i="59"/>
  <c r="H47" i="59"/>
  <c r="W46" i="59"/>
  <c r="W45" i="59"/>
  <c r="W44" i="59"/>
  <c r="W43" i="59"/>
  <c r="W42" i="59"/>
  <c r="AG41" i="59"/>
  <c r="AF41" i="59"/>
  <c r="W41" i="59"/>
  <c r="W40" i="59"/>
  <c r="V40" i="59"/>
  <c r="P40" i="59"/>
  <c r="O40" i="59"/>
  <c r="N40" i="59"/>
  <c r="L40" i="59"/>
  <c r="K40" i="59"/>
  <c r="J40" i="59"/>
  <c r="F40" i="59"/>
  <c r="H40" i="59" s="1"/>
  <c r="W39" i="59"/>
  <c r="V39" i="59"/>
  <c r="P39" i="59"/>
  <c r="N39" i="59"/>
  <c r="K39" i="59"/>
  <c r="L39" i="59" s="1"/>
  <c r="H39" i="59"/>
  <c r="F39" i="59"/>
  <c r="W38" i="59"/>
  <c r="N38" i="59" s="1"/>
  <c r="P38" i="59"/>
  <c r="L38" i="59"/>
  <c r="K38" i="59"/>
  <c r="K48" i="59" s="1"/>
  <c r="J38" i="59"/>
  <c r="F38" i="59"/>
  <c r="H38" i="59" s="1"/>
  <c r="AE37" i="59"/>
  <c r="F21" i="58" s="1"/>
  <c r="AD37" i="59"/>
  <c r="AA37" i="59"/>
  <c r="F19" i="58" s="1"/>
  <c r="Z37" i="59"/>
  <c r="M37" i="59"/>
  <c r="F22" i="58" s="1"/>
  <c r="K37" i="59"/>
  <c r="W36" i="59"/>
  <c r="H36" i="59"/>
  <c r="W35" i="59"/>
  <c r="W34" i="59"/>
  <c r="W33" i="59"/>
  <c r="W32" i="59"/>
  <c r="N32" i="59" s="1"/>
  <c r="O32" i="59" s="1"/>
  <c r="R32" i="59" s="1"/>
  <c r="V32" i="59"/>
  <c r="P32" i="59"/>
  <c r="L32" i="59"/>
  <c r="K32" i="59"/>
  <c r="J32" i="59"/>
  <c r="F32" i="59"/>
  <c r="H32" i="59" s="1"/>
  <c r="AG31" i="59"/>
  <c r="W31" i="59"/>
  <c r="V31" i="59"/>
  <c r="O31" i="59"/>
  <c r="N31" i="59"/>
  <c r="AF31" i="59" s="1"/>
  <c r="K31" i="59"/>
  <c r="J31" i="59"/>
  <c r="H31" i="59"/>
  <c r="F31" i="59"/>
  <c r="W30" i="59"/>
  <c r="N30" i="59" s="1"/>
  <c r="V30" i="59"/>
  <c r="L30" i="59"/>
  <c r="K30" i="59"/>
  <c r="J30" i="59"/>
  <c r="P30" i="59" s="1"/>
  <c r="F30" i="59"/>
  <c r="H30" i="59" s="1"/>
  <c r="W29" i="59"/>
  <c r="V29" i="59"/>
  <c r="N29" i="59"/>
  <c r="K29" i="59"/>
  <c r="J29" i="59"/>
  <c r="P29" i="59" s="1"/>
  <c r="F29" i="59"/>
  <c r="H29" i="59" s="1"/>
  <c r="AG28" i="59"/>
  <c r="W28" i="59"/>
  <c r="V28" i="59"/>
  <c r="P28" i="59"/>
  <c r="N28" i="59"/>
  <c r="K28" i="59"/>
  <c r="J28" i="59"/>
  <c r="L28" i="59" s="1"/>
  <c r="F28" i="59"/>
  <c r="H28" i="59" s="1"/>
  <c r="AG27" i="59"/>
  <c r="W27" i="59"/>
  <c r="N27" i="59" s="1"/>
  <c r="L27" i="59"/>
  <c r="J27" i="59"/>
  <c r="F27" i="59"/>
  <c r="H27" i="59" s="1"/>
  <c r="AE26" i="59"/>
  <c r="AD26" i="59"/>
  <c r="AA26" i="59"/>
  <c r="Z26" i="59"/>
  <c r="M26" i="59"/>
  <c r="K26" i="59"/>
  <c r="W25" i="59"/>
  <c r="H25" i="59"/>
  <c r="W24" i="59"/>
  <c r="H24" i="59"/>
  <c r="W23" i="59"/>
  <c r="W21" i="59"/>
  <c r="W20" i="59"/>
  <c r="W19" i="59"/>
  <c r="N19" i="59" s="1"/>
  <c r="V19" i="59"/>
  <c r="P19" i="59"/>
  <c r="L19" i="59"/>
  <c r="K19" i="59"/>
  <c r="J19" i="59"/>
  <c r="F19" i="59"/>
  <c r="H19" i="59" s="1"/>
  <c r="W18" i="59"/>
  <c r="V18" i="59"/>
  <c r="N18" i="59"/>
  <c r="K18" i="59"/>
  <c r="J18" i="59"/>
  <c r="H18" i="59"/>
  <c r="F18" i="59"/>
  <c r="W17" i="59"/>
  <c r="N17" i="59" s="1"/>
  <c r="V17" i="59"/>
  <c r="P17" i="59"/>
  <c r="O17" i="59"/>
  <c r="K17" i="59"/>
  <c r="J17" i="59"/>
  <c r="H17" i="59"/>
  <c r="F17" i="59"/>
  <c r="W16" i="59"/>
  <c r="O16" i="59"/>
  <c r="N16" i="59"/>
  <c r="L16" i="59"/>
  <c r="K16" i="59"/>
  <c r="J16" i="59"/>
  <c r="P16" i="59" s="1"/>
  <c r="H16" i="59"/>
  <c r="F16" i="59"/>
  <c r="AE15" i="59"/>
  <c r="AE2" i="59" s="1"/>
  <c r="O6" i="58" s="1"/>
  <c r="AD15" i="59"/>
  <c r="AA15" i="59"/>
  <c r="Z15" i="59"/>
  <c r="Z2" i="59" s="1"/>
  <c r="L6" i="58" s="1"/>
  <c r="M15" i="59"/>
  <c r="P15" i="59" s="1"/>
  <c r="K15" i="59"/>
  <c r="J15" i="59"/>
  <c r="W14" i="59"/>
  <c r="W13" i="59"/>
  <c r="W12" i="59"/>
  <c r="AG11" i="59"/>
  <c r="AF11" i="59"/>
  <c r="W11" i="59"/>
  <c r="AG10" i="59"/>
  <c r="W10" i="59"/>
  <c r="V10" i="59"/>
  <c r="O10" i="59"/>
  <c r="R10" i="59" s="1"/>
  <c r="N10" i="59"/>
  <c r="L10" i="59"/>
  <c r="K10" i="59"/>
  <c r="J10" i="59"/>
  <c r="P10" i="59" s="1"/>
  <c r="H10" i="59"/>
  <c r="F10" i="59"/>
  <c r="W9" i="59"/>
  <c r="N9" i="59" s="1"/>
  <c r="V9" i="59"/>
  <c r="P9" i="59"/>
  <c r="K9" i="59"/>
  <c r="L9" i="59" s="1"/>
  <c r="H9" i="59"/>
  <c r="F9" i="59"/>
  <c r="AG8" i="59"/>
  <c r="AF8" i="59"/>
  <c r="W8" i="59"/>
  <c r="N8" i="59" s="1"/>
  <c r="V8" i="59"/>
  <c r="R8" i="59"/>
  <c r="Q8" i="59"/>
  <c r="P8" i="59"/>
  <c r="O8" i="59"/>
  <c r="L8" i="59"/>
  <c r="K8" i="59"/>
  <c r="F8" i="59"/>
  <c r="H8" i="59" s="1"/>
  <c r="W7" i="59"/>
  <c r="V7" i="59"/>
  <c r="P7" i="59"/>
  <c r="N7" i="59"/>
  <c r="K7" i="59"/>
  <c r="J7" i="59"/>
  <c r="L7" i="59" s="1"/>
  <c r="H7" i="59"/>
  <c r="F7" i="59"/>
  <c r="W6" i="59"/>
  <c r="N6" i="59" s="1"/>
  <c r="V6" i="59"/>
  <c r="P6" i="59"/>
  <c r="L6" i="59"/>
  <c r="K6" i="59"/>
  <c r="H6" i="59"/>
  <c r="F6" i="59"/>
  <c r="W5" i="59"/>
  <c r="P5" i="59"/>
  <c r="N5" i="59"/>
  <c r="L5" i="59"/>
  <c r="L15" i="59" s="1"/>
  <c r="D13" i="58" s="1"/>
  <c r="K5" i="59"/>
  <c r="H5" i="59"/>
  <c r="F5" i="59"/>
  <c r="I2" i="59"/>
  <c r="I1" i="59"/>
  <c r="E1" i="59"/>
  <c r="J22" i="58"/>
  <c r="I22" i="58"/>
  <c r="H22" i="58"/>
  <c r="G22" i="58"/>
  <c r="D22" i="58"/>
  <c r="I21" i="58"/>
  <c r="G21" i="58"/>
  <c r="E21" i="58"/>
  <c r="D21" i="58"/>
  <c r="J20" i="58"/>
  <c r="I20" i="58"/>
  <c r="G20" i="58"/>
  <c r="E20" i="58"/>
  <c r="D20" i="58"/>
  <c r="J19" i="58"/>
  <c r="E19" i="58"/>
  <c r="D19" i="58"/>
  <c r="I18" i="58"/>
  <c r="H18" i="58"/>
  <c r="F18" i="58"/>
  <c r="E18" i="58"/>
  <c r="D18" i="58"/>
  <c r="J16" i="58"/>
  <c r="I16" i="58"/>
  <c r="H16" i="58"/>
  <c r="G16" i="58"/>
  <c r="F16" i="58"/>
  <c r="E16" i="58"/>
  <c r="D16" i="58"/>
  <c r="G3" i="58"/>
  <c r="D3" i="58"/>
  <c r="AE79" i="57"/>
  <c r="AD79" i="57"/>
  <c r="J20" i="56" s="1"/>
  <c r="AA79" i="57"/>
  <c r="Z79" i="57"/>
  <c r="M79" i="57"/>
  <c r="K79" i="57"/>
  <c r="W78" i="57"/>
  <c r="H78" i="57"/>
  <c r="W77" i="57"/>
  <c r="H77" i="57"/>
  <c r="W76" i="57"/>
  <c r="H76" i="57"/>
  <c r="W75" i="57"/>
  <c r="H75" i="57"/>
  <c r="W74" i="57"/>
  <c r="W73" i="57"/>
  <c r="W72" i="57"/>
  <c r="W71" i="57"/>
  <c r="W70" i="57"/>
  <c r="N70" i="57" s="1"/>
  <c r="K70" i="57"/>
  <c r="J70" i="57"/>
  <c r="J79" i="57" s="1"/>
  <c r="P79" i="57" s="1"/>
  <c r="F70" i="57"/>
  <c r="H70" i="57" s="1"/>
  <c r="AE69" i="57"/>
  <c r="AD69" i="57"/>
  <c r="AA69" i="57"/>
  <c r="Z69" i="57"/>
  <c r="M69" i="57"/>
  <c r="W68" i="57"/>
  <c r="H68" i="57"/>
  <c r="W67" i="57"/>
  <c r="W66" i="57"/>
  <c r="W65" i="57"/>
  <c r="W64" i="57"/>
  <c r="W63" i="57"/>
  <c r="N63" i="57" s="1"/>
  <c r="V63" i="57"/>
  <c r="O63" i="57"/>
  <c r="K63" i="57"/>
  <c r="J63" i="57"/>
  <c r="H63" i="57"/>
  <c r="F63" i="57"/>
  <c r="W62" i="57"/>
  <c r="N62" i="57" s="1"/>
  <c r="V62" i="57"/>
  <c r="O62" i="57"/>
  <c r="K62" i="57"/>
  <c r="AG62" i="57" s="1"/>
  <c r="J62" i="57"/>
  <c r="P62" i="57" s="1"/>
  <c r="H62" i="57"/>
  <c r="F62" i="57"/>
  <c r="W61" i="57"/>
  <c r="V61" i="57"/>
  <c r="P61" i="57"/>
  <c r="N61" i="57"/>
  <c r="L61" i="57"/>
  <c r="K61" i="57"/>
  <c r="J61" i="57"/>
  <c r="H61" i="57"/>
  <c r="F61" i="57"/>
  <c r="W60" i="57"/>
  <c r="V60" i="57"/>
  <c r="O60" i="57"/>
  <c r="N60" i="57"/>
  <c r="K60" i="57"/>
  <c r="J60" i="57"/>
  <c r="H60" i="57"/>
  <c r="F60" i="57"/>
  <c r="W59" i="57"/>
  <c r="P59" i="57"/>
  <c r="O59" i="57"/>
  <c r="N59" i="57"/>
  <c r="L59" i="57"/>
  <c r="K59" i="57"/>
  <c r="J59" i="57"/>
  <c r="H59" i="57"/>
  <c r="F59" i="57"/>
  <c r="AE58" i="57"/>
  <c r="H21" i="56" s="1"/>
  <c r="AD58" i="57"/>
  <c r="AA58" i="57"/>
  <c r="Z58" i="57"/>
  <c r="M58" i="57"/>
  <c r="W57" i="57"/>
  <c r="W56" i="57"/>
  <c r="W55" i="57"/>
  <c r="W54" i="57"/>
  <c r="AF53" i="57"/>
  <c r="W53" i="57"/>
  <c r="V53" i="57"/>
  <c r="N53" i="57"/>
  <c r="K53" i="57"/>
  <c r="L53" i="57" s="1"/>
  <c r="J53" i="57"/>
  <c r="P53" i="57" s="1"/>
  <c r="F53" i="57"/>
  <c r="H53" i="57" s="1"/>
  <c r="AF52" i="57"/>
  <c r="W52" i="57"/>
  <c r="N52" i="57" s="1"/>
  <c r="V52" i="57"/>
  <c r="K52" i="57"/>
  <c r="J52" i="57"/>
  <c r="P52" i="57" s="1"/>
  <c r="F52" i="57"/>
  <c r="H52" i="57" s="1"/>
  <c r="AG51" i="57"/>
  <c r="AF51" i="57"/>
  <c r="W51" i="57"/>
  <c r="N51" i="57" s="1"/>
  <c r="O51" i="57" s="1"/>
  <c r="V51" i="57"/>
  <c r="L51" i="57"/>
  <c r="K51" i="57"/>
  <c r="J51" i="57"/>
  <c r="P51" i="57" s="1"/>
  <c r="F51" i="57"/>
  <c r="H51" i="57" s="1"/>
  <c r="AF50" i="57"/>
  <c r="W50" i="57"/>
  <c r="N50" i="57" s="1"/>
  <c r="V50" i="57"/>
  <c r="K50" i="57"/>
  <c r="J50" i="57"/>
  <c r="H50" i="57"/>
  <c r="F50" i="57"/>
  <c r="W49" i="57"/>
  <c r="N49" i="57"/>
  <c r="L49" i="57"/>
  <c r="K49" i="57"/>
  <c r="J49" i="57"/>
  <c r="F49" i="57"/>
  <c r="H49" i="57" s="1"/>
  <c r="AE48" i="57"/>
  <c r="AD48" i="57"/>
  <c r="AA48" i="57"/>
  <c r="Z48" i="57"/>
  <c r="W48" i="57"/>
  <c r="M48" i="57"/>
  <c r="L48" i="57"/>
  <c r="G13" i="56" s="1"/>
  <c r="K48" i="57"/>
  <c r="W47" i="57"/>
  <c r="H47" i="57"/>
  <c r="W46" i="57"/>
  <c r="W45" i="57"/>
  <c r="W44" i="57"/>
  <c r="W43" i="57"/>
  <c r="W42" i="57"/>
  <c r="AG41" i="57"/>
  <c r="AF41" i="57"/>
  <c r="W41" i="57"/>
  <c r="AG40" i="57"/>
  <c r="AF40" i="57"/>
  <c r="W40" i="57"/>
  <c r="W39" i="57"/>
  <c r="V39" i="57"/>
  <c r="P39" i="57"/>
  <c r="O39" i="57"/>
  <c r="N39" i="57"/>
  <c r="L39" i="57"/>
  <c r="K39" i="57"/>
  <c r="J39" i="57"/>
  <c r="F39" i="57"/>
  <c r="H39" i="57" s="1"/>
  <c r="AF38" i="57"/>
  <c r="W38" i="57"/>
  <c r="P38" i="57"/>
  <c r="N38" i="57"/>
  <c r="L38" i="57"/>
  <c r="K38" i="57"/>
  <c r="J38" i="57"/>
  <c r="H38" i="57"/>
  <c r="F38" i="57"/>
  <c r="AE37" i="57"/>
  <c r="F21" i="56" s="1"/>
  <c r="AD37" i="57"/>
  <c r="AA37" i="57"/>
  <c r="F19" i="56" s="1"/>
  <c r="Z37" i="57"/>
  <c r="M37" i="57"/>
  <c r="W36" i="57"/>
  <c r="H36" i="57"/>
  <c r="W35" i="57"/>
  <c r="W34" i="57"/>
  <c r="W33" i="57"/>
  <c r="W32" i="57"/>
  <c r="N32" i="57" s="1"/>
  <c r="O32" i="57" s="1"/>
  <c r="V32" i="57"/>
  <c r="K32" i="57"/>
  <c r="L32" i="57" s="1"/>
  <c r="J32" i="57"/>
  <c r="P32" i="57" s="1"/>
  <c r="H32" i="57"/>
  <c r="F32" i="57"/>
  <c r="W31" i="57"/>
  <c r="N31" i="57" s="1"/>
  <c r="V31" i="57"/>
  <c r="P31" i="57"/>
  <c r="K31" i="57"/>
  <c r="H31" i="57"/>
  <c r="F31" i="57"/>
  <c r="W30" i="57"/>
  <c r="N30" i="57" s="1"/>
  <c r="O30" i="57" s="1"/>
  <c r="V30" i="57"/>
  <c r="K30" i="57"/>
  <c r="J30" i="57"/>
  <c r="P30" i="57" s="1"/>
  <c r="F30" i="57"/>
  <c r="H30" i="57" s="1"/>
  <c r="W29" i="57"/>
  <c r="N29" i="57" s="1"/>
  <c r="V29" i="57"/>
  <c r="L29" i="57"/>
  <c r="J29" i="57"/>
  <c r="P29" i="57" s="1"/>
  <c r="H29" i="57"/>
  <c r="F29" i="57"/>
  <c r="W28" i="57"/>
  <c r="N28" i="57" s="1"/>
  <c r="V28" i="57"/>
  <c r="K28" i="57"/>
  <c r="J28" i="57"/>
  <c r="F28" i="57"/>
  <c r="H28" i="57" s="1"/>
  <c r="AG27" i="57"/>
  <c r="W27" i="57"/>
  <c r="N27" i="57"/>
  <c r="K27" i="57"/>
  <c r="J27" i="57"/>
  <c r="P27" i="57" s="1"/>
  <c r="F27" i="57"/>
  <c r="H27" i="57" s="1"/>
  <c r="AE26" i="57"/>
  <c r="E21" i="56" s="1"/>
  <c r="AD26" i="57"/>
  <c r="AA26" i="57"/>
  <c r="E19" i="56" s="1"/>
  <c r="Z26" i="57"/>
  <c r="M26" i="57"/>
  <c r="K26" i="57"/>
  <c r="W25" i="57"/>
  <c r="H25" i="57"/>
  <c r="W24" i="57"/>
  <c r="H24" i="57"/>
  <c r="W23" i="57"/>
  <c r="W21" i="57"/>
  <c r="W20" i="57"/>
  <c r="AG19" i="57"/>
  <c r="AF19" i="57"/>
  <c r="W19" i="57"/>
  <c r="V19" i="57"/>
  <c r="P19" i="57"/>
  <c r="O19" i="57"/>
  <c r="N19" i="57"/>
  <c r="K19" i="57"/>
  <c r="L19" i="57" s="1"/>
  <c r="J19" i="57"/>
  <c r="F19" i="57"/>
  <c r="H19" i="57" s="1"/>
  <c r="W18" i="57"/>
  <c r="V18" i="57"/>
  <c r="P18" i="57"/>
  <c r="N18" i="57"/>
  <c r="AF18" i="57" s="1"/>
  <c r="K18" i="57"/>
  <c r="L18" i="57" s="1"/>
  <c r="J18" i="57"/>
  <c r="F18" i="57"/>
  <c r="H18" i="57" s="1"/>
  <c r="AG17" i="57"/>
  <c r="AF17" i="57"/>
  <c r="W17" i="57"/>
  <c r="V17" i="57"/>
  <c r="P17" i="57"/>
  <c r="N17" i="57"/>
  <c r="O17" i="57" s="1"/>
  <c r="K17" i="57"/>
  <c r="J17" i="57"/>
  <c r="L17" i="57" s="1"/>
  <c r="F17" i="57"/>
  <c r="H17" i="57" s="1"/>
  <c r="AG16" i="57"/>
  <c r="AF16" i="57"/>
  <c r="W16" i="57"/>
  <c r="N16" i="57"/>
  <c r="O16" i="57" s="1"/>
  <c r="K16" i="57"/>
  <c r="J16" i="57"/>
  <c r="H16" i="57"/>
  <c r="F16" i="57"/>
  <c r="AE15" i="57"/>
  <c r="AD15" i="57"/>
  <c r="AA15" i="57"/>
  <c r="D19" i="56" s="1"/>
  <c r="Z15" i="57"/>
  <c r="M15" i="57"/>
  <c r="W14" i="57"/>
  <c r="W13" i="57"/>
  <c r="W12" i="57"/>
  <c r="AG11" i="57"/>
  <c r="AF11" i="57"/>
  <c r="W11" i="57"/>
  <c r="AG10" i="57"/>
  <c r="AF10" i="57"/>
  <c r="W10" i="57"/>
  <c r="AF9" i="57"/>
  <c r="W9" i="57"/>
  <c r="N9" i="57" s="1"/>
  <c r="AG9" i="57" s="1"/>
  <c r="V9" i="57"/>
  <c r="P9" i="57"/>
  <c r="O9" i="57"/>
  <c r="L9" i="57"/>
  <c r="K9" i="57"/>
  <c r="J9" i="57"/>
  <c r="F9" i="57"/>
  <c r="H9" i="57" s="1"/>
  <c r="AG8" i="57"/>
  <c r="W8" i="57"/>
  <c r="N8" i="57" s="1"/>
  <c r="O8" i="57" s="1"/>
  <c r="V8" i="57"/>
  <c r="K8" i="57"/>
  <c r="J8" i="57"/>
  <c r="P8" i="57" s="1"/>
  <c r="H8" i="57"/>
  <c r="F8" i="57"/>
  <c r="W7" i="57"/>
  <c r="N7" i="57" s="1"/>
  <c r="V7" i="57"/>
  <c r="K7" i="57"/>
  <c r="J7" i="57"/>
  <c r="P7" i="57" s="1"/>
  <c r="F7" i="57"/>
  <c r="H7" i="57" s="1"/>
  <c r="W6" i="57"/>
  <c r="V6" i="57"/>
  <c r="P6" i="57"/>
  <c r="N6" i="57"/>
  <c r="O6" i="57" s="1"/>
  <c r="K6" i="57"/>
  <c r="J6" i="57"/>
  <c r="F6" i="57"/>
  <c r="H6" i="57" s="1"/>
  <c r="G1" i="57" s="1"/>
  <c r="W5" i="57"/>
  <c r="P5" i="57"/>
  <c r="N5" i="57"/>
  <c r="K5" i="57"/>
  <c r="J5" i="57"/>
  <c r="H5" i="57"/>
  <c r="F5" i="57"/>
  <c r="I2" i="57"/>
  <c r="E1" i="57"/>
  <c r="J22" i="56"/>
  <c r="H22" i="56"/>
  <c r="G22" i="56"/>
  <c r="F22" i="56"/>
  <c r="J21" i="56"/>
  <c r="I21" i="56"/>
  <c r="G21" i="56"/>
  <c r="I20" i="56"/>
  <c r="H20" i="56"/>
  <c r="G20" i="56"/>
  <c r="F20" i="56"/>
  <c r="D20" i="56"/>
  <c r="J19" i="56"/>
  <c r="I19" i="56"/>
  <c r="H19" i="56"/>
  <c r="G19" i="56"/>
  <c r="J18" i="56"/>
  <c r="I18" i="56"/>
  <c r="H18" i="56"/>
  <c r="G18" i="56"/>
  <c r="F18" i="56"/>
  <c r="E18" i="56"/>
  <c r="D18" i="56"/>
  <c r="J16" i="56"/>
  <c r="I16" i="56"/>
  <c r="H16" i="56"/>
  <c r="G16" i="56"/>
  <c r="F16" i="56"/>
  <c r="E16" i="56"/>
  <c r="D16" i="56"/>
  <c r="G3" i="56"/>
  <c r="D3" i="56"/>
  <c r="AE79" i="55"/>
  <c r="AD79" i="55"/>
  <c r="AA79" i="55"/>
  <c r="Z79" i="55"/>
  <c r="M79" i="55"/>
  <c r="K79" i="55"/>
  <c r="J79" i="55"/>
  <c r="P79" i="55" s="1"/>
  <c r="W78" i="55"/>
  <c r="H78" i="55"/>
  <c r="W77" i="55"/>
  <c r="H77" i="55"/>
  <c r="W76" i="55"/>
  <c r="H76" i="55"/>
  <c r="W75" i="55"/>
  <c r="H75" i="55"/>
  <c r="W74" i="55"/>
  <c r="W73" i="55"/>
  <c r="W72" i="55"/>
  <c r="W71" i="55"/>
  <c r="W70" i="55"/>
  <c r="N70" i="55"/>
  <c r="K70" i="55"/>
  <c r="L70" i="55" s="1"/>
  <c r="L79" i="55" s="1"/>
  <c r="J13" i="54" s="1"/>
  <c r="J70" i="55"/>
  <c r="P70" i="55" s="1"/>
  <c r="F70" i="55"/>
  <c r="H70" i="55" s="1"/>
  <c r="AE69" i="55"/>
  <c r="I21" i="54" s="1"/>
  <c r="AD69" i="55"/>
  <c r="AA69" i="55"/>
  <c r="Z69" i="55"/>
  <c r="M69" i="55"/>
  <c r="W68" i="55"/>
  <c r="H68" i="55"/>
  <c r="W67" i="55"/>
  <c r="W66" i="55"/>
  <c r="W65" i="55"/>
  <c r="W64" i="55"/>
  <c r="W63" i="55"/>
  <c r="W62" i="55"/>
  <c r="V62" i="55"/>
  <c r="N62" i="55"/>
  <c r="L62" i="55"/>
  <c r="K62" i="55"/>
  <c r="J62" i="55"/>
  <c r="P62" i="55" s="1"/>
  <c r="F62" i="55"/>
  <c r="H62" i="55" s="1"/>
  <c r="W61" i="55"/>
  <c r="V61" i="55"/>
  <c r="P61" i="55"/>
  <c r="N61" i="55"/>
  <c r="L61" i="55"/>
  <c r="K61" i="55"/>
  <c r="J61" i="55"/>
  <c r="H61" i="55"/>
  <c r="F61" i="55"/>
  <c r="W60" i="55"/>
  <c r="N60" i="55" s="1"/>
  <c r="V60" i="55"/>
  <c r="P60" i="55"/>
  <c r="L60" i="55"/>
  <c r="K60" i="55"/>
  <c r="J60" i="55"/>
  <c r="H60" i="55"/>
  <c r="F60" i="55"/>
  <c r="AG59" i="55"/>
  <c r="W59" i="55"/>
  <c r="N59" i="55" s="1"/>
  <c r="P59" i="55"/>
  <c r="K59" i="55"/>
  <c r="J59" i="55"/>
  <c r="H59" i="55"/>
  <c r="F59" i="55"/>
  <c r="AE58" i="55"/>
  <c r="H21" i="54" s="1"/>
  <c r="AD58" i="55"/>
  <c r="AA58" i="55"/>
  <c r="Z58" i="55"/>
  <c r="M58" i="55"/>
  <c r="W57" i="55"/>
  <c r="W56" i="55"/>
  <c r="W55" i="55"/>
  <c r="W54" i="55"/>
  <c r="AG53" i="55"/>
  <c r="AF53" i="55"/>
  <c r="W53" i="55"/>
  <c r="AG52" i="55"/>
  <c r="W52" i="55"/>
  <c r="N52" i="55" s="1"/>
  <c r="O52" i="55" s="1"/>
  <c r="V52" i="55"/>
  <c r="R52" i="55"/>
  <c r="P52" i="55"/>
  <c r="K52" i="55"/>
  <c r="L52" i="55" s="1"/>
  <c r="J52" i="55"/>
  <c r="H52" i="55"/>
  <c r="F52" i="55"/>
  <c r="W51" i="55"/>
  <c r="V51" i="55"/>
  <c r="O51" i="55"/>
  <c r="N51" i="55"/>
  <c r="K51" i="55"/>
  <c r="L51" i="55" s="1"/>
  <c r="J51" i="55"/>
  <c r="P51" i="55" s="1"/>
  <c r="F51" i="55"/>
  <c r="H51" i="55" s="1"/>
  <c r="W50" i="55"/>
  <c r="N50" i="55" s="1"/>
  <c r="V50" i="55"/>
  <c r="K50" i="55"/>
  <c r="L50" i="55" s="1"/>
  <c r="J50" i="55"/>
  <c r="P50" i="55" s="1"/>
  <c r="H50" i="55"/>
  <c r="F50" i="55"/>
  <c r="W49" i="55"/>
  <c r="N49" i="55" s="1"/>
  <c r="O49" i="55"/>
  <c r="K49" i="55"/>
  <c r="J49" i="55"/>
  <c r="H49" i="55"/>
  <c r="F49" i="55"/>
  <c r="AE48" i="55"/>
  <c r="AD48" i="55"/>
  <c r="AA48" i="55"/>
  <c r="G19" i="54" s="1"/>
  <c r="Z48" i="55"/>
  <c r="W48" i="55"/>
  <c r="M48" i="55"/>
  <c r="W47" i="55"/>
  <c r="H47" i="55"/>
  <c r="W46" i="55"/>
  <c r="W45" i="55"/>
  <c r="W44" i="55"/>
  <c r="W43" i="55"/>
  <c r="W42" i="55"/>
  <c r="W41" i="55"/>
  <c r="N41" i="55" s="1"/>
  <c r="V41" i="55"/>
  <c r="P41" i="55"/>
  <c r="K41" i="55"/>
  <c r="L41" i="55" s="1"/>
  <c r="J41" i="55"/>
  <c r="F41" i="55"/>
  <c r="H41" i="55" s="1"/>
  <c r="W40" i="55"/>
  <c r="N40" i="55" s="1"/>
  <c r="V40" i="55"/>
  <c r="K40" i="55"/>
  <c r="J40" i="55"/>
  <c r="H40" i="55"/>
  <c r="F40" i="55"/>
  <c r="W39" i="55"/>
  <c r="N39" i="55" s="1"/>
  <c r="V39" i="55"/>
  <c r="P39" i="55"/>
  <c r="L39" i="55"/>
  <c r="K39" i="55"/>
  <c r="J39" i="55"/>
  <c r="F39" i="55"/>
  <c r="H39" i="55" s="1"/>
  <c r="AG38" i="55"/>
  <c r="AF38" i="55"/>
  <c r="W38" i="55"/>
  <c r="P38" i="55"/>
  <c r="O38" i="55"/>
  <c r="N38" i="55"/>
  <c r="K38" i="55"/>
  <c r="J38" i="55"/>
  <c r="L38" i="55" s="1"/>
  <c r="H38" i="55"/>
  <c r="F38" i="55"/>
  <c r="AE37" i="55"/>
  <c r="AD37" i="55"/>
  <c r="AA37" i="55"/>
  <c r="F19" i="54" s="1"/>
  <c r="Z37" i="55"/>
  <c r="F18" i="54" s="1"/>
  <c r="M37" i="55"/>
  <c r="W36" i="55"/>
  <c r="H36" i="55"/>
  <c r="W35" i="55"/>
  <c r="W34" i="55"/>
  <c r="W33" i="55"/>
  <c r="W32" i="55"/>
  <c r="W31" i="55"/>
  <c r="V31" i="55"/>
  <c r="P31" i="55"/>
  <c r="N31" i="55"/>
  <c r="K31" i="55"/>
  <c r="L31" i="55" s="1"/>
  <c r="F31" i="55"/>
  <c r="H31" i="55" s="1"/>
  <c r="W30" i="55"/>
  <c r="V30" i="55"/>
  <c r="P30" i="55"/>
  <c r="N30" i="55"/>
  <c r="O30" i="55" s="1"/>
  <c r="K30" i="55"/>
  <c r="L30" i="55" s="1"/>
  <c r="J30" i="55"/>
  <c r="H30" i="55"/>
  <c r="F30" i="55"/>
  <c r="W29" i="55"/>
  <c r="V29" i="55"/>
  <c r="N29" i="55"/>
  <c r="L29" i="55"/>
  <c r="J29" i="55"/>
  <c r="P29" i="55" s="1"/>
  <c r="H29" i="55"/>
  <c r="F29" i="55"/>
  <c r="W28" i="55"/>
  <c r="V28" i="55"/>
  <c r="P28" i="55"/>
  <c r="N28" i="55"/>
  <c r="L28" i="55"/>
  <c r="K28" i="55"/>
  <c r="J28" i="55"/>
  <c r="H28" i="55"/>
  <c r="F28" i="55"/>
  <c r="W27" i="55"/>
  <c r="N27" i="55" s="1"/>
  <c r="P27" i="55"/>
  <c r="L27" i="55"/>
  <c r="K27" i="55"/>
  <c r="J27" i="55"/>
  <c r="F27" i="55"/>
  <c r="H27" i="55" s="1"/>
  <c r="AE26" i="55"/>
  <c r="AD26" i="55"/>
  <c r="AD2" i="55" s="1"/>
  <c r="N6" i="54" s="1"/>
  <c r="AA26" i="55"/>
  <c r="Z26" i="55"/>
  <c r="E18" i="54" s="1"/>
  <c r="M26" i="55"/>
  <c r="K26" i="55"/>
  <c r="W25" i="55"/>
  <c r="H25" i="55"/>
  <c r="W24" i="55"/>
  <c r="H24" i="55"/>
  <c r="W23" i="55"/>
  <c r="W21" i="55"/>
  <c r="W20" i="55"/>
  <c r="W19" i="55"/>
  <c r="V19" i="55"/>
  <c r="P19" i="55"/>
  <c r="N19" i="55"/>
  <c r="L19" i="55"/>
  <c r="K19" i="55"/>
  <c r="J19" i="55"/>
  <c r="H19" i="55"/>
  <c r="F19" i="55"/>
  <c r="AG18" i="55"/>
  <c r="AF18" i="55"/>
  <c r="W18" i="55"/>
  <c r="V18" i="55"/>
  <c r="P18" i="55"/>
  <c r="N18" i="55"/>
  <c r="O18" i="55" s="1"/>
  <c r="K18" i="55"/>
  <c r="L18" i="55" s="1"/>
  <c r="J18" i="55"/>
  <c r="F18" i="55"/>
  <c r="H18" i="55" s="1"/>
  <c r="W17" i="55"/>
  <c r="V17" i="55"/>
  <c r="P17" i="55"/>
  <c r="N17" i="55"/>
  <c r="L17" i="55"/>
  <c r="K17" i="55"/>
  <c r="J17" i="55"/>
  <c r="J26" i="55" s="1"/>
  <c r="P26" i="55" s="1"/>
  <c r="F17" i="55"/>
  <c r="H17" i="55" s="1"/>
  <c r="AF16" i="55"/>
  <c r="W16" i="55"/>
  <c r="N16" i="55" s="1"/>
  <c r="P16" i="55"/>
  <c r="K16" i="55"/>
  <c r="L16" i="55" s="1"/>
  <c r="H16" i="55"/>
  <c r="F16" i="55"/>
  <c r="AE15" i="55"/>
  <c r="AD15" i="55"/>
  <c r="AA15" i="55"/>
  <c r="AA2" i="55" s="1"/>
  <c r="Z15" i="55"/>
  <c r="M15" i="55"/>
  <c r="J15" i="55"/>
  <c r="P15" i="55" s="1"/>
  <c r="W14" i="55"/>
  <c r="W13" i="55"/>
  <c r="W12" i="55"/>
  <c r="AG11" i="55"/>
  <c r="AF11" i="55"/>
  <c r="W11" i="55"/>
  <c r="AG10" i="55"/>
  <c r="AF10" i="55"/>
  <c r="W10" i="55"/>
  <c r="W9" i="55"/>
  <c r="N9" i="55" s="1"/>
  <c r="V9" i="55"/>
  <c r="P9" i="55"/>
  <c r="K9" i="55"/>
  <c r="AF9" i="55" s="1"/>
  <c r="F9" i="55"/>
  <c r="H9" i="55" s="1"/>
  <c r="AG8" i="55"/>
  <c r="AF8" i="55"/>
  <c r="W8" i="55"/>
  <c r="V8" i="55"/>
  <c r="P8" i="55"/>
  <c r="N8" i="55"/>
  <c r="O8" i="55" s="1"/>
  <c r="L8" i="55"/>
  <c r="K8" i="55"/>
  <c r="F8" i="55"/>
  <c r="H8" i="55" s="1"/>
  <c r="W7" i="55"/>
  <c r="N7" i="55" s="1"/>
  <c r="V7" i="55"/>
  <c r="L7" i="55"/>
  <c r="K7" i="55"/>
  <c r="J7" i="55"/>
  <c r="P7" i="55" s="1"/>
  <c r="H7" i="55"/>
  <c r="F7" i="55"/>
  <c r="AG6" i="55"/>
  <c r="W6" i="55"/>
  <c r="N6" i="55" s="1"/>
  <c r="N15" i="55" s="1"/>
  <c r="V6" i="55"/>
  <c r="P6" i="55"/>
  <c r="O6" i="55"/>
  <c r="K6" i="55"/>
  <c r="L6" i="55" s="1"/>
  <c r="J6" i="55"/>
  <c r="F6" i="55"/>
  <c r="H6" i="55" s="1"/>
  <c r="W5" i="55"/>
  <c r="N5" i="55" s="1"/>
  <c r="P5" i="55"/>
  <c r="O5" i="55"/>
  <c r="L5" i="55"/>
  <c r="K5" i="55"/>
  <c r="F5" i="55"/>
  <c r="H5" i="55" s="1"/>
  <c r="I2" i="55"/>
  <c r="E1" i="55"/>
  <c r="G3" i="54" s="1"/>
  <c r="J22" i="54"/>
  <c r="I22" i="54"/>
  <c r="H22" i="54"/>
  <c r="E22" i="54"/>
  <c r="D22" i="54"/>
  <c r="J21" i="54"/>
  <c r="G21" i="54"/>
  <c r="F21" i="54"/>
  <c r="E21" i="54"/>
  <c r="D21" i="54"/>
  <c r="J20" i="54"/>
  <c r="I20" i="54"/>
  <c r="H20" i="54"/>
  <c r="G20" i="54"/>
  <c r="F20" i="54"/>
  <c r="E20" i="54"/>
  <c r="D20" i="54"/>
  <c r="J19" i="54"/>
  <c r="I19" i="54"/>
  <c r="H19" i="54"/>
  <c r="E19" i="54"/>
  <c r="D19" i="54"/>
  <c r="J18" i="54"/>
  <c r="I18" i="54"/>
  <c r="H18" i="54"/>
  <c r="G18" i="54"/>
  <c r="J16" i="54"/>
  <c r="I16" i="54"/>
  <c r="H16" i="54"/>
  <c r="G16" i="54"/>
  <c r="F16" i="54"/>
  <c r="E16" i="54"/>
  <c r="D16" i="54"/>
  <c r="M6" i="54"/>
  <c r="D3" i="54"/>
  <c r="AE79" i="53"/>
  <c r="AD79" i="53"/>
  <c r="AA79" i="53"/>
  <c r="J18" i="52" s="1"/>
  <c r="Z79" i="53"/>
  <c r="M79" i="53"/>
  <c r="W78" i="53"/>
  <c r="H78" i="53"/>
  <c r="W77" i="53"/>
  <c r="H77" i="53"/>
  <c r="W76" i="53"/>
  <c r="H76" i="53"/>
  <c r="W75" i="53"/>
  <c r="H75" i="53"/>
  <c r="W74" i="53"/>
  <c r="W73" i="53"/>
  <c r="W72" i="53"/>
  <c r="W71" i="53"/>
  <c r="V71" i="53"/>
  <c r="Q71" i="53"/>
  <c r="P71" i="53"/>
  <c r="N71" i="53"/>
  <c r="O71" i="53" s="1"/>
  <c r="K71" i="53"/>
  <c r="L71" i="53" s="1"/>
  <c r="J71" i="53"/>
  <c r="H71" i="53"/>
  <c r="F71" i="53"/>
  <c r="W70" i="53"/>
  <c r="P70" i="53"/>
  <c r="N70" i="53"/>
  <c r="K70" i="53"/>
  <c r="J70" i="53"/>
  <c r="J79" i="53" s="1"/>
  <c r="P79" i="53" s="1"/>
  <c r="F70" i="53"/>
  <c r="H70" i="53" s="1"/>
  <c r="AE69" i="53"/>
  <c r="AD69" i="53"/>
  <c r="AA69" i="53"/>
  <c r="Z69" i="53"/>
  <c r="M69" i="53"/>
  <c r="J69" i="53"/>
  <c r="P69" i="53" s="1"/>
  <c r="W68" i="53"/>
  <c r="H68" i="53"/>
  <c r="W67" i="53"/>
  <c r="W66" i="53"/>
  <c r="W65" i="53"/>
  <c r="W64" i="53"/>
  <c r="W63" i="53"/>
  <c r="AG62" i="53"/>
  <c r="W62" i="53"/>
  <c r="N62" i="53" s="1"/>
  <c r="AF62" i="53" s="1"/>
  <c r="V62" i="53"/>
  <c r="P62" i="53"/>
  <c r="O62" i="53"/>
  <c r="L62" i="53"/>
  <c r="K62" i="53"/>
  <c r="J62" i="53"/>
  <c r="H62" i="53"/>
  <c r="F62" i="53"/>
  <c r="AG61" i="53"/>
  <c r="W61" i="53"/>
  <c r="N61" i="53" s="1"/>
  <c r="V61" i="53"/>
  <c r="P61" i="53"/>
  <c r="K61" i="53"/>
  <c r="L61" i="53" s="1"/>
  <c r="J61" i="53"/>
  <c r="F61" i="53"/>
  <c r="H61" i="53" s="1"/>
  <c r="W60" i="53"/>
  <c r="N60" i="53" s="1"/>
  <c r="V60" i="53"/>
  <c r="P60" i="53"/>
  <c r="K60" i="53"/>
  <c r="L60" i="53" s="1"/>
  <c r="J60" i="53"/>
  <c r="H60" i="53"/>
  <c r="F60" i="53"/>
  <c r="AG59" i="53"/>
  <c r="W59" i="53"/>
  <c r="N59" i="53" s="1"/>
  <c r="P59" i="53"/>
  <c r="O59" i="53"/>
  <c r="L59" i="53"/>
  <c r="K59" i="53"/>
  <c r="J59" i="53"/>
  <c r="F59" i="53"/>
  <c r="H59" i="53" s="1"/>
  <c r="AE58" i="53"/>
  <c r="AD58" i="53"/>
  <c r="AA58" i="53"/>
  <c r="H19" i="52" s="1"/>
  <c r="Z58" i="53"/>
  <c r="M58" i="53"/>
  <c r="K58" i="53"/>
  <c r="W57" i="53"/>
  <c r="W56" i="53"/>
  <c r="W55" i="53"/>
  <c r="W54" i="53"/>
  <c r="AG53" i="53"/>
  <c r="AF53" i="53"/>
  <c r="W53" i="53"/>
  <c r="W52" i="53"/>
  <c r="V52" i="53"/>
  <c r="P52" i="53"/>
  <c r="N52" i="53"/>
  <c r="K52" i="53"/>
  <c r="J52" i="53"/>
  <c r="H52" i="53"/>
  <c r="F52" i="53"/>
  <c r="W51" i="53"/>
  <c r="V51" i="53"/>
  <c r="P51" i="53"/>
  <c r="N51" i="53"/>
  <c r="K51" i="53"/>
  <c r="L51" i="53" s="1"/>
  <c r="J51" i="53"/>
  <c r="F51" i="53"/>
  <c r="H51" i="53" s="1"/>
  <c r="W50" i="53"/>
  <c r="V50" i="53"/>
  <c r="P50" i="53"/>
  <c r="N50" i="53"/>
  <c r="K50" i="53"/>
  <c r="J50" i="53"/>
  <c r="L50" i="53" s="1"/>
  <c r="F50" i="53"/>
  <c r="H50" i="53" s="1"/>
  <c r="W49" i="53"/>
  <c r="N49" i="53" s="1"/>
  <c r="O49" i="53"/>
  <c r="K49" i="53"/>
  <c r="L49" i="53" s="1"/>
  <c r="J49" i="53"/>
  <c r="F49" i="53"/>
  <c r="H49" i="53" s="1"/>
  <c r="AE48" i="53"/>
  <c r="AD48" i="53"/>
  <c r="AA48" i="53"/>
  <c r="G19" i="52" s="1"/>
  <c r="Z48" i="53"/>
  <c r="G18" i="52" s="1"/>
  <c r="W48" i="53"/>
  <c r="M48" i="53"/>
  <c r="K48" i="53"/>
  <c r="W47" i="53"/>
  <c r="H47" i="53"/>
  <c r="W46" i="53"/>
  <c r="W45" i="53"/>
  <c r="W44" i="53"/>
  <c r="W43" i="53"/>
  <c r="W42" i="53"/>
  <c r="AG41" i="53"/>
  <c r="AF41" i="53"/>
  <c r="W41" i="53"/>
  <c r="W40" i="53"/>
  <c r="V40" i="53"/>
  <c r="P40" i="53"/>
  <c r="N40" i="53"/>
  <c r="L40" i="53"/>
  <c r="K40" i="53"/>
  <c r="J40" i="53"/>
  <c r="F40" i="53"/>
  <c r="H40" i="53" s="1"/>
  <c r="AG39" i="53"/>
  <c r="W39" i="53"/>
  <c r="N39" i="53" s="1"/>
  <c r="AF39" i="53" s="1"/>
  <c r="V39" i="53"/>
  <c r="P39" i="53"/>
  <c r="O39" i="53"/>
  <c r="L39" i="53"/>
  <c r="K39" i="53"/>
  <c r="J39" i="53"/>
  <c r="F39" i="53"/>
  <c r="H39" i="53" s="1"/>
  <c r="W38" i="53"/>
  <c r="N38" i="53"/>
  <c r="L38" i="53"/>
  <c r="L48" i="53" s="1"/>
  <c r="G13" i="52" s="1"/>
  <c r="K38" i="53"/>
  <c r="J38" i="53"/>
  <c r="P38" i="53" s="1"/>
  <c r="F38" i="53"/>
  <c r="H38" i="53" s="1"/>
  <c r="AE37" i="53"/>
  <c r="F21" i="52" s="1"/>
  <c r="AD37" i="53"/>
  <c r="AA37" i="53"/>
  <c r="Z37" i="53"/>
  <c r="M37" i="53"/>
  <c r="K37" i="53"/>
  <c r="W36" i="53"/>
  <c r="H36" i="53"/>
  <c r="W35" i="53"/>
  <c r="W34" i="53"/>
  <c r="W33" i="53"/>
  <c r="W32" i="53"/>
  <c r="V32" i="53"/>
  <c r="P32" i="53"/>
  <c r="N32" i="53"/>
  <c r="O32" i="53" s="1"/>
  <c r="K32" i="53"/>
  <c r="J32" i="53"/>
  <c r="F32" i="53"/>
  <c r="H32" i="53" s="1"/>
  <c r="W31" i="53"/>
  <c r="N31" i="53" s="1"/>
  <c r="V31" i="53"/>
  <c r="P31" i="53"/>
  <c r="L31" i="53"/>
  <c r="K31" i="53"/>
  <c r="J31" i="53"/>
  <c r="F31" i="53"/>
  <c r="H31" i="53" s="1"/>
  <c r="AG30" i="53"/>
  <c r="AF30" i="53"/>
  <c r="W30" i="53"/>
  <c r="N30" i="53" s="1"/>
  <c r="V30" i="53"/>
  <c r="P30" i="53"/>
  <c r="O30" i="53"/>
  <c r="L30" i="53"/>
  <c r="K30" i="53"/>
  <c r="J30" i="53"/>
  <c r="F30" i="53"/>
  <c r="H30" i="53" s="1"/>
  <c r="AF29" i="53"/>
  <c r="W29" i="53"/>
  <c r="V29" i="53"/>
  <c r="N29" i="53"/>
  <c r="K29" i="53"/>
  <c r="J29" i="53"/>
  <c r="F29" i="53"/>
  <c r="H29" i="53" s="1"/>
  <c r="W28" i="53"/>
  <c r="V28" i="53"/>
  <c r="P28" i="53"/>
  <c r="O28" i="53"/>
  <c r="N28" i="53"/>
  <c r="K28" i="53"/>
  <c r="L28" i="53" s="1"/>
  <c r="J28" i="53"/>
  <c r="H28" i="53"/>
  <c r="F28" i="53"/>
  <c r="AG27" i="53"/>
  <c r="W27" i="53"/>
  <c r="P27" i="53"/>
  <c r="N27" i="53"/>
  <c r="L27" i="53"/>
  <c r="K27" i="53"/>
  <c r="J27" i="53"/>
  <c r="H27" i="53"/>
  <c r="F27" i="53"/>
  <c r="AE26" i="53"/>
  <c r="AD26" i="53"/>
  <c r="E20" i="52" s="1"/>
  <c r="AA26" i="53"/>
  <c r="E19" i="52" s="1"/>
  <c r="Z26" i="53"/>
  <c r="N26" i="53"/>
  <c r="M26" i="53"/>
  <c r="W25" i="53"/>
  <c r="H25" i="53"/>
  <c r="W24" i="53"/>
  <c r="H24" i="53"/>
  <c r="W23" i="53"/>
  <c r="W21" i="53"/>
  <c r="W20" i="53"/>
  <c r="AG19" i="53"/>
  <c r="W19" i="53"/>
  <c r="V19" i="53"/>
  <c r="P19" i="53"/>
  <c r="O19" i="53"/>
  <c r="N19" i="53"/>
  <c r="AF19" i="53" s="1"/>
  <c r="K19" i="53"/>
  <c r="J19" i="53"/>
  <c r="H19" i="53"/>
  <c r="F19" i="53"/>
  <c r="AG18" i="53"/>
  <c r="AF18" i="53"/>
  <c r="W18" i="53"/>
  <c r="V18" i="53"/>
  <c r="R18" i="53"/>
  <c r="Q18" i="53"/>
  <c r="P18" i="53"/>
  <c r="N18" i="53"/>
  <c r="O18" i="53" s="1"/>
  <c r="L18" i="53"/>
  <c r="K18" i="53"/>
  <c r="J18" i="53"/>
  <c r="H18" i="53"/>
  <c r="F18" i="53"/>
  <c r="W17" i="53"/>
  <c r="N17" i="53" s="1"/>
  <c r="V17" i="53"/>
  <c r="O17" i="53"/>
  <c r="K17" i="53"/>
  <c r="J17" i="53"/>
  <c r="H17" i="53"/>
  <c r="F17" i="53"/>
  <c r="W16" i="53"/>
  <c r="N16" i="53" s="1"/>
  <c r="P16" i="53"/>
  <c r="L16" i="53"/>
  <c r="K16" i="53"/>
  <c r="F16" i="53"/>
  <c r="H16" i="53" s="1"/>
  <c r="AE15" i="53"/>
  <c r="AD15" i="53"/>
  <c r="AA15" i="53"/>
  <c r="Z15" i="53"/>
  <c r="M15" i="53"/>
  <c r="K15" i="53"/>
  <c r="W14" i="53"/>
  <c r="W13" i="53"/>
  <c r="W12" i="53"/>
  <c r="AG11" i="53"/>
  <c r="AF11" i="53"/>
  <c r="W11" i="53"/>
  <c r="AG10" i="53"/>
  <c r="AF10" i="53"/>
  <c r="W10" i="53"/>
  <c r="AF9" i="53"/>
  <c r="W9" i="53"/>
  <c r="V9" i="53"/>
  <c r="P9" i="53"/>
  <c r="N9" i="53"/>
  <c r="O9" i="53" s="1"/>
  <c r="L9" i="53"/>
  <c r="K9" i="53"/>
  <c r="F9" i="53"/>
  <c r="H9" i="53" s="1"/>
  <c r="W8" i="53"/>
  <c r="V8" i="53"/>
  <c r="P8" i="53"/>
  <c r="O8" i="53"/>
  <c r="N8" i="53"/>
  <c r="AG8" i="53" s="1"/>
  <c r="L8" i="53"/>
  <c r="K8" i="53"/>
  <c r="F8" i="53"/>
  <c r="H8" i="53" s="1"/>
  <c r="W7" i="53"/>
  <c r="V7" i="53"/>
  <c r="N7" i="53"/>
  <c r="K7" i="53"/>
  <c r="J7" i="53"/>
  <c r="P7" i="53" s="1"/>
  <c r="F7" i="53"/>
  <c r="H7" i="53" s="1"/>
  <c r="W6" i="53"/>
  <c r="N6" i="53" s="1"/>
  <c r="V6" i="53"/>
  <c r="P6" i="53"/>
  <c r="O6" i="53"/>
  <c r="R6" i="53" s="1"/>
  <c r="K6" i="53"/>
  <c r="L6" i="53" s="1"/>
  <c r="J6" i="53"/>
  <c r="H6" i="53"/>
  <c r="F6" i="53"/>
  <c r="W5" i="53"/>
  <c r="P5" i="53"/>
  <c r="O5" i="53"/>
  <c r="N5" i="53"/>
  <c r="L5" i="53"/>
  <c r="K5" i="53"/>
  <c r="F5" i="53"/>
  <c r="H5" i="53" s="1"/>
  <c r="AD2" i="53"/>
  <c r="N6" i="52" s="1"/>
  <c r="Z2" i="53"/>
  <c r="L6" i="52" s="1"/>
  <c r="I2" i="53"/>
  <c r="E1" i="53"/>
  <c r="J22" i="52"/>
  <c r="I22" i="52"/>
  <c r="H22" i="52"/>
  <c r="G22" i="52"/>
  <c r="F22" i="52"/>
  <c r="E22" i="52"/>
  <c r="J21" i="52"/>
  <c r="I21" i="52"/>
  <c r="H21" i="52"/>
  <c r="G21" i="52"/>
  <c r="D21" i="52"/>
  <c r="J20" i="52"/>
  <c r="I20" i="52"/>
  <c r="H20" i="52"/>
  <c r="G20" i="52"/>
  <c r="F20" i="52"/>
  <c r="D20" i="52"/>
  <c r="J19" i="52"/>
  <c r="I19" i="52"/>
  <c r="F19" i="52"/>
  <c r="I18" i="52"/>
  <c r="H18" i="52"/>
  <c r="F18" i="52"/>
  <c r="E18" i="52"/>
  <c r="D18" i="52"/>
  <c r="J16" i="52"/>
  <c r="I16" i="52"/>
  <c r="H16" i="52"/>
  <c r="G16" i="52"/>
  <c r="F16" i="52"/>
  <c r="E16" i="52"/>
  <c r="D16" i="52"/>
  <c r="G3" i="52"/>
  <c r="D3" i="52"/>
  <c r="AE79" i="51"/>
  <c r="AD79" i="51"/>
  <c r="AA79" i="51"/>
  <c r="Z79" i="51"/>
  <c r="M79" i="51"/>
  <c r="K79" i="51"/>
  <c r="J79" i="51"/>
  <c r="W78" i="51"/>
  <c r="H78" i="51"/>
  <c r="W77" i="51"/>
  <c r="H77" i="51"/>
  <c r="W76" i="51"/>
  <c r="H76" i="51"/>
  <c r="W75" i="51"/>
  <c r="H75" i="51"/>
  <c r="W74" i="51"/>
  <c r="W73" i="51"/>
  <c r="W72" i="51"/>
  <c r="W71" i="51"/>
  <c r="N71" i="51" s="1"/>
  <c r="O71" i="51" s="1"/>
  <c r="V71" i="51"/>
  <c r="P71" i="51"/>
  <c r="L71" i="51"/>
  <c r="K71" i="51"/>
  <c r="J71" i="51"/>
  <c r="H71" i="51"/>
  <c r="F71" i="51"/>
  <c r="W70" i="51"/>
  <c r="N70" i="51" s="1"/>
  <c r="P70" i="51"/>
  <c r="K70" i="51"/>
  <c r="L70" i="51" s="1"/>
  <c r="J70" i="51"/>
  <c r="H70" i="51"/>
  <c r="F70" i="51"/>
  <c r="AE69" i="51"/>
  <c r="I21" i="50" s="1"/>
  <c r="AD69" i="51"/>
  <c r="AA69" i="51"/>
  <c r="I19" i="50" s="1"/>
  <c r="Z69" i="51"/>
  <c r="I18" i="50" s="1"/>
  <c r="M69" i="51"/>
  <c r="W68" i="51"/>
  <c r="H68" i="51"/>
  <c r="W67" i="51"/>
  <c r="W66" i="51"/>
  <c r="W65" i="51"/>
  <c r="W64" i="51"/>
  <c r="W63" i="51"/>
  <c r="AG62" i="51"/>
  <c r="W62" i="51"/>
  <c r="V62" i="51"/>
  <c r="N62" i="51"/>
  <c r="K62" i="51"/>
  <c r="L62" i="51" s="1"/>
  <c r="J62" i="51"/>
  <c r="P62" i="51" s="1"/>
  <c r="H62" i="51"/>
  <c r="F62" i="51"/>
  <c r="AG61" i="51"/>
  <c r="AF61" i="51"/>
  <c r="W61" i="51"/>
  <c r="V61" i="51"/>
  <c r="P61" i="51"/>
  <c r="N61" i="51"/>
  <c r="O61" i="51" s="1"/>
  <c r="L61" i="51"/>
  <c r="K61" i="51"/>
  <c r="J61" i="51"/>
  <c r="F61" i="51"/>
  <c r="H61" i="51" s="1"/>
  <c r="W60" i="51"/>
  <c r="N60" i="51" s="1"/>
  <c r="V60" i="51"/>
  <c r="K60" i="51"/>
  <c r="L60" i="51" s="1"/>
  <c r="J60" i="51"/>
  <c r="H60" i="51"/>
  <c r="F60" i="51"/>
  <c r="AG59" i="51"/>
  <c r="W59" i="51"/>
  <c r="N59" i="51"/>
  <c r="L59" i="51"/>
  <c r="K59" i="51"/>
  <c r="J59" i="51"/>
  <c r="P59" i="51" s="1"/>
  <c r="F59" i="51"/>
  <c r="H59" i="51" s="1"/>
  <c r="AE58" i="51"/>
  <c r="AD58" i="51"/>
  <c r="AA58" i="51"/>
  <c r="Z58" i="51"/>
  <c r="M58" i="51"/>
  <c r="W57" i="51"/>
  <c r="W56" i="51"/>
  <c r="W55" i="51"/>
  <c r="W54" i="51"/>
  <c r="AG53" i="51"/>
  <c r="AF53" i="51"/>
  <c r="W53" i="51"/>
  <c r="W52" i="51"/>
  <c r="N52" i="51" s="1"/>
  <c r="V52" i="51"/>
  <c r="K52" i="51"/>
  <c r="J52" i="51"/>
  <c r="F52" i="51"/>
  <c r="H52" i="51" s="1"/>
  <c r="AG51" i="51"/>
  <c r="W51" i="51"/>
  <c r="V51" i="51"/>
  <c r="P51" i="51"/>
  <c r="N51" i="51"/>
  <c r="K51" i="51"/>
  <c r="L51" i="51" s="1"/>
  <c r="J51" i="51"/>
  <c r="F51" i="51"/>
  <c r="H51" i="51" s="1"/>
  <c r="AF50" i="51"/>
  <c r="W50" i="51"/>
  <c r="V50" i="51"/>
  <c r="P50" i="51"/>
  <c r="N50" i="51"/>
  <c r="O50" i="51" s="1"/>
  <c r="K50" i="51"/>
  <c r="J50" i="51"/>
  <c r="H50" i="51"/>
  <c r="F50" i="51"/>
  <c r="W49" i="51"/>
  <c r="N49" i="51" s="1"/>
  <c r="P49" i="51"/>
  <c r="K49" i="51"/>
  <c r="J49" i="51"/>
  <c r="F49" i="51"/>
  <c r="H49" i="51" s="1"/>
  <c r="AE48" i="51"/>
  <c r="AD48" i="51"/>
  <c r="G20" i="50" s="1"/>
  <c r="AA48" i="51"/>
  <c r="Z48" i="51"/>
  <c r="G18" i="50" s="1"/>
  <c r="W48" i="51"/>
  <c r="M48" i="51"/>
  <c r="J48" i="51"/>
  <c r="W47" i="51"/>
  <c r="H47" i="51"/>
  <c r="W46" i="51"/>
  <c r="W45" i="51"/>
  <c r="W44" i="51"/>
  <c r="W43" i="51"/>
  <c r="W42" i="51"/>
  <c r="W41" i="51"/>
  <c r="N41" i="51" s="1"/>
  <c r="V41" i="51"/>
  <c r="P41" i="51"/>
  <c r="K41" i="51"/>
  <c r="J41" i="51"/>
  <c r="L41" i="51" s="1"/>
  <c r="F41" i="51"/>
  <c r="H41" i="51" s="1"/>
  <c r="W40" i="51"/>
  <c r="N40" i="51" s="1"/>
  <c r="AF40" i="51" s="1"/>
  <c r="V40" i="51"/>
  <c r="P40" i="51"/>
  <c r="O40" i="51"/>
  <c r="L40" i="51"/>
  <c r="K40" i="51"/>
  <c r="J40" i="51"/>
  <c r="F40" i="51"/>
  <c r="H40" i="51" s="1"/>
  <c r="W39" i="51"/>
  <c r="V39" i="51"/>
  <c r="N39" i="51"/>
  <c r="L39" i="51"/>
  <c r="K39" i="51"/>
  <c r="J39" i="51"/>
  <c r="P39" i="51" s="1"/>
  <c r="H39" i="51"/>
  <c r="F39" i="51"/>
  <c r="W38" i="51"/>
  <c r="N38" i="51" s="1"/>
  <c r="P38" i="51"/>
  <c r="O38" i="51"/>
  <c r="K38" i="51"/>
  <c r="J38" i="51"/>
  <c r="F38" i="51"/>
  <c r="H38" i="51" s="1"/>
  <c r="AE37" i="51"/>
  <c r="AD37" i="51"/>
  <c r="F20" i="50" s="1"/>
  <c r="AA37" i="51"/>
  <c r="F19" i="50" s="1"/>
  <c r="Z37" i="51"/>
  <c r="F18" i="50" s="1"/>
  <c r="M37" i="51"/>
  <c r="W36" i="51"/>
  <c r="H36" i="51"/>
  <c r="W35" i="51"/>
  <c r="W34" i="51"/>
  <c r="W33" i="51"/>
  <c r="W32" i="51"/>
  <c r="V32" i="51"/>
  <c r="R32" i="51"/>
  <c r="P32" i="51"/>
  <c r="N32" i="51"/>
  <c r="O32" i="51" s="1"/>
  <c r="Q32" i="51" s="1"/>
  <c r="L32" i="51"/>
  <c r="K32" i="51"/>
  <c r="J32" i="51"/>
  <c r="F32" i="51"/>
  <c r="H32" i="51" s="1"/>
  <c r="W31" i="51"/>
  <c r="V31" i="51"/>
  <c r="O31" i="51"/>
  <c r="N31" i="51"/>
  <c r="K31" i="51"/>
  <c r="L31" i="51" s="1"/>
  <c r="J31" i="51"/>
  <c r="P31" i="51" s="1"/>
  <c r="F31" i="51"/>
  <c r="H31" i="51" s="1"/>
  <c r="W30" i="51"/>
  <c r="N30" i="51" s="1"/>
  <c r="V30" i="51"/>
  <c r="K30" i="51"/>
  <c r="L30" i="51" s="1"/>
  <c r="J30" i="51"/>
  <c r="P30" i="51" s="1"/>
  <c r="F30" i="51"/>
  <c r="H30" i="51" s="1"/>
  <c r="AG29" i="51"/>
  <c r="W29" i="51"/>
  <c r="V29" i="51"/>
  <c r="N29" i="51"/>
  <c r="J29" i="51"/>
  <c r="P29" i="51" s="1"/>
  <c r="F29" i="51"/>
  <c r="H29" i="51" s="1"/>
  <c r="AF28" i="51"/>
  <c r="W28" i="51"/>
  <c r="V28" i="51"/>
  <c r="P28" i="51"/>
  <c r="N28" i="51"/>
  <c r="L28" i="51"/>
  <c r="K28" i="51"/>
  <c r="J28" i="51"/>
  <c r="F28" i="51"/>
  <c r="H28" i="51" s="1"/>
  <c r="W27" i="51"/>
  <c r="P27" i="51"/>
  <c r="N27" i="51"/>
  <c r="K27" i="51"/>
  <c r="J27" i="51"/>
  <c r="H27" i="51"/>
  <c r="F27" i="51"/>
  <c r="AE26" i="51"/>
  <c r="AD26" i="51"/>
  <c r="AA26" i="51"/>
  <c r="Z26" i="51"/>
  <c r="M26" i="51"/>
  <c r="K26" i="51"/>
  <c r="W25" i="51"/>
  <c r="H25" i="51"/>
  <c r="W24" i="51"/>
  <c r="W23" i="51"/>
  <c r="W21" i="51"/>
  <c r="W20" i="51"/>
  <c r="N20" i="51" s="1"/>
  <c r="V20" i="51"/>
  <c r="O20" i="51"/>
  <c r="L20" i="51"/>
  <c r="K20" i="51"/>
  <c r="J20" i="51"/>
  <c r="P20" i="51" s="1"/>
  <c r="H20" i="51"/>
  <c r="F20" i="51"/>
  <c r="W19" i="51"/>
  <c r="N19" i="51" s="1"/>
  <c r="V19" i="51"/>
  <c r="P19" i="51"/>
  <c r="O19" i="51"/>
  <c r="K19" i="51"/>
  <c r="L19" i="51" s="1"/>
  <c r="J19" i="51"/>
  <c r="H19" i="51"/>
  <c r="F19" i="51"/>
  <c r="W18" i="51"/>
  <c r="V18" i="51"/>
  <c r="N18" i="51"/>
  <c r="K18" i="51"/>
  <c r="J18" i="51"/>
  <c r="P18" i="51" s="1"/>
  <c r="F18" i="51"/>
  <c r="H18" i="51" s="1"/>
  <c r="W17" i="51"/>
  <c r="V17" i="51"/>
  <c r="P17" i="51"/>
  <c r="N17" i="51"/>
  <c r="L17" i="51"/>
  <c r="K17" i="51"/>
  <c r="J17" i="51"/>
  <c r="F17" i="51"/>
  <c r="H17" i="51" s="1"/>
  <c r="AF16" i="51"/>
  <c r="W16" i="51"/>
  <c r="N16" i="51" s="1"/>
  <c r="K16" i="51"/>
  <c r="J16" i="51"/>
  <c r="F16" i="51"/>
  <c r="H16" i="51" s="1"/>
  <c r="AE15" i="51"/>
  <c r="AD15" i="51"/>
  <c r="AD2" i="51" s="1"/>
  <c r="N6" i="50" s="1"/>
  <c r="AA15" i="51"/>
  <c r="Z15" i="51"/>
  <c r="M15" i="51"/>
  <c r="W14" i="51"/>
  <c r="W13" i="51"/>
  <c r="W12" i="51"/>
  <c r="AG11" i="51"/>
  <c r="AF11" i="51"/>
  <c r="W11" i="51"/>
  <c r="AG10" i="51"/>
  <c r="AF10" i="51"/>
  <c r="W10" i="51"/>
  <c r="W9" i="51"/>
  <c r="V9" i="51"/>
  <c r="P9" i="51"/>
  <c r="O9" i="51"/>
  <c r="N9" i="51"/>
  <c r="K9" i="51"/>
  <c r="J9" i="51"/>
  <c r="F9" i="51"/>
  <c r="H9" i="51" s="1"/>
  <c r="AF8" i="51"/>
  <c r="W8" i="51"/>
  <c r="V8" i="51"/>
  <c r="N8" i="51"/>
  <c r="L8" i="51"/>
  <c r="K8" i="51"/>
  <c r="J8" i="51"/>
  <c r="P8" i="51" s="1"/>
  <c r="F8" i="51"/>
  <c r="H8" i="51" s="1"/>
  <c r="W7" i="51"/>
  <c r="V7" i="51"/>
  <c r="N7" i="51"/>
  <c r="K7" i="51"/>
  <c r="J7" i="51"/>
  <c r="H7" i="51"/>
  <c r="F7" i="51"/>
  <c r="AF6" i="51"/>
  <c r="W6" i="51"/>
  <c r="N6" i="51" s="1"/>
  <c r="V6" i="51"/>
  <c r="K6" i="51"/>
  <c r="J6" i="51"/>
  <c r="P6" i="51" s="1"/>
  <c r="F6" i="51"/>
  <c r="H6" i="51" s="1"/>
  <c r="AG5" i="51"/>
  <c r="AF5" i="51"/>
  <c r="W5" i="51"/>
  <c r="N5" i="51"/>
  <c r="L5" i="51"/>
  <c r="K5" i="51"/>
  <c r="J5" i="51"/>
  <c r="F5" i="51"/>
  <c r="H5" i="51" s="1"/>
  <c r="I2" i="51"/>
  <c r="E1" i="51"/>
  <c r="G3" i="50" s="1"/>
  <c r="I22" i="50"/>
  <c r="H22" i="50"/>
  <c r="G22" i="50"/>
  <c r="J21" i="50"/>
  <c r="H21" i="50"/>
  <c r="G21" i="50"/>
  <c r="F21" i="50"/>
  <c r="D21" i="50"/>
  <c r="J20" i="50"/>
  <c r="I20" i="50"/>
  <c r="H20" i="50"/>
  <c r="E20" i="50"/>
  <c r="D20" i="50"/>
  <c r="J19" i="50"/>
  <c r="H19" i="50"/>
  <c r="G19" i="50"/>
  <c r="E19" i="50"/>
  <c r="J18" i="50"/>
  <c r="H18" i="50"/>
  <c r="E18" i="50"/>
  <c r="J16" i="50"/>
  <c r="I16" i="50"/>
  <c r="H16" i="50"/>
  <c r="G16" i="50"/>
  <c r="F16" i="50"/>
  <c r="E16" i="50"/>
  <c r="D16" i="50"/>
  <c r="D3" i="50"/>
  <c r="AE79" i="49"/>
  <c r="J21" i="48" s="1"/>
  <c r="AD79" i="49"/>
  <c r="AA79" i="49"/>
  <c r="J18" i="48" s="1"/>
  <c r="Z79" i="49"/>
  <c r="O79" i="49"/>
  <c r="M79" i="49"/>
  <c r="W78" i="49"/>
  <c r="H78" i="49"/>
  <c r="W77" i="49"/>
  <c r="H77" i="49"/>
  <c r="W76" i="49"/>
  <c r="H76" i="49"/>
  <c r="W75" i="49"/>
  <c r="H75" i="49"/>
  <c r="W74" i="49"/>
  <c r="W73" i="49"/>
  <c r="W72" i="49"/>
  <c r="W71" i="49"/>
  <c r="W70" i="49"/>
  <c r="N70" i="49" s="1"/>
  <c r="O70" i="49"/>
  <c r="R70" i="49" s="1"/>
  <c r="K70" i="49"/>
  <c r="L70" i="49" s="1"/>
  <c r="L79" i="49" s="1"/>
  <c r="J70" i="49"/>
  <c r="P70" i="49" s="1"/>
  <c r="H70" i="49"/>
  <c r="F70" i="49"/>
  <c r="AE69" i="49"/>
  <c r="AD69" i="49"/>
  <c r="I20" i="48" s="1"/>
  <c r="AA69" i="49"/>
  <c r="Z69" i="49"/>
  <c r="I18" i="48" s="1"/>
  <c r="M69" i="49"/>
  <c r="W68" i="49"/>
  <c r="H68" i="49"/>
  <c r="W67" i="49"/>
  <c r="W66" i="49"/>
  <c r="W65" i="49"/>
  <c r="W64" i="49"/>
  <c r="W63" i="49"/>
  <c r="V63" i="49"/>
  <c r="P63" i="49"/>
  <c r="N63" i="49"/>
  <c r="O63" i="49" s="1"/>
  <c r="K63" i="49"/>
  <c r="L63" i="49" s="1"/>
  <c r="J63" i="49"/>
  <c r="F63" i="49"/>
  <c r="H63" i="49" s="1"/>
  <c r="AG62" i="49"/>
  <c r="AF62" i="49"/>
  <c r="W62" i="49"/>
  <c r="V62" i="49"/>
  <c r="P62" i="49"/>
  <c r="N62" i="49"/>
  <c r="L62" i="49"/>
  <c r="K62" i="49"/>
  <c r="J62" i="49"/>
  <c r="F62" i="49"/>
  <c r="H62" i="49" s="1"/>
  <c r="AG61" i="49"/>
  <c r="AF61" i="49"/>
  <c r="W61" i="49"/>
  <c r="V61" i="49"/>
  <c r="O61" i="49"/>
  <c r="N61" i="49"/>
  <c r="L61" i="49"/>
  <c r="K61" i="49"/>
  <c r="J61" i="49"/>
  <c r="P61" i="49" s="1"/>
  <c r="H61" i="49"/>
  <c r="F61" i="49"/>
  <c r="AG60" i="49"/>
  <c r="W60" i="49"/>
  <c r="N60" i="49" s="1"/>
  <c r="V60" i="49"/>
  <c r="K60" i="49"/>
  <c r="J60" i="49"/>
  <c r="H60" i="49"/>
  <c r="F60" i="49"/>
  <c r="AF59" i="49"/>
  <c r="W59" i="49"/>
  <c r="P59" i="49"/>
  <c r="N59" i="49"/>
  <c r="L59" i="49"/>
  <c r="K59" i="49"/>
  <c r="K69" i="49" s="1"/>
  <c r="J59" i="49"/>
  <c r="F59" i="49"/>
  <c r="H59" i="49" s="1"/>
  <c r="AE58" i="49"/>
  <c r="AD58" i="49"/>
  <c r="H20" i="48" s="1"/>
  <c r="AA58" i="49"/>
  <c r="H19" i="48" s="1"/>
  <c r="Z58" i="49"/>
  <c r="M58" i="49"/>
  <c r="W57" i="49"/>
  <c r="W56" i="49"/>
  <c r="W55" i="49"/>
  <c r="W54" i="49"/>
  <c r="AG53" i="49"/>
  <c r="AF53" i="49"/>
  <c r="W53" i="49"/>
  <c r="W52" i="49"/>
  <c r="V52" i="49"/>
  <c r="P52" i="49"/>
  <c r="O52" i="49"/>
  <c r="N52" i="49"/>
  <c r="K52" i="49"/>
  <c r="L52" i="49" s="1"/>
  <c r="J52" i="49"/>
  <c r="F52" i="49"/>
  <c r="H52" i="49" s="1"/>
  <c r="W51" i="49"/>
  <c r="N51" i="49" s="1"/>
  <c r="V51" i="49"/>
  <c r="L51" i="49"/>
  <c r="K51" i="49"/>
  <c r="J51" i="49"/>
  <c r="P51" i="49" s="1"/>
  <c r="H51" i="49"/>
  <c r="F51" i="49"/>
  <c r="W50" i="49"/>
  <c r="N50" i="49" s="1"/>
  <c r="AG50" i="49" s="1"/>
  <c r="V50" i="49"/>
  <c r="O50" i="49"/>
  <c r="K50" i="49"/>
  <c r="J50" i="49"/>
  <c r="P50" i="49" s="1"/>
  <c r="F50" i="49"/>
  <c r="H50" i="49" s="1"/>
  <c r="W49" i="49"/>
  <c r="N49" i="49" s="1"/>
  <c r="P49" i="49"/>
  <c r="L49" i="49"/>
  <c r="K49" i="49"/>
  <c r="J49" i="49"/>
  <c r="J58" i="49" s="1"/>
  <c r="P58" i="49" s="1"/>
  <c r="H49" i="49"/>
  <c r="F49" i="49"/>
  <c r="AE48" i="49"/>
  <c r="G21" i="48" s="1"/>
  <c r="AD48" i="49"/>
  <c r="AA48" i="49"/>
  <c r="G19" i="48" s="1"/>
  <c r="Z48" i="49"/>
  <c r="W48" i="49"/>
  <c r="M48" i="49"/>
  <c r="W47" i="49"/>
  <c r="H47" i="49"/>
  <c r="W46" i="49"/>
  <c r="W45" i="49"/>
  <c r="W44" i="49"/>
  <c r="W43" i="49"/>
  <c r="W42" i="49"/>
  <c r="AG41" i="49"/>
  <c r="AF41" i="49"/>
  <c r="W41" i="49"/>
  <c r="AG40" i="49"/>
  <c r="W40" i="49"/>
  <c r="N40" i="49" s="1"/>
  <c r="AF40" i="49" s="1"/>
  <c r="V40" i="49"/>
  <c r="Q40" i="49"/>
  <c r="P40" i="49"/>
  <c r="O40" i="49"/>
  <c r="R40" i="49" s="1"/>
  <c r="K40" i="49"/>
  <c r="L40" i="49" s="1"/>
  <c r="J40" i="49"/>
  <c r="H40" i="49"/>
  <c r="F40" i="49"/>
  <c r="W39" i="49"/>
  <c r="V39" i="49"/>
  <c r="P39" i="49"/>
  <c r="N39" i="49"/>
  <c r="K39" i="49"/>
  <c r="L39" i="49" s="1"/>
  <c r="J39" i="49"/>
  <c r="H39" i="49"/>
  <c r="F39" i="49"/>
  <c r="W38" i="49"/>
  <c r="N38" i="49" s="1"/>
  <c r="O38" i="49" s="1"/>
  <c r="P38" i="49"/>
  <c r="K38" i="49"/>
  <c r="AG38" i="49" s="1"/>
  <c r="J38" i="49"/>
  <c r="F38" i="49"/>
  <c r="H38" i="49" s="1"/>
  <c r="AE37" i="49"/>
  <c r="AD37" i="49"/>
  <c r="AA37" i="49"/>
  <c r="F19" i="48" s="1"/>
  <c r="Z37" i="49"/>
  <c r="M37" i="49"/>
  <c r="F22" i="48" s="1"/>
  <c r="W36" i="49"/>
  <c r="H36" i="49"/>
  <c r="W35" i="49"/>
  <c r="W34" i="49"/>
  <c r="W33" i="49"/>
  <c r="W32" i="49"/>
  <c r="AG31" i="49"/>
  <c r="AF31" i="49"/>
  <c r="W31" i="49"/>
  <c r="W30" i="49"/>
  <c r="V30" i="49"/>
  <c r="N30" i="49"/>
  <c r="L30" i="49"/>
  <c r="K30" i="49"/>
  <c r="J30" i="49"/>
  <c r="P30" i="49" s="1"/>
  <c r="H30" i="49"/>
  <c r="F30" i="49"/>
  <c r="W29" i="49"/>
  <c r="V29" i="49"/>
  <c r="P29" i="49"/>
  <c r="N29" i="49"/>
  <c r="L29" i="49"/>
  <c r="J29" i="49"/>
  <c r="F29" i="49"/>
  <c r="H29" i="49" s="1"/>
  <c r="W28" i="49"/>
  <c r="V28" i="49"/>
  <c r="N28" i="49"/>
  <c r="K28" i="49"/>
  <c r="J28" i="49"/>
  <c r="P28" i="49" s="1"/>
  <c r="H28" i="49"/>
  <c r="F28" i="49"/>
  <c r="W27" i="49"/>
  <c r="N27" i="49"/>
  <c r="K27" i="49"/>
  <c r="K37" i="49" s="1"/>
  <c r="J27" i="49"/>
  <c r="F27" i="49"/>
  <c r="H27" i="49" s="1"/>
  <c r="AE26" i="49"/>
  <c r="AD26" i="49"/>
  <c r="E20" i="48" s="1"/>
  <c r="AA26" i="49"/>
  <c r="Z26" i="49"/>
  <c r="M26" i="49"/>
  <c r="W25" i="49"/>
  <c r="H25" i="49"/>
  <c r="W24" i="49"/>
  <c r="H24" i="49"/>
  <c r="W23" i="49"/>
  <c r="W21" i="49"/>
  <c r="W20" i="49"/>
  <c r="AG19" i="49"/>
  <c r="AF19" i="49"/>
  <c r="W19" i="49"/>
  <c r="W18" i="49"/>
  <c r="V18" i="49"/>
  <c r="O18" i="49"/>
  <c r="N18" i="49"/>
  <c r="AG18" i="49" s="1"/>
  <c r="K18" i="49"/>
  <c r="J18" i="49"/>
  <c r="P18" i="49" s="1"/>
  <c r="F18" i="49"/>
  <c r="H18" i="49" s="1"/>
  <c r="W17" i="49"/>
  <c r="N17" i="49" s="1"/>
  <c r="V17" i="49"/>
  <c r="P17" i="49"/>
  <c r="K17" i="49"/>
  <c r="L17" i="49" s="1"/>
  <c r="J17" i="49"/>
  <c r="F17" i="49"/>
  <c r="H17" i="49" s="1"/>
  <c r="W16" i="49"/>
  <c r="N16" i="49"/>
  <c r="K16" i="49"/>
  <c r="J16" i="49"/>
  <c r="F16" i="49"/>
  <c r="H16" i="49" s="1"/>
  <c r="AE15" i="49"/>
  <c r="AD15" i="49"/>
  <c r="D20" i="48" s="1"/>
  <c r="AA15" i="49"/>
  <c r="Z15" i="49"/>
  <c r="M15" i="49"/>
  <c r="W14" i="49"/>
  <c r="W13" i="49"/>
  <c r="W12" i="49"/>
  <c r="AG11" i="49"/>
  <c r="AF11" i="49"/>
  <c r="W11" i="49"/>
  <c r="AG10" i="49"/>
  <c r="AF10" i="49"/>
  <c r="W10" i="49"/>
  <c r="AG9" i="49"/>
  <c r="AF9" i="49"/>
  <c r="W9" i="49"/>
  <c r="W8" i="49"/>
  <c r="N8" i="49" s="1"/>
  <c r="V8" i="49"/>
  <c r="P8" i="49"/>
  <c r="K8" i="49"/>
  <c r="J8" i="49"/>
  <c r="F8" i="49"/>
  <c r="H8" i="49" s="1"/>
  <c r="W7" i="49"/>
  <c r="N7" i="49" s="1"/>
  <c r="V7" i="49"/>
  <c r="P7" i="49"/>
  <c r="K7" i="49"/>
  <c r="L7" i="49" s="1"/>
  <c r="J7" i="49"/>
  <c r="F7" i="49"/>
  <c r="H7" i="49" s="1"/>
  <c r="AF6" i="49"/>
  <c r="W6" i="49"/>
  <c r="V6" i="49"/>
  <c r="N6" i="49"/>
  <c r="O6" i="49" s="1"/>
  <c r="K6" i="49"/>
  <c r="J6" i="49"/>
  <c r="F6" i="49"/>
  <c r="H6" i="49" s="1"/>
  <c r="W5" i="49"/>
  <c r="N5" i="49" s="1"/>
  <c r="P5" i="49"/>
  <c r="K5" i="49"/>
  <c r="L5" i="49" s="1"/>
  <c r="J5" i="49"/>
  <c r="H5" i="49"/>
  <c r="F5" i="49"/>
  <c r="AD2" i="49"/>
  <c r="N6" i="48" s="1"/>
  <c r="I2" i="49"/>
  <c r="E1" i="49"/>
  <c r="J22" i="48"/>
  <c r="I22" i="48"/>
  <c r="H22" i="48"/>
  <c r="I21" i="48"/>
  <c r="H21" i="48"/>
  <c r="F21" i="48"/>
  <c r="E21" i="48"/>
  <c r="D21" i="48"/>
  <c r="J20" i="48"/>
  <c r="G20" i="48"/>
  <c r="F20" i="48"/>
  <c r="J19" i="48"/>
  <c r="I19" i="48"/>
  <c r="E19" i="48"/>
  <c r="D19" i="48"/>
  <c r="H18" i="48"/>
  <c r="G18" i="48"/>
  <c r="F18" i="48"/>
  <c r="E18" i="48"/>
  <c r="J16" i="48"/>
  <c r="I16" i="48"/>
  <c r="H16" i="48"/>
  <c r="G16" i="48"/>
  <c r="F16" i="48"/>
  <c r="E16" i="48"/>
  <c r="D16" i="48"/>
  <c r="J13" i="48"/>
  <c r="G3" i="48"/>
  <c r="D3" i="48"/>
  <c r="AE79" i="47"/>
  <c r="AD79" i="47"/>
  <c r="J20" i="46" s="1"/>
  <c r="AA79" i="47"/>
  <c r="Z79" i="47"/>
  <c r="M79" i="47"/>
  <c r="L79" i="47"/>
  <c r="J13" i="46" s="1"/>
  <c r="K79" i="47"/>
  <c r="W78" i="47"/>
  <c r="H78" i="47"/>
  <c r="W77" i="47"/>
  <c r="H77" i="47"/>
  <c r="W76" i="47"/>
  <c r="H76" i="47"/>
  <c r="W75" i="47"/>
  <c r="H75" i="47"/>
  <c r="W74" i="47"/>
  <c r="W73" i="47"/>
  <c r="W72" i="47"/>
  <c r="W71" i="47"/>
  <c r="W70" i="47"/>
  <c r="N70" i="47" s="1"/>
  <c r="P70" i="47"/>
  <c r="O70" i="47"/>
  <c r="K70" i="47"/>
  <c r="L70" i="47" s="1"/>
  <c r="J70" i="47"/>
  <c r="J79" i="47" s="1"/>
  <c r="F70" i="47"/>
  <c r="H70" i="47" s="1"/>
  <c r="AE69" i="47"/>
  <c r="I21" i="46" s="1"/>
  <c r="AD69" i="47"/>
  <c r="AA69" i="47"/>
  <c r="Z69" i="47"/>
  <c r="M69" i="47"/>
  <c r="W68" i="47"/>
  <c r="H68" i="47"/>
  <c r="W67" i="47"/>
  <c r="W66" i="47"/>
  <c r="W65" i="47"/>
  <c r="W64" i="47"/>
  <c r="W63" i="47"/>
  <c r="N63" i="47" s="1"/>
  <c r="V63" i="47"/>
  <c r="O63" i="47"/>
  <c r="K63" i="47"/>
  <c r="J63" i="47"/>
  <c r="H63" i="47"/>
  <c r="F63" i="47"/>
  <c r="W62" i="47"/>
  <c r="V62" i="47"/>
  <c r="O62" i="47"/>
  <c r="N62" i="47"/>
  <c r="K62" i="47"/>
  <c r="J62" i="47"/>
  <c r="P62" i="47" s="1"/>
  <c r="H62" i="47"/>
  <c r="F62" i="47"/>
  <c r="W61" i="47"/>
  <c r="V61" i="47"/>
  <c r="P61" i="47"/>
  <c r="O61" i="47"/>
  <c r="N61" i="47"/>
  <c r="K61" i="47"/>
  <c r="J61" i="47"/>
  <c r="F61" i="47"/>
  <c r="H61" i="47" s="1"/>
  <c r="W60" i="47"/>
  <c r="N60" i="47" s="1"/>
  <c r="V60" i="47"/>
  <c r="K60" i="47"/>
  <c r="J60" i="47"/>
  <c r="P60" i="47" s="1"/>
  <c r="F60" i="47"/>
  <c r="H60" i="47" s="1"/>
  <c r="AG59" i="47"/>
  <c r="W59" i="47"/>
  <c r="N59" i="47" s="1"/>
  <c r="K59" i="47"/>
  <c r="J59" i="47"/>
  <c r="P59" i="47" s="1"/>
  <c r="H59" i="47"/>
  <c r="F59" i="47"/>
  <c r="AE58" i="47"/>
  <c r="AD58" i="47"/>
  <c r="AA58" i="47"/>
  <c r="Z58" i="47"/>
  <c r="M58" i="47"/>
  <c r="W57" i="47"/>
  <c r="W56" i="47"/>
  <c r="W55" i="47"/>
  <c r="W54" i="47"/>
  <c r="AG53" i="47"/>
  <c r="AF53" i="47"/>
  <c r="W53" i="47"/>
  <c r="W52" i="47"/>
  <c r="V52" i="47"/>
  <c r="N52" i="47"/>
  <c r="K52" i="47"/>
  <c r="J52" i="47"/>
  <c r="P52" i="47" s="1"/>
  <c r="H52" i="47"/>
  <c r="F52" i="47"/>
  <c r="W51" i="47"/>
  <c r="V51" i="47"/>
  <c r="P51" i="47"/>
  <c r="N51" i="47"/>
  <c r="L51" i="47"/>
  <c r="K51" i="47"/>
  <c r="J51" i="47"/>
  <c r="F51" i="47"/>
  <c r="H51" i="47" s="1"/>
  <c r="W50" i="47"/>
  <c r="V50" i="47"/>
  <c r="P50" i="47"/>
  <c r="N50" i="47"/>
  <c r="K50" i="47"/>
  <c r="J50" i="47"/>
  <c r="F50" i="47"/>
  <c r="H50" i="47" s="1"/>
  <c r="AF49" i="47"/>
  <c r="W49" i="47"/>
  <c r="P49" i="47"/>
  <c r="O49" i="47"/>
  <c r="N49" i="47"/>
  <c r="L49" i="47"/>
  <c r="K49" i="47"/>
  <c r="J49" i="47"/>
  <c r="F49" i="47"/>
  <c r="H49" i="47" s="1"/>
  <c r="AF48" i="47"/>
  <c r="AE48" i="47"/>
  <c r="G21" i="46" s="1"/>
  <c r="AD48" i="47"/>
  <c r="AA48" i="47"/>
  <c r="Z48" i="47"/>
  <c r="W48" i="47"/>
  <c r="N48" i="47"/>
  <c r="M48" i="47"/>
  <c r="W47" i="47"/>
  <c r="H47" i="47"/>
  <c r="W46" i="47"/>
  <c r="W45" i="47"/>
  <c r="W44" i="47"/>
  <c r="W43" i="47"/>
  <c r="W42" i="47"/>
  <c r="AG41" i="47"/>
  <c r="AF41" i="47"/>
  <c r="W41" i="47"/>
  <c r="AG40" i="47"/>
  <c r="AF40" i="47"/>
  <c r="W40" i="47"/>
  <c r="N40" i="47" s="1"/>
  <c r="O40" i="47" s="1"/>
  <c r="V40" i="47"/>
  <c r="P40" i="47"/>
  <c r="L40" i="47"/>
  <c r="K40" i="47"/>
  <c r="J40" i="47"/>
  <c r="F40" i="47"/>
  <c r="H40" i="47" s="1"/>
  <c r="W39" i="47"/>
  <c r="N39" i="47" s="1"/>
  <c r="V39" i="47"/>
  <c r="K39" i="47"/>
  <c r="K48" i="47" s="1"/>
  <c r="J39" i="47"/>
  <c r="P39" i="47" s="1"/>
  <c r="F39" i="47"/>
  <c r="H39" i="47" s="1"/>
  <c r="AF38" i="47"/>
  <c r="W38" i="47"/>
  <c r="N38" i="47"/>
  <c r="O38" i="47" s="1"/>
  <c r="K38" i="47"/>
  <c r="J38" i="47"/>
  <c r="P38" i="47" s="1"/>
  <c r="F38" i="47"/>
  <c r="H38" i="47" s="1"/>
  <c r="AE37" i="47"/>
  <c r="F21" i="46" s="1"/>
  <c r="AD37" i="47"/>
  <c r="AA37" i="47"/>
  <c r="F19" i="46" s="1"/>
  <c r="Z37" i="47"/>
  <c r="F18" i="46" s="1"/>
  <c r="M37" i="47"/>
  <c r="J37" i="47"/>
  <c r="W36" i="47"/>
  <c r="H36" i="47"/>
  <c r="W35" i="47"/>
  <c r="W34" i="47"/>
  <c r="W33" i="47"/>
  <c r="W32" i="47"/>
  <c r="AG31" i="47"/>
  <c r="AF31" i="47"/>
  <c r="W31" i="47"/>
  <c r="W30" i="47"/>
  <c r="V30" i="47"/>
  <c r="P30" i="47"/>
  <c r="N30" i="47"/>
  <c r="J30" i="47"/>
  <c r="L30" i="47" s="1"/>
  <c r="H30" i="47"/>
  <c r="F30" i="47"/>
  <c r="W29" i="47"/>
  <c r="V29" i="47"/>
  <c r="P29" i="47"/>
  <c r="O29" i="47"/>
  <c r="N29" i="47"/>
  <c r="K29" i="47"/>
  <c r="L29" i="47" s="1"/>
  <c r="J29" i="47"/>
  <c r="F29" i="47"/>
  <c r="H29" i="47" s="1"/>
  <c r="W28" i="47"/>
  <c r="V28" i="47"/>
  <c r="P28" i="47"/>
  <c r="O28" i="47"/>
  <c r="N28" i="47"/>
  <c r="K28" i="47"/>
  <c r="L28" i="47" s="1"/>
  <c r="J28" i="47"/>
  <c r="F28" i="47"/>
  <c r="H28" i="47" s="1"/>
  <c r="W27" i="47"/>
  <c r="N27" i="47"/>
  <c r="K27" i="47"/>
  <c r="J27" i="47"/>
  <c r="P27" i="47" s="1"/>
  <c r="H27" i="47"/>
  <c r="F27" i="47"/>
  <c r="AE26" i="47"/>
  <c r="AD26" i="47"/>
  <c r="AA26" i="47"/>
  <c r="Z26" i="47"/>
  <c r="M26" i="47"/>
  <c r="K26" i="47"/>
  <c r="W25" i="47"/>
  <c r="H25" i="47"/>
  <c r="W24" i="47"/>
  <c r="H24" i="47"/>
  <c r="W23" i="47"/>
  <c r="W21" i="47"/>
  <c r="W20" i="47"/>
  <c r="AG19" i="47"/>
  <c r="AF19" i="47"/>
  <c r="W19" i="47"/>
  <c r="AG18" i="47"/>
  <c r="AF18" i="47"/>
  <c r="W18" i="47"/>
  <c r="N18" i="47" s="1"/>
  <c r="O18" i="47" s="1"/>
  <c r="V18" i="47"/>
  <c r="K18" i="47"/>
  <c r="J18" i="47"/>
  <c r="P18" i="47" s="1"/>
  <c r="H18" i="47"/>
  <c r="F18" i="47"/>
  <c r="AG17" i="47"/>
  <c r="W17" i="47"/>
  <c r="V17" i="47"/>
  <c r="O17" i="47"/>
  <c r="N17" i="47"/>
  <c r="K17" i="47"/>
  <c r="J17" i="47"/>
  <c r="P17" i="47" s="1"/>
  <c r="H17" i="47"/>
  <c r="F17" i="47"/>
  <c r="W16" i="47"/>
  <c r="P16" i="47"/>
  <c r="N16" i="47"/>
  <c r="L16" i="47"/>
  <c r="K16" i="47"/>
  <c r="J16" i="47"/>
  <c r="H16" i="47"/>
  <c r="F16" i="47"/>
  <c r="AE15" i="47"/>
  <c r="AD15" i="47"/>
  <c r="AA15" i="47"/>
  <c r="D19" i="46" s="1"/>
  <c r="Z15" i="47"/>
  <c r="D18" i="46" s="1"/>
  <c r="M15" i="47"/>
  <c r="K15" i="47"/>
  <c r="W14" i="47"/>
  <c r="W13" i="47"/>
  <c r="W12" i="47"/>
  <c r="AG11" i="47"/>
  <c r="AF11" i="47"/>
  <c r="W11" i="47"/>
  <c r="AG10" i="47"/>
  <c r="AF10" i="47"/>
  <c r="W10" i="47"/>
  <c r="AG9" i="47"/>
  <c r="AF9" i="47"/>
  <c r="W9" i="47"/>
  <c r="AG8" i="47"/>
  <c r="W8" i="47"/>
  <c r="N8" i="47" s="1"/>
  <c r="AF8" i="47" s="1"/>
  <c r="V8" i="47"/>
  <c r="O8" i="47"/>
  <c r="K8" i="47"/>
  <c r="J8" i="47"/>
  <c r="J15" i="47" s="1"/>
  <c r="F8" i="47"/>
  <c r="H8" i="47" s="1"/>
  <c r="AG7" i="47"/>
  <c r="W7" i="47"/>
  <c r="V7" i="47"/>
  <c r="P7" i="47"/>
  <c r="O7" i="47"/>
  <c r="N7" i="47"/>
  <c r="AF7" i="47" s="1"/>
  <c r="L7" i="47"/>
  <c r="K7" i="47"/>
  <c r="J7" i="47"/>
  <c r="F7" i="47"/>
  <c r="H7" i="47" s="1"/>
  <c r="W6" i="47"/>
  <c r="V6" i="47"/>
  <c r="P6" i="47"/>
  <c r="O6" i="47"/>
  <c r="N6" i="47"/>
  <c r="K6" i="47"/>
  <c r="L6" i="47" s="1"/>
  <c r="J6" i="47"/>
  <c r="H6" i="47"/>
  <c r="F6" i="47"/>
  <c r="W5" i="47"/>
  <c r="P5" i="47"/>
  <c r="N5" i="47"/>
  <c r="L5" i="47"/>
  <c r="K5" i="47"/>
  <c r="J5" i="47"/>
  <c r="H5" i="47"/>
  <c r="F5" i="47"/>
  <c r="AD2" i="47"/>
  <c r="N6" i="46" s="1"/>
  <c r="AA2" i="47"/>
  <c r="M6" i="46" s="1"/>
  <c r="I2" i="47"/>
  <c r="I1" i="47"/>
  <c r="E1" i="47"/>
  <c r="I22" i="46"/>
  <c r="H22" i="46"/>
  <c r="G22" i="46"/>
  <c r="F22" i="46"/>
  <c r="E22" i="46"/>
  <c r="D22" i="46"/>
  <c r="J21" i="46"/>
  <c r="H21" i="46"/>
  <c r="D21" i="46"/>
  <c r="I20" i="46"/>
  <c r="H20" i="46"/>
  <c r="G20" i="46"/>
  <c r="F20" i="46"/>
  <c r="E20" i="46"/>
  <c r="D20" i="46"/>
  <c r="J19" i="46"/>
  <c r="I19" i="46"/>
  <c r="H19" i="46"/>
  <c r="G19" i="46"/>
  <c r="E19" i="46"/>
  <c r="J18" i="46"/>
  <c r="I18" i="46"/>
  <c r="H18" i="46"/>
  <c r="G18" i="46"/>
  <c r="E18" i="46"/>
  <c r="J16" i="46"/>
  <c r="I16" i="46"/>
  <c r="H16" i="46"/>
  <c r="G16" i="46"/>
  <c r="F16" i="46"/>
  <c r="E16" i="46"/>
  <c r="D16" i="46"/>
  <c r="G3" i="46"/>
  <c r="D3" i="46"/>
  <c r="AE79" i="45"/>
  <c r="J21" i="44" s="1"/>
  <c r="AD79" i="45"/>
  <c r="AA79" i="45"/>
  <c r="Z79" i="45"/>
  <c r="P79" i="45"/>
  <c r="M79" i="45"/>
  <c r="J22" i="44" s="1"/>
  <c r="J79" i="45"/>
  <c r="W78" i="45"/>
  <c r="H78" i="45"/>
  <c r="W77" i="45"/>
  <c r="H77" i="45"/>
  <c r="W76" i="45"/>
  <c r="H76" i="45"/>
  <c r="W75" i="45"/>
  <c r="H75" i="45"/>
  <c r="W74" i="45"/>
  <c r="W73" i="45"/>
  <c r="W72" i="45"/>
  <c r="W71" i="45"/>
  <c r="W70" i="45"/>
  <c r="P70" i="45"/>
  <c r="N70" i="45"/>
  <c r="N79" i="45" s="1"/>
  <c r="K70" i="45"/>
  <c r="K79" i="45" s="1"/>
  <c r="AF79" i="45" s="1"/>
  <c r="J70" i="45"/>
  <c r="H70" i="45"/>
  <c r="F70" i="45"/>
  <c r="AE69" i="45"/>
  <c r="AD69" i="45"/>
  <c r="I20" i="44" s="1"/>
  <c r="AA69" i="45"/>
  <c r="Z69" i="45"/>
  <c r="M69" i="45"/>
  <c r="W68" i="45"/>
  <c r="H68" i="45"/>
  <c r="W67" i="45"/>
  <c r="W66" i="45"/>
  <c r="W65" i="45"/>
  <c r="W64" i="45"/>
  <c r="W63" i="45"/>
  <c r="V63" i="45"/>
  <c r="P63" i="45"/>
  <c r="O63" i="45"/>
  <c r="N63" i="45"/>
  <c r="L63" i="45"/>
  <c r="K63" i="45"/>
  <c r="J63" i="45"/>
  <c r="H63" i="45"/>
  <c r="F63" i="45"/>
  <c r="W62" i="45"/>
  <c r="V62" i="45"/>
  <c r="P62" i="45"/>
  <c r="N62" i="45"/>
  <c r="K62" i="45"/>
  <c r="L62" i="45" s="1"/>
  <c r="J62" i="45"/>
  <c r="F62" i="45"/>
  <c r="H62" i="45" s="1"/>
  <c r="AG61" i="45"/>
  <c r="AF61" i="45"/>
  <c r="W61" i="45"/>
  <c r="N61" i="45" s="1"/>
  <c r="V61" i="45"/>
  <c r="P61" i="45"/>
  <c r="O61" i="45"/>
  <c r="K61" i="45"/>
  <c r="J61" i="45"/>
  <c r="L61" i="45" s="1"/>
  <c r="F61" i="45"/>
  <c r="H61" i="45" s="1"/>
  <c r="AG60" i="45"/>
  <c r="AF60" i="45"/>
  <c r="W60" i="45"/>
  <c r="N60" i="45" s="1"/>
  <c r="O60" i="45" s="1"/>
  <c r="V60" i="45"/>
  <c r="K60" i="45"/>
  <c r="J60" i="45"/>
  <c r="F60" i="45"/>
  <c r="H60" i="45" s="1"/>
  <c r="W59" i="45"/>
  <c r="N59" i="45" s="1"/>
  <c r="K59" i="45"/>
  <c r="K69" i="45" s="1"/>
  <c r="J59" i="45"/>
  <c r="P59" i="45" s="1"/>
  <c r="F59" i="45"/>
  <c r="H59" i="45" s="1"/>
  <c r="AE58" i="45"/>
  <c r="AD58" i="45"/>
  <c r="AA58" i="45"/>
  <c r="H19" i="44" s="1"/>
  <c r="Z58" i="45"/>
  <c r="M58" i="45"/>
  <c r="H22" i="44" s="1"/>
  <c r="K58" i="45"/>
  <c r="W57" i="45"/>
  <c r="W56" i="45"/>
  <c r="W55" i="45"/>
  <c r="W54" i="45"/>
  <c r="AG53" i="45"/>
  <c r="AF53" i="45"/>
  <c r="W53" i="45"/>
  <c r="W52" i="45"/>
  <c r="N52" i="45" s="1"/>
  <c r="V52" i="45"/>
  <c r="K52" i="45"/>
  <c r="J52" i="45"/>
  <c r="P52" i="45" s="1"/>
  <c r="F52" i="45"/>
  <c r="H52" i="45" s="1"/>
  <c r="AF51" i="45"/>
  <c r="W51" i="45"/>
  <c r="V51" i="45"/>
  <c r="N51" i="45"/>
  <c r="O51" i="45" s="1"/>
  <c r="K51" i="45"/>
  <c r="J51" i="45"/>
  <c r="H51" i="45"/>
  <c r="F51" i="45"/>
  <c r="W50" i="45"/>
  <c r="N50" i="45" s="1"/>
  <c r="V50" i="45"/>
  <c r="K50" i="45"/>
  <c r="J50" i="45"/>
  <c r="F50" i="45"/>
  <c r="H50" i="45" s="1"/>
  <c r="AF49" i="45"/>
  <c r="W49" i="45"/>
  <c r="R49" i="45"/>
  <c r="P49" i="45"/>
  <c r="O49" i="45"/>
  <c r="N49" i="45"/>
  <c r="K49" i="45"/>
  <c r="L49" i="45" s="1"/>
  <c r="J49" i="45"/>
  <c r="F49" i="45"/>
  <c r="H49" i="45" s="1"/>
  <c r="AE48" i="45"/>
  <c r="G21" i="44" s="1"/>
  <c r="AD48" i="45"/>
  <c r="AA48" i="45"/>
  <c r="G19" i="44" s="1"/>
  <c r="Z48" i="45"/>
  <c r="W48" i="45"/>
  <c r="N48" i="45"/>
  <c r="M48" i="45"/>
  <c r="K48" i="45"/>
  <c r="W47" i="45"/>
  <c r="H47" i="45"/>
  <c r="W46" i="45"/>
  <c r="W45" i="45"/>
  <c r="W44" i="45"/>
  <c r="W43" i="45"/>
  <c r="W42" i="45"/>
  <c r="AG41" i="45"/>
  <c r="AF41" i="45"/>
  <c r="W41" i="45"/>
  <c r="AG40" i="45"/>
  <c r="AF40" i="45"/>
  <c r="W40" i="45"/>
  <c r="AG39" i="45"/>
  <c r="AF39" i="45"/>
  <c r="W39" i="45"/>
  <c r="V39" i="45"/>
  <c r="P39" i="45"/>
  <c r="N39" i="45"/>
  <c r="O39" i="45" s="1"/>
  <c r="K39" i="45"/>
  <c r="J39" i="45"/>
  <c r="J48" i="45" s="1"/>
  <c r="F39" i="45"/>
  <c r="H39" i="45" s="1"/>
  <c r="AF38" i="45"/>
  <c r="W38" i="45"/>
  <c r="P38" i="45"/>
  <c r="N38" i="45"/>
  <c r="L38" i="45"/>
  <c r="K38" i="45"/>
  <c r="J38" i="45"/>
  <c r="F38" i="45"/>
  <c r="H38" i="45" s="1"/>
  <c r="AE37" i="45"/>
  <c r="F21" i="44" s="1"/>
  <c r="AD37" i="45"/>
  <c r="AD2" i="45" s="1"/>
  <c r="AA37" i="45"/>
  <c r="Z37" i="45"/>
  <c r="M37" i="45"/>
  <c r="W36" i="45"/>
  <c r="H36" i="45"/>
  <c r="W35" i="45"/>
  <c r="W34" i="45"/>
  <c r="W33" i="45"/>
  <c r="W32" i="45"/>
  <c r="W31" i="45"/>
  <c r="N31" i="45" s="1"/>
  <c r="V31" i="45"/>
  <c r="K31" i="45"/>
  <c r="L31" i="45" s="1"/>
  <c r="J31" i="45"/>
  <c r="P31" i="45" s="1"/>
  <c r="F31" i="45"/>
  <c r="H31" i="45" s="1"/>
  <c r="W30" i="45"/>
  <c r="V30" i="45"/>
  <c r="P30" i="45"/>
  <c r="N30" i="45"/>
  <c r="AF30" i="45" s="1"/>
  <c r="L30" i="45"/>
  <c r="K30" i="45"/>
  <c r="J30" i="45"/>
  <c r="H30" i="45"/>
  <c r="F30" i="45"/>
  <c r="AF29" i="45"/>
  <c r="W29" i="45"/>
  <c r="N29" i="45" s="1"/>
  <c r="V29" i="45"/>
  <c r="P29" i="45"/>
  <c r="J29" i="45"/>
  <c r="L29" i="45" s="1"/>
  <c r="F29" i="45"/>
  <c r="H29" i="45" s="1"/>
  <c r="AG28" i="45"/>
  <c r="AF28" i="45"/>
  <c r="W28" i="45"/>
  <c r="N28" i="45" s="1"/>
  <c r="O28" i="45" s="1"/>
  <c r="V28" i="45"/>
  <c r="R28" i="45"/>
  <c r="P28" i="45"/>
  <c r="K28" i="45"/>
  <c r="J28" i="45"/>
  <c r="L28" i="45" s="1"/>
  <c r="Q28" i="45" s="1"/>
  <c r="F28" i="45"/>
  <c r="H28" i="45" s="1"/>
  <c r="AF27" i="45"/>
  <c r="W27" i="45"/>
  <c r="P27" i="45"/>
  <c r="N27" i="45"/>
  <c r="L27" i="45"/>
  <c r="K27" i="45"/>
  <c r="J27" i="45"/>
  <c r="F27" i="45"/>
  <c r="H27" i="45" s="1"/>
  <c r="AE26" i="45"/>
  <c r="AD26" i="45"/>
  <c r="AA26" i="45"/>
  <c r="E19" i="44" s="1"/>
  <c r="Z26" i="45"/>
  <c r="M26" i="45"/>
  <c r="W25" i="45"/>
  <c r="H25" i="45"/>
  <c r="W24" i="45"/>
  <c r="H24" i="45"/>
  <c r="W23" i="45"/>
  <c r="W21" i="45"/>
  <c r="W20" i="45"/>
  <c r="AF19" i="45"/>
  <c r="W19" i="45"/>
  <c r="N19" i="45" s="1"/>
  <c r="V19" i="45"/>
  <c r="K19" i="45"/>
  <c r="L19" i="45" s="1"/>
  <c r="J19" i="45"/>
  <c r="P19" i="45" s="1"/>
  <c r="F19" i="45"/>
  <c r="H19" i="45" s="1"/>
  <c r="AG18" i="45"/>
  <c r="AF18" i="45"/>
  <c r="W18" i="45"/>
  <c r="V18" i="45"/>
  <c r="O18" i="45"/>
  <c r="N18" i="45"/>
  <c r="L18" i="45"/>
  <c r="K18" i="45"/>
  <c r="J18" i="45"/>
  <c r="P18" i="45" s="1"/>
  <c r="F18" i="45"/>
  <c r="H18" i="45" s="1"/>
  <c r="W17" i="45"/>
  <c r="N17" i="45" s="1"/>
  <c r="V17" i="45"/>
  <c r="K17" i="45"/>
  <c r="J17" i="45"/>
  <c r="P17" i="45" s="1"/>
  <c r="F17" i="45"/>
  <c r="H17" i="45" s="1"/>
  <c r="W16" i="45"/>
  <c r="N16" i="45" s="1"/>
  <c r="K16" i="45"/>
  <c r="J16" i="45"/>
  <c r="F16" i="45"/>
  <c r="H16" i="45" s="1"/>
  <c r="AE15" i="45"/>
  <c r="AD15" i="45"/>
  <c r="AA15" i="45"/>
  <c r="D19" i="44" s="1"/>
  <c r="Z15" i="45"/>
  <c r="M15" i="45"/>
  <c r="D22" i="44" s="1"/>
  <c r="K15" i="45"/>
  <c r="W14" i="45"/>
  <c r="W13" i="45"/>
  <c r="W12" i="45"/>
  <c r="AG11" i="45"/>
  <c r="AF11" i="45"/>
  <c r="W11" i="45"/>
  <c r="W10" i="45"/>
  <c r="V10" i="45"/>
  <c r="P10" i="45"/>
  <c r="O10" i="45"/>
  <c r="N10" i="45"/>
  <c r="AF10" i="45" s="1"/>
  <c r="L10" i="45"/>
  <c r="K10" i="45"/>
  <c r="J10" i="45"/>
  <c r="H10" i="45"/>
  <c r="F10" i="45"/>
  <c r="AF9" i="45"/>
  <c r="W9" i="45"/>
  <c r="N9" i="45" s="1"/>
  <c r="V9" i="45"/>
  <c r="Q9" i="45"/>
  <c r="P9" i="45"/>
  <c r="O9" i="45"/>
  <c r="K9" i="45"/>
  <c r="L9" i="45" s="1"/>
  <c r="J9" i="45"/>
  <c r="F9" i="45"/>
  <c r="H9" i="45" s="1"/>
  <c r="W8" i="45"/>
  <c r="V8" i="45"/>
  <c r="N8" i="45"/>
  <c r="K8" i="45"/>
  <c r="J8" i="45"/>
  <c r="P8" i="45" s="1"/>
  <c r="F8" i="45"/>
  <c r="H8" i="45" s="1"/>
  <c r="W7" i="45"/>
  <c r="N7" i="45" s="1"/>
  <c r="V7" i="45"/>
  <c r="L7" i="45"/>
  <c r="K7" i="45"/>
  <c r="AF7" i="45" s="1"/>
  <c r="J7" i="45"/>
  <c r="P7" i="45" s="1"/>
  <c r="F7" i="45"/>
  <c r="H7" i="45" s="1"/>
  <c r="AG6" i="45"/>
  <c r="AF6" i="45"/>
  <c r="W6" i="45"/>
  <c r="V6" i="45"/>
  <c r="O6" i="45"/>
  <c r="N6" i="45"/>
  <c r="K6" i="45"/>
  <c r="J6" i="45"/>
  <c r="F6" i="45"/>
  <c r="H6" i="45" s="1"/>
  <c r="W5" i="45"/>
  <c r="P5" i="45"/>
  <c r="N5" i="45"/>
  <c r="L5" i="45"/>
  <c r="K5" i="45"/>
  <c r="AF5" i="45" s="1"/>
  <c r="J5" i="45"/>
  <c r="F5" i="45"/>
  <c r="H5" i="45" s="1"/>
  <c r="I2" i="45"/>
  <c r="E1" i="45"/>
  <c r="I22" i="44"/>
  <c r="G22" i="44"/>
  <c r="F22" i="44"/>
  <c r="E22" i="44"/>
  <c r="I21" i="44"/>
  <c r="H21" i="44"/>
  <c r="E21" i="44"/>
  <c r="J20" i="44"/>
  <c r="H20" i="44"/>
  <c r="G20" i="44"/>
  <c r="E20" i="44"/>
  <c r="D20" i="44"/>
  <c r="J19" i="44"/>
  <c r="I19" i="44"/>
  <c r="F19" i="44"/>
  <c r="J18" i="44"/>
  <c r="I18" i="44"/>
  <c r="H18" i="44"/>
  <c r="F18" i="44"/>
  <c r="E18" i="44"/>
  <c r="D18" i="44"/>
  <c r="J16" i="44"/>
  <c r="I16" i="44"/>
  <c r="H16" i="44"/>
  <c r="G16" i="44"/>
  <c r="F16" i="44"/>
  <c r="E16" i="44"/>
  <c r="D16" i="44"/>
  <c r="N6" i="44"/>
  <c r="G3" i="44"/>
  <c r="D3" i="44"/>
  <c r="AE79" i="43"/>
  <c r="AD79" i="43"/>
  <c r="AA79" i="43"/>
  <c r="Z79" i="43"/>
  <c r="M79" i="43"/>
  <c r="W78" i="43"/>
  <c r="H78" i="43"/>
  <c r="W77" i="43"/>
  <c r="H77" i="43"/>
  <c r="W76" i="43"/>
  <c r="H76" i="43"/>
  <c r="W75" i="43"/>
  <c r="H75" i="43"/>
  <c r="W74" i="43"/>
  <c r="W73" i="43"/>
  <c r="W72" i="43"/>
  <c r="W71" i="43"/>
  <c r="W70" i="43"/>
  <c r="N70" i="43" s="1"/>
  <c r="K70" i="43"/>
  <c r="K79" i="43" s="1"/>
  <c r="J70" i="43"/>
  <c r="F70" i="43"/>
  <c r="H70" i="43" s="1"/>
  <c r="AE69" i="43"/>
  <c r="I21" i="42" s="1"/>
  <c r="AD69" i="43"/>
  <c r="AA69" i="43"/>
  <c r="Z69" i="43"/>
  <c r="M69" i="43"/>
  <c r="W68" i="43"/>
  <c r="H68" i="43"/>
  <c r="W67" i="43"/>
  <c r="W66" i="43"/>
  <c r="W65" i="43"/>
  <c r="W64" i="43"/>
  <c r="W63" i="43"/>
  <c r="V63" i="43"/>
  <c r="O63" i="43"/>
  <c r="N63" i="43"/>
  <c r="L63" i="43"/>
  <c r="K63" i="43"/>
  <c r="J63" i="43"/>
  <c r="P63" i="43" s="1"/>
  <c r="H63" i="43"/>
  <c r="F63" i="43"/>
  <c r="W62" i="43"/>
  <c r="V62" i="43"/>
  <c r="P62" i="43"/>
  <c r="N62" i="43"/>
  <c r="K62" i="43"/>
  <c r="L62" i="43" s="1"/>
  <c r="J62" i="43"/>
  <c r="H62" i="43"/>
  <c r="F62" i="43"/>
  <c r="W61" i="43"/>
  <c r="V61" i="43"/>
  <c r="P61" i="43"/>
  <c r="N61" i="43"/>
  <c r="L61" i="43"/>
  <c r="K61" i="43"/>
  <c r="J61" i="43"/>
  <c r="F61" i="43"/>
  <c r="H61" i="43" s="1"/>
  <c r="AF60" i="43"/>
  <c r="W60" i="43"/>
  <c r="V60" i="43"/>
  <c r="P60" i="43"/>
  <c r="N60" i="43"/>
  <c r="AG60" i="43" s="1"/>
  <c r="K60" i="43"/>
  <c r="J60" i="43"/>
  <c r="F60" i="43"/>
  <c r="H60" i="43" s="1"/>
  <c r="AF59" i="43"/>
  <c r="W59" i="43"/>
  <c r="N59" i="43"/>
  <c r="K59" i="43"/>
  <c r="J59" i="43"/>
  <c r="H59" i="43"/>
  <c r="F59" i="43"/>
  <c r="AE58" i="43"/>
  <c r="AD58" i="43"/>
  <c r="H20" i="42" s="1"/>
  <c r="AA58" i="43"/>
  <c r="Z58" i="43"/>
  <c r="P58" i="43"/>
  <c r="M58" i="43"/>
  <c r="H22" i="42" s="1"/>
  <c r="K58" i="43"/>
  <c r="J58" i="43"/>
  <c r="W57" i="43"/>
  <c r="W56" i="43"/>
  <c r="W55" i="43"/>
  <c r="W54" i="43"/>
  <c r="AG53" i="43"/>
  <c r="AF53" i="43"/>
  <c r="W53" i="43"/>
  <c r="W52" i="43"/>
  <c r="V52" i="43"/>
  <c r="R52" i="43"/>
  <c r="N52" i="43"/>
  <c r="O52" i="43" s="1"/>
  <c r="K52" i="43"/>
  <c r="L52" i="43" s="1"/>
  <c r="Q52" i="43" s="1"/>
  <c r="J52" i="43"/>
  <c r="P52" i="43" s="1"/>
  <c r="H52" i="43"/>
  <c r="G1" i="43" s="1"/>
  <c r="F52" i="43"/>
  <c r="W51" i="43"/>
  <c r="V51" i="43"/>
  <c r="P51" i="43"/>
  <c r="N51" i="43"/>
  <c r="L51" i="43"/>
  <c r="K51" i="43"/>
  <c r="J51" i="43"/>
  <c r="F51" i="43"/>
  <c r="H51" i="43" s="1"/>
  <c r="AF50" i="43"/>
  <c r="W50" i="43"/>
  <c r="V50" i="43"/>
  <c r="P50" i="43"/>
  <c r="O50" i="43"/>
  <c r="N50" i="43"/>
  <c r="AG50" i="43" s="1"/>
  <c r="L50" i="43"/>
  <c r="K50" i="43"/>
  <c r="J50" i="43"/>
  <c r="H50" i="43"/>
  <c r="F50" i="43"/>
  <c r="W49" i="43"/>
  <c r="P49" i="43"/>
  <c r="N49" i="43"/>
  <c r="AF49" i="43" s="1"/>
  <c r="L49" i="43"/>
  <c r="K49" i="43"/>
  <c r="J49" i="43"/>
  <c r="F49" i="43"/>
  <c r="H49" i="43" s="1"/>
  <c r="AE48" i="43"/>
  <c r="G21" i="42" s="1"/>
  <c r="AD48" i="43"/>
  <c r="G20" i="42" s="1"/>
  <c r="AA48" i="43"/>
  <c r="G19" i="42" s="1"/>
  <c r="Z48" i="43"/>
  <c r="W48" i="43"/>
  <c r="M48" i="43"/>
  <c r="W47" i="43"/>
  <c r="H47" i="43"/>
  <c r="W46" i="43"/>
  <c r="W45" i="43"/>
  <c r="W44" i="43"/>
  <c r="W43" i="43"/>
  <c r="W42" i="43"/>
  <c r="AG41" i="43"/>
  <c r="AF41" i="43"/>
  <c r="W41" i="43"/>
  <c r="AG40" i="43"/>
  <c r="AF40" i="43"/>
  <c r="W40" i="43"/>
  <c r="AF39" i="43"/>
  <c r="W39" i="43"/>
  <c r="N39" i="43" s="1"/>
  <c r="V39" i="43"/>
  <c r="P39" i="43"/>
  <c r="K39" i="43"/>
  <c r="L39" i="43" s="1"/>
  <c r="J39" i="43"/>
  <c r="F39" i="43"/>
  <c r="H39" i="43" s="1"/>
  <c r="W38" i="43"/>
  <c r="N38" i="43"/>
  <c r="K38" i="43"/>
  <c r="J38" i="43"/>
  <c r="H38" i="43"/>
  <c r="F38" i="43"/>
  <c r="AE37" i="43"/>
  <c r="AD37" i="43"/>
  <c r="F20" i="42" s="1"/>
  <c r="AA37" i="43"/>
  <c r="F19" i="42" s="1"/>
  <c r="Z37" i="43"/>
  <c r="F18" i="42" s="1"/>
  <c r="M37" i="43"/>
  <c r="W36" i="43"/>
  <c r="H36" i="43"/>
  <c r="W35" i="43"/>
  <c r="W34" i="43"/>
  <c r="W33" i="43"/>
  <c r="W32" i="43"/>
  <c r="N32" i="43" s="1"/>
  <c r="V32" i="43"/>
  <c r="O32" i="43"/>
  <c r="K32" i="43"/>
  <c r="L32" i="43" s="1"/>
  <c r="J32" i="43"/>
  <c r="P32" i="43" s="1"/>
  <c r="H32" i="43"/>
  <c r="F32" i="43"/>
  <c r="W31" i="43"/>
  <c r="N31" i="43" s="1"/>
  <c r="V31" i="43"/>
  <c r="K31" i="43"/>
  <c r="L31" i="43" s="1"/>
  <c r="J31" i="43"/>
  <c r="P31" i="43" s="1"/>
  <c r="F31" i="43"/>
  <c r="H31" i="43" s="1"/>
  <c r="W30" i="43"/>
  <c r="V30" i="43"/>
  <c r="N30" i="43"/>
  <c r="K30" i="43"/>
  <c r="L30" i="43" s="1"/>
  <c r="J30" i="43"/>
  <c r="P30" i="43" s="1"/>
  <c r="H30" i="43"/>
  <c r="F30" i="43"/>
  <c r="W29" i="43"/>
  <c r="V29" i="43"/>
  <c r="P29" i="43"/>
  <c r="N29" i="43"/>
  <c r="K29" i="43"/>
  <c r="J29" i="43"/>
  <c r="F29" i="43"/>
  <c r="H29" i="43" s="1"/>
  <c r="W28" i="43"/>
  <c r="N28" i="43" s="1"/>
  <c r="V28" i="43"/>
  <c r="P28" i="43"/>
  <c r="J28" i="43"/>
  <c r="L28" i="43" s="1"/>
  <c r="H28" i="43"/>
  <c r="F28" i="43"/>
  <c r="AG27" i="43"/>
  <c r="AF27" i="43"/>
  <c r="W27" i="43"/>
  <c r="N27" i="43" s="1"/>
  <c r="O27" i="43" s="1"/>
  <c r="K27" i="43"/>
  <c r="J27" i="43"/>
  <c r="H27" i="43"/>
  <c r="F27" i="43"/>
  <c r="AE26" i="43"/>
  <c r="AD26" i="43"/>
  <c r="E20" i="42" s="1"/>
  <c r="AA26" i="43"/>
  <c r="E19" i="42" s="1"/>
  <c r="Z26" i="43"/>
  <c r="N26" i="43"/>
  <c r="M26" i="43"/>
  <c r="E22" i="42" s="1"/>
  <c r="W25" i="43"/>
  <c r="H25" i="43"/>
  <c r="W24" i="43"/>
  <c r="H24" i="43"/>
  <c r="W23" i="43"/>
  <c r="W21" i="43"/>
  <c r="W20" i="43"/>
  <c r="AF19" i="43"/>
  <c r="W19" i="43"/>
  <c r="N19" i="43" s="1"/>
  <c r="V19" i="43"/>
  <c r="K19" i="43"/>
  <c r="J19" i="43"/>
  <c r="P19" i="43" s="1"/>
  <c r="F19" i="43"/>
  <c r="H19" i="43" s="1"/>
  <c r="AG18" i="43"/>
  <c r="W18" i="43"/>
  <c r="N18" i="43" s="1"/>
  <c r="O18" i="43" s="1"/>
  <c r="V18" i="43"/>
  <c r="K18" i="43"/>
  <c r="J18" i="43"/>
  <c r="P18" i="43" s="1"/>
  <c r="H18" i="43"/>
  <c r="F18" i="43"/>
  <c r="W17" i="43"/>
  <c r="N17" i="43" s="1"/>
  <c r="V17" i="43"/>
  <c r="K17" i="43"/>
  <c r="J17" i="43"/>
  <c r="P17" i="43" s="1"/>
  <c r="H17" i="43"/>
  <c r="F17" i="43"/>
  <c r="W16" i="43"/>
  <c r="N16" i="43" s="1"/>
  <c r="K16" i="43"/>
  <c r="J16" i="43"/>
  <c r="F16" i="43"/>
  <c r="H16" i="43" s="1"/>
  <c r="AE15" i="43"/>
  <c r="AD15" i="43"/>
  <c r="D20" i="42" s="1"/>
  <c r="AA15" i="43"/>
  <c r="Z15" i="43"/>
  <c r="Z2" i="43" s="1"/>
  <c r="L6" i="42" s="1"/>
  <c r="M15" i="43"/>
  <c r="J15" i="43"/>
  <c r="P15" i="43" s="1"/>
  <c r="W14" i="43"/>
  <c r="W13" i="43"/>
  <c r="W12" i="43"/>
  <c r="AG11" i="43"/>
  <c r="AF11" i="43"/>
  <c r="W11" i="43"/>
  <c r="AG10" i="43"/>
  <c r="AF10" i="43"/>
  <c r="W10" i="43"/>
  <c r="W9" i="43"/>
  <c r="V9" i="43"/>
  <c r="P9" i="43"/>
  <c r="N9" i="43"/>
  <c r="L9" i="43"/>
  <c r="K9" i="43"/>
  <c r="J9" i="43"/>
  <c r="H9" i="43"/>
  <c r="F9" i="43"/>
  <c r="AG8" i="43"/>
  <c r="AF8" i="43"/>
  <c r="W8" i="43"/>
  <c r="N8" i="43" s="1"/>
  <c r="V8" i="43"/>
  <c r="R8" i="43"/>
  <c r="Q8" i="43"/>
  <c r="P8" i="43"/>
  <c r="O8" i="43"/>
  <c r="K8" i="43"/>
  <c r="L8" i="43" s="1"/>
  <c r="J8" i="43"/>
  <c r="F8" i="43"/>
  <c r="H8" i="43" s="1"/>
  <c r="AG7" i="43"/>
  <c r="W7" i="43"/>
  <c r="V7" i="43"/>
  <c r="N7" i="43"/>
  <c r="K7" i="43"/>
  <c r="L7" i="43" s="1"/>
  <c r="J7" i="43"/>
  <c r="P7" i="43" s="1"/>
  <c r="H7" i="43"/>
  <c r="F7" i="43"/>
  <c r="W6" i="43"/>
  <c r="N6" i="43" s="1"/>
  <c r="V6" i="43"/>
  <c r="P6" i="43"/>
  <c r="K6" i="43"/>
  <c r="L6" i="43" s="1"/>
  <c r="J6" i="43"/>
  <c r="F6" i="43"/>
  <c r="H6" i="43" s="1"/>
  <c r="AG5" i="43"/>
  <c r="W5" i="43"/>
  <c r="P5" i="43"/>
  <c r="O5" i="43"/>
  <c r="N5" i="43"/>
  <c r="L5" i="43"/>
  <c r="K5" i="43"/>
  <c r="J5" i="43"/>
  <c r="H5" i="43"/>
  <c r="F5" i="43"/>
  <c r="I2" i="43"/>
  <c r="E1" i="43"/>
  <c r="G3" i="42" s="1"/>
  <c r="J22" i="42"/>
  <c r="I22" i="42"/>
  <c r="G22" i="42"/>
  <c r="F22" i="42"/>
  <c r="D22" i="42"/>
  <c r="J21" i="42"/>
  <c r="H21" i="42"/>
  <c r="F21" i="42"/>
  <c r="E21" i="42"/>
  <c r="I20" i="42"/>
  <c r="J19" i="42"/>
  <c r="I19" i="42"/>
  <c r="H19" i="42"/>
  <c r="D19" i="42"/>
  <c r="J18" i="42"/>
  <c r="I18" i="42"/>
  <c r="H18" i="42"/>
  <c r="G18" i="42"/>
  <c r="E18" i="42"/>
  <c r="J16" i="42"/>
  <c r="I16" i="42"/>
  <c r="H16" i="42"/>
  <c r="G16" i="42"/>
  <c r="F16" i="42"/>
  <c r="E16" i="42"/>
  <c r="D16" i="42"/>
  <c r="D3" i="42"/>
  <c r="AE79" i="89"/>
  <c r="J21" i="88" s="1"/>
  <c r="AD79" i="89"/>
  <c r="AA79" i="89"/>
  <c r="Z79" i="89"/>
  <c r="M79" i="89"/>
  <c r="K79" i="89"/>
  <c r="W78" i="89"/>
  <c r="H78" i="89"/>
  <c r="W77" i="89"/>
  <c r="H77" i="89"/>
  <c r="W76" i="89"/>
  <c r="H76" i="89"/>
  <c r="W75" i="89"/>
  <c r="H75" i="89"/>
  <c r="W74" i="89"/>
  <c r="W73" i="89"/>
  <c r="W72" i="89"/>
  <c r="W71" i="89"/>
  <c r="V71" i="89"/>
  <c r="N71" i="89"/>
  <c r="O71" i="89" s="1"/>
  <c r="K71" i="89"/>
  <c r="J71" i="89"/>
  <c r="P71" i="89" s="1"/>
  <c r="H71" i="89"/>
  <c r="F71" i="89"/>
  <c r="W70" i="89"/>
  <c r="N70" i="89"/>
  <c r="K70" i="89"/>
  <c r="J70" i="89"/>
  <c r="H70" i="89"/>
  <c r="F70" i="89"/>
  <c r="AE69" i="89"/>
  <c r="AD69" i="89"/>
  <c r="I20" i="88" s="1"/>
  <c r="AA69" i="89"/>
  <c r="Z69" i="89"/>
  <c r="M69" i="89"/>
  <c r="W68" i="89"/>
  <c r="H68" i="89"/>
  <c r="W67" i="89"/>
  <c r="W66" i="89"/>
  <c r="W65" i="89"/>
  <c r="W64" i="89"/>
  <c r="W63" i="89"/>
  <c r="W62" i="89"/>
  <c r="N62" i="89" s="1"/>
  <c r="V62" i="89"/>
  <c r="K62" i="89"/>
  <c r="J62" i="89"/>
  <c r="H62" i="89"/>
  <c r="F62" i="89"/>
  <c r="W61" i="89"/>
  <c r="V61" i="89"/>
  <c r="Q61" i="89"/>
  <c r="P61" i="89"/>
  <c r="O61" i="89"/>
  <c r="N61" i="89"/>
  <c r="AF61" i="89" s="1"/>
  <c r="K61" i="89"/>
  <c r="J61" i="89"/>
  <c r="L61" i="89" s="1"/>
  <c r="H61" i="89"/>
  <c r="F61" i="89"/>
  <c r="W60" i="89"/>
  <c r="V60" i="89"/>
  <c r="P60" i="89"/>
  <c r="N60" i="89"/>
  <c r="AF60" i="89" s="1"/>
  <c r="K60" i="89"/>
  <c r="L60" i="89" s="1"/>
  <c r="J60" i="89"/>
  <c r="F60" i="89"/>
  <c r="H60" i="89" s="1"/>
  <c r="W59" i="89"/>
  <c r="N59" i="89" s="1"/>
  <c r="K59" i="89"/>
  <c r="J59" i="89"/>
  <c r="F59" i="89"/>
  <c r="H59" i="89" s="1"/>
  <c r="AE58" i="89"/>
  <c r="H21" i="88" s="1"/>
  <c r="AD58" i="89"/>
  <c r="H20" i="88" s="1"/>
  <c r="AA58" i="89"/>
  <c r="Z58" i="89"/>
  <c r="M58" i="89"/>
  <c r="W57" i="89"/>
  <c r="W56" i="89"/>
  <c r="W55" i="89"/>
  <c r="W54" i="89"/>
  <c r="AG53" i="89"/>
  <c r="AF53" i="89"/>
  <c r="W53" i="89"/>
  <c r="W52" i="89"/>
  <c r="N52" i="89" s="1"/>
  <c r="V52" i="89"/>
  <c r="P52" i="89"/>
  <c r="O52" i="89"/>
  <c r="K52" i="89"/>
  <c r="L52" i="89" s="1"/>
  <c r="J52" i="89"/>
  <c r="F52" i="89"/>
  <c r="H52" i="89" s="1"/>
  <c r="W51" i="89"/>
  <c r="V51" i="89"/>
  <c r="N51" i="89"/>
  <c r="K51" i="89"/>
  <c r="L51" i="89" s="1"/>
  <c r="J51" i="89"/>
  <c r="P51" i="89" s="1"/>
  <c r="F51" i="89"/>
  <c r="H51" i="89" s="1"/>
  <c r="W50" i="89"/>
  <c r="N50" i="89" s="1"/>
  <c r="V50" i="89"/>
  <c r="K50" i="89"/>
  <c r="L50" i="89" s="1"/>
  <c r="J50" i="89"/>
  <c r="P50" i="89" s="1"/>
  <c r="F50" i="89"/>
  <c r="H50" i="89" s="1"/>
  <c r="W49" i="89"/>
  <c r="P49" i="89"/>
  <c r="N49" i="89"/>
  <c r="K49" i="89"/>
  <c r="J49" i="89"/>
  <c r="L49" i="89" s="1"/>
  <c r="H49" i="89"/>
  <c r="F49" i="89"/>
  <c r="AE48" i="89"/>
  <c r="G21" i="88" s="1"/>
  <c r="AD48" i="89"/>
  <c r="AA48" i="89"/>
  <c r="Z48" i="89"/>
  <c r="G18" i="88" s="1"/>
  <c r="W48" i="89"/>
  <c r="M48" i="89"/>
  <c r="K48" i="89"/>
  <c r="W47" i="89"/>
  <c r="H47" i="89"/>
  <c r="W46" i="89"/>
  <c r="W45" i="89"/>
  <c r="W44" i="89"/>
  <c r="W43" i="89"/>
  <c r="W42" i="89"/>
  <c r="AG41" i="89"/>
  <c r="AF41" i="89"/>
  <c r="W41" i="89"/>
  <c r="AG40" i="89"/>
  <c r="AF40" i="89"/>
  <c r="W40" i="89"/>
  <c r="V40" i="89"/>
  <c r="R40" i="89"/>
  <c r="Q40" i="89"/>
  <c r="P40" i="89"/>
  <c r="O40" i="89"/>
  <c r="N40" i="89"/>
  <c r="K40" i="89"/>
  <c r="J40" i="89"/>
  <c r="L40" i="89" s="1"/>
  <c r="H40" i="89"/>
  <c r="F40" i="89"/>
  <c r="AG39" i="89"/>
  <c r="W39" i="89"/>
  <c r="N39" i="89" s="1"/>
  <c r="O39" i="89" s="1"/>
  <c r="V39" i="89"/>
  <c r="R39" i="89"/>
  <c r="P39" i="89"/>
  <c r="K39" i="89"/>
  <c r="L39" i="89" s="1"/>
  <c r="Q39" i="89" s="1"/>
  <c r="J39" i="89"/>
  <c r="F39" i="89"/>
  <c r="H39" i="89" s="1"/>
  <c r="W38" i="89"/>
  <c r="N38" i="89" s="1"/>
  <c r="K38" i="89"/>
  <c r="J38" i="89"/>
  <c r="F38" i="89"/>
  <c r="H38" i="89" s="1"/>
  <c r="AE37" i="89"/>
  <c r="AD37" i="89"/>
  <c r="AA37" i="89"/>
  <c r="F19" i="88" s="1"/>
  <c r="Z37" i="89"/>
  <c r="M37" i="89"/>
  <c r="W36" i="89"/>
  <c r="H36" i="89"/>
  <c r="W35" i="89"/>
  <c r="W34" i="89"/>
  <c r="W33" i="89"/>
  <c r="W32" i="89"/>
  <c r="W31" i="89"/>
  <c r="V31" i="89"/>
  <c r="N31" i="89"/>
  <c r="L31" i="89"/>
  <c r="K31" i="89"/>
  <c r="K37" i="89" s="1"/>
  <c r="J31" i="89"/>
  <c r="P31" i="89" s="1"/>
  <c r="F31" i="89"/>
  <c r="H31" i="89" s="1"/>
  <c r="AF30" i="89"/>
  <c r="W30" i="89"/>
  <c r="V30" i="89"/>
  <c r="O30" i="89"/>
  <c r="N30" i="89"/>
  <c r="AG30" i="89" s="1"/>
  <c r="L30" i="89"/>
  <c r="J30" i="89"/>
  <c r="P30" i="89" s="1"/>
  <c r="F30" i="89"/>
  <c r="H30" i="89" s="1"/>
  <c r="AF29" i="89"/>
  <c r="W29" i="89"/>
  <c r="V29" i="89"/>
  <c r="P29" i="89"/>
  <c r="O29" i="89"/>
  <c r="N29" i="89"/>
  <c r="AG29" i="89" s="1"/>
  <c r="K29" i="89"/>
  <c r="J29" i="89"/>
  <c r="L29" i="89" s="1"/>
  <c r="F29" i="89"/>
  <c r="H29" i="89" s="1"/>
  <c r="W28" i="89"/>
  <c r="N28" i="89" s="1"/>
  <c r="V28" i="89"/>
  <c r="P28" i="89"/>
  <c r="K28" i="89"/>
  <c r="J28" i="89"/>
  <c r="L28" i="89" s="1"/>
  <c r="H28" i="89"/>
  <c r="F28" i="89"/>
  <c r="AG27" i="89"/>
  <c r="W27" i="89"/>
  <c r="N27" i="89"/>
  <c r="O27" i="89" s="1"/>
  <c r="K27" i="89"/>
  <c r="J27" i="89"/>
  <c r="H27" i="89"/>
  <c r="F27" i="89"/>
  <c r="AE26" i="89"/>
  <c r="E21" i="88" s="1"/>
  <c r="AD26" i="89"/>
  <c r="E20" i="88" s="1"/>
  <c r="AA26" i="89"/>
  <c r="E19" i="88" s="1"/>
  <c r="Z26" i="89"/>
  <c r="M26" i="89"/>
  <c r="E22" i="88" s="1"/>
  <c r="K26" i="89"/>
  <c r="W25" i="89"/>
  <c r="H25" i="89"/>
  <c r="W24" i="89"/>
  <c r="H24" i="89"/>
  <c r="W23" i="89"/>
  <c r="W21" i="89"/>
  <c r="W20" i="89"/>
  <c r="AF19" i="89"/>
  <c r="W19" i="89"/>
  <c r="V19" i="89"/>
  <c r="P19" i="89"/>
  <c r="O19" i="89"/>
  <c r="N19" i="89"/>
  <c r="AG19" i="89" s="1"/>
  <c r="K19" i="89"/>
  <c r="J19" i="89"/>
  <c r="L19" i="89" s="1"/>
  <c r="H19" i="89"/>
  <c r="F19" i="89"/>
  <c r="AF18" i="89"/>
  <c r="W18" i="89"/>
  <c r="N18" i="89" s="1"/>
  <c r="O18" i="89" s="1"/>
  <c r="V18" i="89"/>
  <c r="Q18" i="89"/>
  <c r="P18" i="89"/>
  <c r="L18" i="89"/>
  <c r="K18" i="89"/>
  <c r="J18" i="89"/>
  <c r="H18" i="89"/>
  <c r="F18" i="89"/>
  <c r="AG17" i="89"/>
  <c r="W17" i="89"/>
  <c r="V17" i="89"/>
  <c r="N17" i="89"/>
  <c r="L17" i="89"/>
  <c r="K17" i="89"/>
  <c r="J17" i="89"/>
  <c r="P17" i="89" s="1"/>
  <c r="H17" i="89"/>
  <c r="F17" i="89"/>
  <c r="AG16" i="89"/>
  <c r="AF16" i="89"/>
  <c r="W16" i="89"/>
  <c r="P16" i="89"/>
  <c r="O16" i="89"/>
  <c r="N16" i="89"/>
  <c r="N26" i="89" s="1"/>
  <c r="K16" i="89"/>
  <c r="L16" i="89" s="1"/>
  <c r="L26" i="89" s="1"/>
  <c r="E13" i="88" s="1"/>
  <c r="J16" i="89"/>
  <c r="F16" i="89"/>
  <c r="H16" i="89" s="1"/>
  <c r="AE15" i="89"/>
  <c r="AD15" i="89"/>
  <c r="AA15" i="89"/>
  <c r="Z15" i="89"/>
  <c r="Z2" i="89" s="1"/>
  <c r="L6" i="88" s="1"/>
  <c r="M15" i="89"/>
  <c r="J15" i="89"/>
  <c r="P15" i="89" s="1"/>
  <c r="W14" i="89"/>
  <c r="W13" i="89"/>
  <c r="W12" i="89"/>
  <c r="AG11" i="89"/>
  <c r="AF11" i="89"/>
  <c r="W11" i="89"/>
  <c r="AG10" i="89"/>
  <c r="AF10" i="89"/>
  <c r="W10" i="89"/>
  <c r="W9" i="89"/>
  <c r="N9" i="89" s="1"/>
  <c r="V9" i="89"/>
  <c r="K9" i="89"/>
  <c r="J9" i="89"/>
  <c r="P9" i="89" s="1"/>
  <c r="H9" i="89"/>
  <c r="F9" i="89"/>
  <c r="W8" i="89"/>
  <c r="V8" i="89"/>
  <c r="P8" i="89"/>
  <c r="O8" i="89"/>
  <c r="N8" i="89"/>
  <c r="L8" i="89"/>
  <c r="K8" i="89"/>
  <c r="J8" i="89"/>
  <c r="H8" i="89"/>
  <c r="F8" i="89"/>
  <c r="AF7" i="89"/>
  <c r="W7" i="89"/>
  <c r="N7" i="89" s="1"/>
  <c r="AG7" i="89" s="1"/>
  <c r="V7" i="89"/>
  <c r="P7" i="89"/>
  <c r="O7" i="89"/>
  <c r="R7" i="89" s="1"/>
  <c r="K7" i="89"/>
  <c r="L7" i="89" s="1"/>
  <c r="J7" i="89"/>
  <c r="H7" i="89"/>
  <c r="F7" i="89"/>
  <c r="W6" i="89"/>
  <c r="V6" i="89"/>
  <c r="N6" i="89"/>
  <c r="L6" i="89"/>
  <c r="K6" i="89"/>
  <c r="J6" i="89"/>
  <c r="P6" i="89" s="1"/>
  <c r="H6" i="89"/>
  <c r="F6" i="89"/>
  <c r="AG5" i="89"/>
  <c r="W5" i="89"/>
  <c r="P5" i="89"/>
  <c r="N5" i="89"/>
  <c r="K5" i="89"/>
  <c r="J5" i="89"/>
  <c r="L5" i="89" s="1"/>
  <c r="F5" i="89"/>
  <c r="H5" i="89" s="1"/>
  <c r="I2" i="89"/>
  <c r="E1" i="89"/>
  <c r="J22" i="88"/>
  <c r="G22" i="88"/>
  <c r="D22" i="88"/>
  <c r="I21" i="88"/>
  <c r="F21" i="88"/>
  <c r="J20" i="88"/>
  <c r="G20" i="88"/>
  <c r="F20" i="88"/>
  <c r="D20" i="88"/>
  <c r="J19" i="88"/>
  <c r="I19" i="88"/>
  <c r="H19" i="88"/>
  <c r="G19" i="88"/>
  <c r="J18" i="88"/>
  <c r="I18" i="88"/>
  <c r="H18" i="88"/>
  <c r="F18" i="88"/>
  <c r="E18" i="88"/>
  <c r="D18" i="88"/>
  <c r="J16" i="88"/>
  <c r="I16" i="88"/>
  <c r="H16" i="88"/>
  <c r="G16" i="88"/>
  <c r="F16" i="88"/>
  <c r="E16" i="88"/>
  <c r="D16" i="88"/>
  <c r="G3" i="88"/>
  <c r="D3" i="88"/>
  <c r="AE79" i="39"/>
  <c r="J21" i="38" s="1"/>
  <c r="AD79" i="39"/>
  <c r="J20" i="38" s="1"/>
  <c r="AA79" i="39"/>
  <c r="J18" i="38" s="1"/>
  <c r="Z79" i="39"/>
  <c r="M79" i="39"/>
  <c r="W78" i="39"/>
  <c r="H78" i="39"/>
  <c r="W77" i="39"/>
  <c r="H77" i="39"/>
  <c r="W76" i="39"/>
  <c r="H76" i="39"/>
  <c r="W75" i="39"/>
  <c r="H75" i="39"/>
  <c r="W74" i="39"/>
  <c r="W73" i="39"/>
  <c r="W72" i="39"/>
  <c r="W71" i="39"/>
  <c r="N71" i="39" s="1"/>
  <c r="V71" i="39"/>
  <c r="K71" i="39"/>
  <c r="J71" i="39"/>
  <c r="F71" i="39"/>
  <c r="H71" i="39" s="1"/>
  <c r="AG70" i="39"/>
  <c r="AF70" i="39"/>
  <c r="W70" i="39"/>
  <c r="P70" i="39"/>
  <c r="O70" i="39"/>
  <c r="N70" i="39"/>
  <c r="K70" i="39"/>
  <c r="J70" i="39"/>
  <c r="F70" i="39"/>
  <c r="H70" i="39" s="1"/>
  <c r="AE69" i="39"/>
  <c r="AD69" i="39"/>
  <c r="AA69" i="39"/>
  <c r="Z69" i="39"/>
  <c r="I18" i="38" s="1"/>
  <c r="M69" i="39"/>
  <c r="W68" i="39"/>
  <c r="H68" i="39"/>
  <c r="W67" i="39"/>
  <c r="W66" i="39"/>
  <c r="W65" i="39"/>
  <c r="W64" i="39"/>
  <c r="W63" i="39"/>
  <c r="W62" i="39"/>
  <c r="V62" i="39"/>
  <c r="N62" i="39"/>
  <c r="O62" i="39" s="1"/>
  <c r="K62" i="39"/>
  <c r="J62" i="39"/>
  <c r="P62" i="39" s="1"/>
  <c r="H62" i="39"/>
  <c r="F62" i="39"/>
  <c r="W61" i="39"/>
  <c r="N61" i="39" s="1"/>
  <c r="V61" i="39"/>
  <c r="P61" i="39"/>
  <c r="K61" i="39"/>
  <c r="L61" i="39" s="1"/>
  <c r="J61" i="39"/>
  <c r="H61" i="39"/>
  <c r="F61" i="39"/>
  <c r="W60" i="39"/>
  <c r="N60" i="39" s="1"/>
  <c r="V60" i="39"/>
  <c r="P60" i="39"/>
  <c r="L60" i="39"/>
  <c r="K60" i="39"/>
  <c r="J60" i="39"/>
  <c r="H60" i="39"/>
  <c r="F60" i="39"/>
  <c r="AG59" i="39"/>
  <c r="AF59" i="39"/>
  <c r="W59" i="39"/>
  <c r="P59" i="39"/>
  <c r="O59" i="39"/>
  <c r="N59" i="39"/>
  <c r="K59" i="39"/>
  <c r="J59" i="39"/>
  <c r="F59" i="39"/>
  <c r="H59" i="39" s="1"/>
  <c r="AE58" i="39"/>
  <c r="AD58" i="39"/>
  <c r="H20" i="38" s="1"/>
  <c r="AA58" i="39"/>
  <c r="H19" i="38" s="1"/>
  <c r="Z58" i="39"/>
  <c r="M58" i="39"/>
  <c r="W57" i="39"/>
  <c r="W56" i="39"/>
  <c r="W55" i="39"/>
  <c r="W54" i="39"/>
  <c r="AG53" i="39"/>
  <c r="AF53" i="39"/>
  <c r="W53" i="39"/>
  <c r="AG52" i="39"/>
  <c r="AF52" i="39"/>
  <c r="W52" i="39"/>
  <c r="V52" i="39"/>
  <c r="O52" i="39"/>
  <c r="N52" i="39"/>
  <c r="K52" i="39"/>
  <c r="J52" i="39"/>
  <c r="H52" i="39"/>
  <c r="F52" i="39"/>
  <c r="W51" i="39"/>
  <c r="N51" i="39" s="1"/>
  <c r="V51" i="39"/>
  <c r="K51" i="39"/>
  <c r="L51" i="39" s="1"/>
  <c r="J51" i="39"/>
  <c r="P51" i="39" s="1"/>
  <c r="F51" i="39"/>
  <c r="H51" i="39" s="1"/>
  <c r="AF50" i="39"/>
  <c r="W50" i="39"/>
  <c r="N50" i="39" s="1"/>
  <c r="V50" i="39"/>
  <c r="L50" i="39"/>
  <c r="K50" i="39"/>
  <c r="J50" i="39"/>
  <c r="P50" i="39" s="1"/>
  <c r="F50" i="39"/>
  <c r="H50" i="39" s="1"/>
  <c r="W49" i="39"/>
  <c r="N49" i="39" s="1"/>
  <c r="K49" i="39"/>
  <c r="J49" i="39"/>
  <c r="H49" i="39"/>
  <c r="F49" i="39"/>
  <c r="AE48" i="39"/>
  <c r="AD48" i="39"/>
  <c r="G20" i="38" s="1"/>
  <c r="AA48" i="39"/>
  <c r="Z48" i="39"/>
  <c r="W48" i="39"/>
  <c r="M48" i="39"/>
  <c r="K48" i="39"/>
  <c r="W47" i="39"/>
  <c r="H47" i="39"/>
  <c r="W46" i="39"/>
  <c r="W45" i="39"/>
  <c r="W44" i="39"/>
  <c r="W43" i="39"/>
  <c r="W42" i="39"/>
  <c r="AG41" i="39"/>
  <c r="AF41" i="39"/>
  <c r="W41" i="39"/>
  <c r="AG40" i="39"/>
  <c r="AF40" i="39"/>
  <c r="W40" i="39"/>
  <c r="N40" i="39" s="1"/>
  <c r="V40" i="39"/>
  <c r="P40" i="39"/>
  <c r="O40" i="39"/>
  <c r="K40" i="39"/>
  <c r="L40" i="39" s="1"/>
  <c r="J40" i="39"/>
  <c r="H40" i="39"/>
  <c r="F40" i="39"/>
  <c r="AG39" i="39"/>
  <c r="W39" i="39"/>
  <c r="V39" i="39"/>
  <c r="N39" i="39"/>
  <c r="O39" i="39" s="1"/>
  <c r="K39" i="39"/>
  <c r="J39" i="39"/>
  <c r="H39" i="39"/>
  <c r="F39" i="39"/>
  <c r="W38" i="39"/>
  <c r="N38" i="39"/>
  <c r="L38" i="39"/>
  <c r="K38" i="39"/>
  <c r="J38" i="39"/>
  <c r="P38" i="39" s="1"/>
  <c r="F38" i="39"/>
  <c r="H38" i="39" s="1"/>
  <c r="AE37" i="39"/>
  <c r="AD37" i="39"/>
  <c r="AA37" i="39"/>
  <c r="Z37" i="39"/>
  <c r="F18" i="38" s="1"/>
  <c r="M37" i="39"/>
  <c r="W36" i="39"/>
  <c r="W35" i="39"/>
  <c r="W34" i="39"/>
  <c r="W33" i="39"/>
  <c r="W32" i="39"/>
  <c r="W31" i="39"/>
  <c r="N31" i="39" s="1"/>
  <c r="V31" i="39"/>
  <c r="L31" i="39"/>
  <c r="J31" i="39"/>
  <c r="P31" i="39" s="1"/>
  <c r="H31" i="39"/>
  <c r="F31" i="39"/>
  <c r="W30" i="39"/>
  <c r="N30" i="39" s="1"/>
  <c r="V30" i="39"/>
  <c r="P30" i="39"/>
  <c r="K30" i="39"/>
  <c r="L30" i="39" s="1"/>
  <c r="J30" i="39"/>
  <c r="F30" i="39"/>
  <c r="H30" i="39" s="1"/>
  <c r="W29" i="39"/>
  <c r="V29" i="39"/>
  <c r="P29" i="39"/>
  <c r="N29" i="39"/>
  <c r="J29" i="39"/>
  <c r="L29" i="39" s="1"/>
  <c r="F29" i="39"/>
  <c r="H29" i="39" s="1"/>
  <c r="W28" i="39"/>
  <c r="N28" i="39" s="1"/>
  <c r="V28" i="39"/>
  <c r="K28" i="39"/>
  <c r="J28" i="39"/>
  <c r="P28" i="39" s="1"/>
  <c r="H28" i="39"/>
  <c r="F28" i="39"/>
  <c r="W27" i="39"/>
  <c r="P27" i="39"/>
  <c r="N27" i="39"/>
  <c r="L27" i="39"/>
  <c r="K27" i="39"/>
  <c r="J27" i="39"/>
  <c r="H27" i="39"/>
  <c r="F27" i="39"/>
  <c r="AE26" i="39"/>
  <c r="E21" i="38" s="1"/>
  <c r="AD26" i="39"/>
  <c r="E20" i="38" s="1"/>
  <c r="AA26" i="39"/>
  <c r="Z26" i="39"/>
  <c r="M26" i="39"/>
  <c r="K26" i="39"/>
  <c r="J26" i="39"/>
  <c r="P26" i="39" s="1"/>
  <c r="W25" i="39"/>
  <c r="H25" i="39"/>
  <c r="W24" i="39"/>
  <c r="H24" i="39"/>
  <c r="W23" i="39"/>
  <c r="W21" i="39"/>
  <c r="W20" i="39"/>
  <c r="W19" i="39"/>
  <c r="N19" i="39" s="1"/>
  <c r="V19" i="39"/>
  <c r="P19" i="39"/>
  <c r="O19" i="39"/>
  <c r="L19" i="39"/>
  <c r="K19" i="39"/>
  <c r="J19" i="39"/>
  <c r="H19" i="39"/>
  <c r="F19" i="39"/>
  <c r="AG18" i="39"/>
  <c r="AF18" i="39"/>
  <c r="W18" i="39"/>
  <c r="N18" i="39" s="1"/>
  <c r="V18" i="39"/>
  <c r="Q18" i="39"/>
  <c r="P18" i="39"/>
  <c r="O18" i="39"/>
  <c r="R18" i="39" s="1"/>
  <c r="K18" i="39"/>
  <c r="L18" i="39" s="1"/>
  <c r="J18" i="39"/>
  <c r="H18" i="39"/>
  <c r="F18" i="39"/>
  <c r="W17" i="39"/>
  <c r="V17" i="39"/>
  <c r="N17" i="39"/>
  <c r="O17" i="39" s="1"/>
  <c r="K17" i="39"/>
  <c r="J17" i="39"/>
  <c r="P17" i="39" s="1"/>
  <c r="H17" i="39"/>
  <c r="F17" i="39"/>
  <c r="AG16" i="39"/>
  <c r="AF16" i="39"/>
  <c r="W16" i="39"/>
  <c r="N16" i="39"/>
  <c r="L16" i="39"/>
  <c r="K16" i="39"/>
  <c r="J16" i="39"/>
  <c r="P16" i="39" s="1"/>
  <c r="H16" i="39"/>
  <c r="F16" i="39"/>
  <c r="AE15" i="39"/>
  <c r="AD15" i="39"/>
  <c r="AA15" i="39"/>
  <c r="Z15" i="39"/>
  <c r="M15" i="39"/>
  <c r="W14" i="39"/>
  <c r="W13" i="39"/>
  <c r="W12" i="39"/>
  <c r="AG11" i="39"/>
  <c r="AF11" i="39"/>
  <c r="W11" i="39"/>
  <c r="AG10" i="39"/>
  <c r="AF10" i="39"/>
  <c r="W10" i="39"/>
  <c r="W9" i="39"/>
  <c r="N9" i="39" s="1"/>
  <c r="V9" i="39"/>
  <c r="K9" i="39"/>
  <c r="J9" i="39"/>
  <c r="P9" i="39" s="1"/>
  <c r="H9" i="39"/>
  <c r="F9" i="39"/>
  <c r="W8" i="39"/>
  <c r="V8" i="39"/>
  <c r="N8" i="39"/>
  <c r="L8" i="39"/>
  <c r="K8" i="39"/>
  <c r="J8" i="39"/>
  <c r="P8" i="39" s="1"/>
  <c r="F8" i="39"/>
  <c r="H8" i="39" s="1"/>
  <c r="W7" i="39"/>
  <c r="N7" i="39" s="1"/>
  <c r="V7" i="39"/>
  <c r="P7" i="39"/>
  <c r="K7" i="39"/>
  <c r="J7" i="39"/>
  <c r="L7" i="39" s="1"/>
  <c r="F7" i="39"/>
  <c r="H7" i="39" s="1"/>
  <c r="AG6" i="39"/>
  <c r="AF6" i="39"/>
  <c r="W6" i="39"/>
  <c r="V6" i="39"/>
  <c r="O6" i="39"/>
  <c r="N6" i="39"/>
  <c r="K6" i="39"/>
  <c r="J6" i="39"/>
  <c r="H6" i="39"/>
  <c r="F6" i="39"/>
  <c r="W5" i="39"/>
  <c r="N5" i="39" s="1"/>
  <c r="P5" i="39"/>
  <c r="K5" i="39"/>
  <c r="K15" i="39" s="1"/>
  <c r="J5" i="39"/>
  <c r="F5" i="39"/>
  <c r="H5" i="39" s="1"/>
  <c r="I2" i="39"/>
  <c r="E1" i="39"/>
  <c r="I22" i="38"/>
  <c r="G22" i="38"/>
  <c r="E22" i="38"/>
  <c r="I21" i="38"/>
  <c r="G21" i="38"/>
  <c r="F21" i="38"/>
  <c r="D21" i="38"/>
  <c r="I20" i="38"/>
  <c r="F20" i="38"/>
  <c r="D20" i="38"/>
  <c r="J19" i="38"/>
  <c r="I19" i="38"/>
  <c r="F19" i="38"/>
  <c r="E19" i="38"/>
  <c r="D19" i="38"/>
  <c r="H18" i="38"/>
  <c r="G18" i="38"/>
  <c r="E18" i="38"/>
  <c r="D18" i="38"/>
  <c r="J16" i="38"/>
  <c r="I16" i="38"/>
  <c r="H16" i="38"/>
  <c r="G16" i="38"/>
  <c r="F16" i="38"/>
  <c r="E16" i="38"/>
  <c r="D16" i="38"/>
  <c r="G3" i="38"/>
  <c r="D3" i="38"/>
  <c r="AE79" i="37"/>
  <c r="J21" i="36" s="1"/>
  <c r="AD79" i="37"/>
  <c r="J20" i="36" s="1"/>
  <c r="AA79" i="37"/>
  <c r="Z79" i="37"/>
  <c r="M79" i="37"/>
  <c r="W78" i="37"/>
  <c r="H78" i="37"/>
  <c r="W77" i="37"/>
  <c r="H77" i="37"/>
  <c r="W76" i="37"/>
  <c r="H76" i="37"/>
  <c r="W75" i="37"/>
  <c r="H75" i="37"/>
  <c r="W74" i="37"/>
  <c r="W73" i="37"/>
  <c r="W72" i="37"/>
  <c r="W71" i="37"/>
  <c r="V71" i="37"/>
  <c r="P71" i="37"/>
  <c r="O71" i="37"/>
  <c r="N71" i="37"/>
  <c r="K71" i="37"/>
  <c r="J71" i="37"/>
  <c r="L71" i="37" s="1"/>
  <c r="F71" i="37"/>
  <c r="H71" i="37" s="1"/>
  <c r="W70" i="37"/>
  <c r="N70" i="37"/>
  <c r="K70" i="37"/>
  <c r="J70" i="37"/>
  <c r="P70" i="37" s="1"/>
  <c r="H70" i="37"/>
  <c r="F70" i="37"/>
  <c r="AE69" i="37"/>
  <c r="I21" i="36" s="1"/>
  <c r="AD69" i="37"/>
  <c r="AA69" i="37"/>
  <c r="Z69" i="37"/>
  <c r="M69" i="37"/>
  <c r="W68" i="37"/>
  <c r="H68" i="37"/>
  <c r="W67" i="37"/>
  <c r="W66" i="37"/>
  <c r="W65" i="37"/>
  <c r="W64" i="37"/>
  <c r="V64" i="37"/>
  <c r="R64" i="37"/>
  <c r="P64" i="37"/>
  <c r="O64" i="37"/>
  <c r="N64" i="37"/>
  <c r="L64" i="37"/>
  <c r="K64" i="37"/>
  <c r="J64" i="37"/>
  <c r="H64" i="37"/>
  <c r="F64" i="37"/>
  <c r="W63" i="37"/>
  <c r="V63" i="37"/>
  <c r="R63" i="37"/>
  <c r="N63" i="37"/>
  <c r="O63" i="37" s="1"/>
  <c r="Q63" i="37" s="1"/>
  <c r="L63" i="37"/>
  <c r="K63" i="37"/>
  <c r="J63" i="37"/>
  <c r="P63" i="37" s="1"/>
  <c r="H63" i="37"/>
  <c r="F63" i="37"/>
  <c r="W62" i="37"/>
  <c r="N62" i="37" s="1"/>
  <c r="AG62" i="37" s="1"/>
  <c r="V62" i="37"/>
  <c r="P62" i="37"/>
  <c r="O62" i="37"/>
  <c r="K62" i="37"/>
  <c r="L62" i="37" s="1"/>
  <c r="J62" i="37"/>
  <c r="F62" i="37"/>
  <c r="H62" i="37" s="1"/>
  <c r="W61" i="37"/>
  <c r="V61" i="37"/>
  <c r="N61" i="37"/>
  <c r="K61" i="37"/>
  <c r="J61" i="37"/>
  <c r="P61" i="37" s="1"/>
  <c r="H61" i="37"/>
  <c r="F61" i="37"/>
  <c r="W60" i="37"/>
  <c r="N60" i="37" s="1"/>
  <c r="V60" i="37"/>
  <c r="P60" i="37"/>
  <c r="L60" i="37"/>
  <c r="K60" i="37"/>
  <c r="J60" i="37"/>
  <c r="F60" i="37"/>
  <c r="H60" i="37" s="1"/>
  <c r="AG59" i="37"/>
  <c r="W59" i="37"/>
  <c r="N59" i="37" s="1"/>
  <c r="P59" i="37"/>
  <c r="K59" i="37"/>
  <c r="K69" i="37" s="1"/>
  <c r="J59" i="37"/>
  <c r="H59" i="37"/>
  <c r="F59" i="37"/>
  <c r="AE58" i="37"/>
  <c r="AD58" i="37"/>
  <c r="AA58" i="37"/>
  <c r="Z58" i="37"/>
  <c r="M58" i="37"/>
  <c r="W57" i="37"/>
  <c r="W56" i="37"/>
  <c r="W55" i="37"/>
  <c r="W54" i="37"/>
  <c r="AG53" i="37"/>
  <c r="AF53" i="37"/>
  <c r="W53" i="37"/>
  <c r="AG52" i="37"/>
  <c r="W52" i="37"/>
  <c r="N52" i="37" s="1"/>
  <c r="V52" i="37"/>
  <c r="K52" i="37"/>
  <c r="J52" i="37"/>
  <c r="P52" i="37" s="1"/>
  <c r="H52" i="37"/>
  <c r="F52" i="37"/>
  <c r="W51" i="37"/>
  <c r="V51" i="37"/>
  <c r="N51" i="37"/>
  <c r="AF51" i="37" s="1"/>
  <c r="L51" i="37"/>
  <c r="K51" i="37"/>
  <c r="J51" i="37"/>
  <c r="P51" i="37" s="1"/>
  <c r="F51" i="37"/>
  <c r="H51" i="37" s="1"/>
  <c r="AF50" i="37"/>
  <c r="W50" i="37"/>
  <c r="V50" i="37"/>
  <c r="N50" i="37"/>
  <c r="AG50" i="37" s="1"/>
  <c r="K50" i="37"/>
  <c r="J50" i="37"/>
  <c r="L50" i="37" s="1"/>
  <c r="F50" i="37"/>
  <c r="H50" i="37" s="1"/>
  <c r="AG49" i="37"/>
  <c r="W49" i="37"/>
  <c r="N49" i="37"/>
  <c r="K49" i="37"/>
  <c r="J49" i="37"/>
  <c r="H49" i="37"/>
  <c r="F49" i="37"/>
  <c r="AE48" i="37"/>
  <c r="AD48" i="37"/>
  <c r="AA48" i="37"/>
  <c r="Z48" i="37"/>
  <c r="W48" i="37"/>
  <c r="M48" i="37"/>
  <c r="W47" i="37"/>
  <c r="H47" i="37"/>
  <c r="W46" i="37"/>
  <c r="W45" i="37"/>
  <c r="W44" i="37"/>
  <c r="W43" i="37"/>
  <c r="W42" i="37"/>
  <c r="AG41" i="37"/>
  <c r="AF41" i="37"/>
  <c r="W41" i="37"/>
  <c r="AG40" i="37"/>
  <c r="AF40" i="37"/>
  <c r="W40" i="37"/>
  <c r="V40" i="37"/>
  <c r="P40" i="37"/>
  <c r="O40" i="37"/>
  <c r="N40" i="37"/>
  <c r="K40" i="37"/>
  <c r="J40" i="37"/>
  <c r="J48" i="37" s="1"/>
  <c r="P48" i="37" s="1"/>
  <c r="H40" i="37"/>
  <c r="F40" i="37"/>
  <c r="W39" i="37"/>
  <c r="N39" i="37" s="1"/>
  <c r="V39" i="37"/>
  <c r="P39" i="37"/>
  <c r="L39" i="37"/>
  <c r="K39" i="37"/>
  <c r="K48" i="37" s="1"/>
  <c r="J39" i="37"/>
  <c r="H39" i="37"/>
  <c r="F39" i="37"/>
  <c r="W38" i="37"/>
  <c r="N38" i="37"/>
  <c r="K38" i="37"/>
  <c r="J38" i="37"/>
  <c r="L38" i="37" s="1"/>
  <c r="F38" i="37"/>
  <c r="H38" i="37" s="1"/>
  <c r="AE37" i="37"/>
  <c r="AD37" i="37"/>
  <c r="AA37" i="37"/>
  <c r="F19" i="36" s="1"/>
  <c r="Z37" i="37"/>
  <c r="M37" i="37"/>
  <c r="W36" i="37"/>
  <c r="H36" i="37"/>
  <c r="W35" i="37"/>
  <c r="W34" i="37"/>
  <c r="W33" i="37"/>
  <c r="W32" i="37"/>
  <c r="N32" i="37" s="1"/>
  <c r="V32" i="37"/>
  <c r="P32" i="37"/>
  <c r="O32" i="37"/>
  <c r="K32" i="37"/>
  <c r="L32" i="37" s="1"/>
  <c r="J32" i="37"/>
  <c r="F32" i="37"/>
  <c r="H32" i="37" s="1"/>
  <c r="AF31" i="37"/>
  <c r="W31" i="37"/>
  <c r="V31" i="37"/>
  <c r="N31" i="37"/>
  <c r="J31" i="37"/>
  <c r="H31" i="37"/>
  <c r="F31" i="37"/>
  <c r="W30" i="37"/>
  <c r="V30" i="37"/>
  <c r="N30" i="37"/>
  <c r="AF30" i="37" s="1"/>
  <c r="L30" i="37"/>
  <c r="K30" i="37"/>
  <c r="J30" i="37"/>
  <c r="P30" i="37" s="1"/>
  <c r="H30" i="37"/>
  <c r="F30" i="37"/>
  <c r="W29" i="37"/>
  <c r="V29" i="37"/>
  <c r="N29" i="37"/>
  <c r="O29" i="37" s="1"/>
  <c r="R29" i="37" s="1"/>
  <c r="J29" i="37"/>
  <c r="L29" i="37" s="1"/>
  <c r="F29" i="37"/>
  <c r="H29" i="37" s="1"/>
  <c r="AG28" i="37"/>
  <c r="AF28" i="37"/>
  <c r="W28" i="37"/>
  <c r="V28" i="37"/>
  <c r="Q28" i="37"/>
  <c r="P28" i="37"/>
  <c r="O28" i="37"/>
  <c r="N28" i="37"/>
  <c r="K28" i="37"/>
  <c r="J28" i="37"/>
  <c r="L28" i="37" s="1"/>
  <c r="R28" i="37" s="1"/>
  <c r="F28" i="37"/>
  <c r="H28" i="37" s="1"/>
  <c r="W27" i="37"/>
  <c r="N27" i="37" s="1"/>
  <c r="P27" i="37"/>
  <c r="K27" i="37"/>
  <c r="L27" i="37" s="1"/>
  <c r="J27" i="37"/>
  <c r="F27" i="37"/>
  <c r="H27" i="37" s="1"/>
  <c r="AE26" i="37"/>
  <c r="AD26" i="37"/>
  <c r="AD2" i="37" s="1"/>
  <c r="N6" i="36" s="1"/>
  <c r="AA26" i="37"/>
  <c r="Z26" i="37"/>
  <c r="M26" i="37"/>
  <c r="E22" i="36" s="1"/>
  <c r="K26" i="37"/>
  <c r="J26" i="37"/>
  <c r="W25" i="37"/>
  <c r="H25" i="37"/>
  <c r="W24" i="37"/>
  <c r="H24" i="37"/>
  <c r="W23" i="37"/>
  <c r="W21" i="37"/>
  <c r="W20" i="37"/>
  <c r="W19" i="37"/>
  <c r="N19" i="37" s="1"/>
  <c r="V19" i="37"/>
  <c r="P19" i="37"/>
  <c r="K19" i="37"/>
  <c r="L19" i="37" s="1"/>
  <c r="J19" i="37"/>
  <c r="F19" i="37"/>
  <c r="H19" i="37" s="1"/>
  <c r="W18" i="37"/>
  <c r="N18" i="37" s="1"/>
  <c r="V18" i="37"/>
  <c r="P18" i="37"/>
  <c r="O18" i="37"/>
  <c r="K18" i="37"/>
  <c r="J18" i="37"/>
  <c r="F18" i="37"/>
  <c r="H18" i="37" s="1"/>
  <c r="W17" i="37"/>
  <c r="N17" i="37" s="1"/>
  <c r="O17" i="37" s="1"/>
  <c r="V17" i="37"/>
  <c r="R17" i="37"/>
  <c r="Q17" i="37"/>
  <c r="P17" i="37"/>
  <c r="L17" i="37"/>
  <c r="K17" i="37"/>
  <c r="J17" i="37"/>
  <c r="F17" i="37"/>
  <c r="H17" i="37" s="1"/>
  <c r="W16" i="37"/>
  <c r="P16" i="37"/>
  <c r="N16" i="37"/>
  <c r="L16" i="37"/>
  <c r="K16" i="37"/>
  <c r="J16" i="37"/>
  <c r="F16" i="37"/>
  <c r="H16" i="37" s="1"/>
  <c r="AE15" i="37"/>
  <c r="D21" i="36" s="1"/>
  <c r="AD15" i="37"/>
  <c r="AA15" i="37"/>
  <c r="Z15" i="37"/>
  <c r="M15" i="37"/>
  <c r="W14" i="37"/>
  <c r="W13" i="37"/>
  <c r="W12" i="37"/>
  <c r="AG11" i="37"/>
  <c r="AF11" i="37"/>
  <c r="W11" i="37"/>
  <c r="AG10" i="37"/>
  <c r="AF10" i="37"/>
  <c r="W10" i="37"/>
  <c r="AF9" i="37"/>
  <c r="W9" i="37"/>
  <c r="V9" i="37"/>
  <c r="N9" i="37"/>
  <c r="AG9" i="37" s="1"/>
  <c r="L9" i="37"/>
  <c r="K9" i="37"/>
  <c r="J9" i="37"/>
  <c r="P9" i="37" s="1"/>
  <c r="F9" i="37"/>
  <c r="H9" i="37" s="1"/>
  <c r="W8" i="37"/>
  <c r="N8" i="37" s="1"/>
  <c r="V8" i="37"/>
  <c r="O8" i="37"/>
  <c r="K8" i="37"/>
  <c r="L8" i="37" s="1"/>
  <c r="J8" i="37"/>
  <c r="P8" i="37" s="1"/>
  <c r="F8" i="37"/>
  <c r="H8" i="37" s="1"/>
  <c r="W7" i="37"/>
  <c r="V7" i="37"/>
  <c r="N7" i="37"/>
  <c r="L7" i="37"/>
  <c r="K7" i="37"/>
  <c r="J7" i="37"/>
  <c r="P7" i="37" s="1"/>
  <c r="F7" i="37"/>
  <c r="H7" i="37" s="1"/>
  <c r="AG6" i="37"/>
  <c r="W6" i="37"/>
  <c r="N6" i="37" s="1"/>
  <c r="V6" i="37"/>
  <c r="O6" i="37"/>
  <c r="K6" i="37"/>
  <c r="J6" i="37"/>
  <c r="P6" i="37" s="1"/>
  <c r="F6" i="37"/>
  <c r="H6" i="37" s="1"/>
  <c r="W5" i="37"/>
  <c r="O5" i="37"/>
  <c r="N5" i="37"/>
  <c r="L5" i="37"/>
  <c r="K5" i="37"/>
  <c r="J5" i="37"/>
  <c r="H5" i="37"/>
  <c r="F5" i="37"/>
  <c r="AE2" i="37"/>
  <c r="O6" i="36" s="1"/>
  <c r="AA2" i="37"/>
  <c r="I2" i="37"/>
  <c r="E1" i="37"/>
  <c r="I22" i="36"/>
  <c r="H22" i="36"/>
  <c r="G22" i="36"/>
  <c r="D22" i="36"/>
  <c r="H21" i="36"/>
  <c r="G21" i="36"/>
  <c r="F21" i="36"/>
  <c r="E21" i="36"/>
  <c r="I20" i="36"/>
  <c r="H20" i="36"/>
  <c r="G20" i="36"/>
  <c r="F20" i="36"/>
  <c r="E20" i="36"/>
  <c r="D20" i="36"/>
  <c r="J19" i="36"/>
  <c r="I19" i="36"/>
  <c r="H19" i="36"/>
  <c r="G19" i="36"/>
  <c r="E19" i="36"/>
  <c r="D19" i="36"/>
  <c r="J18" i="36"/>
  <c r="I18" i="36"/>
  <c r="H18" i="36"/>
  <c r="G18" i="36"/>
  <c r="F18" i="36"/>
  <c r="E18" i="36"/>
  <c r="J16" i="36"/>
  <c r="I16" i="36"/>
  <c r="H16" i="36"/>
  <c r="G16" i="36"/>
  <c r="F16" i="36"/>
  <c r="E16" i="36"/>
  <c r="D16" i="36"/>
  <c r="M6" i="36"/>
  <c r="G3" i="36"/>
  <c r="D3" i="36"/>
  <c r="AE79" i="35"/>
  <c r="J21" i="34" s="1"/>
  <c r="AD79" i="35"/>
  <c r="AA79" i="35"/>
  <c r="Z79" i="35"/>
  <c r="N79" i="35"/>
  <c r="M79" i="35"/>
  <c r="J79" i="35"/>
  <c r="P79" i="35" s="1"/>
  <c r="W78" i="35"/>
  <c r="H78" i="35"/>
  <c r="W77" i="35"/>
  <c r="W76" i="35"/>
  <c r="W75" i="35"/>
  <c r="W74" i="35"/>
  <c r="W73" i="35"/>
  <c r="W72" i="35"/>
  <c r="W71" i="35"/>
  <c r="N71" i="35" s="1"/>
  <c r="O71" i="35" s="1"/>
  <c r="R71" i="35" s="1"/>
  <c r="V71" i="35"/>
  <c r="Q71" i="35"/>
  <c r="P71" i="35"/>
  <c r="K71" i="35"/>
  <c r="L71" i="35" s="1"/>
  <c r="J71" i="35"/>
  <c r="H71" i="35"/>
  <c r="F71" i="35"/>
  <c r="W70" i="35"/>
  <c r="N70" i="35"/>
  <c r="O70" i="35" s="1"/>
  <c r="K70" i="35"/>
  <c r="J70" i="35"/>
  <c r="P70" i="35" s="1"/>
  <c r="H70" i="35"/>
  <c r="F70" i="35"/>
  <c r="AE69" i="35"/>
  <c r="I21" i="34" s="1"/>
  <c r="AD69" i="35"/>
  <c r="I20" i="34" s="1"/>
  <c r="AA69" i="35"/>
  <c r="Z69" i="35"/>
  <c r="M69" i="35"/>
  <c r="W68" i="35"/>
  <c r="H68" i="35"/>
  <c r="W67" i="35"/>
  <c r="W66" i="35"/>
  <c r="W65" i="35"/>
  <c r="W64" i="35"/>
  <c r="W63" i="35"/>
  <c r="N63" i="35" s="1"/>
  <c r="V63" i="35"/>
  <c r="O63" i="35"/>
  <c r="K63" i="35"/>
  <c r="J63" i="35"/>
  <c r="P63" i="35" s="1"/>
  <c r="H63" i="35"/>
  <c r="F63" i="35"/>
  <c r="W62" i="35"/>
  <c r="V62" i="35"/>
  <c r="P62" i="35"/>
  <c r="N62" i="35"/>
  <c r="K62" i="35"/>
  <c r="L62" i="35" s="1"/>
  <c r="J62" i="35"/>
  <c r="F62" i="35"/>
  <c r="H62" i="35" s="1"/>
  <c r="AF61" i="35"/>
  <c r="W61" i="35"/>
  <c r="N61" i="35" s="1"/>
  <c r="V61" i="35"/>
  <c r="P61" i="35"/>
  <c r="K61" i="35"/>
  <c r="L61" i="35" s="1"/>
  <c r="J61" i="35"/>
  <c r="F61" i="35"/>
  <c r="H61" i="35" s="1"/>
  <c r="AG60" i="35"/>
  <c r="W60" i="35"/>
  <c r="V60" i="35"/>
  <c r="N60" i="35"/>
  <c r="O60" i="35" s="1"/>
  <c r="K60" i="35"/>
  <c r="J60" i="35"/>
  <c r="P60" i="35" s="1"/>
  <c r="H60" i="35"/>
  <c r="F60" i="35"/>
  <c r="W59" i="35"/>
  <c r="N59" i="35" s="1"/>
  <c r="P59" i="35"/>
  <c r="K59" i="35"/>
  <c r="J59" i="35"/>
  <c r="F59" i="35"/>
  <c r="H59" i="35" s="1"/>
  <c r="AE58" i="35"/>
  <c r="H21" i="34" s="1"/>
  <c r="AD58" i="35"/>
  <c r="AA58" i="35"/>
  <c r="Z58" i="35"/>
  <c r="H18" i="34" s="1"/>
  <c r="M58" i="35"/>
  <c r="H22" i="34" s="1"/>
  <c r="J58" i="35"/>
  <c r="P58" i="35" s="1"/>
  <c r="W57" i="35"/>
  <c r="W56" i="35"/>
  <c r="W55" i="35"/>
  <c r="W54" i="35"/>
  <c r="AG53" i="35"/>
  <c r="AF53" i="35"/>
  <c r="W53" i="35"/>
  <c r="AF52" i="35"/>
  <c r="W52" i="35"/>
  <c r="N52" i="35" s="1"/>
  <c r="V52" i="35"/>
  <c r="P52" i="35"/>
  <c r="K52" i="35"/>
  <c r="J52" i="35"/>
  <c r="L52" i="35" s="1"/>
  <c r="F52" i="35"/>
  <c r="H52" i="35" s="1"/>
  <c r="AG51" i="35"/>
  <c r="W51" i="35"/>
  <c r="V51" i="35"/>
  <c r="N51" i="35"/>
  <c r="O51" i="35" s="1"/>
  <c r="K51" i="35"/>
  <c r="J51" i="35"/>
  <c r="H51" i="35"/>
  <c r="F51" i="35"/>
  <c r="W50" i="35"/>
  <c r="N50" i="35" s="1"/>
  <c r="V50" i="35"/>
  <c r="K50" i="35"/>
  <c r="J50" i="35"/>
  <c r="H50" i="35"/>
  <c r="F50" i="35"/>
  <c r="W49" i="35"/>
  <c r="O49" i="35"/>
  <c r="N49" i="35"/>
  <c r="L49" i="35"/>
  <c r="K49" i="35"/>
  <c r="K58" i="35" s="1"/>
  <c r="J49" i="35"/>
  <c r="P49" i="35" s="1"/>
  <c r="F49" i="35"/>
  <c r="H49" i="35" s="1"/>
  <c r="AE48" i="35"/>
  <c r="AD48" i="35"/>
  <c r="AA48" i="35"/>
  <c r="Z48" i="35"/>
  <c r="G18" i="34" s="1"/>
  <c r="W48" i="35"/>
  <c r="M48" i="35"/>
  <c r="K48" i="35"/>
  <c r="W47" i="35"/>
  <c r="H47" i="35"/>
  <c r="W46" i="35"/>
  <c r="W45" i="35"/>
  <c r="W44" i="35"/>
  <c r="W43" i="35"/>
  <c r="W42" i="35"/>
  <c r="AG41" i="35"/>
  <c r="AF41" i="35"/>
  <c r="W41" i="35"/>
  <c r="AG40" i="35"/>
  <c r="AF40" i="35"/>
  <c r="W40" i="35"/>
  <c r="W39" i="35"/>
  <c r="N39" i="35" s="1"/>
  <c r="V39" i="35"/>
  <c r="O39" i="35"/>
  <c r="K39" i="35"/>
  <c r="J39" i="35"/>
  <c r="L39" i="35" s="1"/>
  <c r="F39" i="35"/>
  <c r="H39" i="35" s="1"/>
  <c r="AG38" i="35"/>
  <c r="AF38" i="35"/>
  <c r="W38" i="35"/>
  <c r="N38" i="35"/>
  <c r="O38" i="35" s="1"/>
  <c r="K38" i="35"/>
  <c r="J38" i="35"/>
  <c r="F38" i="35"/>
  <c r="H38" i="35" s="1"/>
  <c r="AE37" i="35"/>
  <c r="AD37" i="35"/>
  <c r="F20" i="34" s="1"/>
  <c r="AA37" i="35"/>
  <c r="F19" i="34" s="1"/>
  <c r="Z37" i="35"/>
  <c r="M37" i="35"/>
  <c r="W36" i="35"/>
  <c r="H36" i="35"/>
  <c r="W35" i="35"/>
  <c r="W34" i="35"/>
  <c r="W33" i="35"/>
  <c r="W32" i="35"/>
  <c r="AG31" i="35"/>
  <c r="AF31" i="35"/>
  <c r="W31" i="35"/>
  <c r="W30" i="35"/>
  <c r="V30" i="35"/>
  <c r="R30" i="35"/>
  <c r="N30" i="35"/>
  <c r="O30" i="35" s="1"/>
  <c r="K30" i="35"/>
  <c r="L30" i="35" s="1"/>
  <c r="J30" i="35"/>
  <c r="P30" i="35" s="1"/>
  <c r="H30" i="35"/>
  <c r="F30" i="35"/>
  <c r="W29" i="35"/>
  <c r="N29" i="35" s="1"/>
  <c r="V29" i="35"/>
  <c r="K29" i="35"/>
  <c r="L29" i="35" s="1"/>
  <c r="J29" i="35"/>
  <c r="P29" i="35" s="1"/>
  <c r="F29" i="35"/>
  <c r="H29" i="35" s="1"/>
  <c r="AG28" i="35"/>
  <c r="AF28" i="35"/>
  <c r="W28" i="35"/>
  <c r="V28" i="35"/>
  <c r="P28" i="35"/>
  <c r="N28" i="35"/>
  <c r="N37" i="35" s="1"/>
  <c r="L28" i="35"/>
  <c r="K28" i="35"/>
  <c r="J28" i="35"/>
  <c r="J37" i="35" s="1"/>
  <c r="F28" i="35"/>
  <c r="H28" i="35" s="1"/>
  <c r="W27" i="35"/>
  <c r="P27" i="35"/>
  <c r="N27" i="35"/>
  <c r="AG27" i="35" s="1"/>
  <c r="L27" i="35"/>
  <c r="K27" i="35"/>
  <c r="J27" i="35"/>
  <c r="F27" i="35"/>
  <c r="H27" i="35" s="1"/>
  <c r="AE26" i="35"/>
  <c r="AD26" i="35"/>
  <c r="AA26" i="35"/>
  <c r="E19" i="34" s="1"/>
  <c r="Z26" i="35"/>
  <c r="E18" i="34" s="1"/>
  <c r="M26" i="35"/>
  <c r="K26" i="35"/>
  <c r="W25" i="35"/>
  <c r="H25" i="35"/>
  <c r="W24" i="35"/>
  <c r="H24" i="35"/>
  <c r="W23" i="35"/>
  <c r="W21" i="35"/>
  <c r="W20" i="35"/>
  <c r="W19" i="35"/>
  <c r="V19" i="35"/>
  <c r="P19" i="35"/>
  <c r="N19" i="35"/>
  <c r="L19" i="35"/>
  <c r="K19" i="35"/>
  <c r="AF19" i="35" s="1"/>
  <c r="J19" i="35"/>
  <c r="F19" i="35"/>
  <c r="H19" i="35" s="1"/>
  <c r="W18" i="35"/>
  <c r="V18" i="35"/>
  <c r="N18" i="35"/>
  <c r="K18" i="35"/>
  <c r="L18" i="35" s="1"/>
  <c r="J18" i="35"/>
  <c r="P18" i="35" s="1"/>
  <c r="F18" i="35"/>
  <c r="H18" i="35" s="1"/>
  <c r="W17" i="35"/>
  <c r="N17" i="35" s="1"/>
  <c r="V17" i="35"/>
  <c r="K17" i="35"/>
  <c r="J17" i="35"/>
  <c r="L17" i="35" s="1"/>
  <c r="F17" i="35"/>
  <c r="H17" i="35" s="1"/>
  <c r="W16" i="35"/>
  <c r="P16" i="35"/>
  <c r="N16" i="35"/>
  <c r="L16" i="35"/>
  <c r="L26" i="35" s="1"/>
  <c r="E13" i="34" s="1"/>
  <c r="K16" i="35"/>
  <c r="J16" i="35"/>
  <c r="F16" i="35"/>
  <c r="H16" i="35" s="1"/>
  <c r="AE15" i="35"/>
  <c r="AD15" i="35"/>
  <c r="AA15" i="35"/>
  <c r="D19" i="34" s="1"/>
  <c r="Z15" i="35"/>
  <c r="M15" i="35"/>
  <c r="D22" i="34" s="1"/>
  <c r="W14" i="35"/>
  <c r="W13" i="35"/>
  <c r="W12" i="35"/>
  <c r="AG11" i="35"/>
  <c r="AF11" i="35"/>
  <c r="W11" i="35"/>
  <c r="W10" i="35"/>
  <c r="N10" i="35" s="1"/>
  <c r="V10" i="35"/>
  <c r="L10" i="35"/>
  <c r="K10" i="35"/>
  <c r="J10" i="35"/>
  <c r="P10" i="35" s="1"/>
  <c r="H10" i="35"/>
  <c r="F10" i="35"/>
  <c r="W9" i="35"/>
  <c r="N9" i="35" s="1"/>
  <c r="V9" i="35"/>
  <c r="L9" i="35"/>
  <c r="K9" i="35"/>
  <c r="J9" i="35"/>
  <c r="P9" i="35" s="1"/>
  <c r="F9" i="35"/>
  <c r="H9" i="35" s="1"/>
  <c r="AG8" i="35"/>
  <c r="W8" i="35"/>
  <c r="V8" i="35"/>
  <c r="Q8" i="35"/>
  <c r="P8" i="35"/>
  <c r="O8" i="35"/>
  <c r="N8" i="35"/>
  <c r="AF8" i="35" s="1"/>
  <c r="K8" i="35"/>
  <c r="L8" i="35" s="1"/>
  <c r="J8" i="35"/>
  <c r="H8" i="35"/>
  <c r="F8" i="35"/>
  <c r="W7" i="35"/>
  <c r="V7" i="35"/>
  <c r="P7" i="35"/>
  <c r="N7" i="35"/>
  <c r="AG7" i="35" s="1"/>
  <c r="K7" i="35"/>
  <c r="AF7" i="35" s="1"/>
  <c r="J7" i="35"/>
  <c r="F7" i="35"/>
  <c r="H7" i="35" s="1"/>
  <c r="AF6" i="35"/>
  <c r="W6" i="35"/>
  <c r="N6" i="35" s="1"/>
  <c r="V6" i="35"/>
  <c r="K6" i="35"/>
  <c r="L6" i="35" s="1"/>
  <c r="J6" i="35"/>
  <c r="P6" i="35" s="1"/>
  <c r="F6" i="35"/>
  <c r="H6" i="35" s="1"/>
  <c r="W5" i="35"/>
  <c r="N5" i="35"/>
  <c r="O5" i="35" s="1"/>
  <c r="K5" i="35"/>
  <c r="J5" i="35"/>
  <c r="H5" i="35"/>
  <c r="F5" i="35"/>
  <c r="AA2" i="35"/>
  <c r="Z2" i="35"/>
  <c r="L6" i="34" s="1"/>
  <c r="I2" i="35"/>
  <c r="E1" i="35"/>
  <c r="G3" i="34" s="1"/>
  <c r="J22" i="34"/>
  <c r="I22" i="34"/>
  <c r="E22" i="34"/>
  <c r="G21" i="34"/>
  <c r="F21" i="34"/>
  <c r="D21" i="34"/>
  <c r="J20" i="34"/>
  <c r="H20" i="34"/>
  <c r="G20" i="34"/>
  <c r="D20" i="34"/>
  <c r="J19" i="34"/>
  <c r="I19" i="34"/>
  <c r="H19" i="34"/>
  <c r="G19" i="34"/>
  <c r="J18" i="34"/>
  <c r="I18" i="34"/>
  <c r="F18" i="34"/>
  <c r="D18" i="34"/>
  <c r="J16" i="34"/>
  <c r="I16" i="34"/>
  <c r="H16" i="34"/>
  <c r="G16" i="34"/>
  <c r="F16" i="34"/>
  <c r="E16" i="34"/>
  <c r="D16" i="34"/>
  <c r="M6" i="34"/>
  <c r="D3" i="34"/>
  <c r="AE79" i="33"/>
  <c r="AD79" i="33"/>
  <c r="J20" i="32" s="1"/>
  <c r="AA79" i="33"/>
  <c r="J18" i="32" s="1"/>
  <c r="Z79" i="33"/>
  <c r="M79" i="33"/>
  <c r="W78" i="33"/>
  <c r="H78" i="33"/>
  <c r="W77" i="33"/>
  <c r="H77" i="33"/>
  <c r="W76" i="33"/>
  <c r="H76" i="33"/>
  <c r="W75" i="33"/>
  <c r="H75" i="33"/>
  <c r="W74" i="33"/>
  <c r="W73" i="33"/>
  <c r="W72" i="33"/>
  <c r="W71" i="33"/>
  <c r="V71" i="33"/>
  <c r="P71" i="33"/>
  <c r="N71" i="33"/>
  <c r="O71" i="33" s="1"/>
  <c r="Q71" i="33" s="1"/>
  <c r="L71" i="33"/>
  <c r="R71" i="33" s="1"/>
  <c r="K71" i="33"/>
  <c r="J71" i="33"/>
  <c r="F71" i="33"/>
  <c r="H71" i="33" s="1"/>
  <c r="W70" i="33"/>
  <c r="N70" i="33" s="1"/>
  <c r="P70" i="33"/>
  <c r="K70" i="33"/>
  <c r="L70" i="33" s="1"/>
  <c r="J70" i="33"/>
  <c r="J79" i="33" s="1"/>
  <c r="P79" i="33" s="1"/>
  <c r="F70" i="33"/>
  <c r="H70" i="33" s="1"/>
  <c r="AE69" i="33"/>
  <c r="I21" i="32" s="1"/>
  <c r="AD69" i="33"/>
  <c r="AA69" i="33"/>
  <c r="I19" i="32" s="1"/>
  <c r="Z69" i="33"/>
  <c r="I18" i="32" s="1"/>
  <c r="N69" i="33"/>
  <c r="M69" i="33"/>
  <c r="W68" i="33"/>
  <c r="H68" i="33"/>
  <c r="W67" i="33"/>
  <c r="W66" i="33"/>
  <c r="W65" i="33"/>
  <c r="W64" i="33"/>
  <c r="W63" i="33"/>
  <c r="V63" i="33"/>
  <c r="P63" i="33"/>
  <c r="N63" i="33"/>
  <c r="O63" i="33" s="1"/>
  <c r="K63" i="33"/>
  <c r="L63" i="33" s="1"/>
  <c r="J63" i="33"/>
  <c r="F63" i="33"/>
  <c r="H63" i="33" s="1"/>
  <c r="AF62" i="33"/>
  <c r="W62" i="33"/>
  <c r="V62" i="33"/>
  <c r="O62" i="33"/>
  <c r="N62" i="33"/>
  <c r="AG62" i="33" s="1"/>
  <c r="K62" i="33"/>
  <c r="L62" i="33" s="1"/>
  <c r="J62" i="33"/>
  <c r="P62" i="33" s="1"/>
  <c r="F62" i="33"/>
  <c r="H62" i="33" s="1"/>
  <c r="W61" i="33"/>
  <c r="N61" i="33" s="1"/>
  <c r="O61" i="33" s="1"/>
  <c r="V61" i="33"/>
  <c r="Q61" i="33"/>
  <c r="K61" i="33"/>
  <c r="J61" i="33"/>
  <c r="L61" i="33" s="1"/>
  <c r="F61" i="33"/>
  <c r="H61" i="33" s="1"/>
  <c r="W60" i="33"/>
  <c r="N60" i="33" s="1"/>
  <c r="V60" i="33"/>
  <c r="K60" i="33"/>
  <c r="K69" i="33" s="1"/>
  <c r="J60" i="33"/>
  <c r="P60" i="33" s="1"/>
  <c r="H60" i="33"/>
  <c r="F60" i="33"/>
  <c r="W59" i="33"/>
  <c r="P59" i="33"/>
  <c r="O59" i="33"/>
  <c r="N59" i="33"/>
  <c r="L59" i="33"/>
  <c r="K59" i="33"/>
  <c r="J59" i="33"/>
  <c r="F59" i="33"/>
  <c r="H59" i="33" s="1"/>
  <c r="AE58" i="33"/>
  <c r="H21" i="32" s="1"/>
  <c r="AD58" i="33"/>
  <c r="AA58" i="33"/>
  <c r="H19" i="32" s="1"/>
  <c r="Z58" i="33"/>
  <c r="H18" i="32" s="1"/>
  <c r="N58" i="33"/>
  <c r="M58" i="33"/>
  <c r="W57" i="33"/>
  <c r="W56" i="33"/>
  <c r="W55" i="33"/>
  <c r="W54" i="33"/>
  <c r="AG53" i="33"/>
  <c r="AF53" i="33"/>
  <c r="W53" i="33"/>
  <c r="AG52" i="33"/>
  <c r="W52" i="33"/>
  <c r="V52" i="33"/>
  <c r="P52" i="33"/>
  <c r="N52" i="33"/>
  <c r="AF52" i="33" s="1"/>
  <c r="L52" i="33"/>
  <c r="K52" i="33"/>
  <c r="J52" i="33"/>
  <c r="F52" i="33"/>
  <c r="H52" i="33" s="1"/>
  <c r="W51" i="33"/>
  <c r="N51" i="33" s="1"/>
  <c r="V51" i="33"/>
  <c r="P51" i="33"/>
  <c r="K51" i="33"/>
  <c r="J51" i="33"/>
  <c r="F51" i="33"/>
  <c r="H51" i="33" s="1"/>
  <c r="W50" i="33"/>
  <c r="N50" i="33" s="1"/>
  <c r="V50" i="33"/>
  <c r="L50" i="33"/>
  <c r="K50" i="33"/>
  <c r="J50" i="33"/>
  <c r="P50" i="33" s="1"/>
  <c r="H50" i="33"/>
  <c r="F50" i="33"/>
  <c r="W49" i="33"/>
  <c r="N49" i="33" s="1"/>
  <c r="K49" i="33"/>
  <c r="J49" i="33"/>
  <c r="F49" i="33"/>
  <c r="H49" i="33" s="1"/>
  <c r="AE48" i="33"/>
  <c r="AD48" i="33"/>
  <c r="G20" i="32" s="1"/>
  <c r="AA48" i="33"/>
  <c r="Z48" i="33"/>
  <c r="W48" i="33"/>
  <c r="M48" i="33"/>
  <c r="W47" i="33"/>
  <c r="H47" i="33"/>
  <c r="W46" i="33"/>
  <c r="W45" i="33"/>
  <c r="W44" i="33"/>
  <c r="W43" i="33"/>
  <c r="W42" i="33"/>
  <c r="AG41" i="33"/>
  <c r="AF41" i="33"/>
  <c r="W41" i="33"/>
  <c r="AG40" i="33"/>
  <c r="AF40" i="33"/>
  <c r="W40" i="33"/>
  <c r="W39" i="33"/>
  <c r="N39" i="33" s="1"/>
  <c r="V39" i="33"/>
  <c r="K39" i="33"/>
  <c r="J39" i="33"/>
  <c r="F39" i="33"/>
  <c r="H39" i="33" s="1"/>
  <c r="W38" i="33"/>
  <c r="N38" i="33"/>
  <c r="K38" i="33"/>
  <c r="L38" i="33" s="1"/>
  <c r="J38" i="33"/>
  <c r="P38" i="33" s="1"/>
  <c r="F38" i="33"/>
  <c r="H38" i="33" s="1"/>
  <c r="AE37" i="33"/>
  <c r="AD37" i="33"/>
  <c r="AA37" i="33"/>
  <c r="Z37" i="33"/>
  <c r="F18" i="32" s="1"/>
  <c r="M37" i="33"/>
  <c r="W36" i="33"/>
  <c r="W35" i="33"/>
  <c r="W34" i="33"/>
  <c r="W33" i="33"/>
  <c r="W32" i="33"/>
  <c r="W31" i="33"/>
  <c r="V31" i="33"/>
  <c r="P31" i="33"/>
  <c r="N31" i="33"/>
  <c r="O31" i="33" s="1"/>
  <c r="K31" i="33"/>
  <c r="J31" i="33"/>
  <c r="F31" i="33"/>
  <c r="H31" i="33" s="1"/>
  <c r="W30" i="33"/>
  <c r="N30" i="33" s="1"/>
  <c r="V30" i="33"/>
  <c r="K30" i="33"/>
  <c r="L30" i="33" s="1"/>
  <c r="J30" i="33"/>
  <c r="P30" i="33" s="1"/>
  <c r="F30" i="33"/>
  <c r="H30" i="33" s="1"/>
  <c r="AG29" i="33"/>
  <c r="AF29" i="33"/>
  <c r="W29" i="33"/>
  <c r="N29" i="33" s="1"/>
  <c r="O29" i="33" s="1"/>
  <c r="R29" i="33" s="1"/>
  <c r="V29" i="33"/>
  <c r="Q29" i="33"/>
  <c r="P29" i="33"/>
  <c r="L29" i="33"/>
  <c r="J29" i="33"/>
  <c r="F29" i="33"/>
  <c r="H29" i="33" s="1"/>
  <c r="W28" i="33"/>
  <c r="V28" i="33"/>
  <c r="N28" i="33"/>
  <c r="O28" i="33" s="1"/>
  <c r="K28" i="33"/>
  <c r="J28" i="33"/>
  <c r="H28" i="33"/>
  <c r="F28" i="33"/>
  <c r="W27" i="33"/>
  <c r="P27" i="33"/>
  <c r="N27" i="33"/>
  <c r="L27" i="33"/>
  <c r="K27" i="33"/>
  <c r="J27" i="33"/>
  <c r="F27" i="33"/>
  <c r="H27" i="33" s="1"/>
  <c r="AE26" i="33"/>
  <c r="AD26" i="33"/>
  <c r="AA26" i="33"/>
  <c r="Z26" i="33"/>
  <c r="M26" i="33"/>
  <c r="W25" i="33"/>
  <c r="H25" i="33"/>
  <c r="W24" i="33"/>
  <c r="H24" i="33"/>
  <c r="W23" i="33"/>
  <c r="W21" i="33"/>
  <c r="W20" i="33"/>
  <c r="AG19" i="33"/>
  <c r="AF19" i="33"/>
  <c r="W19" i="33"/>
  <c r="W18" i="33"/>
  <c r="N18" i="33" s="1"/>
  <c r="V18" i="33"/>
  <c r="K18" i="33"/>
  <c r="J18" i="33"/>
  <c r="P18" i="33" s="1"/>
  <c r="F18" i="33"/>
  <c r="H18" i="33" s="1"/>
  <c r="W17" i="33"/>
  <c r="V17" i="33"/>
  <c r="N17" i="33"/>
  <c r="L17" i="33"/>
  <c r="K17" i="33"/>
  <c r="J17" i="33"/>
  <c r="P17" i="33" s="1"/>
  <c r="H17" i="33"/>
  <c r="F17" i="33"/>
  <c r="AG16" i="33"/>
  <c r="W16" i="33"/>
  <c r="N16" i="33" s="1"/>
  <c r="K16" i="33"/>
  <c r="K26" i="33" s="1"/>
  <c r="J16" i="33"/>
  <c r="H16" i="33"/>
  <c r="F16" i="33"/>
  <c r="AE15" i="33"/>
  <c r="AD15" i="33"/>
  <c r="AA15" i="33"/>
  <c r="Z15" i="33"/>
  <c r="M15" i="33"/>
  <c r="D22" i="32" s="1"/>
  <c r="W14" i="33"/>
  <c r="W13" i="33"/>
  <c r="W12" i="33"/>
  <c r="AG11" i="33"/>
  <c r="AF11" i="33"/>
  <c r="W11" i="33"/>
  <c r="AG10" i="33"/>
  <c r="AF10" i="33"/>
  <c r="W10" i="33"/>
  <c r="W9" i="33"/>
  <c r="V9" i="33"/>
  <c r="O9" i="33"/>
  <c r="N9" i="33"/>
  <c r="AG9" i="33" s="1"/>
  <c r="K9" i="33"/>
  <c r="L9" i="33" s="1"/>
  <c r="R9" i="33" s="1"/>
  <c r="J9" i="33"/>
  <c r="P9" i="33" s="1"/>
  <c r="H9" i="33"/>
  <c r="F9" i="33"/>
  <c r="W8" i="33"/>
  <c r="N8" i="33" s="1"/>
  <c r="V8" i="33"/>
  <c r="P8" i="33"/>
  <c r="L8" i="33"/>
  <c r="K8" i="33"/>
  <c r="J8" i="33"/>
  <c r="F8" i="33"/>
  <c r="H8" i="33" s="1"/>
  <c r="AG7" i="33"/>
  <c r="W7" i="33"/>
  <c r="V7" i="33"/>
  <c r="O7" i="33"/>
  <c r="N7" i="33"/>
  <c r="AF7" i="33" s="1"/>
  <c r="K7" i="33"/>
  <c r="J7" i="33"/>
  <c r="P7" i="33" s="1"/>
  <c r="H7" i="33"/>
  <c r="F7" i="33"/>
  <c r="W6" i="33"/>
  <c r="N6" i="33" s="1"/>
  <c r="V6" i="33"/>
  <c r="P6" i="33"/>
  <c r="K6" i="33"/>
  <c r="L6" i="33" s="1"/>
  <c r="J6" i="33"/>
  <c r="F6" i="33"/>
  <c r="H6" i="33" s="1"/>
  <c r="AG5" i="33"/>
  <c r="AF5" i="33"/>
  <c r="W5" i="33"/>
  <c r="N5" i="33" s="1"/>
  <c r="P5" i="33"/>
  <c r="K5" i="33"/>
  <c r="L5" i="33" s="1"/>
  <c r="J5" i="33"/>
  <c r="J15" i="33" s="1"/>
  <c r="H5" i="33"/>
  <c r="F5" i="33"/>
  <c r="AE2" i="33"/>
  <c r="O6" i="32" s="1"/>
  <c r="I2" i="33"/>
  <c r="E1" i="33"/>
  <c r="G3" i="32" s="1"/>
  <c r="J22" i="32"/>
  <c r="I22" i="32"/>
  <c r="G22" i="32"/>
  <c r="J21" i="32"/>
  <c r="G21" i="32"/>
  <c r="F21" i="32"/>
  <c r="E21" i="32"/>
  <c r="D21" i="32"/>
  <c r="I20" i="32"/>
  <c r="H20" i="32"/>
  <c r="F20" i="32"/>
  <c r="E20" i="32"/>
  <c r="J19" i="32"/>
  <c r="G19" i="32"/>
  <c r="F19" i="32"/>
  <c r="E19" i="32"/>
  <c r="G18" i="32"/>
  <c r="D18" i="32"/>
  <c r="J16" i="32"/>
  <c r="I16" i="32"/>
  <c r="H16" i="32"/>
  <c r="G16" i="32"/>
  <c r="F16" i="32"/>
  <c r="E16" i="32"/>
  <c r="D16" i="32"/>
  <c r="D3" i="32"/>
  <c r="AE79" i="87"/>
  <c r="AD79" i="87"/>
  <c r="J20" i="86" s="1"/>
  <c r="AA79" i="87"/>
  <c r="Z79" i="87"/>
  <c r="M79" i="87"/>
  <c r="P79" i="87" s="1"/>
  <c r="W78" i="87"/>
  <c r="H78" i="87"/>
  <c r="W77" i="87"/>
  <c r="W76" i="87"/>
  <c r="W75" i="87"/>
  <c r="W74" i="87"/>
  <c r="W73" i="87"/>
  <c r="W72" i="87"/>
  <c r="W71" i="87"/>
  <c r="N71" i="87" s="1"/>
  <c r="O71" i="87" s="1"/>
  <c r="V71" i="87"/>
  <c r="P71" i="87"/>
  <c r="K71" i="87"/>
  <c r="L71" i="87" s="1"/>
  <c r="J71" i="87"/>
  <c r="F71" i="87"/>
  <c r="H71" i="87" s="1"/>
  <c r="AG70" i="87"/>
  <c r="W70" i="87"/>
  <c r="P70" i="87"/>
  <c r="O70" i="87"/>
  <c r="N70" i="87"/>
  <c r="AF70" i="87" s="1"/>
  <c r="K70" i="87"/>
  <c r="J70" i="87"/>
  <c r="J79" i="87" s="1"/>
  <c r="H70" i="87"/>
  <c r="F70" i="87"/>
  <c r="AE69" i="87"/>
  <c r="AD69" i="87"/>
  <c r="I20" i="86" s="1"/>
  <c r="AA69" i="87"/>
  <c r="Z69" i="87"/>
  <c r="M69" i="87"/>
  <c r="W68" i="87"/>
  <c r="H68" i="87"/>
  <c r="W67" i="87"/>
  <c r="W66" i="87"/>
  <c r="W65" i="87"/>
  <c r="W64" i="87"/>
  <c r="AG63" i="87"/>
  <c r="AF63" i="87"/>
  <c r="W63" i="87"/>
  <c r="V63" i="87"/>
  <c r="P63" i="87"/>
  <c r="O63" i="87"/>
  <c r="Q63" i="87" s="1"/>
  <c r="N63" i="87"/>
  <c r="L63" i="87"/>
  <c r="K63" i="87"/>
  <c r="J63" i="87"/>
  <c r="F63" i="87"/>
  <c r="H63" i="87" s="1"/>
  <c r="W62" i="87"/>
  <c r="N62" i="87" s="1"/>
  <c r="V62" i="87"/>
  <c r="P62" i="87"/>
  <c r="K62" i="87"/>
  <c r="L62" i="87" s="1"/>
  <c r="J62" i="87"/>
  <c r="F62" i="87"/>
  <c r="H62" i="87" s="1"/>
  <c r="AG61" i="87"/>
  <c r="W61" i="87"/>
  <c r="N61" i="87" s="1"/>
  <c r="V61" i="87"/>
  <c r="L61" i="87"/>
  <c r="K61" i="87"/>
  <c r="J61" i="87"/>
  <c r="P61" i="87" s="1"/>
  <c r="H61" i="87"/>
  <c r="F61" i="87"/>
  <c r="W60" i="87"/>
  <c r="N60" i="87" s="1"/>
  <c r="N69" i="87" s="1"/>
  <c r="V60" i="87"/>
  <c r="P60" i="87"/>
  <c r="K60" i="87"/>
  <c r="L60" i="87" s="1"/>
  <c r="J60" i="87"/>
  <c r="H60" i="87"/>
  <c r="F60" i="87"/>
  <c r="W59" i="87"/>
  <c r="O59" i="87"/>
  <c r="N59" i="87"/>
  <c r="AG59" i="87" s="1"/>
  <c r="K59" i="87"/>
  <c r="K69" i="87" s="1"/>
  <c r="J59" i="87"/>
  <c r="H59" i="87"/>
  <c r="F59" i="87"/>
  <c r="AE58" i="87"/>
  <c r="AD58" i="87"/>
  <c r="AA58" i="87"/>
  <c r="H19" i="86" s="1"/>
  <c r="Z58" i="87"/>
  <c r="H18" i="86" s="1"/>
  <c r="P58" i="87"/>
  <c r="M58" i="87"/>
  <c r="J58" i="87"/>
  <c r="W57" i="87"/>
  <c r="W56" i="87"/>
  <c r="W55" i="87"/>
  <c r="W54" i="87"/>
  <c r="AF53" i="87"/>
  <c r="W53" i="87"/>
  <c r="N53" i="87" s="1"/>
  <c r="V53" i="87"/>
  <c r="P53" i="87"/>
  <c r="K53" i="87"/>
  <c r="L53" i="87" s="1"/>
  <c r="J53" i="87"/>
  <c r="H53" i="87"/>
  <c r="F53" i="87"/>
  <c r="W52" i="87"/>
  <c r="V52" i="87"/>
  <c r="N52" i="87"/>
  <c r="K52" i="87"/>
  <c r="L52" i="87" s="1"/>
  <c r="J52" i="87"/>
  <c r="P52" i="87" s="1"/>
  <c r="H52" i="87"/>
  <c r="F52" i="87"/>
  <c r="W51" i="87"/>
  <c r="V51" i="87"/>
  <c r="P51" i="87"/>
  <c r="N51" i="87"/>
  <c r="K51" i="87"/>
  <c r="L51" i="87" s="1"/>
  <c r="J51" i="87"/>
  <c r="F51" i="87"/>
  <c r="H51" i="87" s="1"/>
  <c r="AF50" i="87"/>
  <c r="W50" i="87"/>
  <c r="V50" i="87"/>
  <c r="P50" i="87"/>
  <c r="N50" i="87"/>
  <c r="AG50" i="87" s="1"/>
  <c r="L50" i="87"/>
  <c r="K50" i="87"/>
  <c r="J50" i="87"/>
  <c r="F50" i="87"/>
  <c r="H50" i="87" s="1"/>
  <c r="AF49" i="87"/>
  <c r="W49" i="87"/>
  <c r="P49" i="87"/>
  <c r="L49" i="87"/>
  <c r="K49" i="87"/>
  <c r="J49" i="87"/>
  <c r="G49" i="87"/>
  <c r="N49" i="87" s="1"/>
  <c r="F49" i="87"/>
  <c r="H49" i="87" s="1"/>
  <c r="AE48" i="87"/>
  <c r="AD48" i="87"/>
  <c r="G20" i="86" s="1"/>
  <c r="AA48" i="87"/>
  <c r="Z48" i="87"/>
  <c r="W48" i="87"/>
  <c r="M48" i="87"/>
  <c r="K48" i="87"/>
  <c r="W47" i="87"/>
  <c r="H47" i="87"/>
  <c r="W46" i="87"/>
  <c r="W45" i="87"/>
  <c r="W44" i="87"/>
  <c r="W43" i="87"/>
  <c r="W42" i="87"/>
  <c r="AG41" i="87"/>
  <c r="AF41" i="87"/>
  <c r="W41" i="87"/>
  <c r="AG40" i="87"/>
  <c r="AF40" i="87"/>
  <c r="W40" i="87"/>
  <c r="V40" i="87"/>
  <c r="N40" i="87"/>
  <c r="O40" i="87" s="1"/>
  <c r="K40" i="87"/>
  <c r="L40" i="87" s="1"/>
  <c r="J40" i="87"/>
  <c r="P40" i="87" s="1"/>
  <c r="G40" i="87"/>
  <c r="H40" i="87" s="1"/>
  <c r="F40" i="87"/>
  <c r="W39" i="87"/>
  <c r="V39" i="87"/>
  <c r="P39" i="87"/>
  <c r="N39" i="87"/>
  <c r="L39" i="87"/>
  <c r="K39" i="87"/>
  <c r="J39" i="87"/>
  <c r="F39" i="87"/>
  <c r="H39" i="87" s="1"/>
  <c r="W38" i="87"/>
  <c r="N38" i="87" s="1"/>
  <c r="K38" i="87"/>
  <c r="J38" i="87"/>
  <c r="P38" i="87" s="1"/>
  <c r="F38" i="87"/>
  <c r="H38" i="87" s="1"/>
  <c r="AE37" i="87"/>
  <c r="AD37" i="87"/>
  <c r="AA37" i="87"/>
  <c r="Z37" i="87"/>
  <c r="M37" i="87"/>
  <c r="K37" i="87"/>
  <c r="W36" i="87"/>
  <c r="W35" i="87"/>
  <c r="W34" i="87"/>
  <c r="W33" i="87"/>
  <c r="AG32" i="87"/>
  <c r="AF32" i="87"/>
  <c r="W32" i="87"/>
  <c r="W31" i="87"/>
  <c r="P31" i="87"/>
  <c r="J31" i="87"/>
  <c r="L31" i="87" s="1"/>
  <c r="H31" i="87"/>
  <c r="G31" i="87"/>
  <c r="F31" i="87"/>
  <c r="W30" i="87"/>
  <c r="N30" i="87" s="1"/>
  <c r="V30" i="87"/>
  <c r="P30" i="87"/>
  <c r="J30" i="87"/>
  <c r="L30" i="87" s="1"/>
  <c r="F30" i="87"/>
  <c r="H30" i="87" s="1"/>
  <c r="AG29" i="87"/>
  <c r="W29" i="87"/>
  <c r="V29" i="87"/>
  <c r="P29" i="87"/>
  <c r="O29" i="87"/>
  <c r="N29" i="87"/>
  <c r="AF29" i="87" s="1"/>
  <c r="L29" i="87"/>
  <c r="J29" i="87"/>
  <c r="F29" i="87"/>
  <c r="H29" i="87" s="1"/>
  <c r="AG28" i="87"/>
  <c r="W28" i="87"/>
  <c r="V28" i="87"/>
  <c r="P28" i="87"/>
  <c r="O28" i="87"/>
  <c r="N28" i="87"/>
  <c r="AF28" i="87" s="1"/>
  <c r="K28" i="87"/>
  <c r="J28" i="87"/>
  <c r="F28" i="87"/>
  <c r="H28" i="87" s="1"/>
  <c r="W27" i="87"/>
  <c r="O27" i="87"/>
  <c r="N27" i="87"/>
  <c r="K27" i="87"/>
  <c r="J27" i="87"/>
  <c r="H27" i="87"/>
  <c r="F27" i="87"/>
  <c r="AE26" i="87"/>
  <c r="AD26" i="87"/>
  <c r="AA26" i="87"/>
  <c r="Z26" i="87"/>
  <c r="E18" i="86" s="1"/>
  <c r="M26" i="87"/>
  <c r="W25" i="87"/>
  <c r="H25" i="87"/>
  <c r="W24" i="87"/>
  <c r="H24" i="87"/>
  <c r="W23" i="87"/>
  <c r="W21" i="87"/>
  <c r="AG20" i="87"/>
  <c r="AF20" i="87"/>
  <c r="W20" i="87"/>
  <c r="W19" i="87"/>
  <c r="V19" i="87"/>
  <c r="O19" i="87"/>
  <c r="N19" i="87"/>
  <c r="L19" i="87"/>
  <c r="K19" i="87"/>
  <c r="J19" i="87"/>
  <c r="P19" i="87" s="1"/>
  <c r="F19" i="87"/>
  <c r="H19" i="87" s="1"/>
  <c r="W18" i="87"/>
  <c r="V18" i="87"/>
  <c r="P18" i="87"/>
  <c r="N18" i="87"/>
  <c r="K18" i="87"/>
  <c r="J18" i="87"/>
  <c r="L18" i="87" s="1"/>
  <c r="H18" i="87"/>
  <c r="F18" i="87"/>
  <c r="W17" i="87"/>
  <c r="N17" i="87" s="1"/>
  <c r="V17" i="87"/>
  <c r="P17" i="87"/>
  <c r="O17" i="87"/>
  <c r="K17" i="87"/>
  <c r="L17" i="87" s="1"/>
  <c r="J17" i="87"/>
  <c r="F17" i="87"/>
  <c r="H17" i="87" s="1"/>
  <c r="W16" i="87"/>
  <c r="N16" i="87" s="1"/>
  <c r="O16" i="87"/>
  <c r="K16" i="87"/>
  <c r="J16" i="87"/>
  <c r="H16" i="87"/>
  <c r="F16" i="87"/>
  <c r="AE15" i="87"/>
  <c r="AD15" i="87"/>
  <c r="AA15" i="87"/>
  <c r="Z15" i="87"/>
  <c r="D18" i="86" s="1"/>
  <c r="M15" i="87"/>
  <c r="W14" i="87"/>
  <c r="W13" i="87"/>
  <c r="W12" i="87"/>
  <c r="AG11" i="87"/>
  <c r="AF11" i="87"/>
  <c r="W11" i="87"/>
  <c r="W10" i="87"/>
  <c r="N10" i="87" s="1"/>
  <c r="V10" i="87"/>
  <c r="L10" i="87"/>
  <c r="K10" i="87"/>
  <c r="J10" i="87"/>
  <c r="P10" i="87" s="1"/>
  <c r="F10" i="87"/>
  <c r="H10" i="87" s="1"/>
  <c r="W9" i="87"/>
  <c r="N9" i="87" s="1"/>
  <c r="V9" i="87"/>
  <c r="K9" i="87"/>
  <c r="J9" i="87"/>
  <c r="F9" i="87"/>
  <c r="H9" i="87" s="1"/>
  <c r="AG8" i="87"/>
  <c r="W8" i="87"/>
  <c r="V8" i="87"/>
  <c r="N8" i="87"/>
  <c r="O8" i="87" s="1"/>
  <c r="K8" i="87"/>
  <c r="L8" i="87" s="1"/>
  <c r="J8" i="87"/>
  <c r="P8" i="87" s="1"/>
  <c r="F8" i="87"/>
  <c r="H8" i="87" s="1"/>
  <c r="W7" i="87"/>
  <c r="N7" i="87" s="1"/>
  <c r="V7" i="87"/>
  <c r="P7" i="87"/>
  <c r="L7" i="87"/>
  <c r="K7" i="87"/>
  <c r="J7" i="87"/>
  <c r="F7" i="87"/>
  <c r="H7" i="87" s="1"/>
  <c r="AG6" i="87"/>
  <c r="AF6" i="87"/>
  <c r="W6" i="87"/>
  <c r="V6" i="87"/>
  <c r="P6" i="87"/>
  <c r="N6" i="87"/>
  <c r="O6" i="87" s="1"/>
  <c r="K6" i="87"/>
  <c r="L6" i="87" s="1"/>
  <c r="J6" i="87"/>
  <c r="F6" i="87"/>
  <c r="H6" i="87" s="1"/>
  <c r="W5" i="87"/>
  <c r="N5" i="87" s="1"/>
  <c r="P5" i="87"/>
  <c r="L5" i="87"/>
  <c r="K5" i="87"/>
  <c r="J5" i="87"/>
  <c r="F5" i="87"/>
  <c r="H5" i="87" s="1"/>
  <c r="I2" i="87"/>
  <c r="J22" i="86"/>
  <c r="I22" i="86"/>
  <c r="H22" i="86"/>
  <c r="G22" i="86"/>
  <c r="F22" i="86"/>
  <c r="D22" i="86"/>
  <c r="J21" i="86"/>
  <c r="I21" i="86"/>
  <c r="H21" i="86"/>
  <c r="G21" i="86"/>
  <c r="E21" i="86"/>
  <c r="D21" i="86"/>
  <c r="H20" i="86"/>
  <c r="E20" i="86"/>
  <c r="D20" i="86"/>
  <c r="J19" i="86"/>
  <c r="I19" i="86"/>
  <c r="G19" i="86"/>
  <c r="F19" i="86"/>
  <c r="E19" i="86"/>
  <c r="J18" i="86"/>
  <c r="I18" i="86"/>
  <c r="G18" i="86"/>
  <c r="F18" i="86"/>
  <c r="J16" i="86"/>
  <c r="I16" i="86"/>
  <c r="H16" i="86"/>
  <c r="G16" i="86"/>
  <c r="F16" i="86"/>
  <c r="E16" i="86"/>
  <c r="D16" i="86"/>
  <c r="D3" i="86"/>
  <c r="AE79" i="85"/>
  <c r="AD79" i="85"/>
  <c r="J20" i="84" s="1"/>
  <c r="AA79" i="85"/>
  <c r="Z79" i="85"/>
  <c r="P79" i="85"/>
  <c r="M79" i="85"/>
  <c r="W78" i="85"/>
  <c r="H78" i="85"/>
  <c r="W77" i="85"/>
  <c r="W76" i="85"/>
  <c r="W75" i="85"/>
  <c r="W74" i="85"/>
  <c r="W73" i="85"/>
  <c r="W72" i="85"/>
  <c r="N72" i="85" s="1"/>
  <c r="O72" i="85" s="1"/>
  <c r="V72" i="85"/>
  <c r="L72" i="85"/>
  <c r="K72" i="85"/>
  <c r="J72" i="85"/>
  <c r="P72" i="85" s="1"/>
  <c r="F72" i="85"/>
  <c r="H72" i="85" s="1"/>
  <c r="W71" i="85"/>
  <c r="N71" i="85" s="1"/>
  <c r="O71" i="85" s="1"/>
  <c r="V71" i="85"/>
  <c r="P71" i="85"/>
  <c r="K71" i="85"/>
  <c r="J71" i="85"/>
  <c r="F71" i="85"/>
  <c r="H71" i="85" s="1"/>
  <c r="AG70" i="85"/>
  <c r="AF70" i="85"/>
  <c r="W70" i="85"/>
  <c r="R70" i="85"/>
  <c r="O70" i="85"/>
  <c r="N70" i="85"/>
  <c r="L70" i="85"/>
  <c r="K70" i="85"/>
  <c r="J70" i="85"/>
  <c r="J79" i="85" s="1"/>
  <c r="H70" i="85"/>
  <c r="F70" i="85"/>
  <c r="AE69" i="85"/>
  <c r="AD69" i="85"/>
  <c r="AA69" i="85"/>
  <c r="Z69" i="85"/>
  <c r="I18" i="84" s="1"/>
  <c r="M69" i="85"/>
  <c r="W68" i="85"/>
  <c r="H68" i="85"/>
  <c r="W67" i="85"/>
  <c r="W66" i="85"/>
  <c r="W65" i="85"/>
  <c r="W64" i="85"/>
  <c r="W63" i="85"/>
  <c r="AG62" i="85"/>
  <c r="W62" i="85"/>
  <c r="V62" i="85"/>
  <c r="P62" i="85"/>
  <c r="N62" i="85"/>
  <c r="L62" i="85"/>
  <c r="K62" i="85"/>
  <c r="J62" i="85"/>
  <c r="G62" i="85"/>
  <c r="F62" i="85"/>
  <c r="H62" i="85" s="1"/>
  <c r="W61" i="85"/>
  <c r="V61" i="85"/>
  <c r="P61" i="85"/>
  <c r="O61" i="85"/>
  <c r="N61" i="85"/>
  <c r="K61" i="85"/>
  <c r="J61" i="85"/>
  <c r="H61" i="85"/>
  <c r="F61" i="85"/>
  <c r="W60" i="85"/>
  <c r="N60" i="85" s="1"/>
  <c r="N69" i="85" s="1"/>
  <c r="V60" i="85"/>
  <c r="P60" i="85"/>
  <c r="K60" i="85"/>
  <c r="J60" i="85"/>
  <c r="F60" i="85"/>
  <c r="H60" i="85" s="1"/>
  <c r="AG59" i="85"/>
  <c r="W59" i="85"/>
  <c r="N59" i="85" s="1"/>
  <c r="AF59" i="85" s="1"/>
  <c r="P59" i="85"/>
  <c r="O59" i="85"/>
  <c r="K59" i="85"/>
  <c r="J59" i="85"/>
  <c r="F59" i="85"/>
  <c r="H59" i="85" s="1"/>
  <c r="AE58" i="85"/>
  <c r="H21" i="84" s="1"/>
  <c r="AD58" i="85"/>
  <c r="AA58" i="85"/>
  <c r="H19" i="84" s="1"/>
  <c r="Z58" i="85"/>
  <c r="M58" i="85"/>
  <c r="H22" i="84" s="1"/>
  <c r="J58" i="85"/>
  <c r="P58" i="85" s="1"/>
  <c r="W57" i="85"/>
  <c r="W56" i="85"/>
  <c r="W55" i="85"/>
  <c r="W54" i="85"/>
  <c r="AF53" i="85"/>
  <c r="W53" i="85"/>
  <c r="V53" i="85"/>
  <c r="P53" i="85"/>
  <c r="N53" i="85"/>
  <c r="K53" i="85"/>
  <c r="L53" i="85" s="1"/>
  <c r="J53" i="85"/>
  <c r="F53" i="85"/>
  <c r="H53" i="85" s="1"/>
  <c r="AG52" i="85"/>
  <c r="W52" i="85"/>
  <c r="V52" i="85"/>
  <c r="N52" i="85"/>
  <c r="AF52" i="85" s="1"/>
  <c r="L52" i="85"/>
  <c r="K52" i="85"/>
  <c r="J52" i="85"/>
  <c r="P52" i="85" s="1"/>
  <c r="G52" i="85"/>
  <c r="F52" i="85"/>
  <c r="H52" i="85" s="1"/>
  <c r="W51" i="85"/>
  <c r="N51" i="85" s="1"/>
  <c r="V51" i="85"/>
  <c r="P51" i="85"/>
  <c r="K51" i="85"/>
  <c r="L51" i="85" s="1"/>
  <c r="J51" i="85"/>
  <c r="H51" i="85"/>
  <c r="G51" i="85"/>
  <c r="F51" i="85"/>
  <c r="W50" i="85"/>
  <c r="N50" i="85" s="1"/>
  <c r="V50" i="85"/>
  <c r="P50" i="85"/>
  <c r="K50" i="85"/>
  <c r="J50" i="85"/>
  <c r="F50" i="85"/>
  <c r="H50" i="85" s="1"/>
  <c r="W49" i="85"/>
  <c r="P49" i="85"/>
  <c r="N49" i="85"/>
  <c r="K49" i="85"/>
  <c r="L49" i="85" s="1"/>
  <c r="J49" i="85"/>
  <c r="G49" i="85"/>
  <c r="F49" i="85"/>
  <c r="H49" i="85" s="1"/>
  <c r="AE48" i="85"/>
  <c r="AD48" i="85"/>
  <c r="AA48" i="85"/>
  <c r="G19" i="84" s="1"/>
  <c r="Z48" i="85"/>
  <c r="W48" i="85"/>
  <c r="M48" i="85"/>
  <c r="W47" i="85"/>
  <c r="H47" i="85"/>
  <c r="W46" i="85"/>
  <c r="W45" i="85"/>
  <c r="W44" i="85"/>
  <c r="W43" i="85"/>
  <c r="W42" i="85"/>
  <c r="AG41" i="85"/>
  <c r="AF41" i="85"/>
  <c r="W41" i="85"/>
  <c r="W40" i="85"/>
  <c r="N40" i="85" s="1"/>
  <c r="V40" i="85"/>
  <c r="K40" i="85"/>
  <c r="L40" i="85" s="1"/>
  <c r="J40" i="85"/>
  <c r="P40" i="85" s="1"/>
  <c r="H40" i="85"/>
  <c r="F40" i="85"/>
  <c r="W39" i="85"/>
  <c r="N39" i="85" s="1"/>
  <c r="AG39" i="85" s="1"/>
  <c r="V39" i="85"/>
  <c r="L39" i="85"/>
  <c r="K39" i="85"/>
  <c r="J39" i="85"/>
  <c r="P39" i="85" s="1"/>
  <c r="F39" i="85"/>
  <c r="H39" i="85" s="1"/>
  <c r="AF38" i="85"/>
  <c r="W38" i="85"/>
  <c r="N38" i="85"/>
  <c r="AG38" i="85" s="1"/>
  <c r="L38" i="85"/>
  <c r="K38" i="85"/>
  <c r="J38" i="85"/>
  <c r="P38" i="85" s="1"/>
  <c r="H38" i="85"/>
  <c r="F38" i="85"/>
  <c r="AE37" i="85"/>
  <c r="AD37" i="85"/>
  <c r="AA37" i="85"/>
  <c r="F19" i="84" s="1"/>
  <c r="Z37" i="85"/>
  <c r="M37" i="85"/>
  <c r="F22" i="84" s="1"/>
  <c r="W36" i="85"/>
  <c r="W35" i="85"/>
  <c r="W34" i="85"/>
  <c r="W33" i="85"/>
  <c r="AG32" i="85"/>
  <c r="AF32" i="85"/>
  <c r="W32" i="85"/>
  <c r="AG31" i="85"/>
  <c r="AF31" i="85"/>
  <c r="W31" i="85"/>
  <c r="W30" i="85"/>
  <c r="V30" i="85"/>
  <c r="N30" i="85"/>
  <c r="L30" i="85"/>
  <c r="J30" i="85"/>
  <c r="P30" i="85" s="1"/>
  <c r="H30" i="85"/>
  <c r="F30" i="85"/>
  <c r="W29" i="85"/>
  <c r="V29" i="85"/>
  <c r="P29" i="85"/>
  <c r="N29" i="85"/>
  <c r="J29" i="85"/>
  <c r="L29" i="85" s="1"/>
  <c r="G29" i="85"/>
  <c r="E1" i="85" s="1"/>
  <c r="F29" i="85"/>
  <c r="H29" i="85" s="1"/>
  <c r="AG28" i="85"/>
  <c r="W28" i="85"/>
  <c r="V28" i="85"/>
  <c r="O28" i="85"/>
  <c r="N28" i="85"/>
  <c r="AF28" i="85" s="1"/>
  <c r="K28" i="85"/>
  <c r="J28" i="85"/>
  <c r="H28" i="85"/>
  <c r="F28" i="85"/>
  <c r="AF27" i="85"/>
  <c r="W27" i="85"/>
  <c r="N27" i="85"/>
  <c r="AG27" i="85" s="1"/>
  <c r="K27" i="85"/>
  <c r="K37" i="85" s="1"/>
  <c r="J27" i="85"/>
  <c r="P27" i="85" s="1"/>
  <c r="F27" i="85"/>
  <c r="H27" i="85" s="1"/>
  <c r="AE26" i="85"/>
  <c r="E21" i="84" s="1"/>
  <c r="AD26" i="85"/>
  <c r="E20" i="84" s="1"/>
  <c r="AA26" i="85"/>
  <c r="Z26" i="85"/>
  <c r="M26" i="85"/>
  <c r="W25" i="85"/>
  <c r="H25" i="85"/>
  <c r="W24" i="85"/>
  <c r="H24" i="85"/>
  <c r="W23" i="85"/>
  <c r="W21" i="85"/>
  <c r="AG20" i="85"/>
  <c r="AF20" i="85"/>
  <c r="W20" i="85"/>
  <c r="W19" i="85"/>
  <c r="N19" i="85" s="1"/>
  <c r="V19" i="85"/>
  <c r="P19" i="85"/>
  <c r="L19" i="85"/>
  <c r="K19" i="85"/>
  <c r="AG19" i="85" s="1"/>
  <c r="J19" i="85"/>
  <c r="F19" i="85"/>
  <c r="H19" i="85" s="1"/>
  <c r="W18" i="85"/>
  <c r="V18" i="85"/>
  <c r="P18" i="85"/>
  <c r="N18" i="85"/>
  <c r="K18" i="85"/>
  <c r="J18" i="85"/>
  <c r="F18" i="85"/>
  <c r="H18" i="85" s="1"/>
  <c r="W17" i="85"/>
  <c r="N17" i="85" s="1"/>
  <c r="V17" i="85"/>
  <c r="P17" i="85"/>
  <c r="K17" i="85"/>
  <c r="L17" i="85" s="1"/>
  <c r="J17" i="85"/>
  <c r="F17" i="85"/>
  <c r="H17" i="85" s="1"/>
  <c r="AG16" i="85"/>
  <c r="W16" i="85"/>
  <c r="N16" i="85"/>
  <c r="K16" i="85"/>
  <c r="J16" i="85"/>
  <c r="H16" i="85"/>
  <c r="F16" i="85"/>
  <c r="AE15" i="85"/>
  <c r="AD15" i="85"/>
  <c r="D20" i="84" s="1"/>
  <c r="AA15" i="85"/>
  <c r="Z15" i="85"/>
  <c r="M15" i="85"/>
  <c r="W14" i="85"/>
  <c r="W13" i="85"/>
  <c r="W12" i="85"/>
  <c r="AG11" i="85"/>
  <c r="AF11" i="85"/>
  <c r="W11" i="85"/>
  <c r="AG10" i="85"/>
  <c r="AF10" i="85"/>
  <c r="W10" i="85"/>
  <c r="AG9" i="85"/>
  <c r="W9" i="85"/>
  <c r="N9" i="85" s="1"/>
  <c r="V9" i="85"/>
  <c r="K9" i="85"/>
  <c r="J9" i="85"/>
  <c r="H9" i="85"/>
  <c r="F9" i="85"/>
  <c r="W8" i="85"/>
  <c r="V8" i="85"/>
  <c r="N8" i="85"/>
  <c r="K8" i="85"/>
  <c r="J8" i="85"/>
  <c r="P8" i="85" s="1"/>
  <c r="H8" i="85"/>
  <c r="F8" i="85"/>
  <c r="W7" i="85"/>
  <c r="N7" i="85" s="1"/>
  <c r="V7" i="85"/>
  <c r="P7" i="85"/>
  <c r="K7" i="85"/>
  <c r="L7" i="85" s="1"/>
  <c r="J7" i="85"/>
  <c r="F7" i="85"/>
  <c r="H7" i="85" s="1"/>
  <c r="AG6" i="85"/>
  <c r="AF6" i="85"/>
  <c r="W6" i="85"/>
  <c r="V6" i="85"/>
  <c r="P6" i="85"/>
  <c r="O6" i="85"/>
  <c r="N6" i="85"/>
  <c r="K6" i="85"/>
  <c r="J6" i="85"/>
  <c r="H6" i="85"/>
  <c r="F6" i="85"/>
  <c r="W5" i="85"/>
  <c r="P5" i="85"/>
  <c r="O5" i="85"/>
  <c r="N5" i="85"/>
  <c r="L5" i="85"/>
  <c r="K5" i="85"/>
  <c r="J5" i="85"/>
  <c r="F5" i="85"/>
  <c r="H5" i="85" s="1"/>
  <c r="Z2" i="85"/>
  <c r="L6" i="84" s="1"/>
  <c r="I2" i="85"/>
  <c r="J22" i="84"/>
  <c r="E22" i="84"/>
  <c r="J21" i="84"/>
  <c r="I21" i="84"/>
  <c r="G21" i="84"/>
  <c r="F21" i="84"/>
  <c r="I20" i="84"/>
  <c r="H20" i="84"/>
  <c r="G20" i="84"/>
  <c r="F20" i="84"/>
  <c r="J19" i="84"/>
  <c r="I19" i="84"/>
  <c r="E19" i="84"/>
  <c r="D19" i="84"/>
  <c r="J18" i="84"/>
  <c r="H18" i="84"/>
  <c r="G18" i="84"/>
  <c r="F18" i="84"/>
  <c r="E18" i="84"/>
  <c r="D18" i="84"/>
  <c r="J16" i="84"/>
  <c r="I16" i="84"/>
  <c r="H16" i="84"/>
  <c r="G16" i="84"/>
  <c r="F16" i="84"/>
  <c r="E16" i="84"/>
  <c r="D16" i="84"/>
  <c r="G3" i="84"/>
  <c r="D3" i="84"/>
  <c r="AE79" i="83"/>
  <c r="AD79" i="83"/>
  <c r="J20" i="82" s="1"/>
  <c r="AA79" i="83"/>
  <c r="Z79" i="83"/>
  <c r="P79" i="83"/>
  <c r="M79" i="83"/>
  <c r="J22" i="82" s="1"/>
  <c r="J79" i="83"/>
  <c r="W78" i="83"/>
  <c r="H78" i="83"/>
  <c r="W77" i="83"/>
  <c r="W76" i="83"/>
  <c r="W75" i="83"/>
  <c r="W74" i="83"/>
  <c r="W73" i="83"/>
  <c r="W72" i="83"/>
  <c r="N72" i="83" s="1"/>
  <c r="O72" i="83" s="1"/>
  <c r="V72" i="83"/>
  <c r="P72" i="83"/>
  <c r="K72" i="83"/>
  <c r="L72" i="83" s="1"/>
  <c r="J72" i="83"/>
  <c r="H72" i="83"/>
  <c r="F72" i="83"/>
  <c r="W71" i="83"/>
  <c r="N71" i="83" s="1"/>
  <c r="O71" i="83" s="1"/>
  <c r="V71" i="83"/>
  <c r="P71" i="83"/>
  <c r="K71" i="83"/>
  <c r="L71" i="83" s="1"/>
  <c r="J71" i="83"/>
  <c r="H71" i="83"/>
  <c r="F71" i="83"/>
  <c r="W70" i="83"/>
  <c r="N70" i="83" s="1"/>
  <c r="K70" i="83"/>
  <c r="L70" i="83" s="1"/>
  <c r="J70" i="83"/>
  <c r="P70" i="83" s="1"/>
  <c r="F70" i="83"/>
  <c r="H70" i="83" s="1"/>
  <c r="AE69" i="83"/>
  <c r="AD69" i="83"/>
  <c r="AA69" i="83"/>
  <c r="Z69" i="83"/>
  <c r="I18" i="82" s="1"/>
  <c r="M69" i="83"/>
  <c r="I22" i="82" s="1"/>
  <c r="W68" i="83"/>
  <c r="H68" i="83"/>
  <c r="W67" i="83"/>
  <c r="W66" i="83"/>
  <c r="W65" i="83"/>
  <c r="W64" i="83"/>
  <c r="AG63" i="83"/>
  <c r="AF63" i="83"/>
  <c r="W63" i="83"/>
  <c r="W62" i="83"/>
  <c r="V62" i="83"/>
  <c r="K62" i="83"/>
  <c r="J62" i="83"/>
  <c r="H62" i="83"/>
  <c r="G62" i="83"/>
  <c r="N62" i="83" s="1"/>
  <c r="F62" i="83"/>
  <c r="W61" i="83"/>
  <c r="V61" i="83"/>
  <c r="O61" i="83"/>
  <c r="N61" i="83"/>
  <c r="K61" i="83"/>
  <c r="K69" i="83" s="1"/>
  <c r="J61" i="83"/>
  <c r="H61" i="83"/>
  <c r="F61" i="83"/>
  <c r="W60" i="83"/>
  <c r="V60" i="83"/>
  <c r="P60" i="83"/>
  <c r="N60" i="83"/>
  <c r="L60" i="83"/>
  <c r="K60" i="83"/>
  <c r="J60" i="83"/>
  <c r="H60" i="83"/>
  <c r="F60" i="83"/>
  <c r="AG59" i="83"/>
  <c r="AF59" i="83"/>
  <c r="W59" i="83"/>
  <c r="N59" i="83" s="1"/>
  <c r="P59" i="83"/>
  <c r="K59" i="83"/>
  <c r="J59" i="83"/>
  <c r="F59" i="83"/>
  <c r="H59" i="83" s="1"/>
  <c r="AE58" i="83"/>
  <c r="AD58" i="83"/>
  <c r="AA58" i="83"/>
  <c r="H19" i="82" s="1"/>
  <c r="Z58" i="83"/>
  <c r="M58" i="83"/>
  <c r="K58" i="83"/>
  <c r="J58" i="83"/>
  <c r="W57" i="83"/>
  <c r="W56" i="83"/>
  <c r="W55" i="83"/>
  <c r="W54" i="83"/>
  <c r="W53" i="83"/>
  <c r="V53" i="83"/>
  <c r="P53" i="83"/>
  <c r="N53" i="83"/>
  <c r="L53" i="83"/>
  <c r="K53" i="83"/>
  <c r="J53" i="83"/>
  <c r="H53" i="83"/>
  <c r="F53" i="83"/>
  <c r="W52" i="83"/>
  <c r="N52" i="83" s="1"/>
  <c r="V52" i="83"/>
  <c r="P52" i="83"/>
  <c r="K52" i="83"/>
  <c r="L52" i="83" s="1"/>
  <c r="J52" i="83"/>
  <c r="F52" i="83"/>
  <c r="H52" i="83" s="1"/>
  <c r="W51" i="83"/>
  <c r="N51" i="83" s="1"/>
  <c r="V51" i="83"/>
  <c r="K51" i="83"/>
  <c r="L51" i="83" s="1"/>
  <c r="J51" i="83"/>
  <c r="P51" i="83" s="1"/>
  <c r="H51" i="83"/>
  <c r="F51" i="83"/>
  <c r="W50" i="83"/>
  <c r="N50" i="83" s="1"/>
  <c r="AG50" i="83" s="1"/>
  <c r="O50" i="83"/>
  <c r="K50" i="83"/>
  <c r="L50" i="83" s="1"/>
  <c r="J50" i="83"/>
  <c r="P50" i="83" s="1"/>
  <c r="H50" i="83"/>
  <c r="F50" i="83"/>
  <c r="AG49" i="83"/>
  <c r="W49" i="83"/>
  <c r="P49" i="83"/>
  <c r="O49" i="83"/>
  <c r="N49" i="83"/>
  <c r="L49" i="83"/>
  <c r="K49" i="83"/>
  <c r="AF49" i="83" s="1"/>
  <c r="J49" i="83"/>
  <c r="F49" i="83"/>
  <c r="H49" i="83" s="1"/>
  <c r="AE48" i="83"/>
  <c r="G21" i="82" s="1"/>
  <c r="AD48" i="83"/>
  <c r="AA48" i="83"/>
  <c r="G19" i="82" s="1"/>
  <c r="Z48" i="83"/>
  <c r="W48" i="83"/>
  <c r="M48" i="83"/>
  <c r="K48" i="83"/>
  <c r="W47" i="83"/>
  <c r="H47" i="83"/>
  <c r="W46" i="83"/>
  <c r="W45" i="83"/>
  <c r="W44" i="83"/>
  <c r="W43" i="83"/>
  <c r="W42" i="83"/>
  <c r="AG41" i="83"/>
  <c r="AF41" i="83"/>
  <c r="W41" i="83"/>
  <c r="W40" i="83"/>
  <c r="N40" i="83" s="1"/>
  <c r="V40" i="83"/>
  <c r="P40" i="83"/>
  <c r="L40" i="83"/>
  <c r="K40" i="83"/>
  <c r="J40" i="83"/>
  <c r="H40" i="83"/>
  <c r="G40" i="83"/>
  <c r="F40" i="83"/>
  <c r="W39" i="83"/>
  <c r="N39" i="83" s="1"/>
  <c r="V39" i="83"/>
  <c r="L39" i="83"/>
  <c r="K39" i="83"/>
  <c r="J39" i="83"/>
  <c r="P39" i="83" s="1"/>
  <c r="F39" i="83"/>
  <c r="H39" i="83" s="1"/>
  <c r="W38" i="83"/>
  <c r="N38" i="83" s="1"/>
  <c r="N48" i="83" s="1"/>
  <c r="P38" i="83"/>
  <c r="L38" i="83"/>
  <c r="L48" i="83" s="1"/>
  <c r="G13" i="82" s="1"/>
  <c r="K38" i="83"/>
  <c r="J38" i="83"/>
  <c r="J48" i="83" s="1"/>
  <c r="P48" i="83" s="1"/>
  <c r="F38" i="83"/>
  <c r="H38" i="83" s="1"/>
  <c r="AE37" i="83"/>
  <c r="AD37" i="83"/>
  <c r="AA37" i="83"/>
  <c r="Z37" i="83"/>
  <c r="M37" i="83"/>
  <c r="K37" i="83"/>
  <c r="W36" i="83"/>
  <c r="W35" i="83"/>
  <c r="W34" i="83"/>
  <c r="W33" i="83"/>
  <c r="AG32" i="83"/>
  <c r="AF32" i="83"/>
  <c r="W32" i="83"/>
  <c r="AG31" i="83"/>
  <c r="W31" i="83"/>
  <c r="V31" i="83"/>
  <c r="N31" i="83"/>
  <c r="J31" i="83"/>
  <c r="H31" i="83"/>
  <c r="F31" i="83"/>
  <c r="AF30" i="83"/>
  <c r="W30" i="83"/>
  <c r="N30" i="83" s="1"/>
  <c r="V30" i="83"/>
  <c r="L30" i="83"/>
  <c r="J30" i="83"/>
  <c r="P30" i="83" s="1"/>
  <c r="H30" i="83"/>
  <c r="F30" i="83"/>
  <c r="AF29" i="83"/>
  <c r="W29" i="83"/>
  <c r="V29" i="83"/>
  <c r="P29" i="83"/>
  <c r="O29" i="83"/>
  <c r="N29" i="83"/>
  <c r="AG29" i="83" s="1"/>
  <c r="J29" i="83"/>
  <c r="L29" i="83" s="1"/>
  <c r="H29" i="83"/>
  <c r="G29" i="83"/>
  <c r="F29" i="83"/>
  <c r="W28" i="83"/>
  <c r="N28" i="83" s="1"/>
  <c r="V28" i="83"/>
  <c r="P28" i="83"/>
  <c r="L28" i="83"/>
  <c r="K28" i="83"/>
  <c r="J28" i="83"/>
  <c r="H28" i="83"/>
  <c r="F28" i="83"/>
  <c r="W27" i="83"/>
  <c r="N27" i="83" s="1"/>
  <c r="P27" i="83"/>
  <c r="K27" i="83"/>
  <c r="J27" i="83"/>
  <c r="G27" i="83"/>
  <c r="F27" i="83"/>
  <c r="H27" i="83" s="1"/>
  <c r="AE26" i="83"/>
  <c r="E21" i="82" s="1"/>
  <c r="AD26" i="83"/>
  <c r="E20" i="82" s="1"/>
  <c r="AA26" i="83"/>
  <c r="Z26" i="83"/>
  <c r="E18" i="82" s="1"/>
  <c r="M26" i="83"/>
  <c r="E22" i="82" s="1"/>
  <c r="W25" i="83"/>
  <c r="H25" i="83"/>
  <c r="W24" i="83"/>
  <c r="H24" i="83"/>
  <c r="W23" i="83"/>
  <c r="W21" i="83"/>
  <c r="AG20" i="83"/>
  <c r="AF20" i="83"/>
  <c r="W20" i="83"/>
  <c r="W19" i="83"/>
  <c r="V19" i="83"/>
  <c r="N19" i="83"/>
  <c r="K19" i="83"/>
  <c r="L19" i="83" s="1"/>
  <c r="J19" i="83"/>
  <c r="P19" i="83" s="1"/>
  <c r="F19" i="83"/>
  <c r="H19" i="83" s="1"/>
  <c r="W18" i="83"/>
  <c r="V18" i="83"/>
  <c r="N18" i="83"/>
  <c r="K18" i="83"/>
  <c r="J18" i="83"/>
  <c r="P18" i="83" s="1"/>
  <c r="H18" i="83"/>
  <c r="F18" i="83"/>
  <c r="W17" i="83"/>
  <c r="V17" i="83"/>
  <c r="O17" i="83"/>
  <c r="N17" i="83"/>
  <c r="K17" i="83"/>
  <c r="J17" i="83"/>
  <c r="H17" i="83"/>
  <c r="F17" i="83"/>
  <c r="AF16" i="83"/>
  <c r="W16" i="83"/>
  <c r="P16" i="83"/>
  <c r="N16" i="83"/>
  <c r="L16" i="83"/>
  <c r="K16" i="83"/>
  <c r="J16" i="83"/>
  <c r="F16" i="83"/>
  <c r="H16" i="83" s="1"/>
  <c r="AE15" i="83"/>
  <c r="AD15" i="83"/>
  <c r="AA15" i="83"/>
  <c r="Z15" i="83"/>
  <c r="D18" i="82" s="1"/>
  <c r="M15" i="83"/>
  <c r="W14" i="83"/>
  <c r="W13" i="83"/>
  <c r="W12" i="83"/>
  <c r="AG11" i="83"/>
  <c r="AF11" i="83"/>
  <c r="W11" i="83"/>
  <c r="AG10" i="83"/>
  <c r="AF10" i="83"/>
  <c r="W10" i="83"/>
  <c r="W9" i="83"/>
  <c r="N9" i="83" s="1"/>
  <c r="V9" i="83"/>
  <c r="P9" i="83"/>
  <c r="K9" i="83"/>
  <c r="J9" i="83"/>
  <c r="L9" i="83" s="1"/>
  <c r="G9" i="83"/>
  <c r="F9" i="83"/>
  <c r="H9" i="83" s="1"/>
  <c r="W8" i="83"/>
  <c r="N8" i="83" s="1"/>
  <c r="V8" i="83"/>
  <c r="K8" i="83"/>
  <c r="L8" i="83" s="1"/>
  <c r="J8" i="83"/>
  <c r="P8" i="83" s="1"/>
  <c r="H8" i="83"/>
  <c r="F8" i="83"/>
  <c r="AG7" i="83"/>
  <c r="AF7" i="83"/>
  <c r="W7" i="83"/>
  <c r="V7" i="83"/>
  <c r="P7" i="83"/>
  <c r="N7" i="83"/>
  <c r="O7" i="83" s="1"/>
  <c r="K7" i="83"/>
  <c r="J7" i="83"/>
  <c r="L7" i="83" s="1"/>
  <c r="F7" i="83"/>
  <c r="H7" i="83" s="1"/>
  <c r="W6" i="83"/>
  <c r="V6" i="83"/>
  <c r="O6" i="83"/>
  <c r="N6" i="83"/>
  <c r="K6" i="83"/>
  <c r="J6" i="83"/>
  <c r="H6" i="83"/>
  <c r="F6" i="83"/>
  <c r="W5" i="83"/>
  <c r="P5" i="83"/>
  <c r="O5" i="83"/>
  <c r="N5" i="83"/>
  <c r="K5" i="83"/>
  <c r="J5" i="83"/>
  <c r="F5" i="83"/>
  <c r="H5" i="83" s="1"/>
  <c r="AD2" i="83"/>
  <c r="I2" i="83"/>
  <c r="I1" i="83"/>
  <c r="G22" i="82"/>
  <c r="F22" i="82"/>
  <c r="D22" i="82"/>
  <c r="J21" i="82"/>
  <c r="I21" i="82"/>
  <c r="H21" i="82"/>
  <c r="F21" i="82"/>
  <c r="I20" i="82"/>
  <c r="H20" i="82"/>
  <c r="G20" i="82"/>
  <c r="F20" i="82"/>
  <c r="D20" i="82"/>
  <c r="J19" i="82"/>
  <c r="I19" i="82"/>
  <c r="F19" i="82"/>
  <c r="D19" i="82"/>
  <c r="J18" i="82"/>
  <c r="H18" i="82"/>
  <c r="G18" i="82"/>
  <c r="F18" i="82"/>
  <c r="J16" i="82"/>
  <c r="I16" i="82"/>
  <c r="H16" i="82"/>
  <c r="G16" i="82"/>
  <c r="F16" i="82"/>
  <c r="E16" i="82"/>
  <c r="D16" i="82"/>
  <c r="N6" i="82"/>
  <c r="D3" i="82"/>
  <c r="AE79" i="81"/>
  <c r="J21" i="80" s="1"/>
  <c r="AD79" i="81"/>
  <c r="AA79" i="81"/>
  <c r="Z79" i="81"/>
  <c r="M79" i="81"/>
  <c r="W78" i="81"/>
  <c r="H78" i="81"/>
  <c r="W77" i="81"/>
  <c r="W76" i="81"/>
  <c r="W75" i="81"/>
  <c r="W74" i="81"/>
  <c r="W73" i="81"/>
  <c r="W72" i="81"/>
  <c r="V72" i="81"/>
  <c r="P72" i="81"/>
  <c r="K72" i="81"/>
  <c r="L72" i="81" s="1"/>
  <c r="J72" i="81"/>
  <c r="H72" i="81"/>
  <c r="G72" i="81"/>
  <c r="F72" i="81"/>
  <c r="W71" i="81"/>
  <c r="N71" i="81" s="1"/>
  <c r="O71" i="81" s="1"/>
  <c r="V71" i="81"/>
  <c r="K71" i="81"/>
  <c r="J71" i="81"/>
  <c r="P71" i="81" s="1"/>
  <c r="H71" i="81"/>
  <c r="F71" i="81"/>
  <c r="W70" i="81"/>
  <c r="N70" i="81" s="1"/>
  <c r="L70" i="81"/>
  <c r="K70" i="81"/>
  <c r="J70" i="81"/>
  <c r="P70" i="81" s="1"/>
  <c r="F70" i="81"/>
  <c r="H70" i="81" s="1"/>
  <c r="AE69" i="81"/>
  <c r="AD69" i="81"/>
  <c r="AA69" i="81"/>
  <c r="Z69" i="81"/>
  <c r="M69" i="81"/>
  <c r="W68" i="81"/>
  <c r="H68" i="81"/>
  <c r="W67" i="81"/>
  <c r="W66" i="81"/>
  <c r="W65" i="81"/>
  <c r="W64" i="81"/>
  <c r="W63" i="81"/>
  <c r="V63" i="81"/>
  <c r="K63" i="81"/>
  <c r="L63" i="81" s="1"/>
  <c r="J63" i="81"/>
  <c r="P63" i="81" s="1"/>
  <c r="G63" i="81"/>
  <c r="F63" i="81"/>
  <c r="H63" i="81" s="1"/>
  <c r="W62" i="81"/>
  <c r="V62" i="81"/>
  <c r="P62" i="81"/>
  <c r="N62" i="81"/>
  <c r="L62" i="81"/>
  <c r="K62" i="81"/>
  <c r="J62" i="81"/>
  <c r="F62" i="81"/>
  <c r="H62" i="81" s="1"/>
  <c r="W61" i="81"/>
  <c r="V61" i="81"/>
  <c r="P61" i="81"/>
  <c r="N61" i="81"/>
  <c r="K61" i="81"/>
  <c r="K69" i="81" s="1"/>
  <c r="J61" i="81"/>
  <c r="H61" i="81"/>
  <c r="F61" i="81"/>
  <c r="W60" i="81"/>
  <c r="V60" i="81"/>
  <c r="P60" i="81"/>
  <c r="N60" i="81"/>
  <c r="L60" i="81"/>
  <c r="K60" i="81"/>
  <c r="J60" i="81"/>
  <c r="H60" i="81"/>
  <c r="F60" i="81"/>
  <c r="AF59" i="81"/>
  <c r="W59" i="81"/>
  <c r="N59" i="81" s="1"/>
  <c r="O59" i="81" s="1"/>
  <c r="P59" i="81"/>
  <c r="K59" i="81"/>
  <c r="J59" i="81"/>
  <c r="F59" i="81"/>
  <c r="H59" i="81" s="1"/>
  <c r="AE58" i="81"/>
  <c r="AD58" i="81"/>
  <c r="H20" i="80" s="1"/>
  <c r="AA58" i="81"/>
  <c r="H19" i="80" s="1"/>
  <c r="Z58" i="81"/>
  <c r="H18" i="80" s="1"/>
  <c r="M58" i="81"/>
  <c r="J58" i="81"/>
  <c r="W57" i="81"/>
  <c r="W56" i="81"/>
  <c r="W55" i="81"/>
  <c r="W54" i="81"/>
  <c r="W53" i="81"/>
  <c r="V53" i="81"/>
  <c r="P53" i="81"/>
  <c r="N53" i="81"/>
  <c r="L53" i="81"/>
  <c r="K53" i="81"/>
  <c r="J53" i="81"/>
  <c r="H53" i="81"/>
  <c r="F53" i="81"/>
  <c r="W52" i="81"/>
  <c r="N52" i="81" s="1"/>
  <c r="AF52" i="81" s="1"/>
  <c r="V52" i="81"/>
  <c r="P52" i="81"/>
  <c r="O52" i="81"/>
  <c r="K52" i="81"/>
  <c r="L52" i="81" s="1"/>
  <c r="J52" i="81"/>
  <c r="H52" i="81"/>
  <c r="F52" i="81"/>
  <c r="AG51" i="81"/>
  <c r="W51" i="81"/>
  <c r="N51" i="81" s="1"/>
  <c r="V51" i="81"/>
  <c r="K51" i="81"/>
  <c r="J51" i="81"/>
  <c r="P51" i="81" s="1"/>
  <c r="F51" i="81"/>
  <c r="H51" i="81" s="1"/>
  <c r="W50" i="81"/>
  <c r="L50" i="81"/>
  <c r="K50" i="81"/>
  <c r="K58" i="81" s="1"/>
  <c r="J50" i="81"/>
  <c r="P50" i="81" s="1"/>
  <c r="G50" i="81"/>
  <c r="F50" i="81"/>
  <c r="W49" i="81"/>
  <c r="P49" i="81"/>
  <c r="N49" i="81"/>
  <c r="L49" i="81"/>
  <c r="K49" i="81"/>
  <c r="J49" i="81"/>
  <c r="H49" i="81"/>
  <c r="G49" i="81"/>
  <c r="F49" i="81"/>
  <c r="AE48" i="81"/>
  <c r="AD48" i="81"/>
  <c r="G20" i="80" s="1"/>
  <c r="AA48" i="81"/>
  <c r="G19" i="80" s="1"/>
  <c r="Z48" i="81"/>
  <c r="G18" i="80" s="1"/>
  <c r="W48" i="81"/>
  <c r="M48" i="81"/>
  <c r="W47" i="81"/>
  <c r="H47" i="81"/>
  <c r="W46" i="81"/>
  <c r="W45" i="81"/>
  <c r="W44" i="81"/>
  <c r="W43" i="81"/>
  <c r="W42" i="81"/>
  <c r="W41" i="81"/>
  <c r="V41" i="81"/>
  <c r="P41" i="81"/>
  <c r="N41" i="81"/>
  <c r="L41" i="81"/>
  <c r="K41" i="81"/>
  <c r="J41" i="81"/>
  <c r="F41" i="81"/>
  <c r="H41" i="81" s="1"/>
  <c r="W40" i="81"/>
  <c r="V40" i="81"/>
  <c r="P40" i="81"/>
  <c r="N40" i="81"/>
  <c r="L40" i="81"/>
  <c r="K40" i="81"/>
  <c r="J40" i="81"/>
  <c r="F40" i="81"/>
  <c r="H40" i="81" s="1"/>
  <c r="AG39" i="81"/>
  <c r="AF39" i="81"/>
  <c r="W39" i="81"/>
  <c r="N39" i="81" s="1"/>
  <c r="V39" i="81"/>
  <c r="O39" i="81"/>
  <c r="K39" i="81"/>
  <c r="J39" i="81"/>
  <c r="H39" i="81"/>
  <c r="F39" i="81"/>
  <c r="W38" i="81"/>
  <c r="N38" i="81"/>
  <c r="L38" i="81"/>
  <c r="K38" i="81"/>
  <c r="K48" i="81" s="1"/>
  <c r="J38" i="81"/>
  <c r="J48" i="81" s="1"/>
  <c r="H38" i="81"/>
  <c r="F38" i="81"/>
  <c r="AE37" i="81"/>
  <c r="AD37" i="81"/>
  <c r="F20" i="80" s="1"/>
  <c r="AA37" i="81"/>
  <c r="Z37" i="81"/>
  <c r="M37" i="81"/>
  <c r="F22" i="80" s="1"/>
  <c r="W36" i="81"/>
  <c r="W35" i="81"/>
  <c r="W34" i="81"/>
  <c r="W33" i="81"/>
  <c r="W32" i="81"/>
  <c r="N32" i="81" s="1"/>
  <c r="O32" i="81" s="1"/>
  <c r="V32" i="81"/>
  <c r="R32" i="81"/>
  <c r="P32" i="81"/>
  <c r="L32" i="81"/>
  <c r="J32" i="81"/>
  <c r="H32" i="81"/>
  <c r="F32" i="81"/>
  <c r="W31" i="81"/>
  <c r="V31" i="81"/>
  <c r="J31" i="81"/>
  <c r="G31" i="81"/>
  <c r="F31" i="81"/>
  <c r="W30" i="81"/>
  <c r="V30" i="81"/>
  <c r="J30" i="81"/>
  <c r="G30" i="81"/>
  <c r="F30" i="81"/>
  <c r="W29" i="81"/>
  <c r="N29" i="81" s="1"/>
  <c r="V29" i="81"/>
  <c r="P29" i="81"/>
  <c r="L29" i="81"/>
  <c r="J29" i="81"/>
  <c r="H29" i="81"/>
  <c r="F29" i="81"/>
  <c r="AG28" i="81"/>
  <c r="AF28" i="81"/>
  <c r="W28" i="81"/>
  <c r="V28" i="81"/>
  <c r="N28" i="81"/>
  <c r="O28" i="81" s="1"/>
  <c r="K28" i="81"/>
  <c r="J28" i="81"/>
  <c r="H28" i="81"/>
  <c r="F28" i="81"/>
  <c r="W27" i="81"/>
  <c r="P27" i="81"/>
  <c r="N27" i="81"/>
  <c r="K27" i="81"/>
  <c r="J27" i="81"/>
  <c r="H27" i="81"/>
  <c r="F27" i="81"/>
  <c r="AE26" i="81"/>
  <c r="AD26" i="81"/>
  <c r="AA26" i="81"/>
  <c r="Z26" i="81"/>
  <c r="M26" i="81"/>
  <c r="J26" i="81"/>
  <c r="P26" i="81" s="1"/>
  <c r="W25" i="81"/>
  <c r="H25" i="81"/>
  <c r="W24" i="81"/>
  <c r="H24" i="81"/>
  <c r="W23" i="81"/>
  <c r="W21" i="81"/>
  <c r="V21" i="81"/>
  <c r="P21" i="81"/>
  <c r="N21" i="81"/>
  <c r="O21" i="81" s="1"/>
  <c r="K21" i="81"/>
  <c r="L21" i="81" s="1"/>
  <c r="J21" i="81"/>
  <c r="F21" i="81"/>
  <c r="H21" i="81" s="1"/>
  <c r="W20" i="81"/>
  <c r="V20" i="81"/>
  <c r="P20" i="81"/>
  <c r="N20" i="81"/>
  <c r="L20" i="81"/>
  <c r="K20" i="81"/>
  <c r="J20" i="81"/>
  <c r="H20" i="81"/>
  <c r="F20" i="81"/>
  <c r="W19" i="81"/>
  <c r="V19" i="81"/>
  <c r="P19" i="81"/>
  <c r="N19" i="81"/>
  <c r="L19" i="81"/>
  <c r="K19" i="81"/>
  <c r="J19" i="81"/>
  <c r="H19" i="81"/>
  <c r="F19" i="81"/>
  <c r="W18" i="81"/>
  <c r="N18" i="81" s="1"/>
  <c r="V18" i="81"/>
  <c r="P18" i="81"/>
  <c r="K18" i="81"/>
  <c r="L18" i="81" s="1"/>
  <c r="J18" i="81"/>
  <c r="F18" i="81"/>
  <c r="H18" i="81" s="1"/>
  <c r="W17" i="81"/>
  <c r="N17" i="81" s="1"/>
  <c r="O17" i="81" s="1"/>
  <c r="V17" i="81"/>
  <c r="K17" i="81"/>
  <c r="J17" i="81"/>
  <c r="P17" i="81" s="1"/>
  <c r="F17" i="81"/>
  <c r="H17" i="81" s="1"/>
  <c r="AG16" i="81"/>
  <c r="AF16" i="81"/>
  <c r="W16" i="81"/>
  <c r="N16" i="81" s="1"/>
  <c r="O16" i="81" s="1"/>
  <c r="Q16" i="81"/>
  <c r="K16" i="81"/>
  <c r="L16" i="81" s="1"/>
  <c r="J16" i="81"/>
  <c r="P16" i="81" s="1"/>
  <c r="H16" i="81"/>
  <c r="F16" i="81"/>
  <c r="AE15" i="81"/>
  <c r="AD15" i="81"/>
  <c r="AA15" i="81"/>
  <c r="Z15" i="81"/>
  <c r="M15" i="81"/>
  <c r="D22" i="80" s="1"/>
  <c r="W14" i="81"/>
  <c r="W13" i="81"/>
  <c r="W12" i="81"/>
  <c r="AG11" i="81"/>
  <c r="AF11" i="81"/>
  <c r="W11" i="81"/>
  <c r="AG10" i="81"/>
  <c r="AF10" i="81"/>
  <c r="W10" i="81"/>
  <c r="W9" i="81"/>
  <c r="V9" i="81"/>
  <c r="P9" i="81"/>
  <c r="K9" i="81"/>
  <c r="J9" i="81"/>
  <c r="H9" i="81"/>
  <c r="G9" i="81"/>
  <c r="N9" i="81" s="1"/>
  <c r="O9" i="81" s="1"/>
  <c r="F9" i="81"/>
  <c r="W8" i="81"/>
  <c r="V8" i="81"/>
  <c r="P8" i="81"/>
  <c r="N8" i="81"/>
  <c r="K8" i="81"/>
  <c r="L8" i="81" s="1"/>
  <c r="J8" i="81"/>
  <c r="H8" i="81"/>
  <c r="F8" i="81"/>
  <c r="W7" i="81"/>
  <c r="V7" i="81"/>
  <c r="P7" i="81"/>
  <c r="N7" i="81"/>
  <c r="O7" i="81" s="1"/>
  <c r="K7" i="81"/>
  <c r="L7" i="81" s="1"/>
  <c r="J7" i="81"/>
  <c r="F7" i="81"/>
  <c r="H7" i="81" s="1"/>
  <c r="W6" i="81"/>
  <c r="V6" i="81"/>
  <c r="N6" i="81"/>
  <c r="O6" i="81" s="1"/>
  <c r="K6" i="81"/>
  <c r="J6" i="81"/>
  <c r="P6" i="81" s="1"/>
  <c r="H6" i="81"/>
  <c r="F6" i="81"/>
  <c r="AG5" i="81"/>
  <c r="W5" i="81"/>
  <c r="N5" i="81"/>
  <c r="K5" i="81"/>
  <c r="L5" i="81" s="1"/>
  <c r="J5" i="81"/>
  <c r="H5" i="81"/>
  <c r="F5" i="81"/>
  <c r="AE2" i="81"/>
  <c r="O6" i="80" s="1"/>
  <c r="I2" i="81"/>
  <c r="I22" i="80"/>
  <c r="H22" i="80"/>
  <c r="E22" i="80"/>
  <c r="I21" i="80"/>
  <c r="H21" i="80"/>
  <c r="G21" i="80"/>
  <c r="F21" i="80"/>
  <c r="E21" i="80"/>
  <c r="D21" i="80"/>
  <c r="J20" i="80"/>
  <c r="I20" i="80"/>
  <c r="E20" i="80"/>
  <c r="J19" i="80"/>
  <c r="I19" i="80"/>
  <c r="F19" i="80"/>
  <c r="E19" i="80"/>
  <c r="D19" i="80"/>
  <c r="J18" i="80"/>
  <c r="I18" i="80"/>
  <c r="F18" i="80"/>
  <c r="E18" i="80"/>
  <c r="J16" i="80"/>
  <c r="I16" i="80"/>
  <c r="H16" i="80"/>
  <c r="G16" i="80"/>
  <c r="F16" i="80"/>
  <c r="E16" i="80"/>
  <c r="D16" i="80"/>
  <c r="D3" i="80"/>
  <c r="AE79" i="79"/>
  <c r="J21" i="78" s="1"/>
  <c r="AD79" i="79"/>
  <c r="J20" i="78" s="1"/>
  <c r="AA79" i="79"/>
  <c r="J18" i="78" s="1"/>
  <c r="Z79" i="79"/>
  <c r="M79" i="79"/>
  <c r="W78" i="79"/>
  <c r="H78" i="79"/>
  <c r="W77" i="79"/>
  <c r="W76" i="79"/>
  <c r="W75" i="79"/>
  <c r="W74" i="79"/>
  <c r="W73" i="79"/>
  <c r="W72" i="79"/>
  <c r="V72" i="79"/>
  <c r="P72" i="79"/>
  <c r="N72" i="79"/>
  <c r="O72" i="79" s="1"/>
  <c r="L72" i="79"/>
  <c r="K72" i="79"/>
  <c r="J72" i="79"/>
  <c r="H72" i="79"/>
  <c r="F72" i="79"/>
  <c r="W71" i="79"/>
  <c r="V71" i="79"/>
  <c r="L71" i="79"/>
  <c r="L79" i="79" s="1"/>
  <c r="J13" i="78" s="1"/>
  <c r="K71" i="79"/>
  <c r="J71" i="79"/>
  <c r="P71" i="79" s="1"/>
  <c r="G71" i="79"/>
  <c r="F71" i="79"/>
  <c r="W70" i="79"/>
  <c r="P70" i="79"/>
  <c r="L70" i="79"/>
  <c r="K70" i="79"/>
  <c r="J70" i="79"/>
  <c r="G70" i="79"/>
  <c r="F70" i="79"/>
  <c r="AE69" i="79"/>
  <c r="AD69" i="79"/>
  <c r="AA69" i="79"/>
  <c r="Z69" i="79"/>
  <c r="M69" i="79"/>
  <c r="K69" i="79"/>
  <c r="J69" i="79"/>
  <c r="W68" i="79"/>
  <c r="H68" i="79"/>
  <c r="W67" i="79"/>
  <c r="W66" i="79"/>
  <c r="W65" i="79"/>
  <c r="W64" i="79"/>
  <c r="W63" i="79"/>
  <c r="N63" i="79" s="1"/>
  <c r="V63" i="79"/>
  <c r="P63" i="79"/>
  <c r="L63" i="79"/>
  <c r="K63" i="79"/>
  <c r="J63" i="79"/>
  <c r="F63" i="79"/>
  <c r="H63" i="79" s="1"/>
  <c r="W62" i="79"/>
  <c r="N62" i="79" s="1"/>
  <c r="V62" i="79"/>
  <c r="P62" i="79"/>
  <c r="K62" i="79"/>
  <c r="L62" i="79" s="1"/>
  <c r="J62" i="79"/>
  <c r="G62" i="79"/>
  <c r="H62" i="79" s="1"/>
  <c r="F62" i="79"/>
  <c r="W61" i="79"/>
  <c r="N61" i="79" s="1"/>
  <c r="AF61" i="79" s="1"/>
  <c r="V61" i="79"/>
  <c r="O61" i="79"/>
  <c r="Q61" i="79" s="1"/>
  <c r="K61" i="79"/>
  <c r="L61" i="79" s="1"/>
  <c r="J61" i="79"/>
  <c r="P61" i="79" s="1"/>
  <c r="F61" i="79"/>
  <c r="H61" i="79" s="1"/>
  <c r="AF60" i="79"/>
  <c r="W60" i="79"/>
  <c r="N60" i="79" s="1"/>
  <c r="AG60" i="79" s="1"/>
  <c r="V60" i="79"/>
  <c r="P60" i="79"/>
  <c r="O60" i="79"/>
  <c r="L60" i="79"/>
  <c r="K60" i="79"/>
  <c r="J60" i="79"/>
  <c r="F60" i="79"/>
  <c r="H60" i="79" s="1"/>
  <c r="AG59" i="79"/>
  <c r="W59" i="79"/>
  <c r="N59" i="79"/>
  <c r="K59" i="79"/>
  <c r="L59" i="79" s="1"/>
  <c r="J59" i="79"/>
  <c r="P59" i="79" s="1"/>
  <c r="H59" i="79"/>
  <c r="F59" i="79"/>
  <c r="AE58" i="79"/>
  <c r="AD58" i="79"/>
  <c r="AA58" i="79"/>
  <c r="H19" i="78" s="1"/>
  <c r="Z58" i="79"/>
  <c r="H18" i="78" s="1"/>
  <c r="M58" i="79"/>
  <c r="W57" i="79"/>
  <c r="W56" i="79"/>
  <c r="W55" i="79"/>
  <c r="W54" i="79"/>
  <c r="W53" i="79"/>
  <c r="N53" i="79" s="1"/>
  <c r="V53" i="79"/>
  <c r="L53" i="79"/>
  <c r="K53" i="79"/>
  <c r="J53" i="79"/>
  <c r="P53" i="79" s="1"/>
  <c r="G53" i="79"/>
  <c r="F53" i="79"/>
  <c r="H53" i="79" s="1"/>
  <c r="AG52" i="79"/>
  <c r="W52" i="79"/>
  <c r="N52" i="79" s="1"/>
  <c r="V52" i="79"/>
  <c r="P52" i="79"/>
  <c r="O52" i="79"/>
  <c r="L52" i="79"/>
  <c r="K52" i="79"/>
  <c r="J52" i="79"/>
  <c r="H52" i="79"/>
  <c r="F52" i="79"/>
  <c r="AG51" i="79"/>
  <c r="W51" i="79"/>
  <c r="V51" i="79"/>
  <c r="R51" i="79"/>
  <c r="P51" i="79"/>
  <c r="O51" i="79"/>
  <c r="Q51" i="79" s="1"/>
  <c r="N51" i="79"/>
  <c r="AF51" i="79" s="1"/>
  <c r="K51" i="79"/>
  <c r="L51" i="79" s="1"/>
  <c r="J51" i="79"/>
  <c r="F51" i="79"/>
  <c r="H51" i="79" s="1"/>
  <c r="W50" i="79"/>
  <c r="V50" i="79"/>
  <c r="P50" i="79"/>
  <c r="N50" i="79"/>
  <c r="O50" i="79" s="1"/>
  <c r="R50" i="79" s="1"/>
  <c r="K50" i="79"/>
  <c r="L50" i="79" s="1"/>
  <c r="J50" i="79"/>
  <c r="F50" i="79"/>
  <c r="H50" i="79" s="1"/>
  <c r="W49" i="79"/>
  <c r="O49" i="79"/>
  <c r="N49" i="79"/>
  <c r="AG49" i="79" s="1"/>
  <c r="K49" i="79"/>
  <c r="K58" i="79" s="1"/>
  <c r="J49" i="79"/>
  <c r="H49" i="79"/>
  <c r="F49" i="79"/>
  <c r="AE48" i="79"/>
  <c r="AD48" i="79"/>
  <c r="G20" i="78" s="1"/>
  <c r="AA48" i="79"/>
  <c r="Z48" i="79"/>
  <c r="W48" i="79"/>
  <c r="M48" i="79"/>
  <c r="W47" i="79"/>
  <c r="H47" i="79"/>
  <c r="W46" i="79"/>
  <c r="W45" i="79"/>
  <c r="W44" i="79"/>
  <c r="W43" i="79"/>
  <c r="W42" i="79"/>
  <c r="W41" i="79"/>
  <c r="W40" i="79"/>
  <c r="N40" i="79" s="1"/>
  <c r="V40" i="79"/>
  <c r="K40" i="79"/>
  <c r="L40" i="79" s="1"/>
  <c r="J40" i="79"/>
  <c r="P40" i="79" s="1"/>
  <c r="H40" i="79"/>
  <c r="F40" i="79"/>
  <c r="AF39" i="79"/>
  <c r="W39" i="79"/>
  <c r="V39" i="79"/>
  <c r="O39" i="79"/>
  <c r="N39" i="79"/>
  <c r="L39" i="79"/>
  <c r="K39" i="79"/>
  <c r="J39" i="79"/>
  <c r="J48" i="79" s="1"/>
  <c r="F39" i="79"/>
  <c r="H39" i="79" s="1"/>
  <c r="W38" i="79"/>
  <c r="N38" i="79" s="1"/>
  <c r="P38" i="79"/>
  <c r="O38" i="79"/>
  <c r="L38" i="79"/>
  <c r="L48" i="79" s="1"/>
  <c r="G13" i="78" s="1"/>
  <c r="K38" i="79"/>
  <c r="J38" i="79"/>
  <c r="H38" i="79"/>
  <c r="F38" i="79"/>
  <c r="AE37" i="79"/>
  <c r="F21" i="78" s="1"/>
  <c r="AD37" i="79"/>
  <c r="AA37" i="79"/>
  <c r="Z37" i="79"/>
  <c r="M37" i="79"/>
  <c r="J37" i="79"/>
  <c r="W36" i="79"/>
  <c r="W35" i="79"/>
  <c r="W34" i="79"/>
  <c r="W33" i="79"/>
  <c r="W32" i="79"/>
  <c r="V32" i="79"/>
  <c r="N32" i="79"/>
  <c r="L32" i="79"/>
  <c r="J32" i="79"/>
  <c r="P32" i="79" s="1"/>
  <c r="H32" i="79"/>
  <c r="F32" i="79"/>
  <c r="W31" i="79"/>
  <c r="V31" i="79"/>
  <c r="O31" i="79"/>
  <c r="N31" i="79"/>
  <c r="AF31" i="79" s="1"/>
  <c r="L31" i="79"/>
  <c r="R31" i="79" s="1"/>
  <c r="J31" i="79"/>
  <c r="P31" i="79" s="1"/>
  <c r="H31" i="79"/>
  <c r="F31" i="79"/>
  <c r="W30" i="79"/>
  <c r="V30" i="79"/>
  <c r="P30" i="79"/>
  <c r="O30" i="79"/>
  <c r="N30" i="79"/>
  <c r="AG30" i="79" s="1"/>
  <c r="J30" i="79"/>
  <c r="L30" i="79" s="1"/>
  <c r="H30" i="79"/>
  <c r="F30" i="79"/>
  <c r="W29" i="79"/>
  <c r="V29" i="79"/>
  <c r="O29" i="79"/>
  <c r="N29" i="79"/>
  <c r="AF29" i="79" s="1"/>
  <c r="L29" i="79"/>
  <c r="J29" i="79"/>
  <c r="P29" i="79" s="1"/>
  <c r="F29" i="79"/>
  <c r="H29" i="79" s="1"/>
  <c r="W28" i="79"/>
  <c r="N28" i="79" s="1"/>
  <c r="AF28" i="79" s="1"/>
  <c r="V28" i="79"/>
  <c r="O28" i="79"/>
  <c r="L28" i="79"/>
  <c r="K28" i="79"/>
  <c r="J28" i="79"/>
  <c r="P28" i="79" s="1"/>
  <c r="H28" i="79"/>
  <c r="F28" i="79"/>
  <c r="AG27" i="79"/>
  <c r="W27" i="79"/>
  <c r="P27" i="79"/>
  <c r="N27" i="79"/>
  <c r="L27" i="79"/>
  <c r="K27" i="79"/>
  <c r="K37" i="79" s="1"/>
  <c r="J27" i="79"/>
  <c r="F27" i="79"/>
  <c r="H27" i="79" s="1"/>
  <c r="AE26" i="79"/>
  <c r="AD26" i="79"/>
  <c r="AA26" i="79"/>
  <c r="Z26" i="79"/>
  <c r="M26" i="79"/>
  <c r="K26" i="79"/>
  <c r="W25" i="79"/>
  <c r="H25" i="79"/>
  <c r="W24" i="79"/>
  <c r="H24" i="79"/>
  <c r="W23" i="79"/>
  <c r="W21" i="79"/>
  <c r="AF20" i="79"/>
  <c r="W20" i="79"/>
  <c r="N20" i="79" s="1"/>
  <c r="AG20" i="79" s="1"/>
  <c r="V20" i="79"/>
  <c r="P20" i="79"/>
  <c r="O20" i="79"/>
  <c r="L20" i="79"/>
  <c r="K20" i="79"/>
  <c r="J20" i="79"/>
  <c r="H20" i="79"/>
  <c r="F20" i="79"/>
  <c r="AG19" i="79"/>
  <c r="AF19" i="79"/>
  <c r="W19" i="79"/>
  <c r="V19" i="79"/>
  <c r="O19" i="79"/>
  <c r="N19" i="79"/>
  <c r="K19" i="79"/>
  <c r="J19" i="79"/>
  <c r="F19" i="79"/>
  <c r="H19" i="79" s="1"/>
  <c r="AG18" i="79"/>
  <c r="W18" i="79"/>
  <c r="V18" i="79"/>
  <c r="P18" i="79"/>
  <c r="O18" i="79"/>
  <c r="N18" i="79"/>
  <c r="AF18" i="79" s="1"/>
  <c r="L18" i="79"/>
  <c r="K18" i="79"/>
  <c r="J18" i="79"/>
  <c r="H18" i="79"/>
  <c r="F18" i="79"/>
  <c r="AF17" i="79"/>
  <c r="W17" i="79"/>
  <c r="V17" i="79"/>
  <c r="P17" i="79"/>
  <c r="O17" i="79"/>
  <c r="R17" i="79" s="1"/>
  <c r="N17" i="79"/>
  <c r="AG17" i="79" s="1"/>
  <c r="K17" i="79"/>
  <c r="L17" i="79" s="1"/>
  <c r="J17" i="79"/>
  <c r="F17" i="79"/>
  <c r="H17" i="79" s="1"/>
  <c r="W16" i="79"/>
  <c r="P16" i="79"/>
  <c r="N16" i="79"/>
  <c r="L16" i="79"/>
  <c r="K16" i="79"/>
  <c r="J16" i="79"/>
  <c r="H16" i="79"/>
  <c r="F16" i="79"/>
  <c r="AE15" i="79"/>
  <c r="AD15" i="79"/>
  <c r="AA15" i="79"/>
  <c r="Z15" i="79"/>
  <c r="M15" i="79"/>
  <c r="W14" i="79"/>
  <c r="W13" i="79"/>
  <c r="W12" i="79"/>
  <c r="AG11" i="79"/>
  <c r="AF11" i="79"/>
  <c r="W11" i="79"/>
  <c r="AG10" i="79"/>
  <c r="AF10" i="79"/>
  <c r="W10" i="79"/>
  <c r="W9" i="79"/>
  <c r="N9" i="79" s="1"/>
  <c r="V9" i="79"/>
  <c r="K9" i="79"/>
  <c r="J9" i="79"/>
  <c r="P9" i="79" s="1"/>
  <c r="H9" i="79"/>
  <c r="F9" i="79"/>
  <c r="W8" i="79"/>
  <c r="V8" i="79"/>
  <c r="N8" i="79"/>
  <c r="K8" i="79"/>
  <c r="L8" i="79" s="1"/>
  <c r="J8" i="79"/>
  <c r="P8" i="79" s="1"/>
  <c r="H8" i="79"/>
  <c r="G8" i="79"/>
  <c r="F8" i="79"/>
  <c r="W7" i="79"/>
  <c r="V7" i="79"/>
  <c r="P7" i="79"/>
  <c r="N7" i="79"/>
  <c r="L7" i="79"/>
  <c r="K7" i="79"/>
  <c r="J7" i="79"/>
  <c r="H7" i="79"/>
  <c r="F7" i="79"/>
  <c r="W6" i="79"/>
  <c r="V6" i="79"/>
  <c r="P6" i="79"/>
  <c r="N6" i="79"/>
  <c r="L6" i="79"/>
  <c r="K6" i="79"/>
  <c r="J6" i="79"/>
  <c r="F6" i="79"/>
  <c r="H6" i="79" s="1"/>
  <c r="W5" i="79"/>
  <c r="P5" i="79"/>
  <c r="N5" i="79"/>
  <c r="L5" i="79"/>
  <c r="K5" i="79"/>
  <c r="J5" i="79"/>
  <c r="F5" i="79"/>
  <c r="H5" i="79" s="1"/>
  <c r="AE2" i="79"/>
  <c r="I2" i="79"/>
  <c r="I1" i="79"/>
  <c r="J22" i="78"/>
  <c r="H22" i="78"/>
  <c r="E22" i="78"/>
  <c r="D22" i="78"/>
  <c r="I21" i="78"/>
  <c r="H21" i="78"/>
  <c r="G21" i="78"/>
  <c r="E21" i="78"/>
  <c r="D21" i="78"/>
  <c r="I20" i="78"/>
  <c r="H20" i="78"/>
  <c r="F20" i="78"/>
  <c r="E20" i="78"/>
  <c r="D20" i="78"/>
  <c r="J19" i="78"/>
  <c r="I19" i="78"/>
  <c r="G19" i="78"/>
  <c r="F19" i="78"/>
  <c r="E19" i="78"/>
  <c r="I18" i="78"/>
  <c r="G18" i="78"/>
  <c r="F18" i="78"/>
  <c r="E18" i="78"/>
  <c r="D18" i="78"/>
  <c r="J16" i="78"/>
  <c r="I16" i="78"/>
  <c r="H16" i="78"/>
  <c r="G16" i="78"/>
  <c r="F16" i="78"/>
  <c r="E16" i="78"/>
  <c r="D16" i="78"/>
  <c r="O6" i="78"/>
  <c r="D3" i="78"/>
  <c r="AE79" i="77"/>
  <c r="AD79" i="77"/>
  <c r="J20" i="76" s="1"/>
  <c r="AA79" i="77"/>
  <c r="Z79" i="77"/>
  <c r="M79" i="77"/>
  <c r="K79" i="77"/>
  <c r="W78" i="77"/>
  <c r="H78" i="77"/>
  <c r="W77" i="77"/>
  <c r="W76" i="77"/>
  <c r="W75" i="77"/>
  <c r="W74" i="77"/>
  <c r="W73" i="77"/>
  <c r="W72" i="77"/>
  <c r="W71" i="77"/>
  <c r="V71" i="77"/>
  <c r="R71" i="77"/>
  <c r="P71" i="77"/>
  <c r="L71" i="77"/>
  <c r="K71" i="77"/>
  <c r="J71" i="77"/>
  <c r="G71" i="77"/>
  <c r="N71" i="77" s="1"/>
  <c r="O71" i="77" s="1"/>
  <c r="Q71" i="77" s="1"/>
  <c r="F71" i="77"/>
  <c r="H71" i="77" s="1"/>
  <c r="AG70" i="77"/>
  <c r="W70" i="77"/>
  <c r="O70" i="77"/>
  <c r="N70" i="77"/>
  <c r="N79" i="77" s="1"/>
  <c r="K70" i="77"/>
  <c r="J70" i="77"/>
  <c r="F70" i="77"/>
  <c r="H70" i="77" s="1"/>
  <c r="AE69" i="77"/>
  <c r="AD69" i="77"/>
  <c r="AA69" i="77"/>
  <c r="I19" i="76" s="1"/>
  <c r="Z69" i="77"/>
  <c r="M69" i="77"/>
  <c r="W68" i="77"/>
  <c r="H68" i="77"/>
  <c r="W67" i="77"/>
  <c r="W66" i="77"/>
  <c r="W65" i="77"/>
  <c r="W64" i="77"/>
  <c r="W63" i="77"/>
  <c r="N63" i="77" s="1"/>
  <c r="V63" i="77"/>
  <c r="K63" i="77"/>
  <c r="J63" i="77"/>
  <c r="P63" i="77" s="1"/>
  <c r="F63" i="77"/>
  <c r="H63" i="77" s="1"/>
  <c r="W62" i="77"/>
  <c r="V62" i="77"/>
  <c r="P62" i="77"/>
  <c r="K62" i="77"/>
  <c r="L62" i="77" s="1"/>
  <c r="J62" i="77"/>
  <c r="H62" i="77"/>
  <c r="G62" i="77"/>
  <c r="N62" i="77" s="1"/>
  <c r="F62" i="77"/>
  <c r="AF61" i="77"/>
  <c r="W61" i="77"/>
  <c r="V61" i="77"/>
  <c r="P61" i="77"/>
  <c r="O61" i="77"/>
  <c r="N61" i="77"/>
  <c r="L61" i="77"/>
  <c r="K61" i="77"/>
  <c r="AG61" i="77" s="1"/>
  <c r="J61" i="77"/>
  <c r="F61" i="77"/>
  <c r="H61" i="77" s="1"/>
  <c r="W60" i="77"/>
  <c r="N60" i="77" s="1"/>
  <c r="V60" i="77"/>
  <c r="P60" i="77"/>
  <c r="K60" i="77"/>
  <c r="L60" i="77" s="1"/>
  <c r="J60" i="77"/>
  <c r="F60" i="77"/>
  <c r="H60" i="77" s="1"/>
  <c r="AG59" i="77"/>
  <c r="AF59" i="77"/>
  <c r="W59" i="77"/>
  <c r="N59" i="77"/>
  <c r="K59" i="77"/>
  <c r="J59" i="77"/>
  <c r="P59" i="77" s="1"/>
  <c r="F59" i="77"/>
  <c r="H59" i="77" s="1"/>
  <c r="AE58" i="77"/>
  <c r="AD58" i="77"/>
  <c r="AA58" i="77"/>
  <c r="Z58" i="77"/>
  <c r="Z2" i="77" s="1"/>
  <c r="L6" i="76" s="1"/>
  <c r="M58" i="77"/>
  <c r="H22" i="76" s="1"/>
  <c r="W57" i="77"/>
  <c r="W56" i="77"/>
  <c r="W55" i="77"/>
  <c r="W54" i="77"/>
  <c r="W53" i="77"/>
  <c r="AG52" i="77"/>
  <c r="W52" i="77"/>
  <c r="V52" i="77"/>
  <c r="P52" i="77"/>
  <c r="K52" i="77"/>
  <c r="L52" i="77" s="1"/>
  <c r="J52" i="77"/>
  <c r="G52" i="77"/>
  <c r="N52" i="77" s="1"/>
  <c r="F52" i="77"/>
  <c r="H52" i="77" s="1"/>
  <c r="W51" i="77"/>
  <c r="N51" i="77" s="1"/>
  <c r="V51" i="77"/>
  <c r="P51" i="77"/>
  <c r="K51" i="77"/>
  <c r="L51" i="77" s="1"/>
  <c r="J51" i="77"/>
  <c r="H51" i="77"/>
  <c r="F51" i="77"/>
  <c r="W50" i="77"/>
  <c r="V50" i="77"/>
  <c r="N50" i="77"/>
  <c r="K50" i="77"/>
  <c r="J50" i="77"/>
  <c r="H50" i="77"/>
  <c r="F50" i="77"/>
  <c r="W49" i="77"/>
  <c r="N49" i="77"/>
  <c r="K49" i="77"/>
  <c r="J49" i="77"/>
  <c r="P49" i="77" s="1"/>
  <c r="F49" i="77"/>
  <c r="H49" i="77" s="1"/>
  <c r="AE48" i="77"/>
  <c r="AE2" i="77" s="1"/>
  <c r="AD48" i="77"/>
  <c r="G20" i="76" s="1"/>
  <c r="AA48" i="77"/>
  <c r="Z48" i="77"/>
  <c r="W48" i="77"/>
  <c r="M48" i="77"/>
  <c r="W47" i="77"/>
  <c r="H47" i="77"/>
  <c r="W46" i="77"/>
  <c r="W45" i="77"/>
  <c r="W44" i="77"/>
  <c r="W43" i="77"/>
  <c r="W42" i="77"/>
  <c r="W41" i="77"/>
  <c r="AG40" i="77"/>
  <c r="AF40" i="77"/>
  <c r="W40" i="77"/>
  <c r="W39" i="77"/>
  <c r="N39" i="77" s="1"/>
  <c r="V39" i="77"/>
  <c r="P39" i="77"/>
  <c r="K39" i="77"/>
  <c r="J39" i="77"/>
  <c r="L39" i="77" s="1"/>
  <c r="H39" i="77"/>
  <c r="F39" i="77"/>
  <c r="W38" i="77"/>
  <c r="N38" i="77" s="1"/>
  <c r="O38" i="77" s="1"/>
  <c r="Q38" i="77"/>
  <c r="P38" i="77"/>
  <c r="L38" i="77"/>
  <c r="K38" i="77"/>
  <c r="K48" i="77" s="1"/>
  <c r="J38" i="77"/>
  <c r="J48" i="77" s="1"/>
  <c r="F38" i="77"/>
  <c r="H38" i="77" s="1"/>
  <c r="AE37" i="77"/>
  <c r="AD37" i="77"/>
  <c r="AA37" i="77"/>
  <c r="Z37" i="77"/>
  <c r="M37" i="77"/>
  <c r="K37" i="77"/>
  <c r="W36" i="77"/>
  <c r="W35" i="77"/>
  <c r="W34" i="77"/>
  <c r="W33" i="77"/>
  <c r="W32" i="77"/>
  <c r="AG31" i="77"/>
  <c r="W31" i="77"/>
  <c r="N31" i="77" s="1"/>
  <c r="AF31" i="77" s="1"/>
  <c r="V31" i="77"/>
  <c r="O31" i="77"/>
  <c r="J31" i="77"/>
  <c r="H31" i="77"/>
  <c r="F31" i="77"/>
  <c r="AF30" i="77"/>
  <c r="W30" i="77"/>
  <c r="V30" i="77"/>
  <c r="P30" i="77"/>
  <c r="L30" i="77"/>
  <c r="J30" i="77"/>
  <c r="G30" i="77"/>
  <c r="N30" i="77" s="1"/>
  <c r="F30" i="77"/>
  <c r="W29" i="77"/>
  <c r="V29" i="77"/>
  <c r="L29" i="77"/>
  <c r="J29" i="77"/>
  <c r="P29" i="77" s="1"/>
  <c r="G29" i="77"/>
  <c r="F29" i="77"/>
  <c r="AG28" i="77"/>
  <c r="W28" i="77"/>
  <c r="V28" i="77"/>
  <c r="P28" i="77"/>
  <c r="O28" i="77"/>
  <c r="N28" i="77"/>
  <c r="AF28" i="77" s="1"/>
  <c r="K28" i="77"/>
  <c r="J28" i="77"/>
  <c r="L28" i="77" s="1"/>
  <c r="G28" i="77"/>
  <c r="F28" i="77"/>
  <c r="H28" i="77" s="1"/>
  <c r="W27" i="77"/>
  <c r="P27" i="77"/>
  <c r="N27" i="77"/>
  <c r="K27" i="77"/>
  <c r="L27" i="77" s="1"/>
  <c r="J27" i="77"/>
  <c r="G27" i="77"/>
  <c r="F27" i="77"/>
  <c r="AE26" i="77"/>
  <c r="AD26" i="77"/>
  <c r="E20" i="76" s="1"/>
  <c r="AA26" i="77"/>
  <c r="E19" i="76" s="1"/>
  <c r="Z26" i="77"/>
  <c r="M26" i="77"/>
  <c r="W25" i="77"/>
  <c r="H25" i="77"/>
  <c r="W24" i="77"/>
  <c r="H24" i="77"/>
  <c r="W23" i="77"/>
  <c r="W21" i="77"/>
  <c r="W20" i="77"/>
  <c r="W19" i="77"/>
  <c r="V19" i="77"/>
  <c r="P19" i="77"/>
  <c r="L19" i="77"/>
  <c r="K19" i="77"/>
  <c r="J19" i="77"/>
  <c r="G19" i="77"/>
  <c r="F19" i="77"/>
  <c r="W18" i="77"/>
  <c r="V18" i="77"/>
  <c r="P18" i="77"/>
  <c r="K18" i="77"/>
  <c r="J18" i="77"/>
  <c r="G18" i="77"/>
  <c r="F18" i="77"/>
  <c r="H18" i="77" s="1"/>
  <c r="W17" i="77"/>
  <c r="V17" i="77"/>
  <c r="P17" i="77"/>
  <c r="O17" i="77"/>
  <c r="N17" i="77"/>
  <c r="L17" i="77"/>
  <c r="R17" i="77" s="1"/>
  <c r="K17" i="77"/>
  <c r="J17" i="77"/>
  <c r="H17" i="77"/>
  <c r="F17" i="77"/>
  <c r="W16" i="77"/>
  <c r="P16" i="77"/>
  <c r="O16" i="77"/>
  <c r="N16" i="77"/>
  <c r="K16" i="77"/>
  <c r="J16" i="77"/>
  <c r="H16" i="77"/>
  <c r="F16" i="77"/>
  <c r="AE15" i="77"/>
  <c r="D21" i="76" s="1"/>
  <c r="AD15" i="77"/>
  <c r="AA15" i="77"/>
  <c r="D19" i="76" s="1"/>
  <c r="Z15" i="77"/>
  <c r="N15" i="77"/>
  <c r="M15" i="77"/>
  <c r="W14" i="77"/>
  <c r="W13" i="77"/>
  <c r="W12" i="77"/>
  <c r="AG11" i="77"/>
  <c r="AF11" i="77"/>
  <c r="W11" i="77"/>
  <c r="AG10" i="77"/>
  <c r="AF10" i="77"/>
  <c r="W10" i="77"/>
  <c r="AG9" i="77"/>
  <c r="AF9" i="77"/>
  <c r="W9" i="77"/>
  <c r="AG8" i="77"/>
  <c r="AF8" i="77"/>
  <c r="W8" i="77"/>
  <c r="W7" i="77"/>
  <c r="N7" i="77" s="1"/>
  <c r="V7" i="77"/>
  <c r="K7" i="77"/>
  <c r="J7" i="77"/>
  <c r="H7" i="77"/>
  <c r="G7" i="77"/>
  <c r="F7" i="77"/>
  <c r="AF6" i="77"/>
  <c r="W6" i="77"/>
  <c r="N6" i="77" s="1"/>
  <c r="V6" i="77"/>
  <c r="P6" i="77"/>
  <c r="K6" i="77"/>
  <c r="L6" i="77" s="1"/>
  <c r="J6" i="77"/>
  <c r="F6" i="77"/>
  <c r="H6" i="77" s="1"/>
  <c r="AF5" i="77"/>
  <c r="W5" i="77"/>
  <c r="P5" i="77"/>
  <c r="N5" i="77"/>
  <c r="AG5" i="77" s="1"/>
  <c r="K5" i="77"/>
  <c r="J5" i="77"/>
  <c r="G5" i="77"/>
  <c r="F5" i="77"/>
  <c r="H5" i="77" s="1"/>
  <c r="I2" i="77"/>
  <c r="I1" i="77"/>
  <c r="J22" i="76"/>
  <c r="I22" i="76"/>
  <c r="G22" i="76"/>
  <c r="E22" i="76"/>
  <c r="D22" i="76"/>
  <c r="J21" i="76"/>
  <c r="I21" i="76"/>
  <c r="H21" i="76"/>
  <c r="G21" i="76"/>
  <c r="F21" i="76"/>
  <c r="E21" i="76"/>
  <c r="I20" i="76"/>
  <c r="H20" i="76"/>
  <c r="F20" i="76"/>
  <c r="J19" i="76"/>
  <c r="H19" i="76"/>
  <c r="G19" i="76"/>
  <c r="F19" i="76"/>
  <c r="J18" i="76"/>
  <c r="I18" i="76"/>
  <c r="H18" i="76"/>
  <c r="G18" i="76"/>
  <c r="F18" i="76"/>
  <c r="E18" i="76"/>
  <c r="D18" i="76"/>
  <c r="J16" i="76"/>
  <c r="I16" i="76"/>
  <c r="H16" i="76"/>
  <c r="G16" i="76"/>
  <c r="F16" i="76"/>
  <c r="E16" i="76"/>
  <c r="D16" i="76"/>
  <c r="O6" i="76"/>
  <c r="D3" i="76"/>
  <c r="AE79" i="75"/>
  <c r="AD79" i="75"/>
  <c r="AA79" i="75"/>
  <c r="Z79" i="75"/>
  <c r="M79" i="75"/>
  <c r="W78" i="75"/>
  <c r="H78" i="75"/>
  <c r="W77" i="75"/>
  <c r="H77" i="75"/>
  <c r="W76" i="75"/>
  <c r="H76" i="75"/>
  <c r="W75" i="75"/>
  <c r="W74" i="75"/>
  <c r="W73" i="75"/>
  <c r="W72" i="75"/>
  <c r="W71" i="75"/>
  <c r="V71" i="75"/>
  <c r="P71" i="75"/>
  <c r="N71" i="75"/>
  <c r="O71" i="75" s="1"/>
  <c r="L71" i="75"/>
  <c r="H71" i="75"/>
  <c r="F71" i="75"/>
  <c r="W70" i="75"/>
  <c r="N70" i="75"/>
  <c r="K70" i="75"/>
  <c r="K79" i="75" s="1"/>
  <c r="J70" i="75"/>
  <c r="P70" i="75" s="1"/>
  <c r="H70" i="75"/>
  <c r="F70" i="75"/>
  <c r="AE69" i="75"/>
  <c r="AD69" i="75"/>
  <c r="AA69" i="75"/>
  <c r="Z69" i="75"/>
  <c r="M69" i="75"/>
  <c r="W68" i="75"/>
  <c r="H68" i="75"/>
  <c r="W67" i="75"/>
  <c r="W66" i="75"/>
  <c r="W65" i="75"/>
  <c r="W64" i="75"/>
  <c r="W63" i="75"/>
  <c r="V63" i="75"/>
  <c r="K63" i="75"/>
  <c r="J63" i="75"/>
  <c r="P63" i="75" s="1"/>
  <c r="G63" i="75"/>
  <c r="F63" i="75"/>
  <c r="W62" i="75"/>
  <c r="N62" i="75" s="1"/>
  <c r="V62" i="75"/>
  <c r="K62" i="75"/>
  <c r="L62" i="75" s="1"/>
  <c r="J62" i="75"/>
  <c r="P62" i="75" s="1"/>
  <c r="H62" i="75"/>
  <c r="F62" i="75"/>
  <c r="W61" i="75"/>
  <c r="N61" i="75" s="1"/>
  <c r="O61" i="75" s="1"/>
  <c r="V61" i="75"/>
  <c r="P61" i="75"/>
  <c r="L61" i="75"/>
  <c r="K61" i="75"/>
  <c r="J61" i="75"/>
  <c r="F61" i="75"/>
  <c r="H61" i="75" s="1"/>
  <c r="AG60" i="75"/>
  <c r="W60" i="75"/>
  <c r="V60" i="75"/>
  <c r="O60" i="75"/>
  <c r="N60" i="75"/>
  <c r="K60" i="75"/>
  <c r="J60" i="75"/>
  <c r="P60" i="75" s="1"/>
  <c r="H60" i="75"/>
  <c r="G60" i="75"/>
  <c r="F60" i="75"/>
  <c r="AG59" i="75"/>
  <c r="W59" i="75"/>
  <c r="N59" i="75"/>
  <c r="K59" i="75"/>
  <c r="J59" i="75"/>
  <c r="F59" i="75"/>
  <c r="H59" i="75" s="1"/>
  <c r="AE58" i="75"/>
  <c r="AD58" i="75"/>
  <c r="H20" i="74" s="1"/>
  <c r="AA58" i="75"/>
  <c r="H19" i="74" s="1"/>
  <c r="Z58" i="75"/>
  <c r="M58" i="75"/>
  <c r="W57" i="75"/>
  <c r="W56" i="75"/>
  <c r="W55" i="75"/>
  <c r="W54" i="75"/>
  <c r="W53" i="75"/>
  <c r="W52" i="75"/>
  <c r="V52" i="75"/>
  <c r="P52" i="75"/>
  <c r="L52" i="75"/>
  <c r="K52" i="75"/>
  <c r="J52" i="75"/>
  <c r="G52" i="75"/>
  <c r="N52" i="75" s="1"/>
  <c r="F52" i="75"/>
  <c r="H52" i="75" s="1"/>
  <c r="AG51" i="75"/>
  <c r="W51" i="75"/>
  <c r="N51" i="75" s="1"/>
  <c r="V51" i="75"/>
  <c r="O51" i="75"/>
  <c r="K51" i="75"/>
  <c r="J51" i="75"/>
  <c r="P51" i="75" s="1"/>
  <c r="F51" i="75"/>
  <c r="H51" i="75" s="1"/>
  <c r="W50" i="75"/>
  <c r="V50" i="75"/>
  <c r="N50" i="75"/>
  <c r="K50" i="75"/>
  <c r="J50" i="75"/>
  <c r="H50" i="75"/>
  <c r="F50" i="75"/>
  <c r="W49" i="75"/>
  <c r="P49" i="75"/>
  <c r="L49" i="75"/>
  <c r="K49" i="75"/>
  <c r="J49" i="75"/>
  <c r="H49" i="75"/>
  <c r="G49" i="75"/>
  <c r="N49" i="75" s="1"/>
  <c r="F49" i="75"/>
  <c r="AE48" i="75"/>
  <c r="AD48" i="75"/>
  <c r="AA48" i="75"/>
  <c r="G19" i="74" s="1"/>
  <c r="Z48" i="75"/>
  <c r="W48" i="75"/>
  <c r="M48" i="75"/>
  <c r="K48" i="75"/>
  <c r="W47" i="75"/>
  <c r="H47" i="75"/>
  <c r="W46" i="75"/>
  <c r="W45" i="75"/>
  <c r="W44" i="75"/>
  <c r="W43" i="75"/>
  <c r="W42" i="75"/>
  <c r="W41" i="75"/>
  <c r="W40" i="75"/>
  <c r="N40" i="75" s="1"/>
  <c r="V40" i="75"/>
  <c r="K40" i="75"/>
  <c r="J40" i="75"/>
  <c r="P40" i="75" s="1"/>
  <c r="G40" i="75"/>
  <c r="F40" i="75"/>
  <c r="H40" i="75" s="1"/>
  <c r="W39" i="75"/>
  <c r="V39" i="75"/>
  <c r="P39" i="75"/>
  <c r="K39" i="75"/>
  <c r="J39" i="75"/>
  <c r="H39" i="75"/>
  <c r="G39" i="75"/>
  <c r="F39" i="75"/>
  <c r="W38" i="75"/>
  <c r="N38" i="75"/>
  <c r="L38" i="75"/>
  <c r="K38" i="75"/>
  <c r="J38" i="75"/>
  <c r="P38" i="75" s="1"/>
  <c r="H38" i="75"/>
  <c r="F38" i="75"/>
  <c r="AE37" i="75"/>
  <c r="F21" i="74" s="1"/>
  <c r="AD37" i="75"/>
  <c r="AA37" i="75"/>
  <c r="Z37" i="75"/>
  <c r="M37" i="75"/>
  <c r="F22" i="74" s="1"/>
  <c r="K37" i="75"/>
  <c r="W36" i="75"/>
  <c r="W35" i="75"/>
  <c r="W34" i="75"/>
  <c r="W33" i="75"/>
  <c r="W32" i="75"/>
  <c r="W31" i="75"/>
  <c r="N31" i="75" s="1"/>
  <c r="V31" i="75"/>
  <c r="P31" i="75"/>
  <c r="L31" i="75"/>
  <c r="J31" i="75"/>
  <c r="F31" i="75"/>
  <c r="H31" i="75" s="1"/>
  <c r="W30" i="75"/>
  <c r="V30" i="75"/>
  <c r="N30" i="75"/>
  <c r="J30" i="75"/>
  <c r="P30" i="75" s="1"/>
  <c r="H30" i="75"/>
  <c r="F30" i="75"/>
  <c r="W29" i="75"/>
  <c r="N29" i="75" s="1"/>
  <c r="V29" i="75"/>
  <c r="L29" i="75"/>
  <c r="J29" i="75"/>
  <c r="P29" i="75" s="1"/>
  <c r="H29" i="75"/>
  <c r="F29" i="75"/>
  <c r="W28" i="75"/>
  <c r="N28" i="75" s="1"/>
  <c r="V28" i="75"/>
  <c r="P28" i="75"/>
  <c r="L28" i="75"/>
  <c r="K28" i="75"/>
  <c r="J28" i="75"/>
  <c r="F28" i="75"/>
  <c r="H28" i="75" s="1"/>
  <c r="AG27" i="75"/>
  <c r="W27" i="75"/>
  <c r="O27" i="75"/>
  <c r="N27" i="75"/>
  <c r="K27" i="75"/>
  <c r="J27" i="75"/>
  <c r="H27" i="75"/>
  <c r="G27" i="75"/>
  <c r="F27" i="75"/>
  <c r="AE26" i="75"/>
  <c r="AD26" i="75"/>
  <c r="AA26" i="75"/>
  <c r="Z26" i="75"/>
  <c r="M26" i="75"/>
  <c r="K26" i="75"/>
  <c r="W25" i="75"/>
  <c r="H25" i="75"/>
  <c r="W24" i="75"/>
  <c r="H24" i="75"/>
  <c r="W23" i="75"/>
  <c r="W21" i="75"/>
  <c r="W20" i="75"/>
  <c r="W19" i="75"/>
  <c r="N19" i="75" s="1"/>
  <c r="V19" i="75"/>
  <c r="L19" i="75"/>
  <c r="K19" i="75"/>
  <c r="J19" i="75"/>
  <c r="P19" i="75" s="1"/>
  <c r="H19" i="75"/>
  <c r="F19" i="75"/>
  <c r="W18" i="75"/>
  <c r="V18" i="75"/>
  <c r="P18" i="75"/>
  <c r="N18" i="75"/>
  <c r="L18" i="75"/>
  <c r="K18" i="75"/>
  <c r="J18" i="75"/>
  <c r="F18" i="75"/>
  <c r="H18" i="75" s="1"/>
  <c r="W17" i="75"/>
  <c r="N17" i="75" s="1"/>
  <c r="V17" i="75"/>
  <c r="P17" i="75"/>
  <c r="K17" i="75"/>
  <c r="L17" i="75" s="1"/>
  <c r="J17" i="75"/>
  <c r="H17" i="75"/>
  <c r="F17" i="75"/>
  <c r="W16" i="75"/>
  <c r="O16" i="75"/>
  <c r="N16" i="75"/>
  <c r="K16" i="75"/>
  <c r="L16" i="75" s="1"/>
  <c r="L26" i="75" s="1"/>
  <c r="E13" i="74" s="1"/>
  <c r="J16" i="75"/>
  <c r="P16" i="75" s="1"/>
  <c r="H16" i="75"/>
  <c r="F16" i="75"/>
  <c r="AE15" i="75"/>
  <c r="AD15" i="75"/>
  <c r="AA15" i="75"/>
  <c r="Z15" i="75"/>
  <c r="M15" i="75"/>
  <c r="W14" i="75"/>
  <c r="W13" i="75"/>
  <c r="W12" i="75"/>
  <c r="AG11" i="75"/>
  <c r="AF11" i="75"/>
  <c r="W11" i="75"/>
  <c r="AG10" i="75"/>
  <c r="AF10" i="75"/>
  <c r="W10" i="75"/>
  <c r="AG9" i="75"/>
  <c r="AF9" i="75"/>
  <c r="W9" i="75"/>
  <c r="AG8" i="75"/>
  <c r="AF8" i="75"/>
  <c r="W8" i="75"/>
  <c r="AG7" i="75"/>
  <c r="W7" i="75"/>
  <c r="N7" i="75" s="1"/>
  <c r="AF7" i="75" s="1"/>
  <c r="V7" i="75"/>
  <c r="P7" i="75"/>
  <c r="O7" i="75"/>
  <c r="K7" i="75"/>
  <c r="J7" i="75"/>
  <c r="F7" i="75"/>
  <c r="H7" i="75" s="1"/>
  <c r="AG6" i="75"/>
  <c r="AF6" i="75"/>
  <c r="W6" i="75"/>
  <c r="N6" i="75" s="1"/>
  <c r="O6" i="75" s="1"/>
  <c r="V6" i="75"/>
  <c r="P6" i="75"/>
  <c r="K6" i="75"/>
  <c r="J6" i="75"/>
  <c r="L6" i="75" s="1"/>
  <c r="F6" i="75"/>
  <c r="H6" i="75" s="1"/>
  <c r="W5" i="75"/>
  <c r="P5" i="75"/>
  <c r="N5" i="75"/>
  <c r="L5" i="75"/>
  <c r="K5" i="75"/>
  <c r="K15" i="75" s="1"/>
  <c r="J5" i="75"/>
  <c r="F5" i="75"/>
  <c r="H5" i="75" s="1"/>
  <c r="I2" i="75"/>
  <c r="I1" i="75"/>
  <c r="I22" i="74"/>
  <c r="H22" i="74"/>
  <c r="G22" i="74"/>
  <c r="E22" i="74"/>
  <c r="D22" i="74"/>
  <c r="J21" i="74"/>
  <c r="I21" i="74"/>
  <c r="H21" i="74"/>
  <c r="G21" i="74"/>
  <c r="D21" i="74"/>
  <c r="J20" i="74"/>
  <c r="I20" i="74"/>
  <c r="F20" i="74"/>
  <c r="E20" i="74"/>
  <c r="D20" i="74"/>
  <c r="J19" i="74"/>
  <c r="I19" i="74"/>
  <c r="F19" i="74"/>
  <c r="E19" i="74"/>
  <c r="D19" i="74"/>
  <c r="J18" i="74"/>
  <c r="I18" i="74"/>
  <c r="H18" i="74"/>
  <c r="G18" i="74"/>
  <c r="F18" i="74"/>
  <c r="E18" i="74"/>
  <c r="J16" i="74"/>
  <c r="I16" i="74"/>
  <c r="H16" i="74"/>
  <c r="G16" i="74"/>
  <c r="F16" i="74"/>
  <c r="E16" i="74"/>
  <c r="D16" i="74"/>
  <c r="D3" i="74"/>
  <c r="AE79" i="17"/>
  <c r="AD79" i="17"/>
  <c r="J20" i="16" s="1"/>
  <c r="AA79" i="17"/>
  <c r="Z79" i="17"/>
  <c r="P79" i="17"/>
  <c r="M79" i="17"/>
  <c r="J22" i="16" s="1"/>
  <c r="J79" i="17"/>
  <c r="W78" i="17"/>
  <c r="H78" i="17"/>
  <c r="W77" i="17"/>
  <c r="H77" i="17"/>
  <c r="W76" i="17"/>
  <c r="H76" i="17"/>
  <c r="W75" i="17"/>
  <c r="H75" i="17"/>
  <c r="W74" i="17"/>
  <c r="W73" i="17"/>
  <c r="W72" i="17"/>
  <c r="N72" i="17" s="1"/>
  <c r="O72" i="17" s="1"/>
  <c r="Q72" i="17" s="1"/>
  <c r="V72" i="17"/>
  <c r="R72" i="17"/>
  <c r="P72" i="17"/>
  <c r="L72" i="17"/>
  <c r="F72" i="17"/>
  <c r="H72" i="17" s="1"/>
  <c r="W71" i="17"/>
  <c r="N71" i="17" s="1"/>
  <c r="O71" i="17" s="1"/>
  <c r="V71" i="17"/>
  <c r="R71" i="17"/>
  <c r="P71" i="17"/>
  <c r="L71" i="17"/>
  <c r="Q71" i="17" s="1"/>
  <c r="F71" i="17"/>
  <c r="H71" i="17" s="1"/>
  <c r="W70" i="17"/>
  <c r="P70" i="17"/>
  <c r="N70" i="17"/>
  <c r="K70" i="17"/>
  <c r="J70" i="17"/>
  <c r="F70" i="17"/>
  <c r="H70" i="17" s="1"/>
  <c r="AE69" i="17"/>
  <c r="AD69" i="17"/>
  <c r="I20" i="16" s="1"/>
  <c r="AA69" i="17"/>
  <c r="Z69" i="17"/>
  <c r="M69" i="17"/>
  <c r="K69" i="17"/>
  <c r="W68" i="17"/>
  <c r="H68" i="17"/>
  <c r="W67" i="17"/>
  <c r="W66" i="17"/>
  <c r="W65" i="17"/>
  <c r="W64" i="17"/>
  <c r="W63" i="17"/>
  <c r="V63" i="17"/>
  <c r="R63" i="17"/>
  <c r="Q63" i="17"/>
  <c r="P63" i="17"/>
  <c r="O63" i="17"/>
  <c r="N63" i="17"/>
  <c r="K63" i="17"/>
  <c r="J63" i="17"/>
  <c r="L63" i="17" s="1"/>
  <c r="F63" i="17"/>
  <c r="H63" i="17" s="1"/>
  <c r="W62" i="17"/>
  <c r="N62" i="17" s="1"/>
  <c r="V62" i="17"/>
  <c r="P62" i="17"/>
  <c r="K62" i="17"/>
  <c r="L62" i="17" s="1"/>
  <c r="J62" i="17"/>
  <c r="F62" i="17"/>
  <c r="H62" i="17" s="1"/>
  <c r="W61" i="17"/>
  <c r="V61" i="17"/>
  <c r="R61" i="17"/>
  <c r="P61" i="17"/>
  <c r="O61" i="17"/>
  <c r="N61" i="17"/>
  <c r="L61" i="17"/>
  <c r="K61" i="17"/>
  <c r="J61" i="17"/>
  <c r="F61" i="17"/>
  <c r="H61" i="17" s="1"/>
  <c r="W60" i="17"/>
  <c r="N60" i="17" s="1"/>
  <c r="V60" i="17"/>
  <c r="K60" i="17"/>
  <c r="J60" i="17"/>
  <c r="P60" i="17" s="1"/>
  <c r="H60" i="17"/>
  <c r="F60" i="17"/>
  <c r="W59" i="17"/>
  <c r="O59" i="17"/>
  <c r="N59" i="17"/>
  <c r="L59" i="17"/>
  <c r="K59" i="17"/>
  <c r="J59" i="17"/>
  <c r="P59" i="17" s="1"/>
  <c r="H59" i="17"/>
  <c r="F59" i="17"/>
  <c r="AE58" i="17"/>
  <c r="AD58" i="17"/>
  <c r="AA58" i="17"/>
  <c r="Z58" i="17"/>
  <c r="H18" i="16" s="1"/>
  <c r="M58" i="17"/>
  <c r="H22" i="16" s="1"/>
  <c r="W57" i="17"/>
  <c r="W56" i="17"/>
  <c r="W55" i="17"/>
  <c r="W54" i="17"/>
  <c r="AG53" i="17"/>
  <c r="AF53" i="17"/>
  <c r="W53" i="17"/>
  <c r="W52" i="17"/>
  <c r="N52" i="17" s="1"/>
  <c r="V52" i="17"/>
  <c r="K52" i="17"/>
  <c r="J52" i="17"/>
  <c r="P52" i="17" s="1"/>
  <c r="F52" i="17"/>
  <c r="H52" i="17" s="1"/>
  <c r="W51" i="17"/>
  <c r="N51" i="17" s="1"/>
  <c r="V51" i="17"/>
  <c r="P51" i="17"/>
  <c r="L51" i="17"/>
  <c r="K51" i="17"/>
  <c r="J51" i="17"/>
  <c r="H51" i="17"/>
  <c r="F51" i="17"/>
  <c r="AG50" i="17"/>
  <c r="W50" i="17"/>
  <c r="V50" i="17"/>
  <c r="O50" i="17"/>
  <c r="N50" i="17"/>
  <c r="K50" i="17"/>
  <c r="J50" i="17"/>
  <c r="H50" i="17"/>
  <c r="F50" i="17"/>
  <c r="W49" i="17"/>
  <c r="N49" i="17" s="1"/>
  <c r="P49" i="17"/>
  <c r="L49" i="17"/>
  <c r="K49" i="17"/>
  <c r="J49" i="17"/>
  <c r="F49" i="17"/>
  <c r="H49" i="17" s="1"/>
  <c r="AE48" i="17"/>
  <c r="AD48" i="17"/>
  <c r="AA48" i="17"/>
  <c r="Z48" i="17"/>
  <c r="W48" i="17"/>
  <c r="M48" i="17"/>
  <c r="K48" i="17"/>
  <c r="W47" i="17"/>
  <c r="H47" i="17"/>
  <c r="W46" i="17"/>
  <c r="W45" i="17"/>
  <c r="W44" i="17"/>
  <c r="W43" i="17"/>
  <c r="W42" i="17"/>
  <c r="AG41" i="17"/>
  <c r="AF41" i="17"/>
  <c r="W41" i="17"/>
  <c r="AG40" i="17"/>
  <c r="W40" i="17"/>
  <c r="V40" i="17"/>
  <c r="N40" i="17"/>
  <c r="L40" i="17"/>
  <c r="K40" i="17"/>
  <c r="J40" i="17"/>
  <c r="P40" i="17" s="1"/>
  <c r="H40" i="17"/>
  <c r="F40" i="17"/>
  <c r="W39" i="17"/>
  <c r="N39" i="17" s="1"/>
  <c r="V39" i="17"/>
  <c r="P39" i="17"/>
  <c r="O39" i="17"/>
  <c r="K39" i="17"/>
  <c r="L39" i="17" s="1"/>
  <c r="J39" i="17"/>
  <c r="F39" i="17"/>
  <c r="H39" i="17" s="1"/>
  <c r="AG38" i="17"/>
  <c r="W38" i="17"/>
  <c r="N38" i="17"/>
  <c r="AF38" i="17" s="1"/>
  <c r="K38" i="17"/>
  <c r="J38" i="17"/>
  <c r="H38" i="17"/>
  <c r="F38" i="17"/>
  <c r="AE37" i="17"/>
  <c r="AD37" i="17"/>
  <c r="F20" i="16" s="1"/>
  <c r="AA37" i="17"/>
  <c r="F19" i="16" s="1"/>
  <c r="Z37" i="17"/>
  <c r="M37" i="17"/>
  <c r="K37" i="17"/>
  <c r="W36" i="17"/>
  <c r="W35" i="17"/>
  <c r="W34" i="17"/>
  <c r="W33" i="17"/>
  <c r="W32" i="17"/>
  <c r="W31" i="17"/>
  <c r="V31" i="17"/>
  <c r="N31" i="17"/>
  <c r="J31" i="17"/>
  <c r="P31" i="17" s="1"/>
  <c r="H31" i="17"/>
  <c r="F31" i="17"/>
  <c r="W30" i="17"/>
  <c r="V30" i="17"/>
  <c r="P30" i="17"/>
  <c r="O30" i="17"/>
  <c r="N30" i="17"/>
  <c r="L30" i="17"/>
  <c r="J30" i="17"/>
  <c r="F30" i="17"/>
  <c r="H30" i="17" s="1"/>
  <c r="W29" i="17"/>
  <c r="V29" i="17"/>
  <c r="P29" i="17"/>
  <c r="O29" i="17"/>
  <c r="N29" i="17"/>
  <c r="L29" i="17"/>
  <c r="K29" i="17"/>
  <c r="J29" i="17"/>
  <c r="H29" i="17"/>
  <c r="F29" i="17"/>
  <c r="W28" i="17"/>
  <c r="N28" i="17" s="1"/>
  <c r="V28" i="17"/>
  <c r="P28" i="17"/>
  <c r="L28" i="17"/>
  <c r="K28" i="17"/>
  <c r="J28" i="17"/>
  <c r="F28" i="17"/>
  <c r="H28" i="17" s="1"/>
  <c r="AG27" i="17"/>
  <c r="AF27" i="17"/>
  <c r="W27" i="17"/>
  <c r="N27" i="17" s="1"/>
  <c r="O27" i="17" s="1"/>
  <c r="P27" i="17"/>
  <c r="K27" i="17"/>
  <c r="J27" i="17"/>
  <c r="F27" i="17"/>
  <c r="H27" i="17" s="1"/>
  <c r="AE26" i="17"/>
  <c r="AD26" i="17"/>
  <c r="E20" i="16" s="1"/>
  <c r="AA26" i="17"/>
  <c r="Z26" i="17"/>
  <c r="E18" i="16" s="1"/>
  <c r="M26" i="17"/>
  <c r="E22" i="16" s="1"/>
  <c r="W25" i="17"/>
  <c r="H25" i="17"/>
  <c r="W24" i="17"/>
  <c r="H24" i="17"/>
  <c r="W23" i="17"/>
  <c r="W21" i="17"/>
  <c r="W20" i="17"/>
  <c r="V20" i="17"/>
  <c r="P20" i="17"/>
  <c r="O20" i="17"/>
  <c r="N20" i="17"/>
  <c r="K20" i="17"/>
  <c r="L20" i="17" s="1"/>
  <c r="J20" i="17"/>
  <c r="F20" i="17"/>
  <c r="H20" i="17" s="1"/>
  <c r="AG19" i="17"/>
  <c r="W19" i="17"/>
  <c r="V19" i="17"/>
  <c r="O19" i="17"/>
  <c r="N19" i="17"/>
  <c r="AF19" i="17" s="1"/>
  <c r="K19" i="17"/>
  <c r="J19" i="17"/>
  <c r="P19" i="17" s="1"/>
  <c r="H19" i="17"/>
  <c r="F19" i="17"/>
  <c r="W18" i="17"/>
  <c r="N18" i="17" s="1"/>
  <c r="O18" i="17" s="1"/>
  <c r="V18" i="17"/>
  <c r="P18" i="17"/>
  <c r="K18" i="17"/>
  <c r="L18" i="17" s="1"/>
  <c r="Q18" i="17" s="1"/>
  <c r="J18" i="17"/>
  <c r="F18" i="17"/>
  <c r="H18" i="17" s="1"/>
  <c r="G1" i="17" s="1"/>
  <c r="W17" i="17"/>
  <c r="V17" i="17"/>
  <c r="O17" i="17"/>
  <c r="N17" i="17"/>
  <c r="K17" i="17"/>
  <c r="L17" i="17" s="1"/>
  <c r="J17" i="17"/>
  <c r="P17" i="17" s="1"/>
  <c r="F17" i="17"/>
  <c r="H17" i="17" s="1"/>
  <c r="W16" i="17"/>
  <c r="P16" i="17"/>
  <c r="N16" i="17"/>
  <c r="K16" i="17"/>
  <c r="J16" i="17"/>
  <c r="J26" i="17" s="1"/>
  <c r="P26" i="17" s="1"/>
  <c r="H16" i="17"/>
  <c r="F16" i="17"/>
  <c r="AE15" i="17"/>
  <c r="AD15" i="17"/>
  <c r="AA15" i="17"/>
  <c r="D19" i="16" s="1"/>
  <c r="Z15" i="17"/>
  <c r="M15" i="17"/>
  <c r="D22" i="16" s="1"/>
  <c r="W14" i="17"/>
  <c r="W13" i="17"/>
  <c r="W12" i="17"/>
  <c r="AG11" i="17"/>
  <c r="AF11" i="17"/>
  <c r="W11" i="17"/>
  <c r="AG10" i="17"/>
  <c r="AF10" i="17"/>
  <c r="W10" i="17"/>
  <c r="AG9" i="17"/>
  <c r="AF9" i="17"/>
  <c r="W9" i="17"/>
  <c r="W8" i="17"/>
  <c r="V8" i="17"/>
  <c r="N8" i="17"/>
  <c r="K8" i="17"/>
  <c r="L8" i="17" s="1"/>
  <c r="J8" i="17"/>
  <c r="P8" i="17" s="1"/>
  <c r="H8" i="17"/>
  <c r="F8" i="17"/>
  <c r="W7" i="17"/>
  <c r="N7" i="17" s="1"/>
  <c r="O7" i="17" s="1"/>
  <c r="V7" i="17"/>
  <c r="K7" i="17"/>
  <c r="AG7" i="17" s="1"/>
  <c r="J7" i="17"/>
  <c r="P7" i="17" s="1"/>
  <c r="H7" i="17"/>
  <c r="F7" i="17"/>
  <c r="W6" i="17"/>
  <c r="V6" i="17"/>
  <c r="N6" i="17"/>
  <c r="L6" i="17"/>
  <c r="K6" i="17"/>
  <c r="J6" i="17"/>
  <c r="H6" i="17"/>
  <c r="F6" i="17"/>
  <c r="W5" i="17"/>
  <c r="P5" i="17"/>
  <c r="N5" i="17"/>
  <c r="L5" i="17"/>
  <c r="K5" i="17"/>
  <c r="J5" i="17"/>
  <c r="H5" i="17"/>
  <c r="F5" i="17"/>
  <c r="I2" i="17"/>
  <c r="I1" i="17"/>
  <c r="E1" i="17"/>
  <c r="F22" i="16"/>
  <c r="J21" i="16"/>
  <c r="I21" i="16"/>
  <c r="H21" i="16"/>
  <c r="G21" i="16"/>
  <c r="F21" i="16"/>
  <c r="E21" i="16"/>
  <c r="D21" i="16"/>
  <c r="H20" i="16"/>
  <c r="G20" i="16"/>
  <c r="D20" i="16"/>
  <c r="J19" i="16"/>
  <c r="I19" i="16"/>
  <c r="H19" i="16"/>
  <c r="G19" i="16"/>
  <c r="J18" i="16"/>
  <c r="I18" i="16"/>
  <c r="G18" i="16"/>
  <c r="F18" i="16"/>
  <c r="J16" i="16"/>
  <c r="I16" i="16"/>
  <c r="H16" i="16"/>
  <c r="G16" i="16"/>
  <c r="F16" i="16"/>
  <c r="E16" i="16"/>
  <c r="D16" i="16"/>
  <c r="G3" i="16"/>
  <c r="D3" i="16"/>
  <c r="AE79" i="15"/>
  <c r="J21" i="14" s="1"/>
  <c r="AD79" i="15"/>
  <c r="AA79" i="15"/>
  <c r="J18" i="14" s="1"/>
  <c r="Z79" i="15"/>
  <c r="M79" i="15"/>
  <c r="W78" i="15"/>
  <c r="H78" i="15"/>
  <c r="W77" i="15"/>
  <c r="W76" i="15"/>
  <c r="W75" i="15"/>
  <c r="W74" i="15"/>
  <c r="V74" i="15"/>
  <c r="P74" i="15"/>
  <c r="O74" i="15"/>
  <c r="N74" i="15"/>
  <c r="K74" i="15"/>
  <c r="L74" i="15" s="1"/>
  <c r="J74" i="15"/>
  <c r="H74" i="15"/>
  <c r="F74" i="15"/>
  <c r="W73" i="15"/>
  <c r="V73" i="15"/>
  <c r="O73" i="15"/>
  <c r="N73" i="15"/>
  <c r="K73" i="15"/>
  <c r="L73" i="15" s="1"/>
  <c r="J73" i="15"/>
  <c r="P73" i="15" s="1"/>
  <c r="H73" i="15"/>
  <c r="F73" i="15"/>
  <c r="W72" i="15"/>
  <c r="V72" i="15"/>
  <c r="O72" i="15"/>
  <c r="N72" i="15"/>
  <c r="K72" i="15"/>
  <c r="L72" i="15" s="1"/>
  <c r="J72" i="15"/>
  <c r="P72" i="15" s="1"/>
  <c r="H72" i="15"/>
  <c r="F72" i="15"/>
  <c r="W71" i="15"/>
  <c r="V71" i="15"/>
  <c r="P71" i="15"/>
  <c r="O71" i="15"/>
  <c r="N71" i="15"/>
  <c r="K71" i="15"/>
  <c r="L71" i="15" s="1"/>
  <c r="J71" i="15"/>
  <c r="H71" i="15"/>
  <c r="F71" i="15"/>
  <c r="W70" i="15"/>
  <c r="P70" i="15"/>
  <c r="N70" i="15"/>
  <c r="O70" i="15" s="1"/>
  <c r="L70" i="15"/>
  <c r="K70" i="15"/>
  <c r="J70" i="15"/>
  <c r="F70" i="15"/>
  <c r="H70" i="15" s="1"/>
  <c r="AE69" i="15"/>
  <c r="I21" i="14" s="1"/>
  <c r="AD69" i="15"/>
  <c r="I20" i="14" s="1"/>
  <c r="AA69" i="15"/>
  <c r="I19" i="14" s="1"/>
  <c r="Z69" i="15"/>
  <c r="I18" i="14" s="1"/>
  <c r="M69" i="15"/>
  <c r="W68" i="15"/>
  <c r="H68" i="15"/>
  <c r="W67" i="15"/>
  <c r="W66" i="15"/>
  <c r="W65" i="15"/>
  <c r="W64" i="15"/>
  <c r="W63" i="15"/>
  <c r="AG62" i="15"/>
  <c r="AF62" i="15"/>
  <c r="W62" i="15"/>
  <c r="W61" i="15"/>
  <c r="N61" i="15" s="1"/>
  <c r="O61" i="15" s="1"/>
  <c r="V61" i="15"/>
  <c r="K61" i="15"/>
  <c r="AG61" i="15" s="1"/>
  <c r="J61" i="15"/>
  <c r="P61" i="15" s="1"/>
  <c r="H61" i="15"/>
  <c r="F61" i="15"/>
  <c r="W60" i="15"/>
  <c r="V60" i="15"/>
  <c r="N60" i="15"/>
  <c r="L60" i="15"/>
  <c r="K60" i="15"/>
  <c r="K69" i="15" s="1"/>
  <c r="J60" i="15"/>
  <c r="P60" i="15" s="1"/>
  <c r="F60" i="15"/>
  <c r="H60" i="15" s="1"/>
  <c r="W59" i="15"/>
  <c r="P59" i="15"/>
  <c r="O59" i="15"/>
  <c r="N59" i="15"/>
  <c r="L59" i="15"/>
  <c r="K59" i="15"/>
  <c r="J59" i="15"/>
  <c r="H59" i="15"/>
  <c r="F59" i="15"/>
  <c r="AE58" i="15"/>
  <c r="H21" i="14" s="1"/>
  <c r="AD58" i="15"/>
  <c r="H20" i="14" s="1"/>
  <c r="AA58" i="15"/>
  <c r="H19" i="14" s="1"/>
  <c r="Z58" i="15"/>
  <c r="M58" i="15"/>
  <c r="W57" i="15"/>
  <c r="W56" i="15"/>
  <c r="W55" i="15"/>
  <c r="W54" i="15"/>
  <c r="AG53" i="15"/>
  <c r="AF53" i="15"/>
  <c r="W53" i="15"/>
  <c r="AG52" i="15"/>
  <c r="AF52" i="15"/>
  <c r="W52" i="15"/>
  <c r="V52" i="15"/>
  <c r="N52" i="15"/>
  <c r="O52" i="15" s="1"/>
  <c r="K52" i="15"/>
  <c r="L52" i="15" s="1"/>
  <c r="J52" i="15"/>
  <c r="P52" i="15" s="1"/>
  <c r="F52" i="15"/>
  <c r="H52" i="15" s="1"/>
  <c r="W51" i="15"/>
  <c r="V51" i="15"/>
  <c r="O51" i="15"/>
  <c r="N51" i="15"/>
  <c r="K51" i="15"/>
  <c r="J51" i="15"/>
  <c r="P51" i="15" s="1"/>
  <c r="F51" i="15"/>
  <c r="H51" i="15" s="1"/>
  <c r="AG50" i="15"/>
  <c r="W50" i="15"/>
  <c r="V50" i="15"/>
  <c r="P50" i="15"/>
  <c r="O50" i="15"/>
  <c r="N50" i="15"/>
  <c r="L50" i="15"/>
  <c r="K50" i="15"/>
  <c r="J50" i="15"/>
  <c r="H50" i="15"/>
  <c r="F50" i="15"/>
  <c r="W49" i="15"/>
  <c r="N49" i="15" s="1"/>
  <c r="O49" i="15" s="1"/>
  <c r="P49" i="15"/>
  <c r="K49" i="15"/>
  <c r="J49" i="15"/>
  <c r="F49" i="15"/>
  <c r="H49" i="15" s="1"/>
  <c r="AE48" i="15"/>
  <c r="G21" i="14" s="1"/>
  <c r="AD48" i="15"/>
  <c r="AA48" i="15"/>
  <c r="G19" i="14" s="1"/>
  <c r="Z48" i="15"/>
  <c r="W48" i="15"/>
  <c r="P48" i="15"/>
  <c r="M48" i="15"/>
  <c r="J48" i="15"/>
  <c r="W47" i="15"/>
  <c r="H47" i="15"/>
  <c r="W46" i="15"/>
  <c r="W45" i="15"/>
  <c r="W44" i="15"/>
  <c r="W43" i="15"/>
  <c r="W42" i="15"/>
  <c r="AG41" i="15"/>
  <c r="AF41" i="15"/>
  <c r="W41" i="15"/>
  <c r="W40" i="15"/>
  <c r="V40" i="15"/>
  <c r="P40" i="15"/>
  <c r="O40" i="15"/>
  <c r="N40" i="15"/>
  <c r="AG40" i="15" s="1"/>
  <c r="K40" i="15"/>
  <c r="L40" i="15" s="1"/>
  <c r="J40" i="15"/>
  <c r="F40" i="15"/>
  <c r="H40" i="15" s="1"/>
  <c r="AG39" i="15"/>
  <c r="W39" i="15"/>
  <c r="V39" i="15"/>
  <c r="P39" i="15"/>
  <c r="O39" i="15"/>
  <c r="N39" i="15"/>
  <c r="K39" i="15"/>
  <c r="L39" i="15" s="1"/>
  <c r="J39" i="15"/>
  <c r="H39" i="15"/>
  <c r="F39" i="15"/>
  <c r="AG38" i="15"/>
  <c r="W38" i="15"/>
  <c r="N38" i="15" s="1"/>
  <c r="P38" i="15"/>
  <c r="L38" i="15"/>
  <c r="L48" i="15" s="1"/>
  <c r="G13" i="14" s="1"/>
  <c r="K38" i="15"/>
  <c r="J38" i="15"/>
  <c r="H38" i="15"/>
  <c r="F38" i="15"/>
  <c r="AE37" i="15"/>
  <c r="F21" i="14" s="1"/>
  <c r="AD37" i="15"/>
  <c r="AA37" i="15"/>
  <c r="F19" i="14" s="1"/>
  <c r="Z37" i="15"/>
  <c r="M37" i="15"/>
  <c r="J37" i="15"/>
  <c r="W36" i="15"/>
  <c r="H36" i="15"/>
  <c r="W35" i="15"/>
  <c r="W34" i="15"/>
  <c r="W33" i="15"/>
  <c r="W32" i="15"/>
  <c r="W31" i="15"/>
  <c r="V31" i="15"/>
  <c r="P31" i="15"/>
  <c r="N31" i="15"/>
  <c r="L31" i="15"/>
  <c r="J31" i="15"/>
  <c r="F31" i="15"/>
  <c r="H31" i="15" s="1"/>
  <c r="W30" i="15"/>
  <c r="V30" i="15"/>
  <c r="P30" i="15"/>
  <c r="O30" i="15"/>
  <c r="N30" i="15"/>
  <c r="L30" i="15"/>
  <c r="R30" i="15" s="1"/>
  <c r="J30" i="15"/>
  <c r="F30" i="15"/>
  <c r="H30" i="15" s="1"/>
  <c r="W29" i="15"/>
  <c r="V29" i="15"/>
  <c r="P29" i="15"/>
  <c r="O29" i="15"/>
  <c r="Q29" i="15" s="1"/>
  <c r="N29" i="15"/>
  <c r="K29" i="15"/>
  <c r="L29" i="15" s="1"/>
  <c r="J29" i="15"/>
  <c r="F29" i="15"/>
  <c r="H29" i="15" s="1"/>
  <c r="W28" i="15"/>
  <c r="N28" i="15" s="1"/>
  <c r="V28" i="15"/>
  <c r="P28" i="15"/>
  <c r="K28" i="15"/>
  <c r="K37" i="15" s="1"/>
  <c r="J28" i="15"/>
  <c r="F28" i="15"/>
  <c r="H28" i="15" s="1"/>
  <c r="W27" i="15"/>
  <c r="P27" i="15"/>
  <c r="N27" i="15"/>
  <c r="L27" i="15"/>
  <c r="K27" i="15"/>
  <c r="J27" i="15"/>
  <c r="H27" i="15"/>
  <c r="F27" i="15"/>
  <c r="AE26" i="15"/>
  <c r="AD26" i="15"/>
  <c r="AA26" i="15"/>
  <c r="E19" i="14" s="1"/>
  <c r="Z26" i="15"/>
  <c r="E18" i="14" s="1"/>
  <c r="M26" i="15"/>
  <c r="K26" i="15"/>
  <c r="W25" i="15"/>
  <c r="H25" i="15"/>
  <c r="W24" i="15"/>
  <c r="H24" i="15"/>
  <c r="W23" i="15"/>
  <c r="W21" i="15"/>
  <c r="W20" i="15"/>
  <c r="N20" i="15" s="1"/>
  <c r="O20" i="15" s="1"/>
  <c r="V20" i="15"/>
  <c r="K20" i="15"/>
  <c r="L20" i="15" s="1"/>
  <c r="R20" i="15" s="1"/>
  <c r="J20" i="15"/>
  <c r="P20" i="15" s="1"/>
  <c r="H20" i="15"/>
  <c r="F20" i="15"/>
  <c r="W19" i="15"/>
  <c r="N19" i="15" s="1"/>
  <c r="O19" i="15" s="1"/>
  <c r="V19" i="15"/>
  <c r="L19" i="15"/>
  <c r="K19" i="15"/>
  <c r="J19" i="15"/>
  <c r="P19" i="15" s="1"/>
  <c r="F19" i="15"/>
  <c r="H19" i="15" s="1"/>
  <c r="AG18" i="15"/>
  <c r="AF18" i="15"/>
  <c r="W18" i="15"/>
  <c r="V18" i="15"/>
  <c r="N18" i="15"/>
  <c r="O18" i="15" s="1"/>
  <c r="L18" i="15"/>
  <c r="K18" i="15"/>
  <c r="J18" i="15"/>
  <c r="P18" i="15" s="1"/>
  <c r="F18" i="15"/>
  <c r="H18" i="15" s="1"/>
  <c r="W17" i="15"/>
  <c r="V17" i="15"/>
  <c r="O17" i="15"/>
  <c r="N17" i="15"/>
  <c r="K17" i="15"/>
  <c r="J17" i="15"/>
  <c r="P17" i="15" s="1"/>
  <c r="H17" i="15"/>
  <c r="F17" i="15"/>
  <c r="W16" i="15"/>
  <c r="P16" i="15"/>
  <c r="N16" i="15"/>
  <c r="L16" i="15"/>
  <c r="K16" i="15"/>
  <c r="J16" i="15"/>
  <c r="J26" i="15" s="1"/>
  <c r="P26" i="15" s="1"/>
  <c r="F16" i="15"/>
  <c r="H16" i="15" s="1"/>
  <c r="AE15" i="15"/>
  <c r="AD15" i="15"/>
  <c r="AA15" i="15"/>
  <c r="Z15" i="15"/>
  <c r="D18" i="14" s="1"/>
  <c r="M15" i="15"/>
  <c r="K15" i="15"/>
  <c r="W14" i="15"/>
  <c r="W13" i="15"/>
  <c r="W12" i="15"/>
  <c r="AG11" i="15"/>
  <c r="AF11" i="15"/>
  <c r="W11" i="15"/>
  <c r="AG10" i="15"/>
  <c r="AF10" i="15"/>
  <c r="W10" i="15"/>
  <c r="AG9" i="15"/>
  <c r="AF9" i="15"/>
  <c r="W9" i="15"/>
  <c r="AG8" i="15"/>
  <c r="AF8" i="15"/>
  <c r="W8" i="15"/>
  <c r="AG7" i="15"/>
  <c r="AF7" i="15"/>
  <c r="W7" i="15"/>
  <c r="V7" i="15"/>
  <c r="N7" i="15"/>
  <c r="O7" i="15" s="1"/>
  <c r="K7" i="15"/>
  <c r="J7" i="15"/>
  <c r="P7" i="15" s="1"/>
  <c r="H7" i="15"/>
  <c r="F7" i="15"/>
  <c r="W6" i="15"/>
  <c r="N6" i="15" s="1"/>
  <c r="V6" i="15"/>
  <c r="K6" i="15"/>
  <c r="L6" i="15" s="1"/>
  <c r="J6" i="15"/>
  <c r="P6" i="15" s="1"/>
  <c r="F6" i="15"/>
  <c r="H6" i="15" s="1"/>
  <c r="W5" i="15"/>
  <c r="N5" i="15" s="1"/>
  <c r="O5" i="15" s="1"/>
  <c r="K5" i="15"/>
  <c r="L5" i="15" s="1"/>
  <c r="J5" i="15"/>
  <c r="F5" i="15"/>
  <c r="H5" i="15" s="1"/>
  <c r="AA2" i="15"/>
  <c r="I2" i="15"/>
  <c r="E1" i="15"/>
  <c r="J22" i="14"/>
  <c r="I22" i="14"/>
  <c r="H22" i="14"/>
  <c r="G22" i="14"/>
  <c r="F22" i="14"/>
  <c r="E22" i="14"/>
  <c r="D22" i="14"/>
  <c r="E21" i="14"/>
  <c r="D21" i="14"/>
  <c r="J20" i="14"/>
  <c r="F20" i="14"/>
  <c r="E20" i="14"/>
  <c r="D20" i="14"/>
  <c r="J19" i="14"/>
  <c r="D19" i="14"/>
  <c r="H18" i="14"/>
  <c r="G18" i="14"/>
  <c r="F18" i="14"/>
  <c r="J16" i="14"/>
  <c r="I16" i="14"/>
  <c r="H16" i="14"/>
  <c r="G16" i="14"/>
  <c r="F16" i="14"/>
  <c r="E16" i="14"/>
  <c r="D16" i="14"/>
  <c r="M6" i="14"/>
  <c r="G3" i="14"/>
  <c r="D3" i="14"/>
  <c r="AE79" i="13"/>
  <c r="AD79" i="13"/>
  <c r="AA79" i="13"/>
  <c r="J18" i="12" s="1"/>
  <c r="Z79" i="13"/>
  <c r="O79" i="13"/>
  <c r="N79" i="13"/>
  <c r="M79" i="13"/>
  <c r="W78" i="13"/>
  <c r="H78" i="13"/>
  <c r="W77" i="13"/>
  <c r="H77" i="13"/>
  <c r="W76" i="13"/>
  <c r="H76" i="13"/>
  <c r="W75" i="13"/>
  <c r="H75" i="13"/>
  <c r="W74" i="13"/>
  <c r="H74" i="13"/>
  <c r="W73" i="13"/>
  <c r="V73" i="13"/>
  <c r="P73" i="13"/>
  <c r="O73" i="13"/>
  <c r="N73" i="13"/>
  <c r="L73" i="13"/>
  <c r="K73" i="13"/>
  <c r="J73" i="13"/>
  <c r="H73" i="13"/>
  <c r="F73" i="13"/>
  <c r="W72" i="13"/>
  <c r="V72" i="13"/>
  <c r="O72" i="13"/>
  <c r="N72" i="13"/>
  <c r="K72" i="13"/>
  <c r="J72" i="13"/>
  <c r="P72" i="13" s="1"/>
  <c r="H72" i="13"/>
  <c r="F72" i="13"/>
  <c r="W71" i="13"/>
  <c r="V71" i="13"/>
  <c r="N71" i="13"/>
  <c r="O71" i="13" s="1"/>
  <c r="K71" i="13"/>
  <c r="J71" i="13"/>
  <c r="H71" i="13"/>
  <c r="F71" i="13"/>
  <c r="W70" i="13"/>
  <c r="P70" i="13"/>
  <c r="O70" i="13"/>
  <c r="N70" i="13"/>
  <c r="K70" i="13"/>
  <c r="J70" i="13"/>
  <c r="H70" i="13"/>
  <c r="F70" i="13"/>
  <c r="AE69" i="13"/>
  <c r="AD69" i="13"/>
  <c r="AA69" i="13"/>
  <c r="Z69" i="13"/>
  <c r="I18" i="12" s="1"/>
  <c r="M69" i="13"/>
  <c r="W68" i="13"/>
  <c r="H68" i="13"/>
  <c r="W67" i="13"/>
  <c r="W66" i="13"/>
  <c r="W65" i="13"/>
  <c r="W64" i="13"/>
  <c r="W63" i="13"/>
  <c r="AG62" i="13"/>
  <c r="W62" i="13"/>
  <c r="V62" i="13"/>
  <c r="O62" i="13"/>
  <c r="N62" i="13"/>
  <c r="K62" i="13"/>
  <c r="J62" i="13"/>
  <c r="P62" i="13" s="1"/>
  <c r="H62" i="13"/>
  <c r="F62" i="13"/>
  <c r="W61" i="13"/>
  <c r="V61" i="13"/>
  <c r="P61" i="13"/>
  <c r="N61" i="13"/>
  <c r="K61" i="13"/>
  <c r="L61" i="13" s="1"/>
  <c r="J61" i="13"/>
  <c r="F61" i="13"/>
  <c r="H61" i="13" s="1"/>
  <c r="W60" i="13"/>
  <c r="V60" i="13"/>
  <c r="P60" i="13"/>
  <c r="N60" i="13"/>
  <c r="K60" i="13"/>
  <c r="L60" i="13" s="1"/>
  <c r="J60" i="13"/>
  <c r="F60" i="13"/>
  <c r="H60" i="13" s="1"/>
  <c r="W59" i="13"/>
  <c r="O59" i="13"/>
  <c r="N59" i="13"/>
  <c r="AG59" i="13" s="1"/>
  <c r="K59" i="13"/>
  <c r="L59" i="13" s="1"/>
  <c r="J59" i="13"/>
  <c r="P59" i="13" s="1"/>
  <c r="F59" i="13"/>
  <c r="H59" i="13" s="1"/>
  <c r="AE58" i="13"/>
  <c r="AD58" i="13"/>
  <c r="H20" i="12" s="1"/>
  <c r="AA58" i="13"/>
  <c r="Z58" i="13"/>
  <c r="H18" i="12" s="1"/>
  <c r="M58" i="13"/>
  <c r="J58" i="13"/>
  <c r="P58" i="13" s="1"/>
  <c r="W57" i="13"/>
  <c r="W56" i="13"/>
  <c r="W55" i="13"/>
  <c r="W54" i="13"/>
  <c r="AG53" i="13"/>
  <c r="AF53" i="13"/>
  <c r="W53" i="13"/>
  <c r="W52" i="13"/>
  <c r="N52" i="13" s="1"/>
  <c r="V52" i="13"/>
  <c r="L52" i="13"/>
  <c r="K52" i="13"/>
  <c r="J52" i="13"/>
  <c r="P52" i="13" s="1"/>
  <c r="H52" i="13"/>
  <c r="F52" i="13"/>
  <c r="W51" i="13"/>
  <c r="N51" i="13" s="1"/>
  <c r="V51" i="13"/>
  <c r="P51" i="13"/>
  <c r="K51" i="13"/>
  <c r="L51" i="13" s="1"/>
  <c r="J51" i="13"/>
  <c r="F51" i="13"/>
  <c r="H51" i="13" s="1"/>
  <c r="AG50" i="13"/>
  <c r="AF50" i="13"/>
  <c r="W50" i="13"/>
  <c r="V50" i="13"/>
  <c r="R50" i="13"/>
  <c r="Q50" i="13"/>
  <c r="P50" i="13"/>
  <c r="N50" i="13"/>
  <c r="O50" i="13" s="1"/>
  <c r="L50" i="13"/>
  <c r="K50" i="13"/>
  <c r="J50" i="13"/>
  <c r="H50" i="13"/>
  <c r="F50" i="13"/>
  <c r="W49" i="13"/>
  <c r="N49" i="13" s="1"/>
  <c r="P49" i="13"/>
  <c r="K49" i="13"/>
  <c r="L49" i="13" s="1"/>
  <c r="L58" i="13" s="1"/>
  <c r="H13" i="12" s="1"/>
  <c r="J49" i="13"/>
  <c r="F49" i="13"/>
  <c r="H49" i="13" s="1"/>
  <c r="AE48" i="13"/>
  <c r="G21" i="12" s="1"/>
  <c r="AD48" i="13"/>
  <c r="G20" i="12" s="1"/>
  <c r="AA48" i="13"/>
  <c r="Z48" i="13"/>
  <c r="W48" i="13"/>
  <c r="M48" i="13"/>
  <c r="J48" i="13"/>
  <c r="W47" i="13"/>
  <c r="H47" i="13"/>
  <c r="W46" i="13"/>
  <c r="W45" i="13"/>
  <c r="W44" i="13"/>
  <c r="W43" i="13"/>
  <c r="W42" i="13"/>
  <c r="AG41" i="13"/>
  <c r="AF41" i="13"/>
  <c r="W41" i="13"/>
  <c r="AG40" i="13"/>
  <c r="AF40" i="13"/>
  <c r="W40" i="13"/>
  <c r="V40" i="13"/>
  <c r="N40" i="13"/>
  <c r="O40" i="13" s="1"/>
  <c r="K40" i="13"/>
  <c r="J40" i="13"/>
  <c r="P40" i="13" s="1"/>
  <c r="H40" i="13"/>
  <c r="F40" i="13"/>
  <c r="W39" i="13"/>
  <c r="V39" i="13"/>
  <c r="N39" i="13"/>
  <c r="AF39" i="13" s="1"/>
  <c r="K39" i="13"/>
  <c r="L39" i="13" s="1"/>
  <c r="J39" i="13"/>
  <c r="P39" i="13" s="1"/>
  <c r="H39" i="13"/>
  <c r="F39" i="13"/>
  <c r="W38" i="13"/>
  <c r="P38" i="13"/>
  <c r="N38" i="13"/>
  <c r="K38" i="13"/>
  <c r="K48" i="13" s="1"/>
  <c r="J38" i="13"/>
  <c r="F38" i="13"/>
  <c r="H38" i="13" s="1"/>
  <c r="AE37" i="13"/>
  <c r="AD37" i="13"/>
  <c r="F20" i="12" s="1"/>
  <c r="AA37" i="13"/>
  <c r="F19" i="12" s="1"/>
  <c r="Z37" i="13"/>
  <c r="M37" i="13"/>
  <c r="W36" i="13"/>
  <c r="H36" i="13"/>
  <c r="W35" i="13"/>
  <c r="W34" i="13"/>
  <c r="W33" i="13"/>
  <c r="W32" i="13"/>
  <c r="AG31" i="13"/>
  <c r="AF31" i="13"/>
  <c r="W31" i="13"/>
  <c r="V31" i="13"/>
  <c r="N31" i="13"/>
  <c r="O31" i="13" s="1"/>
  <c r="J31" i="13"/>
  <c r="H31" i="13"/>
  <c r="F31" i="13"/>
  <c r="W30" i="13"/>
  <c r="V30" i="13"/>
  <c r="P30" i="13"/>
  <c r="O30" i="13"/>
  <c r="N30" i="13"/>
  <c r="K30" i="13"/>
  <c r="AG30" i="13" s="1"/>
  <c r="J30" i="13"/>
  <c r="H30" i="13"/>
  <c r="F30" i="13"/>
  <c r="W29" i="13"/>
  <c r="V29" i="13"/>
  <c r="P29" i="13"/>
  <c r="N29" i="13"/>
  <c r="L29" i="13"/>
  <c r="J29" i="13"/>
  <c r="H29" i="13"/>
  <c r="F29" i="13"/>
  <c r="W28" i="13"/>
  <c r="V28" i="13"/>
  <c r="P28" i="13"/>
  <c r="N28" i="13"/>
  <c r="K28" i="13"/>
  <c r="L28" i="13" s="1"/>
  <c r="J28" i="13"/>
  <c r="F28" i="13"/>
  <c r="H28" i="13" s="1"/>
  <c r="W27" i="13"/>
  <c r="N27" i="13" s="1"/>
  <c r="P27" i="13"/>
  <c r="K27" i="13"/>
  <c r="L27" i="13" s="1"/>
  <c r="J27" i="13"/>
  <c r="F27" i="13"/>
  <c r="H27" i="13" s="1"/>
  <c r="AE26" i="13"/>
  <c r="AD26" i="13"/>
  <c r="AD2" i="13" s="1"/>
  <c r="AA26" i="13"/>
  <c r="Z26" i="13"/>
  <c r="E18" i="12" s="1"/>
  <c r="M26" i="13"/>
  <c r="W25" i="13"/>
  <c r="H25" i="13"/>
  <c r="W24" i="13"/>
  <c r="H24" i="13"/>
  <c r="W23" i="13"/>
  <c r="W21" i="13"/>
  <c r="W20" i="13"/>
  <c r="V20" i="13"/>
  <c r="P20" i="13"/>
  <c r="N20" i="13"/>
  <c r="O20" i="13" s="1"/>
  <c r="K20" i="13"/>
  <c r="L20" i="13" s="1"/>
  <c r="J20" i="13"/>
  <c r="F20" i="13"/>
  <c r="H20" i="13" s="1"/>
  <c r="W19" i="13"/>
  <c r="N19" i="13" s="1"/>
  <c r="V19" i="13"/>
  <c r="P19" i="13"/>
  <c r="K19" i="13"/>
  <c r="J19" i="13"/>
  <c r="L19" i="13" s="1"/>
  <c r="F19" i="13"/>
  <c r="H19" i="13" s="1"/>
  <c r="W18" i="13"/>
  <c r="N18" i="13" s="1"/>
  <c r="V18" i="13"/>
  <c r="P18" i="13"/>
  <c r="L18" i="13"/>
  <c r="K18" i="13"/>
  <c r="J18" i="13"/>
  <c r="H18" i="13"/>
  <c r="F18" i="13"/>
  <c r="W17" i="13"/>
  <c r="N17" i="13" s="1"/>
  <c r="V17" i="13"/>
  <c r="K17" i="13"/>
  <c r="J17" i="13"/>
  <c r="P17" i="13" s="1"/>
  <c r="F17" i="13"/>
  <c r="H17" i="13" s="1"/>
  <c r="W16" i="13"/>
  <c r="N16" i="13"/>
  <c r="K16" i="13"/>
  <c r="J16" i="13"/>
  <c r="H16" i="13"/>
  <c r="F16" i="13"/>
  <c r="AE15" i="13"/>
  <c r="AE2" i="13" s="1"/>
  <c r="O6" i="12" s="1"/>
  <c r="AD15" i="13"/>
  <c r="AA15" i="13"/>
  <c r="Z15" i="13"/>
  <c r="M15" i="13"/>
  <c r="W14" i="13"/>
  <c r="W13" i="13"/>
  <c r="W12" i="13"/>
  <c r="AG11" i="13"/>
  <c r="AF11" i="13"/>
  <c r="W11" i="13"/>
  <c r="AG10" i="13"/>
  <c r="AF10" i="13"/>
  <c r="W10" i="13"/>
  <c r="AG9" i="13"/>
  <c r="AF9" i="13"/>
  <c r="W9" i="13"/>
  <c r="W8" i="13"/>
  <c r="N8" i="13" s="1"/>
  <c r="V8" i="13"/>
  <c r="P8" i="13"/>
  <c r="K8" i="13"/>
  <c r="J8" i="13"/>
  <c r="L8" i="13" s="1"/>
  <c r="F8" i="13"/>
  <c r="H8" i="13" s="1"/>
  <c r="W7" i="13"/>
  <c r="N7" i="13" s="1"/>
  <c r="V7" i="13"/>
  <c r="P7" i="13"/>
  <c r="L7" i="13"/>
  <c r="K7" i="13"/>
  <c r="J7" i="13"/>
  <c r="F7" i="13"/>
  <c r="H7" i="13" s="1"/>
  <c r="W6" i="13"/>
  <c r="N6" i="13" s="1"/>
  <c r="V6" i="13"/>
  <c r="K6" i="13"/>
  <c r="L6" i="13" s="1"/>
  <c r="J6" i="13"/>
  <c r="P6" i="13" s="1"/>
  <c r="F6" i="13"/>
  <c r="H6" i="13" s="1"/>
  <c r="AG5" i="13"/>
  <c r="W5" i="13"/>
  <c r="O5" i="13"/>
  <c r="N5" i="13"/>
  <c r="K5" i="13"/>
  <c r="J5" i="13"/>
  <c r="H5" i="13"/>
  <c r="F5" i="13"/>
  <c r="I2" i="13"/>
  <c r="E1" i="13"/>
  <c r="G3" i="12" s="1"/>
  <c r="J22" i="12"/>
  <c r="I22" i="12"/>
  <c r="H22" i="12"/>
  <c r="F22" i="12"/>
  <c r="J21" i="12"/>
  <c r="I21" i="12"/>
  <c r="H21" i="12"/>
  <c r="F21" i="12"/>
  <c r="E21" i="12"/>
  <c r="D21" i="12"/>
  <c r="J20" i="12"/>
  <c r="I20" i="12"/>
  <c r="D20" i="12"/>
  <c r="J19" i="12"/>
  <c r="I19" i="12"/>
  <c r="H19" i="12"/>
  <c r="G19" i="12"/>
  <c r="D19" i="12"/>
  <c r="G18" i="12"/>
  <c r="F18" i="12"/>
  <c r="D18" i="12"/>
  <c r="J16" i="12"/>
  <c r="I16" i="12"/>
  <c r="H16" i="12"/>
  <c r="G16" i="12"/>
  <c r="F16" i="12"/>
  <c r="E16" i="12"/>
  <c r="D16" i="12"/>
  <c r="N6" i="12"/>
  <c r="D3" i="12"/>
  <c r="AE79" i="73"/>
  <c r="AD79" i="73"/>
  <c r="J20" i="72" s="1"/>
  <c r="AA79" i="73"/>
  <c r="J18" i="72" s="1"/>
  <c r="Z79" i="73"/>
  <c r="Z2" i="73" s="1"/>
  <c r="M79" i="73"/>
  <c r="K79" i="73"/>
  <c r="W78" i="73"/>
  <c r="H78" i="73"/>
  <c r="W77" i="73"/>
  <c r="H77" i="73"/>
  <c r="W76" i="73"/>
  <c r="W75" i="73"/>
  <c r="W74" i="73"/>
  <c r="W73" i="73"/>
  <c r="W72" i="73"/>
  <c r="W71" i="73"/>
  <c r="N71" i="73" s="1"/>
  <c r="O71" i="73" s="1"/>
  <c r="V71" i="73"/>
  <c r="P71" i="73"/>
  <c r="K71" i="73"/>
  <c r="L71" i="73" s="1"/>
  <c r="J71" i="73"/>
  <c r="F71" i="73"/>
  <c r="H71" i="73" s="1"/>
  <c r="W70" i="73"/>
  <c r="N70" i="73" s="1"/>
  <c r="K70" i="73"/>
  <c r="J70" i="73"/>
  <c r="H70" i="73"/>
  <c r="F70" i="73"/>
  <c r="AE69" i="73"/>
  <c r="I21" i="72" s="1"/>
  <c r="AD69" i="73"/>
  <c r="I20" i="72" s="1"/>
  <c r="AA69" i="73"/>
  <c r="Z69" i="73"/>
  <c r="M69" i="73"/>
  <c r="W68" i="73"/>
  <c r="H68" i="73"/>
  <c r="W67" i="73"/>
  <c r="W66" i="73"/>
  <c r="W65" i="73"/>
  <c r="W64" i="73"/>
  <c r="W63" i="73"/>
  <c r="AG62" i="73"/>
  <c r="AF62" i="73"/>
  <c r="W62" i="73"/>
  <c r="W61" i="73"/>
  <c r="N61" i="73" s="1"/>
  <c r="V61" i="73"/>
  <c r="K61" i="73"/>
  <c r="J61" i="73"/>
  <c r="P61" i="73" s="1"/>
  <c r="H61" i="73"/>
  <c r="F61" i="73"/>
  <c r="W60" i="73"/>
  <c r="V60" i="73"/>
  <c r="P60" i="73"/>
  <c r="O60" i="73"/>
  <c r="N60" i="73"/>
  <c r="AF60" i="73" s="1"/>
  <c r="K60" i="73"/>
  <c r="AG60" i="73" s="1"/>
  <c r="J60" i="73"/>
  <c r="L60" i="73" s="1"/>
  <c r="H60" i="73"/>
  <c r="F60" i="73"/>
  <c r="W59" i="73"/>
  <c r="P59" i="73"/>
  <c r="N59" i="73"/>
  <c r="L59" i="73"/>
  <c r="K59" i="73"/>
  <c r="J59" i="73"/>
  <c r="H59" i="73"/>
  <c r="F59" i="73"/>
  <c r="AE58" i="73"/>
  <c r="H21" i="72" s="1"/>
  <c r="AD58" i="73"/>
  <c r="H20" i="72" s="1"/>
  <c r="AA58" i="73"/>
  <c r="Z58" i="73"/>
  <c r="M58" i="73"/>
  <c r="K58" i="73"/>
  <c r="W57" i="73"/>
  <c r="W56" i="73"/>
  <c r="W55" i="73"/>
  <c r="W54" i="73"/>
  <c r="AG53" i="73"/>
  <c r="AF53" i="73"/>
  <c r="W53" i="73"/>
  <c r="W52" i="73"/>
  <c r="V52" i="73"/>
  <c r="P52" i="73"/>
  <c r="N52" i="73"/>
  <c r="O52" i="73" s="1"/>
  <c r="Q52" i="73" s="1"/>
  <c r="L52" i="73"/>
  <c r="K52" i="73"/>
  <c r="J52" i="73"/>
  <c r="H52" i="73"/>
  <c r="F52" i="73"/>
  <c r="W51" i="73"/>
  <c r="N51" i="73" s="1"/>
  <c r="AG51" i="73" s="1"/>
  <c r="V51" i="73"/>
  <c r="P51" i="73"/>
  <c r="K51" i="73"/>
  <c r="L51" i="73" s="1"/>
  <c r="J51" i="73"/>
  <c r="F51" i="73"/>
  <c r="H51" i="73" s="1"/>
  <c r="W50" i="73"/>
  <c r="N50" i="73" s="1"/>
  <c r="V50" i="73"/>
  <c r="K50" i="73"/>
  <c r="L50" i="73" s="1"/>
  <c r="J50" i="73"/>
  <c r="P50" i="73" s="1"/>
  <c r="H50" i="73"/>
  <c r="F50" i="73"/>
  <c r="AG49" i="73"/>
  <c r="AF49" i="73"/>
  <c r="W49" i="73"/>
  <c r="N49" i="73"/>
  <c r="K49" i="73"/>
  <c r="J49" i="73"/>
  <c r="H49" i="73"/>
  <c r="F49" i="73"/>
  <c r="AE48" i="73"/>
  <c r="AD48" i="73"/>
  <c r="AA48" i="73"/>
  <c r="Z48" i="73"/>
  <c r="W48" i="73"/>
  <c r="N48" i="73"/>
  <c r="M48" i="73"/>
  <c r="W47" i="73"/>
  <c r="H47" i="73"/>
  <c r="W46" i="73"/>
  <c r="W45" i="73"/>
  <c r="W44" i="73"/>
  <c r="W43" i="73"/>
  <c r="W42" i="73"/>
  <c r="W41" i="73"/>
  <c r="V41" i="73"/>
  <c r="O41" i="73"/>
  <c r="N41" i="73"/>
  <c r="AG41" i="73" s="1"/>
  <c r="K41" i="73"/>
  <c r="J41" i="73"/>
  <c r="P41" i="73" s="1"/>
  <c r="F41" i="73"/>
  <c r="H41" i="73" s="1"/>
  <c r="W40" i="73"/>
  <c r="V40" i="73"/>
  <c r="N40" i="73"/>
  <c r="K40" i="73"/>
  <c r="L40" i="73" s="1"/>
  <c r="J40" i="73"/>
  <c r="P40" i="73" s="1"/>
  <c r="F40" i="73"/>
  <c r="H40" i="73" s="1"/>
  <c r="W39" i="73"/>
  <c r="V39" i="73"/>
  <c r="P39" i="73"/>
  <c r="N39" i="73"/>
  <c r="L39" i="73"/>
  <c r="K39" i="73"/>
  <c r="J39" i="73"/>
  <c r="J48" i="73" s="1"/>
  <c r="H39" i="73"/>
  <c r="F39" i="73"/>
  <c r="W38" i="73"/>
  <c r="N38" i="73" s="1"/>
  <c r="O38" i="73" s="1"/>
  <c r="R38" i="73" s="1"/>
  <c r="P38" i="73"/>
  <c r="L38" i="73"/>
  <c r="K38" i="73"/>
  <c r="J38" i="73"/>
  <c r="H38" i="73"/>
  <c r="F38" i="73"/>
  <c r="AE37" i="73"/>
  <c r="AD37" i="73"/>
  <c r="F20" i="72" s="1"/>
  <c r="AA37" i="73"/>
  <c r="F19" i="72" s="1"/>
  <c r="Z37" i="73"/>
  <c r="M37" i="73"/>
  <c r="W36" i="73"/>
  <c r="W35" i="73"/>
  <c r="W34" i="73"/>
  <c r="V34" i="73"/>
  <c r="N34" i="73"/>
  <c r="O34" i="73" s="1"/>
  <c r="K34" i="73"/>
  <c r="L34" i="73" s="1"/>
  <c r="J34" i="73"/>
  <c r="P34" i="73" s="1"/>
  <c r="F34" i="73"/>
  <c r="H34" i="73" s="1"/>
  <c r="W33" i="73"/>
  <c r="V33" i="73"/>
  <c r="N33" i="73"/>
  <c r="O33" i="73" s="1"/>
  <c r="J33" i="73"/>
  <c r="F33" i="73"/>
  <c r="H33" i="73" s="1"/>
  <c r="W32" i="73"/>
  <c r="N32" i="73" s="1"/>
  <c r="O32" i="73" s="1"/>
  <c r="V32" i="73"/>
  <c r="L32" i="73"/>
  <c r="K32" i="73"/>
  <c r="J32" i="73"/>
  <c r="P32" i="73" s="1"/>
  <c r="F32" i="73"/>
  <c r="H32" i="73" s="1"/>
  <c r="AG31" i="73"/>
  <c r="W31" i="73"/>
  <c r="V31" i="73"/>
  <c r="P31" i="73"/>
  <c r="O31" i="73"/>
  <c r="N31" i="73"/>
  <c r="AF31" i="73" s="1"/>
  <c r="L31" i="73"/>
  <c r="J31" i="73"/>
  <c r="H31" i="73"/>
  <c r="F31" i="73"/>
  <c r="W30" i="73"/>
  <c r="V30" i="73"/>
  <c r="N30" i="73"/>
  <c r="J30" i="73"/>
  <c r="P30" i="73" s="1"/>
  <c r="H30" i="73"/>
  <c r="F30" i="73"/>
  <c r="W29" i="73"/>
  <c r="V29" i="73"/>
  <c r="P29" i="73"/>
  <c r="O29" i="73"/>
  <c r="N29" i="73"/>
  <c r="K29" i="73"/>
  <c r="K37" i="73" s="1"/>
  <c r="J29" i="73"/>
  <c r="F29" i="73"/>
  <c r="H29" i="73" s="1"/>
  <c r="W28" i="73"/>
  <c r="V28" i="73"/>
  <c r="P28" i="73"/>
  <c r="N28" i="73"/>
  <c r="L28" i="73"/>
  <c r="K28" i="73"/>
  <c r="J28" i="73"/>
  <c r="F28" i="73"/>
  <c r="H28" i="73" s="1"/>
  <c r="AG27" i="73"/>
  <c r="W27" i="73"/>
  <c r="N27" i="73" s="1"/>
  <c r="K27" i="73"/>
  <c r="J27" i="73"/>
  <c r="H27" i="73"/>
  <c r="F27" i="73"/>
  <c r="AE26" i="73"/>
  <c r="AD26" i="73"/>
  <c r="E20" i="72" s="1"/>
  <c r="AA26" i="73"/>
  <c r="Z26" i="73"/>
  <c r="M26" i="73"/>
  <c r="K26" i="73"/>
  <c r="W25" i="73"/>
  <c r="H25" i="73"/>
  <c r="W24" i="73"/>
  <c r="H24" i="73"/>
  <c r="W23" i="73"/>
  <c r="W21" i="73"/>
  <c r="W20" i="73"/>
  <c r="V20" i="73"/>
  <c r="P20" i="73"/>
  <c r="O20" i="73"/>
  <c r="N20" i="73"/>
  <c r="L20" i="73"/>
  <c r="K20" i="73"/>
  <c r="J20" i="73"/>
  <c r="F20" i="73"/>
  <c r="H20" i="73" s="1"/>
  <c r="AG19" i="73"/>
  <c r="W19" i="73"/>
  <c r="N19" i="73" s="1"/>
  <c r="O19" i="73" s="1"/>
  <c r="V19" i="73"/>
  <c r="R19" i="73"/>
  <c r="Q19" i="73"/>
  <c r="P19" i="73"/>
  <c r="L19" i="73"/>
  <c r="K19" i="73"/>
  <c r="J19" i="73"/>
  <c r="F19" i="73"/>
  <c r="H19" i="73" s="1"/>
  <c r="W18" i="73"/>
  <c r="N18" i="73" s="1"/>
  <c r="V18" i="73"/>
  <c r="K18" i="73"/>
  <c r="J18" i="73"/>
  <c r="F18" i="73"/>
  <c r="H18" i="73" s="1"/>
  <c r="W17" i="73"/>
  <c r="V17" i="73"/>
  <c r="N17" i="73"/>
  <c r="O17" i="73" s="1"/>
  <c r="L17" i="73"/>
  <c r="K17" i="73"/>
  <c r="J17" i="73"/>
  <c r="P17" i="73" s="1"/>
  <c r="F17" i="73"/>
  <c r="H17" i="73" s="1"/>
  <c r="G1" i="73" s="1"/>
  <c r="W16" i="73"/>
  <c r="N16" i="73"/>
  <c r="K16" i="73"/>
  <c r="L16" i="73" s="1"/>
  <c r="J16" i="73"/>
  <c r="P16" i="73" s="1"/>
  <c r="F16" i="73"/>
  <c r="H16" i="73" s="1"/>
  <c r="AE15" i="73"/>
  <c r="AD15" i="73"/>
  <c r="AA15" i="73"/>
  <c r="Z15" i="73"/>
  <c r="M15" i="73"/>
  <c r="W14" i="73"/>
  <c r="W13" i="73"/>
  <c r="W12" i="73"/>
  <c r="AG11" i="73"/>
  <c r="AF11" i="73"/>
  <c r="W11" i="73"/>
  <c r="AG10" i="73"/>
  <c r="AF10" i="73"/>
  <c r="W10" i="73"/>
  <c r="AG9" i="73"/>
  <c r="AF9" i="73"/>
  <c r="W9" i="73"/>
  <c r="AG8" i="73"/>
  <c r="AF8" i="73"/>
  <c r="W8" i="73"/>
  <c r="N8" i="73" s="1"/>
  <c r="O8" i="73" s="1"/>
  <c r="R8" i="73" s="1"/>
  <c r="V8" i="73"/>
  <c r="Q8" i="73"/>
  <c r="P8" i="73"/>
  <c r="L8" i="73"/>
  <c r="K8" i="73"/>
  <c r="J8" i="73"/>
  <c r="F8" i="73"/>
  <c r="H8" i="73" s="1"/>
  <c r="AF7" i="73"/>
  <c r="W7" i="73"/>
  <c r="N7" i="73" s="1"/>
  <c r="V7" i="73"/>
  <c r="K7" i="73"/>
  <c r="J7" i="73"/>
  <c r="P7" i="73" s="1"/>
  <c r="F7" i="73"/>
  <c r="H7" i="73" s="1"/>
  <c r="AG6" i="73"/>
  <c r="W6" i="73"/>
  <c r="V6" i="73"/>
  <c r="N6" i="73"/>
  <c r="O6" i="73" s="1"/>
  <c r="L6" i="73"/>
  <c r="K6" i="73"/>
  <c r="J6" i="73"/>
  <c r="P6" i="73" s="1"/>
  <c r="H6" i="73"/>
  <c r="F6" i="73"/>
  <c r="W5" i="73"/>
  <c r="N5" i="73"/>
  <c r="K5" i="73"/>
  <c r="K15" i="73" s="1"/>
  <c r="J5" i="73"/>
  <c r="J15" i="73" s="1"/>
  <c r="P15" i="73" s="1"/>
  <c r="F5" i="73"/>
  <c r="H5" i="73" s="1"/>
  <c r="I2" i="73"/>
  <c r="E1" i="73"/>
  <c r="G3" i="72" s="1"/>
  <c r="J22" i="72"/>
  <c r="I22" i="72"/>
  <c r="H22" i="72"/>
  <c r="E22" i="72"/>
  <c r="D22" i="72"/>
  <c r="J21" i="72"/>
  <c r="G21" i="72"/>
  <c r="F21" i="72"/>
  <c r="D21" i="72"/>
  <c r="G20" i="72"/>
  <c r="D20" i="72"/>
  <c r="J19" i="72"/>
  <c r="I19" i="72"/>
  <c r="H19" i="72"/>
  <c r="G19" i="72"/>
  <c r="E19" i="72"/>
  <c r="I18" i="72"/>
  <c r="H18" i="72"/>
  <c r="G18" i="72"/>
  <c r="F18" i="72"/>
  <c r="E18" i="72"/>
  <c r="D18" i="72"/>
  <c r="J16" i="72"/>
  <c r="I16" i="72"/>
  <c r="H16" i="72"/>
  <c r="G16" i="72"/>
  <c r="F16" i="72"/>
  <c r="E16" i="72"/>
  <c r="D16" i="72"/>
  <c r="O8" i="72"/>
  <c r="N8" i="72"/>
  <c r="M8" i="72"/>
  <c r="L8" i="72"/>
  <c r="O7" i="72"/>
  <c r="N7" i="72"/>
  <c r="M7" i="72"/>
  <c r="L7" i="72"/>
  <c r="AE79" i="71"/>
  <c r="AD79" i="71"/>
  <c r="AA79" i="71"/>
  <c r="Z79" i="71"/>
  <c r="M79" i="71"/>
  <c r="W78" i="71"/>
  <c r="H78" i="71"/>
  <c r="W77" i="71"/>
  <c r="H77" i="71"/>
  <c r="W76" i="71"/>
  <c r="W75" i="71"/>
  <c r="W74" i="71"/>
  <c r="W73" i="71"/>
  <c r="V73" i="71"/>
  <c r="O73" i="71"/>
  <c r="N73" i="71"/>
  <c r="K73" i="71"/>
  <c r="L73" i="71" s="1"/>
  <c r="J73" i="71"/>
  <c r="P73" i="71" s="1"/>
  <c r="F73" i="71"/>
  <c r="H73" i="71" s="1"/>
  <c r="W72" i="71"/>
  <c r="V72" i="71"/>
  <c r="N72" i="71"/>
  <c r="O72" i="71" s="1"/>
  <c r="K72" i="71"/>
  <c r="J72" i="71"/>
  <c r="P72" i="71" s="1"/>
  <c r="H72" i="71"/>
  <c r="F72" i="71"/>
  <c r="W71" i="71"/>
  <c r="V71" i="71"/>
  <c r="N71" i="71"/>
  <c r="O71" i="71" s="1"/>
  <c r="K71" i="71"/>
  <c r="L71" i="71" s="1"/>
  <c r="J71" i="71"/>
  <c r="P71" i="71" s="1"/>
  <c r="F71" i="71"/>
  <c r="H71" i="71" s="1"/>
  <c r="W70" i="71"/>
  <c r="P70" i="71"/>
  <c r="O70" i="71"/>
  <c r="O79" i="71" s="1"/>
  <c r="N70" i="71"/>
  <c r="K70" i="71"/>
  <c r="J70" i="71"/>
  <c r="J79" i="71" s="1"/>
  <c r="P79" i="71" s="1"/>
  <c r="F70" i="71"/>
  <c r="H70" i="71" s="1"/>
  <c r="AE69" i="71"/>
  <c r="AD69" i="71"/>
  <c r="I20" i="70" s="1"/>
  <c r="AA69" i="71"/>
  <c r="Z69" i="71"/>
  <c r="I18" i="70" s="1"/>
  <c r="M69" i="71"/>
  <c r="W68" i="71"/>
  <c r="H68" i="71"/>
  <c r="W67" i="71"/>
  <c r="W66" i="71"/>
  <c r="W65" i="71"/>
  <c r="W64" i="71"/>
  <c r="W63" i="71"/>
  <c r="V63" i="71"/>
  <c r="N63" i="71"/>
  <c r="O63" i="71" s="1"/>
  <c r="K63" i="71"/>
  <c r="J63" i="71"/>
  <c r="P63" i="71" s="1"/>
  <c r="F63" i="71"/>
  <c r="H63" i="71" s="1"/>
  <c r="W62" i="71"/>
  <c r="V62" i="71"/>
  <c r="P62" i="71"/>
  <c r="N62" i="71"/>
  <c r="L62" i="71"/>
  <c r="K62" i="71"/>
  <c r="J62" i="71"/>
  <c r="F62" i="71"/>
  <c r="H62" i="71" s="1"/>
  <c r="W61" i="71"/>
  <c r="V61" i="71"/>
  <c r="P61" i="71"/>
  <c r="N61" i="71"/>
  <c r="O61" i="71" s="1"/>
  <c r="Q61" i="71" s="1"/>
  <c r="L61" i="71"/>
  <c r="K61" i="71"/>
  <c r="J61" i="71"/>
  <c r="H61" i="71"/>
  <c r="F61" i="71"/>
  <c r="W60" i="71"/>
  <c r="N60" i="71" s="1"/>
  <c r="AG60" i="71" s="1"/>
  <c r="V60" i="71"/>
  <c r="P60" i="71"/>
  <c r="L60" i="71"/>
  <c r="K60" i="71"/>
  <c r="J60" i="71"/>
  <c r="F60" i="71"/>
  <c r="H60" i="71" s="1"/>
  <c r="W59" i="71"/>
  <c r="N59" i="71" s="1"/>
  <c r="AF59" i="71" s="1"/>
  <c r="K59" i="71"/>
  <c r="J59" i="71"/>
  <c r="P59" i="71" s="1"/>
  <c r="F59" i="71"/>
  <c r="H59" i="71" s="1"/>
  <c r="AE58" i="71"/>
  <c r="H21" i="70" s="1"/>
  <c r="AD58" i="71"/>
  <c r="AA58" i="71"/>
  <c r="Z58" i="71"/>
  <c r="H18" i="70" s="1"/>
  <c r="M58" i="71"/>
  <c r="W57" i="71"/>
  <c r="W56" i="71"/>
  <c r="W55" i="71"/>
  <c r="W54" i="71"/>
  <c r="AG53" i="71"/>
  <c r="AF53" i="71"/>
  <c r="W53" i="71"/>
  <c r="AF52" i="71"/>
  <c r="W52" i="71"/>
  <c r="N52" i="71" s="1"/>
  <c r="V52" i="71"/>
  <c r="K52" i="71"/>
  <c r="J52" i="71"/>
  <c r="P52" i="71" s="1"/>
  <c r="F52" i="71"/>
  <c r="H52" i="71" s="1"/>
  <c r="W51" i="71"/>
  <c r="V51" i="71"/>
  <c r="N51" i="71"/>
  <c r="O51" i="71" s="1"/>
  <c r="L51" i="71"/>
  <c r="K51" i="71"/>
  <c r="J51" i="71"/>
  <c r="P51" i="71" s="1"/>
  <c r="F51" i="71"/>
  <c r="H51" i="71" s="1"/>
  <c r="W50" i="71"/>
  <c r="N50" i="71" s="1"/>
  <c r="AF50" i="71" s="1"/>
  <c r="V50" i="71"/>
  <c r="K50" i="71"/>
  <c r="J50" i="71"/>
  <c r="H50" i="71"/>
  <c r="F50" i="71"/>
  <c r="W49" i="71"/>
  <c r="R49" i="71"/>
  <c r="P49" i="71"/>
  <c r="O49" i="71"/>
  <c r="Q49" i="71" s="1"/>
  <c r="N49" i="71"/>
  <c r="L49" i="71"/>
  <c r="K49" i="71"/>
  <c r="J49" i="71"/>
  <c r="H49" i="71"/>
  <c r="F49" i="71"/>
  <c r="AE48" i="71"/>
  <c r="AD48" i="71"/>
  <c r="AA48" i="71"/>
  <c r="G19" i="70" s="1"/>
  <c r="Z48" i="71"/>
  <c r="G18" i="70" s="1"/>
  <c r="W48" i="71"/>
  <c r="M48" i="71"/>
  <c r="K48" i="71"/>
  <c r="W47" i="71"/>
  <c r="H47" i="71"/>
  <c r="W46" i="71"/>
  <c r="W45" i="71"/>
  <c r="W44" i="71"/>
  <c r="W43" i="71"/>
  <c r="W42" i="71"/>
  <c r="AG41" i="71"/>
  <c r="AF41" i="71"/>
  <c r="W41" i="71"/>
  <c r="AG40" i="71"/>
  <c r="W40" i="71"/>
  <c r="N40" i="71" s="1"/>
  <c r="V40" i="71"/>
  <c r="P40" i="71"/>
  <c r="K40" i="71"/>
  <c r="L40" i="71" s="1"/>
  <c r="J40" i="71"/>
  <c r="H40" i="71"/>
  <c r="F40" i="71"/>
  <c r="W39" i="71"/>
  <c r="N39" i="71" s="1"/>
  <c r="V39" i="71"/>
  <c r="K39" i="71"/>
  <c r="L39" i="71" s="1"/>
  <c r="J39" i="71"/>
  <c r="P39" i="71" s="1"/>
  <c r="F39" i="71"/>
  <c r="H39" i="71" s="1"/>
  <c r="W38" i="71"/>
  <c r="N38" i="71" s="1"/>
  <c r="P38" i="71"/>
  <c r="K38" i="71"/>
  <c r="L38" i="71" s="1"/>
  <c r="L48" i="71" s="1"/>
  <c r="G13" i="70" s="1"/>
  <c r="J38" i="71"/>
  <c r="J48" i="71" s="1"/>
  <c r="P48" i="71" s="1"/>
  <c r="F38" i="71"/>
  <c r="H38" i="71" s="1"/>
  <c r="AE37" i="71"/>
  <c r="AD37" i="71"/>
  <c r="F20" i="70" s="1"/>
  <c r="AA37" i="71"/>
  <c r="Z37" i="71"/>
  <c r="F18" i="70" s="1"/>
  <c r="M37" i="71"/>
  <c r="W36" i="71"/>
  <c r="W35" i="71"/>
  <c r="W34" i="71"/>
  <c r="W33" i="71"/>
  <c r="W32" i="71"/>
  <c r="N32" i="71" s="1"/>
  <c r="O32" i="71" s="1"/>
  <c r="V32" i="71"/>
  <c r="P32" i="71"/>
  <c r="K32" i="71"/>
  <c r="L32" i="71" s="1"/>
  <c r="J32" i="71"/>
  <c r="F32" i="71"/>
  <c r="H32" i="71" s="1"/>
  <c r="AG31" i="71"/>
  <c r="AF31" i="71"/>
  <c r="W31" i="71"/>
  <c r="N31" i="71" s="1"/>
  <c r="O31" i="71" s="1"/>
  <c r="V31" i="71"/>
  <c r="P31" i="71"/>
  <c r="J31" i="71"/>
  <c r="L31" i="71" s="1"/>
  <c r="F31" i="71"/>
  <c r="H31" i="71" s="1"/>
  <c r="AG30" i="71"/>
  <c r="AF30" i="71"/>
  <c r="W30" i="71"/>
  <c r="V30" i="71"/>
  <c r="N30" i="71"/>
  <c r="O30" i="71" s="1"/>
  <c r="R30" i="71" s="1"/>
  <c r="L30" i="71"/>
  <c r="J30" i="71"/>
  <c r="P30" i="71" s="1"/>
  <c r="H30" i="71"/>
  <c r="F30" i="71"/>
  <c r="W29" i="71"/>
  <c r="N29" i="71" s="1"/>
  <c r="AF29" i="71" s="1"/>
  <c r="V29" i="71"/>
  <c r="L29" i="71"/>
  <c r="K29" i="71"/>
  <c r="J29" i="71"/>
  <c r="P29" i="71" s="1"/>
  <c r="H29" i="71"/>
  <c r="F29" i="71"/>
  <c r="W28" i="71"/>
  <c r="N28" i="71" s="1"/>
  <c r="V28" i="71"/>
  <c r="P28" i="71"/>
  <c r="L28" i="71"/>
  <c r="K28" i="71"/>
  <c r="J28" i="71"/>
  <c r="F28" i="71"/>
  <c r="H28" i="71" s="1"/>
  <c r="W27" i="71"/>
  <c r="N27" i="71" s="1"/>
  <c r="P27" i="71"/>
  <c r="K27" i="71"/>
  <c r="J27" i="71"/>
  <c r="F27" i="71"/>
  <c r="H27" i="71" s="1"/>
  <c r="AE26" i="71"/>
  <c r="AD26" i="71"/>
  <c r="E20" i="70" s="1"/>
  <c r="AA26" i="71"/>
  <c r="Z26" i="71"/>
  <c r="E18" i="70" s="1"/>
  <c r="M26" i="71"/>
  <c r="K26" i="71"/>
  <c r="J26" i="71"/>
  <c r="P26" i="71" s="1"/>
  <c r="W25" i="71"/>
  <c r="H25" i="71"/>
  <c r="W24" i="71"/>
  <c r="H24" i="71"/>
  <c r="W23" i="71"/>
  <c r="W21" i="71"/>
  <c r="W20" i="71"/>
  <c r="W19" i="71"/>
  <c r="N19" i="71" s="1"/>
  <c r="V19" i="71"/>
  <c r="P19" i="71"/>
  <c r="K19" i="71"/>
  <c r="L19" i="71" s="1"/>
  <c r="J19" i="71"/>
  <c r="F19" i="71"/>
  <c r="H19" i="71" s="1"/>
  <c r="W18" i="71"/>
  <c r="V18" i="71"/>
  <c r="P18" i="71"/>
  <c r="N18" i="71"/>
  <c r="AG18" i="71" s="1"/>
  <c r="L18" i="71"/>
  <c r="K18" i="71"/>
  <c r="J18" i="71"/>
  <c r="F18" i="71"/>
  <c r="H18" i="71" s="1"/>
  <c r="W17" i="71"/>
  <c r="N17" i="71" s="1"/>
  <c r="V17" i="71"/>
  <c r="P17" i="71"/>
  <c r="K17" i="71"/>
  <c r="L17" i="71" s="1"/>
  <c r="J17" i="71"/>
  <c r="F17" i="71"/>
  <c r="H17" i="71" s="1"/>
  <c r="W16" i="71"/>
  <c r="N16" i="71" s="1"/>
  <c r="L16" i="71"/>
  <c r="K16" i="71"/>
  <c r="J16" i="71"/>
  <c r="P16" i="71" s="1"/>
  <c r="H16" i="71"/>
  <c r="F16" i="71"/>
  <c r="AE15" i="71"/>
  <c r="AE2" i="71" s="1"/>
  <c r="AD15" i="71"/>
  <c r="AA15" i="71"/>
  <c r="Z15" i="71"/>
  <c r="M15" i="71"/>
  <c r="D22" i="70" s="1"/>
  <c r="K15" i="71"/>
  <c r="W14" i="71"/>
  <c r="W13" i="71"/>
  <c r="W12" i="71"/>
  <c r="AG11" i="71"/>
  <c r="AF11" i="71"/>
  <c r="W11" i="71"/>
  <c r="AG10" i="71"/>
  <c r="AF10" i="71"/>
  <c r="W10" i="71"/>
  <c r="W9" i="71"/>
  <c r="N9" i="71" s="1"/>
  <c r="V9" i="71"/>
  <c r="P9" i="71"/>
  <c r="L9" i="71"/>
  <c r="K9" i="71"/>
  <c r="J9" i="71"/>
  <c r="F9" i="71"/>
  <c r="H9" i="71" s="1"/>
  <c r="AG8" i="71"/>
  <c r="W8" i="71"/>
  <c r="V8" i="71"/>
  <c r="P8" i="71"/>
  <c r="O8" i="71"/>
  <c r="Q8" i="71" s="1"/>
  <c r="N8" i="71"/>
  <c r="AF8" i="71" s="1"/>
  <c r="K8" i="71"/>
  <c r="L8" i="71" s="1"/>
  <c r="J8" i="71"/>
  <c r="H8" i="71"/>
  <c r="F8" i="71"/>
  <c r="AF7" i="71"/>
  <c r="W7" i="71"/>
  <c r="N7" i="71" s="1"/>
  <c r="V7" i="71"/>
  <c r="P7" i="71"/>
  <c r="L7" i="71"/>
  <c r="K7" i="71"/>
  <c r="J7" i="71"/>
  <c r="F7" i="71"/>
  <c r="H7" i="71" s="1"/>
  <c r="AG6" i="71"/>
  <c r="AF6" i="71"/>
  <c r="W6" i="71"/>
  <c r="V6" i="71"/>
  <c r="N6" i="71"/>
  <c r="O6" i="71" s="1"/>
  <c r="K6" i="71"/>
  <c r="J6" i="71"/>
  <c r="P6" i="71" s="1"/>
  <c r="H6" i="71"/>
  <c r="F6" i="71"/>
  <c r="W5" i="71"/>
  <c r="N5" i="71" s="1"/>
  <c r="K5" i="71"/>
  <c r="J5" i="71"/>
  <c r="P5" i="71" s="1"/>
  <c r="H5" i="71"/>
  <c r="F5" i="71"/>
  <c r="AD2" i="71"/>
  <c r="Z2" i="71"/>
  <c r="I2" i="71"/>
  <c r="E1" i="71"/>
  <c r="J22" i="70"/>
  <c r="I22" i="70"/>
  <c r="G22" i="70"/>
  <c r="F22" i="70"/>
  <c r="E22" i="70"/>
  <c r="J21" i="70"/>
  <c r="I21" i="70"/>
  <c r="G21" i="70"/>
  <c r="F21" i="70"/>
  <c r="E21" i="70"/>
  <c r="D21" i="70"/>
  <c r="J20" i="70"/>
  <c r="H20" i="70"/>
  <c r="G20" i="70"/>
  <c r="D20" i="70"/>
  <c r="J19" i="70"/>
  <c r="I19" i="70"/>
  <c r="H19" i="70"/>
  <c r="E19" i="70"/>
  <c r="D19" i="70"/>
  <c r="J18" i="70"/>
  <c r="D18" i="70"/>
  <c r="L6" i="70" s="1"/>
  <c r="J16" i="70"/>
  <c r="I16" i="70"/>
  <c r="H16" i="70"/>
  <c r="G16" i="70"/>
  <c r="F16" i="70"/>
  <c r="E16" i="70"/>
  <c r="D16" i="70"/>
  <c r="O8" i="70"/>
  <c r="N8" i="70"/>
  <c r="M8" i="70"/>
  <c r="L8" i="70"/>
  <c r="O7" i="70"/>
  <c r="N7" i="70"/>
  <c r="M7" i="70"/>
  <c r="L7" i="70"/>
  <c r="G3" i="70"/>
  <c r="AE79" i="69"/>
  <c r="J21" i="68" s="1"/>
  <c r="AD79" i="69"/>
  <c r="AA79" i="69"/>
  <c r="Z79" i="69"/>
  <c r="N79" i="69"/>
  <c r="M79" i="69"/>
  <c r="W78" i="69"/>
  <c r="H78" i="69"/>
  <c r="W77" i="69"/>
  <c r="H77" i="69"/>
  <c r="W76" i="69"/>
  <c r="H76" i="69"/>
  <c r="W75" i="69"/>
  <c r="H75" i="69"/>
  <c r="W74" i="69"/>
  <c r="W73" i="69"/>
  <c r="W72" i="69"/>
  <c r="W71" i="69"/>
  <c r="N71" i="69" s="1"/>
  <c r="O71" i="69" s="1"/>
  <c r="V71" i="69"/>
  <c r="P71" i="69"/>
  <c r="K71" i="69"/>
  <c r="J71" i="69"/>
  <c r="L71" i="69" s="1"/>
  <c r="F71" i="69"/>
  <c r="H71" i="69" s="1"/>
  <c r="W70" i="69"/>
  <c r="O70" i="69"/>
  <c r="N70" i="69"/>
  <c r="K70" i="69"/>
  <c r="J70" i="69"/>
  <c r="H70" i="69"/>
  <c r="F70" i="69"/>
  <c r="AE69" i="69"/>
  <c r="I21" i="68" s="1"/>
  <c r="AD69" i="69"/>
  <c r="I20" i="68" s="1"/>
  <c r="AA69" i="69"/>
  <c r="I19" i="68" s="1"/>
  <c r="Z69" i="69"/>
  <c r="P69" i="69"/>
  <c r="M69" i="69"/>
  <c r="J69" i="69"/>
  <c r="W68" i="69"/>
  <c r="H68" i="69"/>
  <c r="W67" i="69"/>
  <c r="W66" i="69"/>
  <c r="W65" i="69"/>
  <c r="W64" i="69"/>
  <c r="W63" i="69"/>
  <c r="AG62" i="69"/>
  <c r="AF62" i="69"/>
  <c r="W62" i="69"/>
  <c r="W61" i="69"/>
  <c r="N61" i="69" s="1"/>
  <c r="V61" i="69"/>
  <c r="P61" i="69"/>
  <c r="L61" i="69"/>
  <c r="K61" i="69"/>
  <c r="J61" i="69"/>
  <c r="F61" i="69"/>
  <c r="H61" i="69" s="1"/>
  <c r="W60" i="69"/>
  <c r="N60" i="69" s="1"/>
  <c r="V60" i="69"/>
  <c r="P60" i="69"/>
  <c r="O60" i="69"/>
  <c r="K60" i="69"/>
  <c r="J60" i="69"/>
  <c r="F60" i="69"/>
  <c r="H60" i="69" s="1"/>
  <c r="W59" i="69"/>
  <c r="N59" i="69"/>
  <c r="L59" i="69"/>
  <c r="K59" i="69"/>
  <c r="K69" i="69" s="1"/>
  <c r="J59" i="69"/>
  <c r="P59" i="69" s="1"/>
  <c r="F59" i="69"/>
  <c r="H59" i="69" s="1"/>
  <c r="AE58" i="69"/>
  <c r="H21" i="68" s="1"/>
  <c r="AD58" i="69"/>
  <c r="AA58" i="69"/>
  <c r="Z58" i="69"/>
  <c r="H18" i="68" s="1"/>
  <c r="M58" i="69"/>
  <c r="W57" i="69"/>
  <c r="W56" i="69"/>
  <c r="W55" i="69"/>
  <c r="W54" i="69"/>
  <c r="AG53" i="69"/>
  <c r="AF53" i="69"/>
  <c r="W53" i="69"/>
  <c r="W52" i="69"/>
  <c r="N52" i="69" s="1"/>
  <c r="V52" i="69"/>
  <c r="K52" i="69"/>
  <c r="J52" i="69"/>
  <c r="P52" i="69" s="1"/>
  <c r="H52" i="69"/>
  <c r="F52" i="69"/>
  <c r="W51" i="69"/>
  <c r="N51" i="69" s="1"/>
  <c r="V51" i="69"/>
  <c r="K51" i="69"/>
  <c r="L51" i="69" s="1"/>
  <c r="J51" i="69"/>
  <c r="P51" i="69" s="1"/>
  <c r="F51" i="69"/>
  <c r="H51" i="69" s="1"/>
  <c r="W50" i="69"/>
  <c r="V50" i="69"/>
  <c r="N50" i="69"/>
  <c r="L50" i="69"/>
  <c r="K50" i="69"/>
  <c r="K58" i="69" s="1"/>
  <c r="J50" i="69"/>
  <c r="H50" i="69"/>
  <c r="F50" i="69"/>
  <c r="AG49" i="69"/>
  <c r="W49" i="69"/>
  <c r="P49" i="69"/>
  <c r="O49" i="69"/>
  <c r="N49" i="69"/>
  <c r="AF49" i="69" s="1"/>
  <c r="L49" i="69"/>
  <c r="K49" i="69"/>
  <c r="J49" i="69"/>
  <c r="H49" i="69"/>
  <c r="F49" i="69"/>
  <c r="AE48" i="69"/>
  <c r="G21" i="68" s="1"/>
  <c r="AD48" i="69"/>
  <c r="G20" i="68" s="1"/>
  <c r="AA48" i="69"/>
  <c r="G19" i="68" s="1"/>
  <c r="Z48" i="69"/>
  <c r="G18" i="68" s="1"/>
  <c r="W48" i="69"/>
  <c r="M48" i="69"/>
  <c r="W47" i="69"/>
  <c r="H47" i="69"/>
  <c r="W46" i="69"/>
  <c r="W45" i="69"/>
  <c r="W44" i="69"/>
  <c r="W43" i="69"/>
  <c r="W42" i="69"/>
  <c r="AG41" i="69"/>
  <c r="AF41" i="69"/>
  <c r="W41" i="69"/>
  <c r="AG40" i="69"/>
  <c r="AF40" i="69"/>
  <c r="W40" i="69"/>
  <c r="W39" i="69"/>
  <c r="N39" i="69" s="1"/>
  <c r="V39" i="69"/>
  <c r="P39" i="69"/>
  <c r="L39" i="69"/>
  <c r="K39" i="69"/>
  <c r="J39" i="69"/>
  <c r="J48" i="69" s="1"/>
  <c r="F39" i="69"/>
  <c r="H39" i="69" s="1"/>
  <c r="W38" i="69"/>
  <c r="N38" i="69" s="1"/>
  <c r="P38" i="69"/>
  <c r="K38" i="69"/>
  <c r="K48" i="69" s="1"/>
  <c r="J38" i="69"/>
  <c r="F38" i="69"/>
  <c r="H38" i="69" s="1"/>
  <c r="AE37" i="69"/>
  <c r="F21" i="68" s="1"/>
  <c r="AD37" i="69"/>
  <c r="AA37" i="69"/>
  <c r="Z37" i="69"/>
  <c r="M37" i="69"/>
  <c r="K37" i="69"/>
  <c r="J37" i="69"/>
  <c r="P37" i="69" s="1"/>
  <c r="W36" i="69"/>
  <c r="H36" i="69"/>
  <c r="W35" i="69"/>
  <c r="W34" i="69"/>
  <c r="W33" i="69"/>
  <c r="W32" i="69"/>
  <c r="AG31" i="69"/>
  <c r="AF31" i="69"/>
  <c r="W31" i="69"/>
  <c r="W30" i="69"/>
  <c r="N30" i="69" s="1"/>
  <c r="AF30" i="69" s="1"/>
  <c r="V30" i="69"/>
  <c r="P30" i="69"/>
  <c r="L30" i="69"/>
  <c r="K30" i="69"/>
  <c r="J30" i="69"/>
  <c r="F30" i="69"/>
  <c r="H30" i="69" s="1"/>
  <c r="AG29" i="69"/>
  <c r="AF29" i="69"/>
  <c r="W29" i="69"/>
  <c r="N29" i="69" s="1"/>
  <c r="O29" i="69" s="1"/>
  <c r="R29" i="69" s="1"/>
  <c r="V29" i="69"/>
  <c r="Q29" i="69"/>
  <c r="P29" i="69"/>
  <c r="K29" i="69"/>
  <c r="L29" i="69" s="1"/>
  <c r="J29" i="69"/>
  <c r="F29" i="69"/>
  <c r="H29" i="69" s="1"/>
  <c r="AG28" i="69"/>
  <c r="AF28" i="69"/>
  <c r="W28" i="69"/>
  <c r="V28" i="69"/>
  <c r="N28" i="69"/>
  <c r="O28" i="69" s="1"/>
  <c r="J28" i="69"/>
  <c r="P28" i="69" s="1"/>
  <c r="F28" i="69"/>
  <c r="H28" i="69" s="1"/>
  <c r="AG27" i="69"/>
  <c r="AF27" i="69"/>
  <c r="W27" i="69"/>
  <c r="P27" i="69"/>
  <c r="O27" i="69"/>
  <c r="N27" i="69"/>
  <c r="K27" i="69"/>
  <c r="L27" i="69" s="1"/>
  <c r="J27" i="69"/>
  <c r="F27" i="69"/>
  <c r="H27" i="69" s="1"/>
  <c r="AE26" i="69"/>
  <c r="AD26" i="69"/>
  <c r="AA26" i="69"/>
  <c r="Z26" i="69"/>
  <c r="E18" i="68" s="1"/>
  <c r="M26" i="69"/>
  <c r="W25" i="69"/>
  <c r="H25" i="69"/>
  <c r="W24" i="69"/>
  <c r="H24" i="69"/>
  <c r="W23" i="69"/>
  <c r="W21" i="69"/>
  <c r="W20" i="69"/>
  <c r="W19" i="69"/>
  <c r="N19" i="69" s="1"/>
  <c r="V19" i="69"/>
  <c r="P19" i="69"/>
  <c r="K19" i="69"/>
  <c r="J19" i="69"/>
  <c r="F19" i="69"/>
  <c r="H19" i="69" s="1"/>
  <c r="W18" i="69"/>
  <c r="V18" i="69"/>
  <c r="P18" i="69"/>
  <c r="N18" i="69"/>
  <c r="L18" i="69"/>
  <c r="K18" i="69"/>
  <c r="J18" i="69"/>
  <c r="F18" i="69"/>
  <c r="H18" i="69" s="1"/>
  <c r="W17" i="69"/>
  <c r="V17" i="69"/>
  <c r="P17" i="69"/>
  <c r="N17" i="69"/>
  <c r="L17" i="69"/>
  <c r="K17" i="69"/>
  <c r="J17" i="69"/>
  <c r="F17" i="69"/>
  <c r="H17" i="69" s="1"/>
  <c r="W16" i="69"/>
  <c r="N16" i="69" s="1"/>
  <c r="AG16" i="69" s="1"/>
  <c r="P16" i="69"/>
  <c r="K16" i="69"/>
  <c r="L16" i="69" s="1"/>
  <c r="J16" i="69"/>
  <c r="F16" i="69"/>
  <c r="H16" i="69" s="1"/>
  <c r="AE15" i="69"/>
  <c r="AD15" i="69"/>
  <c r="D20" i="68" s="1"/>
  <c r="AA15" i="69"/>
  <c r="AA2" i="69" s="1"/>
  <c r="Z15" i="69"/>
  <c r="M15" i="69"/>
  <c r="J15" i="69"/>
  <c r="W14" i="69"/>
  <c r="W13" i="69"/>
  <c r="W12" i="69"/>
  <c r="AG11" i="69"/>
  <c r="AF11" i="69"/>
  <c r="W11" i="69"/>
  <c r="AG10" i="69"/>
  <c r="AF10" i="69"/>
  <c r="W10" i="69"/>
  <c r="AG9" i="69"/>
  <c r="AF9" i="69"/>
  <c r="W9" i="69"/>
  <c r="W8" i="69"/>
  <c r="N8" i="69" s="1"/>
  <c r="V8" i="69"/>
  <c r="P8" i="69"/>
  <c r="K8" i="69"/>
  <c r="J8" i="69"/>
  <c r="L8" i="69" s="1"/>
  <c r="H8" i="69"/>
  <c r="F8" i="69"/>
  <c r="W7" i="69"/>
  <c r="V7" i="69"/>
  <c r="O7" i="69"/>
  <c r="N7" i="69"/>
  <c r="K7" i="69"/>
  <c r="J7" i="69"/>
  <c r="P7" i="69" s="1"/>
  <c r="H7" i="69"/>
  <c r="F7" i="69"/>
  <c r="W6" i="69"/>
  <c r="N6" i="69" s="1"/>
  <c r="V6" i="69"/>
  <c r="K6" i="69"/>
  <c r="L6" i="69" s="1"/>
  <c r="J6" i="69"/>
  <c r="P6" i="69" s="1"/>
  <c r="F6" i="69"/>
  <c r="H6" i="69" s="1"/>
  <c r="W5" i="69"/>
  <c r="N5" i="69"/>
  <c r="K5" i="69"/>
  <c r="L5" i="69" s="1"/>
  <c r="J5" i="69"/>
  <c r="P5" i="69" s="1"/>
  <c r="F5" i="69"/>
  <c r="H5" i="69" s="1"/>
  <c r="AE2" i="69"/>
  <c r="AD2" i="69"/>
  <c r="I2" i="69"/>
  <c r="E1" i="69"/>
  <c r="G3" i="68" s="1"/>
  <c r="J22" i="68"/>
  <c r="I22" i="68"/>
  <c r="F22" i="68"/>
  <c r="E22" i="68"/>
  <c r="D22" i="68"/>
  <c r="E21" i="68"/>
  <c r="D21" i="68"/>
  <c r="J20" i="68"/>
  <c r="H20" i="68"/>
  <c r="F20" i="68"/>
  <c r="E20" i="68"/>
  <c r="J19" i="68"/>
  <c r="H19" i="68"/>
  <c r="F19" i="68"/>
  <c r="E19" i="68"/>
  <c r="D19" i="68"/>
  <c r="M6" i="68" s="1"/>
  <c r="J18" i="68"/>
  <c r="I18" i="68"/>
  <c r="F18" i="68"/>
  <c r="J16" i="68"/>
  <c r="I16" i="68"/>
  <c r="H16" i="68"/>
  <c r="G16" i="68"/>
  <c r="F16" i="68"/>
  <c r="E16" i="68"/>
  <c r="D16" i="68"/>
  <c r="O8" i="68"/>
  <c r="N8" i="68"/>
  <c r="M8" i="68"/>
  <c r="L8" i="68"/>
  <c r="O7" i="68"/>
  <c r="N7" i="68"/>
  <c r="M7" i="68"/>
  <c r="L7" i="68"/>
  <c r="AE79" i="3"/>
  <c r="AD79" i="3"/>
  <c r="AA79" i="3"/>
  <c r="Z79" i="3"/>
  <c r="M79" i="3"/>
  <c r="W78" i="3"/>
  <c r="H78" i="3"/>
  <c r="W77" i="3"/>
  <c r="H77" i="3"/>
  <c r="W76" i="3"/>
  <c r="H76" i="3"/>
  <c r="W75" i="3"/>
  <c r="H75" i="3"/>
  <c r="W74" i="3"/>
  <c r="W73" i="3"/>
  <c r="W72" i="3"/>
  <c r="W71" i="3"/>
  <c r="W70" i="3"/>
  <c r="N70" i="3"/>
  <c r="N79" i="3" s="1"/>
  <c r="K70" i="3"/>
  <c r="L70" i="3" s="1"/>
  <c r="L79" i="3" s="1"/>
  <c r="J13" i="2" s="1"/>
  <c r="J70" i="3"/>
  <c r="P70" i="3" s="1"/>
  <c r="F70" i="3"/>
  <c r="H70" i="3" s="1"/>
  <c r="B70" i="3"/>
  <c r="AE69" i="3"/>
  <c r="AD69" i="3"/>
  <c r="AA69" i="3"/>
  <c r="Z69" i="3"/>
  <c r="P69" i="3"/>
  <c r="M69" i="3"/>
  <c r="I22" i="2" s="1"/>
  <c r="J69" i="3"/>
  <c r="W68" i="3"/>
  <c r="H68" i="3"/>
  <c r="W67" i="3"/>
  <c r="W66" i="3"/>
  <c r="W65" i="3"/>
  <c r="W64" i="3"/>
  <c r="W63" i="3"/>
  <c r="AG62" i="3"/>
  <c r="AF62" i="3"/>
  <c r="W62" i="3"/>
  <c r="W61" i="3"/>
  <c r="N61" i="3" s="1"/>
  <c r="V61" i="3"/>
  <c r="P61" i="3"/>
  <c r="K61" i="3"/>
  <c r="L61" i="3" s="1"/>
  <c r="J61" i="3"/>
  <c r="F61" i="3"/>
  <c r="H61" i="3" s="1"/>
  <c r="B61" i="3"/>
  <c r="W60" i="3"/>
  <c r="N60" i="3" s="1"/>
  <c r="V60" i="3"/>
  <c r="K60" i="3"/>
  <c r="L60" i="3" s="1"/>
  <c r="J60" i="3"/>
  <c r="P60" i="3" s="1"/>
  <c r="H60" i="3"/>
  <c r="F60" i="3"/>
  <c r="B60" i="3"/>
  <c r="AG59" i="3"/>
  <c r="W59" i="3"/>
  <c r="N59" i="3"/>
  <c r="L59" i="3"/>
  <c r="L69" i="3" s="1"/>
  <c r="I13" i="2" s="1"/>
  <c r="J6" i="2" s="1"/>
  <c r="K59" i="3"/>
  <c r="K69" i="3" s="1"/>
  <c r="J59" i="3"/>
  <c r="P59" i="3" s="1"/>
  <c r="F59" i="3"/>
  <c r="H59" i="3" s="1"/>
  <c r="B59" i="3"/>
  <c r="AE58" i="3"/>
  <c r="AD58" i="3"/>
  <c r="AA58" i="3"/>
  <c r="Z58" i="3"/>
  <c r="M58" i="3"/>
  <c r="H22" i="2" s="1"/>
  <c r="W57" i="3"/>
  <c r="W56" i="3"/>
  <c r="W55" i="3"/>
  <c r="W54" i="3"/>
  <c r="AG53" i="3"/>
  <c r="AF53" i="3"/>
  <c r="W53" i="3"/>
  <c r="AG52" i="3"/>
  <c r="AF52" i="3"/>
  <c r="W52" i="3"/>
  <c r="V52" i="3"/>
  <c r="AF51" i="3"/>
  <c r="W51" i="3"/>
  <c r="V51" i="3"/>
  <c r="P51" i="3"/>
  <c r="O51" i="3"/>
  <c r="N51" i="3"/>
  <c r="AG51" i="3" s="1"/>
  <c r="L51" i="3"/>
  <c r="K51" i="3"/>
  <c r="J51" i="3"/>
  <c r="F51" i="3"/>
  <c r="H51" i="3" s="1"/>
  <c r="B51" i="3"/>
  <c r="AG50" i="3"/>
  <c r="W50" i="3"/>
  <c r="N50" i="3" s="1"/>
  <c r="AF50" i="3" s="1"/>
  <c r="V50" i="3"/>
  <c r="P50" i="3"/>
  <c r="O50" i="3"/>
  <c r="K50" i="3"/>
  <c r="J50" i="3"/>
  <c r="F50" i="3"/>
  <c r="H50" i="3" s="1"/>
  <c r="B50" i="3"/>
  <c r="W49" i="3"/>
  <c r="N49" i="3" s="1"/>
  <c r="K49" i="3"/>
  <c r="K58" i="3" s="1"/>
  <c r="J49" i="3"/>
  <c r="J58" i="3" s="1"/>
  <c r="H49" i="3"/>
  <c r="F49" i="3"/>
  <c r="B49" i="3"/>
  <c r="AE48" i="3"/>
  <c r="AD48" i="3"/>
  <c r="AA48" i="3"/>
  <c r="Z48" i="3"/>
  <c r="W48" i="3"/>
  <c r="M48" i="3"/>
  <c r="W47" i="3"/>
  <c r="H47" i="3"/>
  <c r="W46" i="3"/>
  <c r="W45" i="3"/>
  <c r="W44" i="3"/>
  <c r="W43" i="3"/>
  <c r="W42" i="3"/>
  <c r="AG41" i="3"/>
  <c r="AF41" i="3"/>
  <c r="W41" i="3"/>
  <c r="W40" i="3"/>
  <c r="V40" i="3"/>
  <c r="P40" i="3"/>
  <c r="N40" i="3"/>
  <c r="K40" i="3"/>
  <c r="L40" i="3" s="1"/>
  <c r="J40" i="3"/>
  <c r="F40" i="3"/>
  <c r="H40" i="3" s="1"/>
  <c r="B40" i="3"/>
  <c r="W39" i="3"/>
  <c r="N39" i="3" s="1"/>
  <c r="V39" i="3"/>
  <c r="P39" i="3"/>
  <c r="K39" i="3"/>
  <c r="L39" i="3" s="1"/>
  <c r="J39" i="3"/>
  <c r="F39" i="3"/>
  <c r="H39" i="3" s="1"/>
  <c r="B39" i="3"/>
  <c r="AF38" i="3"/>
  <c r="W38" i="3"/>
  <c r="P38" i="3"/>
  <c r="N38" i="3"/>
  <c r="L38" i="3"/>
  <c r="L48" i="3" s="1"/>
  <c r="K38" i="3"/>
  <c r="K48" i="3" s="1"/>
  <c r="J38" i="3"/>
  <c r="J48" i="3" s="1"/>
  <c r="P48" i="3" s="1"/>
  <c r="F38" i="3"/>
  <c r="H38" i="3" s="1"/>
  <c r="B38" i="3"/>
  <c r="AE37" i="3"/>
  <c r="AD37" i="3"/>
  <c r="AA37" i="3"/>
  <c r="Z37" i="3"/>
  <c r="M37" i="3"/>
  <c r="P37" i="3" s="1"/>
  <c r="W36" i="3"/>
  <c r="H36" i="3"/>
  <c r="W35" i="3"/>
  <c r="W34" i="3"/>
  <c r="W33" i="3"/>
  <c r="W32" i="3"/>
  <c r="AG31" i="3"/>
  <c r="AF31" i="3"/>
  <c r="W31" i="3"/>
  <c r="AG30" i="3"/>
  <c r="AF30" i="3"/>
  <c r="W30" i="3"/>
  <c r="V30" i="3"/>
  <c r="W29" i="3"/>
  <c r="N29" i="3" s="1"/>
  <c r="V29" i="3"/>
  <c r="K29" i="3"/>
  <c r="J29" i="3"/>
  <c r="P29" i="3" s="1"/>
  <c r="H29" i="3"/>
  <c r="F29" i="3"/>
  <c r="B29" i="3"/>
  <c r="W28" i="3"/>
  <c r="N28" i="3" s="1"/>
  <c r="V28" i="3"/>
  <c r="K28" i="3"/>
  <c r="J28" i="3"/>
  <c r="P28" i="3" s="1"/>
  <c r="H28" i="3"/>
  <c r="F28" i="3"/>
  <c r="B28" i="3"/>
  <c r="AG27" i="3"/>
  <c r="W27" i="3"/>
  <c r="P27" i="3"/>
  <c r="O27" i="3"/>
  <c r="N27" i="3"/>
  <c r="K27" i="3"/>
  <c r="K37" i="3" s="1"/>
  <c r="J27" i="3"/>
  <c r="J37" i="3" s="1"/>
  <c r="F27" i="3"/>
  <c r="H27" i="3" s="1"/>
  <c r="B27" i="3"/>
  <c r="AE26" i="3"/>
  <c r="AD26" i="3"/>
  <c r="AA26" i="3"/>
  <c r="Z26" i="3"/>
  <c r="Z2" i="3" s="1"/>
  <c r="L6" i="2" s="1"/>
  <c r="P26" i="3"/>
  <c r="M26" i="3"/>
  <c r="K26" i="3"/>
  <c r="J26" i="3"/>
  <c r="W25" i="3"/>
  <c r="H25" i="3"/>
  <c r="W24" i="3"/>
  <c r="H24" i="3"/>
  <c r="W23" i="3"/>
  <c r="W21" i="3"/>
  <c r="W20" i="3"/>
  <c r="V20" i="3"/>
  <c r="AG19" i="3"/>
  <c r="AF19" i="3"/>
  <c r="W19" i="3"/>
  <c r="V19" i="3"/>
  <c r="W18" i="3"/>
  <c r="N18" i="3" s="1"/>
  <c r="AG18" i="3" s="1"/>
  <c r="V18" i="3"/>
  <c r="K18" i="3"/>
  <c r="J18" i="3"/>
  <c r="P18" i="3" s="1"/>
  <c r="H18" i="3"/>
  <c r="F18" i="3"/>
  <c r="B18" i="3"/>
  <c r="W17" i="3"/>
  <c r="N17" i="3" s="1"/>
  <c r="V17" i="3"/>
  <c r="K17" i="3"/>
  <c r="L17" i="3" s="1"/>
  <c r="J17" i="3"/>
  <c r="P17" i="3" s="1"/>
  <c r="F17" i="3"/>
  <c r="H17" i="3" s="1"/>
  <c r="B17" i="3"/>
  <c r="AG16" i="3"/>
  <c r="W16" i="3"/>
  <c r="P16" i="3"/>
  <c r="O16" i="3"/>
  <c r="N16" i="3"/>
  <c r="AF16" i="3" s="1"/>
  <c r="K16" i="3"/>
  <c r="L16" i="3" s="1"/>
  <c r="L26" i="3" s="1"/>
  <c r="E13" i="2" s="1"/>
  <c r="J16" i="3"/>
  <c r="H16" i="3"/>
  <c r="F16" i="3"/>
  <c r="B16" i="3"/>
  <c r="AE15" i="3"/>
  <c r="AD15" i="3"/>
  <c r="AD2" i="3" s="1"/>
  <c r="N6" i="2" s="1"/>
  <c r="AA15" i="3"/>
  <c r="AA2" i="3" s="1"/>
  <c r="M6" i="2" s="1"/>
  <c r="Z15" i="3"/>
  <c r="M15" i="3"/>
  <c r="K15" i="3"/>
  <c r="W14" i="3"/>
  <c r="W13" i="3"/>
  <c r="W12" i="3"/>
  <c r="AG11" i="3"/>
  <c r="AF11" i="3"/>
  <c r="W11" i="3"/>
  <c r="AG10" i="3"/>
  <c r="AF10" i="3"/>
  <c r="W10" i="3"/>
  <c r="AG9" i="3"/>
  <c r="AF9" i="3"/>
  <c r="W9" i="3"/>
  <c r="AG8" i="3"/>
  <c r="AF8" i="3"/>
  <c r="W8" i="3"/>
  <c r="W7" i="3"/>
  <c r="V7" i="3"/>
  <c r="P7" i="3"/>
  <c r="N7" i="3"/>
  <c r="K7" i="3"/>
  <c r="J7" i="3"/>
  <c r="L7" i="3" s="1"/>
  <c r="F7" i="3"/>
  <c r="H7" i="3" s="1"/>
  <c r="B7" i="3"/>
  <c r="W6" i="3"/>
  <c r="V6" i="3"/>
  <c r="O6" i="3"/>
  <c r="N6" i="3"/>
  <c r="K6" i="3"/>
  <c r="J6" i="3"/>
  <c r="P6" i="3" s="1"/>
  <c r="H6" i="3"/>
  <c r="F6" i="3"/>
  <c r="B6" i="3"/>
  <c r="W5" i="3"/>
  <c r="N5" i="3" s="1"/>
  <c r="AF5" i="3" s="1"/>
  <c r="P5" i="3"/>
  <c r="K5" i="3"/>
  <c r="J5" i="3"/>
  <c r="J15" i="3" s="1"/>
  <c r="P15" i="3" s="1"/>
  <c r="F5" i="3"/>
  <c r="H5" i="3" s="1"/>
  <c r="G1" i="3" s="1"/>
  <c r="J3" i="2" s="1"/>
  <c r="B5" i="3"/>
  <c r="AE2" i="3"/>
  <c r="O6" i="2" s="1"/>
  <c r="I2" i="3"/>
  <c r="E1" i="3"/>
  <c r="G22" i="2"/>
  <c r="F22" i="2"/>
  <c r="E22" i="2"/>
  <c r="D22" i="2"/>
  <c r="J16" i="2"/>
  <c r="I16" i="2"/>
  <c r="H16" i="2"/>
  <c r="G16" i="2"/>
  <c r="F16" i="2"/>
  <c r="E16" i="2"/>
  <c r="D16" i="2"/>
  <c r="G13" i="2"/>
  <c r="G3" i="2"/>
  <c r="E30" i="4"/>
  <c r="E29" i="4"/>
  <c r="E28" i="4"/>
  <c r="E27" i="4"/>
  <c r="E22" i="4"/>
  <c r="E21" i="4"/>
  <c r="E20" i="4"/>
  <c r="N19" i="4"/>
  <c r="E19" i="4"/>
  <c r="N18" i="4"/>
  <c r="E18" i="4"/>
  <c r="N17" i="4"/>
  <c r="E17" i="4"/>
  <c r="N16" i="4"/>
  <c r="E16" i="4"/>
  <c r="N15" i="4"/>
  <c r="E15" i="4"/>
  <c r="N14" i="4"/>
  <c r="E14" i="4"/>
  <c r="N13" i="4"/>
  <c r="E13" i="4"/>
  <c r="E12" i="4"/>
  <c r="E11" i="4"/>
  <c r="E10" i="4"/>
  <c r="E9" i="4"/>
  <c r="E8" i="4"/>
  <c r="E7" i="4"/>
  <c r="E6" i="4"/>
  <c r="E5" i="4"/>
  <c r="E4" i="4"/>
  <c r="E3" i="4"/>
  <c r="J22" i="64"/>
  <c r="I22" i="64"/>
  <c r="H22" i="64"/>
  <c r="G22" i="64"/>
  <c r="F22" i="64"/>
  <c r="E22" i="64"/>
  <c r="D22" i="64"/>
  <c r="J21" i="64"/>
  <c r="I21" i="64"/>
  <c r="H21" i="64"/>
  <c r="G21" i="64"/>
  <c r="F21" i="64"/>
  <c r="E21" i="64"/>
  <c r="D21" i="64"/>
  <c r="J20" i="64"/>
  <c r="I20" i="64"/>
  <c r="H20" i="64"/>
  <c r="G20" i="64"/>
  <c r="F20" i="64"/>
  <c r="E20" i="64"/>
  <c r="D20" i="64"/>
  <c r="J19" i="64"/>
  <c r="I19" i="64"/>
  <c r="H19" i="64"/>
  <c r="G19" i="64"/>
  <c r="F19" i="64"/>
  <c r="E19" i="64"/>
  <c r="D19" i="64"/>
  <c r="J18" i="64"/>
  <c r="I18" i="64"/>
  <c r="H18" i="64"/>
  <c r="G18" i="64"/>
  <c r="F18" i="64"/>
  <c r="E18" i="64"/>
  <c r="D18" i="64"/>
  <c r="J16" i="64"/>
  <c r="I16" i="64"/>
  <c r="H16" i="64"/>
  <c r="G16" i="64"/>
  <c r="F16" i="64"/>
  <c r="E16" i="64"/>
  <c r="D16" i="64"/>
  <c r="M6" i="64"/>
  <c r="L6" i="64"/>
  <c r="G3" i="64"/>
  <c r="D3" i="64"/>
  <c r="O16" i="67" l="1"/>
  <c r="O11" i="67"/>
  <c r="AF11" i="67"/>
  <c r="AG8" i="67"/>
  <c r="O8" i="67"/>
  <c r="Q8" i="67"/>
  <c r="AG31" i="67"/>
  <c r="R31" i="67"/>
  <c r="AG29" i="67"/>
  <c r="N37" i="67"/>
  <c r="AF39" i="67"/>
  <c r="O52" i="67"/>
  <c r="AF52" i="67"/>
  <c r="O62" i="67"/>
  <c r="AG62" i="67"/>
  <c r="AF62" i="67"/>
  <c r="O19" i="67"/>
  <c r="AG19" i="67"/>
  <c r="AF40" i="67"/>
  <c r="AG40" i="67"/>
  <c r="AF30" i="67"/>
  <c r="Q32" i="67"/>
  <c r="R32" i="67"/>
  <c r="P37" i="67"/>
  <c r="Q10" i="67"/>
  <c r="Q9" i="67"/>
  <c r="R8" i="67"/>
  <c r="R20" i="67"/>
  <c r="Q21" i="67"/>
  <c r="R12" i="67"/>
  <c r="Q12" i="67"/>
  <c r="R7" i="67"/>
  <c r="R9" i="67"/>
  <c r="AF8" i="67"/>
  <c r="K15" i="67"/>
  <c r="AF9" i="67"/>
  <c r="AG9" i="67"/>
  <c r="AF10" i="67"/>
  <c r="AG53" i="67"/>
  <c r="R51" i="67"/>
  <c r="R53" i="67"/>
  <c r="AG52" i="67"/>
  <c r="AF53" i="67"/>
  <c r="L51" i="67"/>
  <c r="I1" i="67"/>
  <c r="R50" i="67"/>
  <c r="AF50" i="67"/>
  <c r="J58" i="67"/>
  <c r="P58" i="67" s="1"/>
  <c r="Q50" i="67"/>
  <c r="AG50" i="67"/>
  <c r="R64" i="67"/>
  <c r="J3" i="16"/>
  <c r="G2" i="17"/>
  <c r="J3" i="72"/>
  <c r="G2" i="73"/>
  <c r="AG9" i="71"/>
  <c r="O9" i="71"/>
  <c r="I1" i="71"/>
  <c r="H22" i="70"/>
  <c r="J22" i="2"/>
  <c r="F19" i="70"/>
  <c r="M6" i="70" s="1"/>
  <c r="AA2" i="71"/>
  <c r="P50" i="77"/>
  <c r="J58" i="77"/>
  <c r="P58" i="77" s="1"/>
  <c r="L50" i="77"/>
  <c r="AG17" i="69"/>
  <c r="AF17" i="69"/>
  <c r="O17" i="69"/>
  <c r="R27" i="69"/>
  <c r="Q27" i="69"/>
  <c r="L70" i="69"/>
  <c r="K79" i="69"/>
  <c r="AG70" i="69"/>
  <c r="O39" i="71"/>
  <c r="AG39" i="71"/>
  <c r="O6" i="72"/>
  <c r="AG28" i="73"/>
  <c r="AF28" i="73"/>
  <c r="O28" i="73"/>
  <c r="O7" i="13"/>
  <c r="AF7" i="13"/>
  <c r="AG7" i="13"/>
  <c r="L70" i="17"/>
  <c r="L79" i="17" s="1"/>
  <c r="J13" i="16" s="1"/>
  <c r="K79" i="17"/>
  <c r="AG49" i="3"/>
  <c r="AF49" i="3"/>
  <c r="O49" i="3"/>
  <c r="N58" i="3"/>
  <c r="P49" i="73"/>
  <c r="L49" i="73"/>
  <c r="L58" i="73" s="1"/>
  <c r="H13" i="72" s="1"/>
  <c r="J58" i="73"/>
  <c r="P58" i="73" s="1"/>
  <c r="R6" i="71"/>
  <c r="AG39" i="69"/>
  <c r="O39" i="69"/>
  <c r="AF50" i="69"/>
  <c r="O50" i="69"/>
  <c r="N58" i="69"/>
  <c r="AG50" i="69"/>
  <c r="L52" i="69"/>
  <c r="L58" i="69" s="1"/>
  <c r="H13" i="68" s="1"/>
  <c r="O61" i="69"/>
  <c r="AG61" i="69"/>
  <c r="AF61" i="69"/>
  <c r="AG27" i="71"/>
  <c r="AF27" i="71"/>
  <c r="N37" i="71"/>
  <c r="O27" i="71"/>
  <c r="AF39" i="71"/>
  <c r="R60" i="73"/>
  <c r="Q60" i="73"/>
  <c r="AG19" i="13"/>
  <c r="AF19" i="13"/>
  <c r="O19" i="13"/>
  <c r="AG31" i="15"/>
  <c r="AF31" i="15"/>
  <c r="G20" i="14"/>
  <c r="AD2" i="15"/>
  <c r="N6" i="14" s="1"/>
  <c r="N79" i="17"/>
  <c r="AG70" i="17"/>
  <c r="O70" i="17"/>
  <c r="AF70" i="17"/>
  <c r="L15" i="69"/>
  <c r="D13" i="68" s="1"/>
  <c r="R32" i="71"/>
  <c r="Q32" i="71"/>
  <c r="J14" i="70"/>
  <c r="N15" i="3"/>
  <c r="AG5" i="3"/>
  <c r="AF62" i="79"/>
  <c r="AG62" i="79"/>
  <c r="O62" i="79"/>
  <c r="AG6" i="69"/>
  <c r="AF6" i="69"/>
  <c r="O6" i="69"/>
  <c r="AF59" i="3"/>
  <c r="O59" i="3"/>
  <c r="N69" i="3"/>
  <c r="G1" i="69"/>
  <c r="K26" i="69"/>
  <c r="L19" i="69"/>
  <c r="L26" i="69" s="1"/>
  <c r="E13" i="68" s="1"/>
  <c r="AF39" i="69"/>
  <c r="L60" i="69"/>
  <c r="AF60" i="69"/>
  <c r="AG60" i="69"/>
  <c r="N69" i="69"/>
  <c r="K79" i="71"/>
  <c r="L70" i="71"/>
  <c r="P18" i="73"/>
  <c r="J26" i="73"/>
  <c r="R71" i="73"/>
  <c r="Q71" i="73"/>
  <c r="P16" i="13"/>
  <c r="J26" i="13"/>
  <c r="AG29" i="13"/>
  <c r="AF29" i="13"/>
  <c r="O29" i="13"/>
  <c r="AG52" i="13"/>
  <c r="AF52" i="13"/>
  <c r="O52" i="13"/>
  <c r="O31" i="15"/>
  <c r="Q19" i="79"/>
  <c r="P50" i="71"/>
  <c r="J58" i="71"/>
  <c r="P58" i="71" s="1"/>
  <c r="O60" i="3"/>
  <c r="AG60" i="3"/>
  <c r="AF60" i="3"/>
  <c r="P70" i="69"/>
  <c r="J79" i="69"/>
  <c r="Q79" i="69"/>
  <c r="AG79" i="69"/>
  <c r="AH70" i="69" s="1"/>
  <c r="AF79" i="69"/>
  <c r="AF17" i="71"/>
  <c r="AG17" i="71"/>
  <c r="O17" i="71"/>
  <c r="O58" i="15"/>
  <c r="Q16" i="3"/>
  <c r="R16" i="3"/>
  <c r="G2" i="3"/>
  <c r="P49" i="3"/>
  <c r="O29" i="3"/>
  <c r="AG29" i="3"/>
  <c r="AF29" i="3"/>
  <c r="O52" i="69"/>
  <c r="AG52" i="69"/>
  <c r="AF52" i="69"/>
  <c r="R60" i="69"/>
  <c r="Q60" i="69"/>
  <c r="G1" i="71"/>
  <c r="J15" i="71"/>
  <c r="P15" i="71" s="1"/>
  <c r="L26" i="71"/>
  <c r="E13" i="70" s="1"/>
  <c r="K26" i="13"/>
  <c r="L16" i="13"/>
  <c r="R17" i="15"/>
  <c r="R74" i="15"/>
  <c r="Q74" i="15"/>
  <c r="R16" i="75"/>
  <c r="P50" i="75"/>
  <c r="J58" i="75"/>
  <c r="AG6" i="77"/>
  <c r="O6" i="77"/>
  <c r="P15" i="77"/>
  <c r="AG40" i="81"/>
  <c r="O40" i="81"/>
  <c r="AF40" i="81"/>
  <c r="L7" i="69"/>
  <c r="AG7" i="69"/>
  <c r="AF7" i="69"/>
  <c r="N26" i="71"/>
  <c r="AG16" i="71"/>
  <c r="O16" i="71"/>
  <c r="AG52" i="75"/>
  <c r="O52" i="75"/>
  <c r="AF52" i="75"/>
  <c r="AG15" i="77"/>
  <c r="AH5" i="77" s="1"/>
  <c r="AF15" i="77"/>
  <c r="O8" i="69"/>
  <c r="AG8" i="69"/>
  <c r="AF8" i="69"/>
  <c r="R49" i="69"/>
  <c r="Q49" i="69"/>
  <c r="P27" i="73"/>
  <c r="J37" i="73"/>
  <c r="L79" i="15"/>
  <c r="J13" i="14" s="1"/>
  <c r="L5" i="71"/>
  <c r="AF9" i="71"/>
  <c r="R31" i="71"/>
  <c r="Q31" i="71"/>
  <c r="AG59" i="73"/>
  <c r="AF59" i="73"/>
  <c r="N69" i="73"/>
  <c r="O59" i="73"/>
  <c r="Q20" i="13"/>
  <c r="R20" i="13"/>
  <c r="R40" i="15"/>
  <c r="Q40" i="15"/>
  <c r="R52" i="15"/>
  <c r="Q52" i="15"/>
  <c r="O79" i="15"/>
  <c r="R70" i="15"/>
  <c r="Q70" i="15"/>
  <c r="AG28" i="17"/>
  <c r="AF28" i="17"/>
  <c r="O28" i="17"/>
  <c r="N37" i="17"/>
  <c r="N58" i="17"/>
  <c r="O49" i="17"/>
  <c r="AG49" i="17"/>
  <c r="AF49" i="17"/>
  <c r="Z2" i="75"/>
  <c r="L6" i="74" s="1"/>
  <c r="D18" i="74"/>
  <c r="AF20" i="81"/>
  <c r="AG20" i="81"/>
  <c r="O20" i="81"/>
  <c r="L6" i="83"/>
  <c r="AF6" i="83"/>
  <c r="K15" i="69"/>
  <c r="AF16" i="69"/>
  <c r="O5" i="71"/>
  <c r="N15" i="71"/>
  <c r="AF5" i="71"/>
  <c r="AG5" i="71"/>
  <c r="N48" i="71"/>
  <c r="AG38" i="71"/>
  <c r="O38" i="71"/>
  <c r="N37" i="73"/>
  <c r="J15" i="13"/>
  <c r="P5" i="13"/>
  <c r="AG8" i="13"/>
  <c r="AF8" i="13"/>
  <c r="O8" i="13"/>
  <c r="O18" i="13"/>
  <c r="AG18" i="13"/>
  <c r="Q59" i="15"/>
  <c r="R59" i="15"/>
  <c r="AG8" i="17"/>
  <c r="AF8" i="17"/>
  <c r="O8" i="17"/>
  <c r="AG60" i="17"/>
  <c r="AF60" i="17"/>
  <c r="O60" i="17"/>
  <c r="L30" i="75"/>
  <c r="O49" i="75"/>
  <c r="N58" i="75"/>
  <c r="AG49" i="75"/>
  <c r="AF49" i="75"/>
  <c r="J22" i="80"/>
  <c r="AG38" i="69"/>
  <c r="AF38" i="69"/>
  <c r="N48" i="69"/>
  <c r="O38" i="69"/>
  <c r="AG29" i="71"/>
  <c r="O29" i="71"/>
  <c r="G1" i="13"/>
  <c r="O28" i="3"/>
  <c r="AF28" i="3"/>
  <c r="AG28" i="3"/>
  <c r="AG61" i="3"/>
  <c r="O61" i="3"/>
  <c r="AF61" i="3"/>
  <c r="AG79" i="3"/>
  <c r="AH70" i="3" s="1"/>
  <c r="AF38" i="71"/>
  <c r="O52" i="71"/>
  <c r="AG52" i="71"/>
  <c r="R61" i="71"/>
  <c r="G22" i="72"/>
  <c r="I1" i="73"/>
  <c r="P48" i="73"/>
  <c r="R52" i="73"/>
  <c r="D22" i="12"/>
  <c r="I1" i="13"/>
  <c r="P15" i="13"/>
  <c r="AF18" i="13"/>
  <c r="AG51" i="13"/>
  <c r="AF51" i="13"/>
  <c r="O51" i="13"/>
  <c r="AG30" i="17"/>
  <c r="AF30" i="17"/>
  <c r="Q7" i="75"/>
  <c r="O8" i="79"/>
  <c r="AF8" i="79"/>
  <c r="AG8" i="79"/>
  <c r="AF16" i="71"/>
  <c r="N48" i="3"/>
  <c r="O38" i="3"/>
  <c r="AF27" i="3"/>
  <c r="N37" i="3"/>
  <c r="D18" i="68"/>
  <c r="L6" i="68" s="1"/>
  <c r="Z2" i="69"/>
  <c r="AG18" i="69"/>
  <c r="AF18" i="69"/>
  <c r="O18" i="69"/>
  <c r="AF40" i="71"/>
  <c r="O40" i="71"/>
  <c r="R29" i="73"/>
  <c r="Q29" i="73"/>
  <c r="R34" i="73"/>
  <c r="Q34" i="73"/>
  <c r="J14" i="12"/>
  <c r="R39" i="15"/>
  <c r="Q39" i="15"/>
  <c r="Q30" i="17"/>
  <c r="R30" i="17"/>
  <c r="G1" i="75"/>
  <c r="P27" i="75"/>
  <c r="J37" i="75"/>
  <c r="P37" i="75" s="1"/>
  <c r="AG53" i="79"/>
  <c r="AF53" i="79"/>
  <c r="O53" i="79"/>
  <c r="AG7" i="3"/>
  <c r="AF7" i="3"/>
  <c r="AG19" i="71"/>
  <c r="AF19" i="71"/>
  <c r="O19" i="71"/>
  <c r="L6" i="3"/>
  <c r="L50" i="71"/>
  <c r="L69" i="69"/>
  <c r="I13" i="68" s="1"/>
  <c r="AG28" i="71"/>
  <c r="O28" i="71"/>
  <c r="N6" i="72"/>
  <c r="R20" i="73"/>
  <c r="Q20" i="73"/>
  <c r="O15" i="13"/>
  <c r="R59" i="13"/>
  <c r="P71" i="13"/>
  <c r="L71" i="13"/>
  <c r="R6" i="75"/>
  <c r="Q6" i="75"/>
  <c r="L48" i="75"/>
  <c r="G13" i="74" s="1"/>
  <c r="AG79" i="77"/>
  <c r="AH70" i="77" s="1"/>
  <c r="AF79" i="77"/>
  <c r="Q79" i="77"/>
  <c r="R52" i="79"/>
  <c r="Q52" i="79"/>
  <c r="O7" i="3"/>
  <c r="L28" i="3"/>
  <c r="AF39" i="3"/>
  <c r="AG39" i="3"/>
  <c r="O39" i="3"/>
  <c r="K79" i="3"/>
  <c r="Q79" i="3" s="1"/>
  <c r="AG70" i="3"/>
  <c r="O5" i="69"/>
  <c r="N15" i="69"/>
  <c r="AG5" i="69"/>
  <c r="AF5" i="69"/>
  <c r="O16" i="69"/>
  <c r="N26" i="69"/>
  <c r="AF19" i="69"/>
  <c r="AG19" i="69"/>
  <c r="O19" i="69"/>
  <c r="AG30" i="69"/>
  <c r="O30" i="69"/>
  <c r="O37" i="69" s="1"/>
  <c r="O5" i="3"/>
  <c r="R51" i="3"/>
  <c r="Q51" i="3"/>
  <c r="AF70" i="3"/>
  <c r="O51" i="69"/>
  <c r="AG51" i="69"/>
  <c r="AF51" i="69"/>
  <c r="AF17" i="3"/>
  <c r="AG17" i="3"/>
  <c r="O17" i="3"/>
  <c r="N26" i="3"/>
  <c r="AG38" i="3"/>
  <c r="O6" i="68"/>
  <c r="N6" i="68"/>
  <c r="J58" i="69"/>
  <c r="P58" i="69" s="1"/>
  <c r="AF59" i="69"/>
  <c r="O59" i="69"/>
  <c r="AG59" i="69"/>
  <c r="R71" i="69"/>
  <c r="Q71" i="69"/>
  <c r="O79" i="69"/>
  <c r="P79" i="69"/>
  <c r="AG7" i="71"/>
  <c r="O7" i="71"/>
  <c r="AF28" i="71"/>
  <c r="Q63" i="71"/>
  <c r="R71" i="71"/>
  <c r="Q71" i="71"/>
  <c r="L6" i="72"/>
  <c r="R32" i="73"/>
  <c r="Q32" i="73"/>
  <c r="O61" i="73"/>
  <c r="AF61" i="73"/>
  <c r="AG61" i="73"/>
  <c r="O17" i="13"/>
  <c r="AG17" i="13"/>
  <c r="AF17" i="13"/>
  <c r="Q59" i="13"/>
  <c r="AG51" i="15"/>
  <c r="AF51" i="15"/>
  <c r="D18" i="16"/>
  <c r="Z2" i="17"/>
  <c r="L6" i="16" s="1"/>
  <c r="AG38" i="75"/>
  <c r="AF38" i="75"/>
  <c r="O38" i="75"/>
  <c r="O39" i="77"/>
  <c r="AG39" i="77"/>
  <c r="AF39" i="77"/>
  <c r="R70" i="77"/>
  <c r="R17" i="73"/>
  <c r="Q17" i="73"/>
  <c r="R71" i="15"/>
  <c r="Q71" i="15"/>
  <c r="K26" i="17"/>
  <c r="R20" i="17"/>
  <c r="Q20" i="17"/>
  <c r="J48" i="17"/>
  <c r="P38" i="17"/>
  <c r="R39" i="17"/>
  <c r="Q39" i="17"/>
  <c r="N15" i="75"/>
  <c r="AG5" i="75"/>
  <c r="N63" i="75"/>
  <c r="H63" i="75"/>
  <c r="O63" i="77"/>
  <c r="AG63" i="77"/>
  <c r="AF63" i="77"/>
  <c r="P49" i="79"/>
  <c r="L49" i="79"/>
  <c r="L58" i="79" s="1"/>
  <c r="H13" i="78" s="1"/>
  <c r="J58" i="79"/>
  <c r="P58" i="79" s="1"/>
  <c r="L6" i="81"/>
  <c r="Q6" i="81" s="1"/>
  <c r="AF6" i="81"/>
  <c r="K15" i="81"/>
  <c r="L9" i="81"/>
  <c r="Q9" i="81" s="1"/>
  <c r="AF9" i="81"/>
  <c r="AG27" i="83"/>
  <c r="N37" i="83"/>
  <c r="O27" i="83"/>
  <c r="R19" i="87"/>
  <c r="Q19" i="87"/>
  <c r="E22" i="86"/>
  <c r="R6" i="73"/>
  <c r="Q6" i="73"/>
  <c r="E21" i="72"/>
  <c r="AE2" i="73"/>
  <c r="R31" i="73"/>
  <c r="Q31" i="73"/>
  <c r="N37" i="13"/>
  <c r="AG27" i="13"/>
  <c r="L38" i="13"/>
  <c r="O39" i="13"/>
  <c r="AG60" i="13"/>
  <c r="AF60" i="13"/>
  <c r="R73" i="13"/>
  <c r="Q73" i="13"/>
  <c r="Q19" i="15"/>
  <c r="R19" i="15"/>
  <c r="J69" i="15"/>
  <c r="AG60" i="15"/>
  <c r="AF60" i="15"/>
  <c r="O60" i="15"/>
  <c r="N69" i="15"/>
  <c r="AG6" i="17"/>
  <c r="AF6" i="17"/>
  <c r="O6" i="17"/>
  <c r="N15" i="17"/>
  <c r="L16" i="17"/>
  <c r="L26" i="17" s="1"/>
  <c r="E13" i="16" s="1"/>
  <c r="L19" i="17"/>
  <c r="J37" i="17"/>
  <c r="P37" i="17" s="1"/>
  <c r="L38" i="17"/>
  <c r="L48" i="17" s="1"/>
  <c r="G13" i="16" s="1"/>
  <c r="L60" i="17"/>
  <c r="L69" i="17" s="1"/>
  <c r="I13" i="16" s="1"/>
  <c r="J6" i="16" s="1"/>
  <c r="O5" i="75"/>
  <c r="L51" i="75"/>
  <c r="R51" i="75" s="1"/>
  <c r="AF51" i="75"/>
  <c r="AF70" i="75"/>
  <c r="O70" i="75"/>
  <c r="N79" i="75"/>
  <c r="AG70" i="75"/>
  <c r="AA2" i="77"/>
  <c r="M6" i="76" s="1"/>
  <c r="L49" i="77"/>
  <c r="L58" i="77" s="1"/>
  <c r="H13" i="76" s="1"/>
  <c r="K58" i="77"/>
  <c r="K15" i="79"/>
  <c r="O16" i="79"/>
  <c r="AG16" i="79"/>
  <c r="N26" i="79"/>
  <c r="AF16" i="79"/>
  <c r="R38" i="79"/>
  <c r="Q38" i="79"/>
  <c r="O48" i="79"/>
  <c r="H70" i="79"/>
  <c r="G1" i="79" s="1"/>
  <c r="N70" i="79"/>
  <c r="P48" i="81"/>
  <c r="G22" i="80"/>
  <c r="I1" i="81"/>
  <c r="AF49" i="81"/>
  <c r="AG49" i="81"/>
  <c r="O49" i="81"/>
  <c r="O8" i="83"/>
  <c r="AG8" i="83"/>
  <c r="AF8" i="83"/>
  <c r="AF27" i="83"/>
  <c r="D19" i="52"/>
  <c r="AA2" i="53"/>
  <c r="M6" i="52" s="1"/>
  <c r="P48" i="69"/>
  <c r="AG62" i="71"/>
  <c r="AF62" i="71"/>
  <c r="O62" i="71"/>
  <c r="P26" i="13"/>
  <c r="E22" i="12"/>
  <c r="O18" i="3"/>
  <c r="AG40" i="3"/>
  <c r="L52" i="71"/>
  <c r="L5" i="73"/>
  <c r="L30" i="73"/>
  <c r="O51" i="73"/>
  <c r="O70" i="73"/>
  <c r="N79" i="73"/>
  <c r="AF70" i="73"/>
  <c r="AG38" i="13"/>
  <c r="AF38" i="13"/>
  <c r="N48" i="13"/>
  <c r="L72" i="13"/>
  <c r="R72" i="13" s="1"/>
  <c r="AE2" i="15"/>
  <c r="O6" i="14" s="1"/>
  <c r="AF19" i="15"/>
  <c r="R29" i="15"/>
  <c r="L15" i="17"/>
  <c r="D13" i="16" s="1"/>
  <c r="N26" i="17"/>
  <c r="AG16" i="17"/>
  <c r="AF16" i="17"/>
  <c r="O16" i="17"/>
  <c r="E19" i="16"/>
  <c r="AA2" i="17"/>
  <c r="M6" i="16" s="1"/>
  <c r="AG17" i="75"/>
  <c r="AF17" i="75"/>
  <c r="AG29" i="75"/>
  <c r="AF29" i="75"/>
  <c r="O29" i="75"/>
  <c r="O37" i="75" s="1"/>
  <c r="G20" i="74"/>
  <c r="AD2" i="75"/>
  <c r="N6" i="74" s="1"/>
  <c r="L60" i="75"/>
  <c r="K69" i="75"/>
  <c r="R61" i="75"/>
  <c r="Q61" i="75"/>
  <c r="L63" i="75"/>
  <c r="N29" i="77"/>
  <c r="N37" i="77" s="1"/>
  <c r="H29" i="77"/>
  <c r="L15" i="79"/>
  <c r="D13" i="78" s="1"/>
  <c r="AF9" i="79"/>
  <c r="O9" i="79"/>
  <c r="P19" i="79"/>
  <c r="L19" i="79"/>
  <c r="R19" i="79" s="1"/>
  <c r="J26" i="79"/>
  <c r="P26" i="79" s="1"/>
  <c r="J69" i="49"/>
  <c r="P69" i="49" s="1"/>
  <c r="P60" i="49"/>
  <c r="P31" i="13"/>
  <c r="L31" i="13"/>
  <c r="R31" i="13" s="1"/>
  <c r="L18" i="3"/>
  <c r="N6" i="70"/>
  <c r="Q30" i="71"/>
  <c r="AG50" i="71"/>
  <c r="L49" i="3"/>
  <c r="L58" i="3" s="1"/>
  <c r="H13" i="2" s="1"/>
  <c r="G22" i="68"/>
  <c r="E19" i="12"/>
  <c r="AA2" i="13"/>
  <c r="M6" i="12" s="1"/>
  <c r="AF27" i="13"/>
  <c r="O60" i="13"/>
  <c r="O69" i="13" s="1"/>
  <c r="R18" i="15"/>
  <c r="Q18" i="15"/>
  <c r="L31" i="17"/>
  <c r="AF6" i="3"/>
  <c r="O40" i="3"/>
  <c r="L50" i="3"/>
  <c r="J79" i="3"/>
  <c r="P79" i="3" s="1"/>
  <c r="H22" i="68"/>
  <c r="R8" i="71"/>
  <c r="O18" i="71"/>
  <c r="K58" i="71"/>
  <c r="N15" i="73"/>
  <c r="AG5" i="73"/>
  <c r="AF5" i="73"/>
  <c r="O5" i="73"/>
  <c r="AF17" i="73"/>
  <c r="L29" i="73"/>
  <c r="AG30" i="73"/>
  <c r="AF30" i="73"/>
  <c r="O30" i="73"/>
  <c r="AG38" i="73"/>
  <c r="L41" i="73"/>
  <c r="R41" i="73" s="1"/>
  <c r="L61" i="73"/>
  <c r="L69" i="73" s="1"/>
  <c r="I13" i="72" s="1"/>
  <c r="J6" i="72" s="1"/>
  <c r="AG70" i="73"/>
  <c r="L17" i="13"/>
  <c r="L30" i="13"/>
  <c r="R30" i="13" s="1"/>
  <c r="O38" i="13"/>
  <c r="K58" i="13"/>
  <c r="G1" i="15"/>
  <c r="L17" i="15"/>
  <c r="L26" i="15" s="1"/>
  <c r="E13" i="14" s="1"/>
  <c r="AG19" i="15"/>
  <c r="L28" i="15"/>
  <c r="L37" i="15" s="1"/>
  <c r="F13" i="14" s="1"/>
  <c r="K79" i="15"/>
  <c r="AG5" i="17"/>
  <c r="AF5" i="17"/>
  <c r="R19" i="17"/>
  <c r="Q19" i="17"/>
  <c r="AG31" i="17"/>
  <c r="AF31" i="17"/>
  <c r="AG39" i="17"/>
  <c r="AF39" i="17"/>
  <c r="N48" i="17"/>
  <c r="O51" i="17"/>
  <c r="AG51" i="17"/>
  <c r="AF61" i="75"/>
  <c r="L16" i="77"/>
  <c r="R16" i="77" s="1"/>
  <c r="K26" i="77"/>
  <c r="AG9" i="79"/>
  <c r="R20" i="79"/>
  <c r="Q20" i="79"/>
  <c r="AF38" i="79"/>
  <c r="N48" i="79"/>
  <c r="P28" i="81"/>
  <c r="J37" i="81"/>
  <c r="P37" i="81" s="1"/>
  <c r="L28" i="81"/>
  <c r="Q28" i="81" s="1"/>
  <c r="N48" i="81"/>
  <c r="O38" i="81"/>
  <c r="AG38" i="81"/>
  <c r="AF38" i="81"/>
  <c r="AG70" i="83"/>
  <c r="AF70" i="83"/>
  <c r="O70" i="83"/>
  <c r="N79" i="83"/>
  <c r="AG70" i="15"/>
  <c r="AF70" i="15"/>
  <c r="N79" i="15"/>
  <c r="L72" i="71"/>
  <c r="R72" i="71" s="1"/>
  <c r="O60" i="71"/>
  <c r="AG61" i="71"/>
  <c r="AF61" i="71"/>
  <c r="AG16" i="73"/>
  <c r="AF16" i="73"/>
  <c r="O16" i="73"/>
  <c r="AF38" i="73"/>
  <c r="AG52" i="73"/>
  <c r="AF52" i="73"/>
  <c r="L27" i="3"/>
  <c r="L37" i="3" s="1"/>
  <c r="F13" i="2" s="1"/>
  <c r="P58" i="3"/>
  <c r="K69" i="71"/>
  <c r="L59" i="71"/>
  <c r="P5" i="73"/>
  <c r="AF6" i="73"/>
  <c r="AG17" i="73"/>
  <c r="AG29" i="73"/>
  <c r="AF29" i="73"/>
  <c r="P33" i="73"/>
  <c r="L33" i="73"/>
  <c r="R33" i="73" s="1"/>
  <c r="AF30" i="13"/>
  <c r="AG39" i="13"/>
  <c r="P48" i="13"/>
  <c r="G22" i="12"/>
  <c r="Q72" i="13"/>
  <c r="AF79" i="13"/>
  <c r="J15" i="15"/>
  <c r="P15" i="15" s="1"/>
  <c r="P5" i="15"/>
  <c r="AG6" i="15"/>
  <c r="AF6" i="15"/>
  <c r="O6" i="15"/>
  <c r="AF17" i="15"/>
  <c r="L51" i="15"/>
  <c r="R51" i="15" s="1"/>
  <c r="AG59" i="15"/>
  <c r="AF59" i="15"/>
  <c r="O5" i="17"/>
  <c r="O31" i="17"/>
  <c r="AF51" i="17"/>
  <c r="J69" i="17"/>
  <c r="P69" i="17" s="1"/>
  <c r="AF5" i="75"/>
  <c r="Q16" i="75"/>
  <c r="J26" i="75"/>
  <c r="P26" i="75" s="1"/>
  <c r="J69" i="75"/>
  <c r="P69" i="75" s="1"/>
  <c r="L59" i="75"/>
  <c r="L69" i="75" s="1"/>
  <c r="I13" i="74" s="1"/>
  <c r="P59" i="75"/>
  <c r="AG61" i="75"/>
  <c r="AG16" i="77"/>
  <c r="AF16" i="77"/>
  <c r="D19" i="78"/>
  <c r="AA2" i="79"/>
  <c r="M6" i="78" s="1"/>
  <c r="AG38" i="79"/>
  <c r="R61" i="79"/>
  <c r="AG6" i="81"/>
  <c r="O29" i="81"/>
  <c r="AG29" i="81"/>
  <c r="AF29" i="81"/>
  <c r="E19" i="82"/>
  <c r="AA2" i="83"/>
  <c r="M6" i="82" s="1"/>
  <c r="AG48" i="83"/>
  <c r="AH38" i="83" s="1"/>
  <c r="AF48" i="83"/>
  <c r="Q48" i="83"/>
  <c r="AG52" i="83"/>
  <c r="AF52" i="83"/>
  <c r="O52" i="83"/>
  <c r="AG31" i="33"/>
  <c r="AF31" i="33"/>
  <c r="K37" i="33"/>
  <c r="L31" i="33"/>
  <c r="R51" i="71"/>
  <c r="Q51" i="71"/>
  <c r="J69" i="71"/>
  <c r="P69" i="71" s="1"/>
  <c r="L18" i="73"/>
  <c r="L26" i="73" s="1"/>
  <c r="E13" i="72" s="1"/>
  <c r="P26" i="73"/>
  <c r="K48" i="73"/>
  <c r="AF48" i="73" s="1"/>
  <c r="K15" i="13"/>
  <c r="L5" i="13"/>
  <c r="L15" i="13" s="1"/>
  <c r="D13" i="12" s="1"/>
  <c r="O6" i="13"/>
  <c r="AG6" i="13"/>
  <c r="N15" i="13"/>
  <c r="N26" i="13"/>
  <c r="J37" i="13"/>
  <c r="P37" i="13" s="1"/>
  <c r="AG28" i="13"/>
  <c r="AF28" i="13"/>
  <c r="J79" i="13"/>
  <c r="P79" i="13" s="1"/>
  <c r="N37" i="15"/>
  <c r="AG27" i="15"/>
  <c r="O28" i="15"/>
  <c r="AG28" i="15"/>
  <c r="AF28" i="15"/>
  <c r="P37" i="15"/>
  <c r="L52" i="17"/>
  <c r="Q59" i="17"/>
  <c r="I22" i="16"/>
  <c r="AG18" i="75"/>
  <c r="AF18" i="75"/>
  <c r="AG28" i="75"/>
  <c r="O28" i="75"/>
  <c r="O31" i="75"/>
  <c r="AF31" i="75"/>
  <c r="J69" i="77"/>
  <c r="P69" i="77" s="1"/>
  <c r="R29" i="79"/>
  <c r="Q29" i="79"/>
  <c r="AF40" i="79"/>
  <c r="O40" i="79"/>
  <c r="AG40" i="79"/>
  <c r="D19" i="86"/>
  <c r="AA2" i="87"/>
  <c r="M6" i="86" s="1"/>
  <c r="R17" i="87"/>
  <c r="Q17" i="87"/>
  <c r="AF18" i="3"/>
  <c r="O70" i="3"/>
  <c r="I1" i="69"/>
  <c r="P15" i="69"/>
  <c r="J26" i="69"/>
  <c r="P26" i="69" s="1"/>
  <c r="P50" i="69"/>
  <c r="AF70" i="69"/>
  <c r="L6" i="71"/>
  <c r="Q6" i="71" s="1"/>
  <c r="J37" i="71"/>
  <c r="P37" i="71" s="1"/>
  <c r="AF60" i="71"/>
  <c r="L63" i="71"/>
  <c r="R63" i="71" s="1"/>
  <c r="N79" i="71"/>
  <c r="AG70" i="71"/>
  <c r="AF70" i="71"/>
  <c r="L7" i="73"/>
  <c r="AD2" i="73"/>
  <c r="N26" i="73"/>
  <c r="AF41" i="73"/>
  <c r="AF51" i="73"/>
  <c r="K69" i="73"/>
  <c r="AF6" i="13"/>
  <c r="O16" i="13"/>
  <c r="O28" i="13"/>
  <c r="O49" i="13"/>
  <c r="N58" i="13"/>
  <c r="AG49" i="13"/>
  <c r="AF62" i="13"/>
  <c r="K79" i="13"/>
  <c r="Q79" i="13" s="1"/>
  <c r="R71" i="13"/>
  <c r="Q71" i="13"/>
  <c r="AF5" i="15"/>
  <c r="L7" i="15"/>
  <c r="R7" i="15" s="1"/>
  <c r="I1" i="15"/>
  <c r="AG16" i="15"/>
  <c r="AF16" i="15"/>
  <c r="N26" i="15"/>
  <c r="O16" i="15"/>
  <c r="AG17" i="15"/>
  <c r="O27" i="15"/>
  <c r="AG30" i="15"/>
  <c r="AF30" i="15"/>
  <c r="J58" i="15"/>
  <c r="P58" i="15" s="1"/>
  <c r="N58" i="15"/>
  <c r="J79" i="15"/>
  <c r="R73" i="15"/>
  <c r="Q73" i="15"/>
  <c r="AF29" i="17"/>
  <c r="AG29" i="17"/>
  <c r="R59" i="17"/>
  <c r="O18" i="75"/>
  <c r="AG19" i="75"/>
  <c r="AF19" i="75"/>
  <c r="O19" i="75"/>
  <c r="AF28" i="75"/>
  <c r="AG31" i="75"/>
  <c r="Q71" i="75"/>
  <c r="R71" i="75"/>
  <c r="R28" i="77"/>
  <c r="Q28" i="77"/>
  <c r="F22" i="76"/>
  <c r="O50" i="77"/>
  <c r="AG50" i="77"/>
  <c r="AF50" i="77"/>
  <c r="O51" i="77"/>
  <c r="AG51" i="77"/>
  <c r="AF51" i="77"/>
  <c r="L63" i="77"/>
  <c r="O79" i="77"/>
  <c r="Q72" i="79"/>
  <c r="R72" i="79"/>
  <c r="AF19" i="81"/>
  <c r="AG19" i="81"/>
  <c r="O19" i="81"/>
  <c r="L29" i="3"/>
  <c r="D19" i="72"/>
  <c r="M6" i="72" s="1"/>
  <c r="AA2" i="73"/>
  <c r="O48" i="73"/>
  <c r="R5" i="15"/>
  <c r="Q5" i="15"/>
  <c r="AF18" i="71"/>
  <c r="K37" i="71"/>
  <c r="O50" i="71"/>
  <c r="P37" i="73"/>
  <c r="F22" i="72"/>
  <c r="AG39" i="73"/>
  <c r="AF39" i="73"/>
  <c r="N58" i="73"/>
  <c r="O49" i="73"/>
  <c r="O50" i="73"/>
  <c r="AF50" i="73"/>
  <c r="P70" i="73"/>
  <c r="J79" i="73"/>
  <c r="P79" i="73" s="1"/>
  <c r="E20" i="12"/>
  <c r="R5" i="13"/>
  <c r="Q5" i="13"/>
  <c r="O27" i="13"/>
  <c r="L40" i="13"/>
  <c r="R40" i="13" s="1"/>
  <c r="AF49" i="13"/>
  <c r="AF59" i="13"/>
  <c r="R62" i="13"/>
  <c r="N69" i="13"/>
  <c r="L70" i="13"/>
  <c r="L79" i="13" s="1"/>
  <c r="J13" i="12" s="1"/>
  <c r="AG5" i="15"/>
  <c r="N15" i="15"/>
  <c r="Q30" i="15"/>
  <c r="K58" i="15"/>
  <c r="AG49" i="15"/>
  <c r="R50" i="15"/>
  <c r="Q50" i="15"/>
  <c r="L61" i="15"/>
  <c r="L7" i="17"/>
  <c r="R18" i="17"/>
  <c r="Q29" i="17"/>
  <c r="AG52" i="17"/>
  <c r="AF52" i="17"/>
  <c r="O52" i="17"/>
  <c r="E1" i="75"/>
  <c r="G3" i="74" s="1"/>
  <c r="N39" i="75"/>
  <c r="L40" i="75"/>
  <c r="P58" i="75"/>
  <c r="AG60" i="77"/>
  <c r="O60" i="77"/>
  <c r="Z2" i="79"/>
  <c r="L6" i="78" s="1"/>
  <c r="N71" i="79"/>
  <c r="O71" i="79" s="1"/>
  <c r="H71" i="79"/>
  <c r="AF60" i="81"/>
  <c r="AG60" i="81"/>
  <c r="R5" i="85"/>
  <c r="Q5" i="85"/>
  <c r="K79" i="85"/>
  <c r="L71" i="85"/>
  <c r="N69" i="71"/>
  <c r="O59" i="71"/>
  <c r="AG59" i="71"/>
  <c r="L27" i="73"/>
  <c r="AG40" i="73"/>
  <c r="AF40" i="73"/>
  <c r="O40" i="73"/>
  <c r="J69" i="73"/>
  <c r="AF40" i="3"/>
  <c r="I1" i="3"/>
  <c r="L5" i="3"/>
  <c r="L15" i="3" s="1"/>
  <c r="D13" i="2" s="1"/>
  <c r="AG6" i="3"/>
  <c r="L28" i="69"/>
  <c r="L38" i="69"/>
  <c r="L48" i="69" s="1"/>
  <c r="G13" i="68" s="1"/>
  <c r="L27" i="71"/>
  <c r="L37" i="71" s="1"/>
  <c r="F13" i="70" s="1"/>
  <c r="AG49" i="71"/>
  <c r="AF49" i="71"/>
  <c r="N58" i="71"/>
  <c r="AF51" i="71"/>
  <c r="O18" i="73"/>
  <c r="AG18" i="73"/>
  <c r="AF19" i="73"/>
  <c r="Q38" i="73"/>
  <c r="O39" i="73"/>
  <c r="AG50" i="73"/>
  <c r="P69" i="73"/>
  <c r="L70" i="73"/>
  <c r="L79" i="73" s="1"/>
  <c r="J13" i="72" s="1"/>
  <c r="AF16" i="13"/>
  <c r="Q20" i="15"/>
  <c r="AF40" i="15"/>
  <c r="L49" i="15"/>
  <c r="R72" i="15"/>
  <c r="Q72" i="15"/>
  <c r="P6" i="17"/>
  <c r="J15" i="17"/>
  <c r="P15" i="17" s="1"/>
  <c r="AG17" i="17"/>
  <c r="AF17" i="17"/>
  <c r="AG61" i="17"/>
  <c r="AF61" i="17"/>
  <c r="AG62" i="75"/>
  <c r="AF62" i="75"/>
  <c r="O62" i="75"/>
  <c r="J22" i="74"/>
  <c r="P7" i="77"/>
  <c r="J15" i="77"/>
  <c r="AG27" i="77"/>
  <c r="O27" i="77"/>
  <c r="AF27" i="77"/>
  <c r="AG30" i="77"/>
  <c r="O30" i="77"/>
  <c r="AF60" i="77"/>
  <c r="O62" i="77"/>
  <c r="AG62" i="77"/>
  <c r="AF62" i="77"/>
  <c r="AF6" i="79"/>
  <c r="AG6" i="79"/>
  <c r="O6" i="79"/>
  <c r="R39" i="79"/>
  <c r="Q39" i="79"/>
  <c r="AG63" i="79"/>
  <c r="AF63" i="79"/>
  <c r="O63" i="79"/>
  <c r="O60" i="81"/>
  <c r="R71" i="83"/>
  <c r="Q71" i="83"/>
  <c r="L62" i="13"/>
  <c r="L69" i="13" s="1"/>
  <c r="I13" i="12" s="1"/>
  <c r="J6" i="12" s="1"/>
  <c r="O7" i="79"/>
  <c r="AF7" i="79"/>
  <c r="N37" i="69"/>
  <c r="O6" i="70"/>
  <c r="AG51" i="71"/>
  <c r="R73" i="71"/>
  <c r="Q73" i="71"/>
  <c r="O7" i="73"/>
  <c r="AG7" i="73"/>
  <c r="AF18" i="73"/>
  <c r="O27" i="73"/>
  <c r="AF27" i="73"/>
  <c r="AF5" i="13"/>
  <c r="Z2" i="13"/>
  <c r="L6" i="12" s="1"/>
  <c r="AG16" i="13"/>
  <c r="AG61" i="13"/>
  <c r="AF61" i="13"/>
  <c r="O61" i="13"/>
  <c r="R70" i="13"/>
  <c r="Q70" i="13"/>
  <c r="AF27" i="15"/>
  <c r="AG29" i="15"/>
  <c r="AF29" i="15"/>
  <c r="N48" i="15"/>
  <c r="O38" i="15"/>
  <c r="AF38" i="15"/>
  <c r="Q17" i="17"/>
  <c r="R17" i="17"/>
  <c r="R29" i="17"/>
  <c r="P50" i="17"/>
  <c r="J58" i="17"/>
  <c r="P58" i="17" s="1"/>
  <c r="Q61" i="17"/>
  <c r="AG62" i="17"/>
  <c r="AF62" i="17"/>
  <c r="O62" i="17"/>
  <c r="L15" i="75"/>
  <c r="D13" i="74" s="1"/>
  <c r="O17" i="75"/>
  <c r="E21" i="74"/>
  <c r="AE2" i="75"/>
  <c r="O6" i="74" s="1"/>
  <c r="L39" i="75"/>
  <c r="J48" i="75"/>
  <c r="P48" i="75" s="1"/>
  <c r="L7" i="77"/>
  <c r="AG7" i="79"/>
  <c r="O39" i="83"/>
  <c r="AG39" i="83"/>
  <c r="AF39" i="83"/>
  <c r="AF70" i="13"/>
  <c r="P48" i="17"/>
  <c r="G22" i="16"/>
  <c r="N69" i="17"/>
  <c r="AG59" i="17"/>
  <c r="AF59" i="17"/>
  <c r="N26" i="75"/>
  <c r="AG16" i="75"/>
  <c r="AF16" i="75"/>
  <c r="O30" i="75"/>
  <c r="AG30" i="75"/>
  <c r="AF30" i="75"/>
  <c r="H30" i="77"/>
  <c r="L48" i="77"/>
  <c r="G13" i="76" s="1"/>
  <c r="AG32" i="79"/>
  <c r="O32" i="79"/>
  <c r="P6" i="83"/>
  <c r="J15" i="83"/>
  <c r="Q29" i="83"/>
  <c r="R29" i="83"/>
  <c r="AF62" i="83"/>
  <c r="O62" i="83"/>
  <c r="AG62" i="83"/>
  <c r="P28" i="85"/>
  <c r="J37" i="85"/>
  <c r="P37" i="85" s="1"/>
  <c r="AG30" i="87"/>
  <c r="O30" i="87"/>
  <c r="AF30" i="87"/>
  <c r="K48" i="15"/>
  <c r="P79" i="15"/>
  <c r="L50" i="17"/>
  <c r="L27" i="75"/>
  <c r="AG40" i="75"/>
  <c r="AF40" i="75"/>
  <c r="O40" i="75"/>
  <c r="K58" i="75"/>
  <c r="N69" i="75"/>
  <c r="AF60" i="75"/>
  <c r="D20" i="76"/>
  <c r="AD2" i="77"/>
  <c r="N6" i="76" s="1"/>
  <c r="N19" i="77"/>
  <c r="O48" i="77"/>
  <c r="R38" i="77"/>
  <c r="P48" i="77"/>
  <c r="AG49" i="77"/>
  <c r="N58" i="77"/>
  <c r="O52" i="77"/>
  <c r="AF52" i="77"/>
  <c r="AG5" i="79"/>
  <c r="N15" i="79"/>
  <c r="AF5" i="79"/>
  <c r="R28" i="79"/>
  <c r="Q28" i="79"/>
  <c r="AF32" i="79"/>
  <c r="R60" i="79"/>
  <c r="Q60" i="79"/>
  <c r="K26" i="81"/>
  <c r="P39" i="81"/>
  <c r="L39" i="81"/>
  <c r="R39" i="81" s="1"/>
  <c r="O62" i="81"/>
  <c r="AG62" i="81"/>
  <c r="AF62" i="81"/>
  <c r="R39" i="35"/>
  <c r="Q39" i="35"/>
  <c r="AG60" i="51"/>
  <c r="AF60" i="51"/>
  <c r="O60" i="51"/>
  <c r="AF70" i="51"/>
  <c r="N79" i="51"/>
  <c r="O70" i="51"/>
  <c r="AG70" i="51"/>
  <c r="J69" i="13"/>
  <c r="P69" i="13" s="1"/>
  <c r="AF49" i="15"/>
  <c r="AF61" i="15"/>
  <c r="AF7" i="17"/>
  <c r="AD2" i="17"/>
  <c r="N6" i="16" s="1"/>
  <c r="AF50" i="17"/>
  <c r="AF27" i="75"/>
  <c r="L50" i="75"/>
  <c r="L58" i="75" s="1"/>
  <c r="H13" i="74" s="1"/>
  <c r="O59" i="75"/>
  <c r="L5" i="77"/>
  <c r="L15" i="77" s="1"/>
  <c r="D13" i="76" s="1"/>
  <c r="K15" i="77"/>
  <c r="H19" i="77"/>
  <c r="G1" i="77" s="1"/>
  <c r="AF38" i="77"/>
  <c r="N48" i="77"/>
  <c r="O49" i="77"/>
  <c r="R61" i="77"/>
  <c r="Q61" i="77"/>
  <c r="O5" i="79"/>
  <c r="O27" i="79"/>
  <c r="AF27" i="79"/>
  <c r="N37" i="79"/>
  <c r="G22" i="78"/>
  <c r="P48" i="79"/>
  <c r="AG61" i="79"/>
  <c r="O18" i="81"/>
  <c r="AG18" i="81"/>
  <c r="AF18" i="81"/>
  <c r="N26" i="81"/>
  <c r="AF27" i="81"/>
  <c r="O27" i="81"/>
  <c r="AG27" i="81"/>
  <c r="G1" i="85"/>
  <c r="P69" i="85"/>
  <c r="I22" i="84"/>
  <c r="I1" i="85"/>
  <c r="O52" i="87"/>
  <c r="AF52" i="87"/>
  <c r="AG52" i="87"/>
  <c r="K69" i="47"/>
  <c r="L61" i="47"/>
  <c r="R61" i="47" s="1"/>
  <c r="K37" i="13"/>
  <c r="K69" i="13"/>
  <c r="AE2" i="17"/>
  <c r="O6" i="16" s="1"/>
  <c r="J15" i="75"/>
  <c r="P15" i="75" s="1"/>
  <c r="O50" i="75"/>
  <c r="AG50" i="75"/>
  <c r="AF50" i="75"/>
  <c r="AG7" i="77"/>
  <c r="AF7" i="77"/>
  <c r="O7" i="77"/>
  <c r="AG38" i="77"/>
  <c r="R18" i="79"/>
  <c r="Q18" i="79"/>
  <c r="K48" i="79"/>
  <c r="Q49" i="79"/>
  <c r="O58" i="79"/>
  <c r="R49" i="79"/>
  <c r="AD2" i="81"/>
  <c r="N6" i="80" s="1"/>
  <c r="D20" i="80"/>
  <c r="Q21" i="81"/>
  <c r="R21" i="81"/>
  <c r="AF5" i="83"/>
  <c r="K15" i="83"/>
  <c r="L5" i="83"/>
  <c r="L15" i="83" s="1"/>
  <c r="D13" i="82" s="1"/>
  <c r="O18" i="83"/>
  <c r="N26" i="83"/>
  <c r="AG18" i="83"/>
  <c r="AF18" i="83"/>
  <c r="AF40" i="83"/>
  <c r="AG40" i="83"/>
  <c r="O40" i="83"/>
  <c r="L61" i="85"/>
  <c r="AG61" i="85"/>
  <c r="O17" i="35"/>
  <c r="AG17" i="35"/>
  <c r="AF17" i="35"/>
  <c r="AF18" i="17"/>
  <c r="L27" i="17"/>
  <c r="O38" i="17"/>
  <c r="O40" i="17"/>
  <c r="AF40" i="17"/>
  <c r="K58" i="17"/>
  <c r="L7" i="75"/>
  <c r="R7" i="75" s="1"/>
  <c r="AA2" i="75"/>
  <c r="M6" i="74" s="1"/>
  <c r="J79" i="75"/>
  <c r="P79" i="75" s="1"/>
  <c r="O5" i="77"/>
  <c r="L18" i="77"/>
  <c r="J26" i="77"/>
  <c r="P26" i="77" s="1"/>
  <c r="J79" i="77"/>
  <c r="P79" i="77" s="1"/>
  <c r="P70" i="77"/>
  <c r="L70" i="77"/>
  <c r="L79" i="77" s="1"/>
  <c r="J13" i="76" s="1"/>
  <c r="J15" i="79"/>
  <c r="P15" i="79" s="1"/>
  <c r="AG28" i="79"/>
  <c r="AF59" i="79"/>
  <c r="N69" i="79"/>
  <c r="L61" i="81"/>
  <c r="AG28" i="83"/>
  <c r="AF28" i="83"/>
  <c r="O28" i="83"/>
  <c r="AF61" i="85"/>
  <c r="AG39" i="87"/>
  <c r="AF39" i="87"/>
  <c r="O39" i="87"/>
  <c r="J3" i="42"/>
  <c r="G2" i="43"/>
  <c r="R63" i="43"/>
  <c r="Q63" i="43"/>
  <c r="AG70" i="13"/>
  <c r="Z2" i="15"/>
  <c r="L6" i="14" s="1"/>
  <c r="AF39" i="15"/>
  <c r="AF50" i="15"/>
  <c r="P69" i="15"/>
  <c r="K15" i="17"/>
  <c r="AG18" i="17"/>
  <c r="AF59" i="75"/>
  <c r="L70" i="75"/>
  <c r="L79" i="75" s="1"/>
  <c r="J13" i="74" s="1"/>
  <c r="AG17" i="77"/>
  <c r="AF17" i="77"/>
  <c r="AF49" i="77"/>
  <c r="O59" i="77"/>
  <c r="N69" i="77"/>
  <c r="Q17" i="79"/>
  <c r="O59" i="79"/>
  <c r="N31" i="81"/>
  <c r="E1" i="81"/>
  <c r="G3" i="80" s="1"/>
  <c r="AG61" i="81"/>
  <c r="AF61" i="81"/>
  <c r="O61" i="81"/>
  <c r="P17" i="83"/>
  <c r="J26" i="83"/>
  <c r="P26" i="83" s="1"/>
  <c r="AF53" i="83"/>
  <c r="AG53" i="83"/>
  <c r="O53" i="83"/>
  <c r="AG5" i="85"/>
  <c r="N15" i="85"/>
  <c r="AF5" i="85"/>
  <c r="R71" i="87"/>
  <c r="Q71" i="87"/>
  <c r="G1" i="37"/>
  <c r="AG7" i="39"/>
  <c r="O7" i="39"/>
  <c r="AF7" i="39"/>
  <c r="L17" i="83"/>
  <c r="R17" i="83" s="1"/>
  <c r="AG17" i="83"/>
  <c r="P62" i="83"/>
  <c r="L62" i="83"/>
  <c r="AG50" i="85"/>
  <c r="L50" i="85"/>
  <c r="L58" i="85" s="1"/>
  <c r="H13" i="84" s="1"/>
  <c r="O51" i="85"/>
  <c r="AG51" i="85"/>
  <c r="AF51" i="85"/>
  <c r="R61" i="85"/>
  <c r="Q61" i="85"/>
  <c r="O10" i="87"/>
  <c r="AG10" i="87"/>
  <c r="AF10" i="87"/>
  <c r="P27" i="87"/>
  <c r="J37" i="87"/>
  <c r="P37" i="87" s="1"/>
  <c r="AG69" i="87"/>
  <c r="AH59" i="87" s="1"/>
  <c r="Q69" i="87"/>
  <c r="O30" i="39"/>
  <c r="AG30" i="39"/>
  <c r="AF30" i="39"/>
  <c r="R9" i="61"/>
  <c r="Q9" i="61"/>
  <c r="AD2" i="79"/>
  <c r="N6" i="78" s="1"/>
  <c r="P69" i="79"/>
  <c r="I22" i="78"/>
  <c r="K79" i="79"/>
  <c r="AF8" i="81"/>
  <c r="O8" i="81"/>
  <c r="AF53" i="81"/>
  <c r="O53" i="81"/>
  <c r="Q6" i="83"/>
  <c r="R6" i="83"/>
  <c r="L79" i="83"/>
  <c r="J13" i="82" s="1"/>
  <c r="AE2" i="85"/>
  <c r="O6" i="84" s="1"/>
  <c r="D21" i="84"/>
  <c r="J69" i="85"/>
  <c r="L60" i="85"/>
  <c r="L27" i="87"/>
  <c r="AF69" i="87"/>
  <c r="P28" i="33"/>
  <c r="J37" i="33"/>
  <c r="R31" i="33"/>
  <c r="Q31" i="33"/>
  <c r="E20" i="34"/>
  <c r="AD2" i="35"/>
  <c r="N6" i="34" s="1"/>
  <c r="AG16" i="37"/>
  <c r="N26" i="37"/>
  <c r="AF16" i="37"/>
  <c r="O16" i="37"/>
  <c r="G1" i="39"/>
  <c r="N37" i="75"/>
  <c r="Q31" i="79"/>
  <c r="P37" i="79"/>
  <c r="F22" i="78"/>
  <c r="Q39" i="81"/>
  <c r="O30" i="83"/>
  <c r="AG30" i="83"/>
  <c r="Q50" i="83"/>
  <c r="R50" i="83"/>
  <c r="R72" i="85"/>
  <c r="Q72" i="85"/>
  <c r="O61" i="35"/>
  <c r="AG61" i="35"/>
  <c r="O7" i="37"/>
  <c r="O15" i="37" s="1"/>
  <c r="AG7" i="37"/>
  <c r="AF7" i="37"/>
  <c r="O61" i="37"/>
  <c r="AF61" i="37"/>
  <c r="AG61" i="37"/>
  <c r="H27" i="77"/>
  <c r="K69" i="77"/>
  <c r="L59" i="77"/>
  <c r="L69" i="77" s="1"/>
  <c r="I13" i="76" s="1"/>
  <c r="L37" i="79"/>
  <c r="F13" i="78" s="1"/>
  <c r="Q30" i="79"/>
  <c r="R7" i="81"/>
  <c r="Q7" i="81"/>
  <c r="K37" i="81"/>
  <c r="L27" i="81"/>
  <c r="R28" i="81"/>
  <c r="H31" i="81"/>
  <c r="G1" i="81" s="1"/>
  <c r="L48" i="81"/>
  <c r="G13" i="80" s="1"/>
  <c r="R52" i="81"/>
  <c r="Q52" i="81"/>
  <c r="J79" i="81"/>
  <c r="P79" i="81" s="1"/>
  <c r="O15" i="83"/>
  <c r="Q5" i="83"/>
  <c r="L26" i="83"/>
  <c r="E13" i="82" s="1"/>
  <c r="L58" i="83"/>
  <c r="H13" i="82" s="1"/>
  <c r="R49" i="83"/>
  <c r="P61" i="83"/>
  <c r="L61" i="83"/>
  <c r="Q61" i="83" s="1"/>
  <c r="R72" i="83"/>
  <c r="Q72" i="83"/>
  <c r="AG17" i="85"/>
  <c r="AF17" i="85"/>
  <c r="O17" i="85"/>
  <c r="P9" i="87"/>
  <c r="L9" i="87"/>
  <c r="L15" i="87" s="1"/>
  <c r="D13" i="86" s="1"/>
  <c r="AG19" i="87"/>
  <c r="AF19" i="87"/>
  <c r="AG9" i="35"/>
  <c r="O9" i="35"/>
  <c r="AF9" i="35"/>
  <c r="AG18" i="35"/>
  <c r="O18" i="35"/>
  <c r="AF18" i="35"/>
  <c r="Q63" i="35"/>
  <c r="O79" i="47"/>
  <c r="Q70" i="47"/>
  <c r="R70" i="47"/>
  <c r="R28" i="53"/>
  <c r="Q28" i="53"/>
  <c r="I18" i="66"/>
  <c r="Z2" i="67"/>
  <c r="L6" i="66" s="1"/>
  <c r="N18" i="77"/>
  <c r="J37" i="77"/>
  <c r="P37" i="77" s="1"/>
  <c r="R30" i="79"/>
  <c r="AG39" i="79"/>
  <c r="Q50" i="79"/>
  <c r="J79" i="79"/>
  <c r="P79" i="79" s="1"/>
  <c r="J15" i="81"/>
  <c r="P15" i="81" s="1"/>
  <c r="P5" i="81"/>
  <c r="AG9" i="81"/>
  <c r="L31" i="81"/>
  <c r="P31" i="81"/>
  <c r="P38" i="81"/>
  <c r="AG59" i="81"/>
  <c r="L71" i="81"/>
  <c r="AF17" i="83"/>
  <c r="AG61" i="83"/>
  <c r="AF61" i="83"/>
  <c r="AA2" i="85"/>
  <c r="M6" i="84" s="1"/>
  <c r="AF19" i="85"/>
  <c r="O19" i="85"/>
  <c r="AG17" i="33"/>
  <c r="AF17" i="33"/>
  <c r="O17" i="33"/>
  <c r="Q49" i="35"/>
  <c r="R49" i="35"/>
  <c r="AG8" i="81"/>
  <c r="N15" i="81"/>
  <c r="Q32" i="81"/>
  <c r="AG53" i="81"/>
  <c r="P15" i="83"/>
  <c r="O19" i="83"/>
  <c r="AF19" i="83"/>
  <c r="AG19" i="83"/>
  <c r="P31" i="83"/>
  <c r="L31" i="83"/>
  <c r="R61" i="83"/>
  <c r="P9" i="85"/>
  <c r="L9" i="85"/>
  <c r="AF69" i="85"/>
  <c r="Q69" i="85"/>
  <c r="AG69" i="85"/>
  <c r="AH59" i="85" s="1"/>
  <c r="R6" i="87"/>
  <c r="Q6" i="87"/>
  <c r="AG7" i="87"/>
  <c r="O7" i="87"/>
  <c r="AF7" i="87"/>
  <c r="O9" i="87"/>
  <c r="AG9" i="87"/>
  <c r="AF9" i="87"/>
  <c r="AG70" i="33"/>
  <c r="N79" i="33"/>
  <c r="AF70" i="33"/>
  <c r="O70" i="33"/>
  <c r="F22" i="36"/>
  <c r="I1" i="37"/>
  <c r="AG31" i="79"/>
  <c r="P39" i="79"/>
  <c r="AF7" i="81"/>
  <c r="AF17" i="81"/>
  <c r="H30" i="81"/>
  <c r="AF32" i="81"/>
  <c r="N50" i="81"/>
  <c r="N58" i="81" s="1"/>
  <c r="H50" i="81"/>
  <c r="AG52" i="81"/>
  <c r="Z2" i="83"/>
  <c r="L6" i="82" s="1"/>
  <c r="AG9" i="83"/>
  <c r="O9" i="83"/>
  <c r="AF9" i="83"/>
  <c r="O31" i="83"/>
  <c r="AF31" i="83"/>
  <c r="P48" i="85"/>
  <c r="G22" i="84"/>
  <c r="AF49" i="85"/>
  <c r="N58" i="85"/>
  <c r="AG49" i="85"/>
  <c r="O49" i="85"/>
  <c r="O52" i="85"/>
  <c r="L79" i="85"/>
  <c r="J13" i="84" s="1"/>
  <c r="Z2" i="87"/>
  <c r="L6" i="86" s="1"/>
  <c r="I1" i="87"/>
  <c r="AG18" i="87"/>
  <c r="AF18" i="87"/>
  <c r="N26" i="87"/>
  <c r="O18" i="87"/>
  <c r="O26" i="87" s="1"/>
  <c r="O50" i="87"/>
  <c r="AF61" i="87"/>
  <c r="O61" i="87"/>
  <c r="AG8" i="33"/>
  <c r="O8" i="33"/>
  <c r="AF8" i="33"/>
  <c r="R59" i="33"/>
  <c r="Q59" i="33"/>
  <c r="P37" i="35"/>
  <c r="F22" i="34"/>
  <c r="O62" i="35"/>
  <c r="AG62" i="35"/>
  <c r="AF62" i="35"/>
  <c r="E1" i="77"/>
  <c r="G3" i="76" s="1"/>
  <c r="P31" i="77"/>
  <c r="L31" i="77"/>
  <c r="E1" i="79"/>
  <c r="G3" i="78" s="1"/>
  <c r="AF30" i="79"/>
  <c r="AF49" i="79"/>
  <c r="AF50" i="79"/>
  <c r="N58" i="79"/>
  <c r="AF5" i="81"/>
  <c r="O5" i="81"/>
  <c r="AG7" i="81"/>
  <c r="Z2" i="81"/>
  <c r="L6" i="80" s="1"/>
  <c r="O26" i="81"/>
  <c r="R16" i="81"/>
  <c r="AG17" i="81"/>
  <c r="N30" i="81"/>
  <c r="N37" i="81" s="1"/>
  <c r="AG32" i="81"/>
  <c r="J69" i="83"/>
  <c r="P69" i="83" s="1"/>
  <c r="L59" i="83"/>
  <c r="L69" i="83" s="1"/>
  <c r="I13" i="82" s="1"/>
  <c r="J6" i="82" s="1"/>
  <c r="O7" i="85"/>
  <c r="AG7" i="85"/>
  <c r="AF7" i="85"/>
  <c r="O29" i="85"/>
  <c r="AG29" i="85"/>
  <c r="AF29" i="85"/>
  <c r="AG40" i="85"/>
  <c r="AF40" i="85"/>
  <c r="O40" i="85"/>
  <c r="N48" i="85"/>
  <c r="N15" i="87"/>
  <c r="AG53" i="87"/>
  <c r="O53" i="87"/>
  <c r="AG58" i="33"/>
  <c r="AH49" i="33" s="1"/>
  <c r="AF58" i="33"/>
  <c r="Q58" i="33"/>
  <c r="Q5" i="35"/>
  <c r="O6" i="89"/>
  <c r="AF6" i="89"/>
  <c r="AG6" i="89"/>
  <c r="Q17" i="77"/>
  <c r="AF70" i="77"/>
  <c r="L26" i="79"/>
  <c r="E13" i="78" s="1"/>
  <c r="AG29" i="79"/>
  <c r="AG50" i="79"/>
  <c r="AF52" i="79"/>
  <c r="L69" i="79"/>
  <c r="I13" i="78" s="1"/>
  <c r="J6" i="78" s="1"/>
  <c r="P30" i="81"/>
  <c r="L30" i="81"/>
  <c r="AG41" i="81"/>
  <c r="O41" i="81"/>
  <c r="AF41" i="81"/>
  <c r="O51" i="81"/>
  <c r="AF51" i="81"/>
  <c r="K79" i="81"/>
  <c r="G1" i="83"/>
  <c r="O38" i="83"/>
  <c r="AG38" i="83"/>
  <c r="AF38" i="83"/>
  <c r="O51" i="83"/>
  <c r="AG51" i="83"/>
  <c r="AF51" i="83"/>
  <c r="AF60" i="83"/>
  <c r="AG60" i="83"/>
  <c r="O60" i="83"/>
  <c r="D22" i="84"/>
  <c r="O62" i="85"/>
  <c r="AF62" i="85"/>
  <c r="G1" i="87"/>
  <c r="J48" i="87"/>
  <c r="R63" i="33"/>
  <c r="Q63" i="33"/>
  <c r="Q69" i="33"/>
  <c r="AF69" i="33"/>
  <c r="AG69" i="33"/>
  <c r="AH59" i="33" s="1"/>
  <c r="K69" i="35"/>
  <c r="L59" i="35"/>
  <c r="N48" i="39"/>
  <c r="AG38" i="39"/>
  <c r="AF38" i="39"/>
  <c r="O38" i="39"/>
  <c r="AE2" i="83"/>
  <c r="O6" i="82" s="1"/>
  <c r="P58" i="83"/>
  <c r="H22" i="82"/>
  <c r="P16" i="85"/>
  <c r="J26" i="85"/>
  <c r="P26" i="85" s="1"/>
  <c r="AD2" i="87"/>
  <c r="N6" i="86" s="1"/>
  <c r="AG39" i="33"/>
  <c r="AF39" i="33"/>
  <c r="O39" i="33"/>
  <c r="G1" i="35"/>
  <c r="N15" i="37"/>
  <c r="AF5" i="37"/>
  <c r="AG5" i="37"/>
  <c r="H21" i="38"/>
  <c r="AE2" i="39"/>
  <c r="O6" i="38" s="1"/>
  <c r="O79" i="39"/>
  <c r="K37" i="43"/>
  <c r="AF29" i="43"/>
  <c r="L29" i="43"/>
  <c r="N58" i="83"/>
  <c r="AG30" i="85"/>
  <c r="AF30" i="85"/>
  <c r="O30" i="85"/>
  <c r="Q70" i="85"/>
  <c r="R71" i="85"/>
  <c r="Q71" i="85"/>
  <c r="K15" i="87"/>
  <c r="L58" i="87"/>
  <c r="H13" i="86" s="1"/>
  <c r="J26" i="33"/>
  <c r="L16" i="33"/>
  <c r="L26" i="33" s="1"/>
  <c r="E13" i="32" s="1"/>
  <c r="P16" i="33"/>
  <c r="O49" i="33"/>
  <c r="AG49" i="33"/>
  <c r="AF49" i="33"/>
  <c r="P50" i="35"/>
  <c r="L50" i="35"/>
  <c r="Q5" i="37"/>
  <c r="R5" i="37"/>
  <c r="N37" i="37"/>
  <c r="O27" i="37"/>
  <c r="AG27" i="37"/>
  <c r="AF27" i="37"/>
  <c r="P49" i="37"/>
  <c r="J58" i="37"/>
  <c r="P58" i="37" s="1"/>
  <c r="P39" i="39"/>
  <c r="J48" i="39"/>
  <c r="P48" i="39" s="1"/>
  <c r="O6" i="43"/>
  <c r="O15" i="43" s="1"/>
  <c r="AG6" i="43"/>
  <c r="AF6" i="43"/>
  <c r="L9" i="79"/>
  <c r="AG6" i="83"/>
  <c r="R7" i="83"/>
  <c r="Q7" i="83"/>
  <c r="K26" i="83"/>
  <c r="L18" i="83"/>
  <c r="Q49" i="83"/>
  <c r="K79" i="83"/>
  <c r="AD2" i="85"/>
  <c r="N6" i="84" s="1"/>
  <c r="O8" i="85"/>
  <c r="AG8" i="85"/>
  <c r="AF8" i="85"/>
  <c r="O9" i="85"/>
  <c r="AF9" i="85"/>
  <c r="K48" i="85"/>
  <c r="O39" i="85"/>
  <c r="AF50" i="85"/>
  <c r="O50" i="85"/>
  <c r="L59" i="85"/>
  <c r="L69" i="85" s="1"/>
  <c r="I13" i="84" s="1"/>
  <c r="J6" i="84" s="1"/>
  <c r="K69" i="85"/>
  <c r="F20" i="86"/>
  <c r="J26" i="87"/>
  <c r="P26" i="87" s="1"/>
  <c r="L38" i="87"/>
  <c r="L48" i="87" s="1"/>
  <c r="G13" i="86" s="1"/>
  <c r="O79" i="87"/>
  <c r="AE2" i="35"/>
  <c r="O6" i="34" s="1"/>
  <c r="E21" i="34"/>
  <c r="O29" i="35"/>
  <c r="AG29" i="35"/>
  <c r="AF29" i="35"/>
  <c r="O19" i="37"/>
  <c r="AG19" i="37"/>
  <c r="AF19" i="37"/>
  <c r="Q19" i="39"/>
  <c r="R19" i="39"/>
  <c r="AG31" i="43"/>
  <c r="O31" i="43"/>
  <c r="AF31" i="43"/>
  <c r="L48" i="85"/>
  <c r="G13" i="84" s="1"/>
  <c r="AG60" i="85"/>
  <c r="AF60" i="85"/>
  <c r="O60" i="85"/>
  <c r="O69" i="85" s="1"/>
  <c r="R8" i="87"/>
  <c r="Q8" i="87"/>
  <c r="R29" i="87"/>
  <c r="Q29" i="87"/>
  <c r="AG38" i="87"/>
  <c r="AF38" i="87"/>
  <c r="N48" i="87"/>
  <c r="O38" i="87"/>
  <c r="N37" i="33"/>
  <c r="AG27" i="33"/>
  <c r="AF27" i="33"/>
  <c r="AG38" i="33"/>
  <c r="N48" i="33"/>
  <c r="AF38" i="33"/>
  <c r="O38" i="33"/>
  <c r="Q37" i="35"/>
  <c r="AG39" i="35"/>
  <c r="AF39" i="35"/>
  <c r="N48" i="35"/>
  <c r="AG59" i="35"/>
  <c r="O59" i="35"/>
  <c r="AF59" i="35"/>
  <c r="N69" i="35"/>
  <c r="P31" i="37"/>
  <c r="L31" i="37"/>
  <c r="L37" i="37" s="1"/>
  <c r="F13" i="36" s="1"/>
  <c r="O60" i="37"/>
  <c r="AG60" i="37"/>
  <c r="AF60" i="37"/>
  <c r="N69" i="37"/>
  <c r="L70" i="37"/>
  <c r="L79" i="37" s="1"/>
  <c r="J13" i="36" s="1"/>
  <c r="K79" i="37"/>
  <c r="G1" i="89"/>
  <c r="L17" i="81"/>
  <c r="L51" i="81"/>
  <c r="L58" i="81" s="1"/>
  <c r="H13" i="80" s="1"/>
  <c r="O70" i="81"/>
  <c r="AF70" i="81"/>
  <c r="AG16" i="83"/>
  <c r="O16" i="83"/>
  <c r="Q17" i="83"/>
  <c r="J37" i="83"/>
  <c r="P37" i="83" s="1"/>
  <c r="L27" i="83"/>
  <c r="AF50" i="83"/>
  <c r="J15" i="85"/>
  <c r="P15" i="85" s="1"/>
  <c r="AG53" i="85"/>
  <c r="O53" i="85"/>
  <c r="AG5" i="87"/>
  <c r="AF5" i="87"/>
  <c r="O5" i="87"/>
  <c r="AG60" i="87"/>
  <c r="O60" i="87"/>
  <c r="AG18" i="33"/>
  <c r="AF18" i="33"/>
  <c r="O18" i="33"/>
  <c r="P26" i="33"/>
  <c r="E22" i="32"/>
  <c r="O27" i="33"/>
  <c r="AG30" i="33"/>
  <c r="O30" i="33"/>
  <c r="AF30" i="33"/>
  <c r="O28" i="35"/>
  <c r="O48" i="35"/>
  <c r="AD2" i="39"/>
  <c r="N6" i="38" s="1"/>
  <c r="P71" i="39"/>
  <c r="L71" i="39"/>
  <c r="J79" i="39"/>
  <c r="P79" i="39" s="1"/>
  <c r="L8" i="49"/>
  <c r="K15" i="49"/>
  <c r="AF8" i="49"/>
  <c r="D18" i="80"/>
  <c r="AA2" i="81"/>
  <c r="M6" i="80" s="1"/>
  <c r="J69" i="81"/>
  <c r="P69" i="81" s="1"/>
  <c r="L59" i="81"/>
  <c r="R59" i="81" s="1"/>
  <c r="AG70" i="81"/>
  <c r="N72" i="81"/>
  <c r="D21" i="82"/>
  <c r="K15" i="85"/>
  <c r="L6" i="85"/>
  <c r="R6" i="85" s="1"/>
  <c r="L18" i="85"/>
  <c r="L27" i="85"/>
  <c r="O38" i="85"/>
  <c r="AF39" i="85"/>
  <c r="N79" i="85"/>
  <c r="P16" i="87"/>
  <c r="AG51" i="87"/>
  <c r="AF51" i="87"/>
  <c r="O51" i="87"/>
  <c r="AF60" i="87"/>
  <c r="J20" i="42"/>
  <c r="AD2" i="43"/>
  <c r="N6" i="42" s="1"/>
  <c r="G18" i="44"/>
  <c r="Z2" i="45"/>
  <c r="L6" i="44" s="1"/>
  <c r="P58" i="81"/>
  <c r="AG18" i="85"/>
  <c r="AF18" i="85"/>
  <c r="O18" i="85"/>
  <c r="O79" i="85"/>
  <c r="J15" i="87"/>
  <c r="AF8" i="87"/>
  <c r="P15" i="87"/>
  <c r="R40" i="87"/>
  <c r="Q40" i="87"/>
  <c r="J48" i="33"/>
  <c r="P48" i="33" s="1"/>
  <c r="P39" i="33"/>
  <c r="AG50" i="33"/>
  <c r="AF50" i="33"/>
  <c r="O50" i="33"/>
  <c r="P58" i="33"/>
  <c r="H22" i="32"/>
  <c r="AG59" i="33"/>
  <c r="AF59" i="33"/>
  <c r="L37" i="35"/>
  <c r="F13" i="34" s="1"/>
  <c r="AG38" i="37"/>
  <c r="N48" i="37"/>
  <c r="AF38" i="37"/>
  <c r="O38" i="37"/>
  <c r="AG8" i="39"/>
  <c r="AF8" i="39"/>
  <c r="O8" i="39"/>
  <c r="O50" i="39"/>
  <c r="N58" i="39"/>
  <c r="AG50" i="39"/>
  <c r="H22" i="38"/>
  <c r="AG31" i="89"/>
  <c r="O31" i="89"/>
  <c r="AF31" i="89"/>
  <c r="AG60" i="39"/>
  <c r="AF60" i="39"/>
  <c r="O60" i="39"/>
  <c r="N69" i="39"/>
  <c r="AF49" i="89"/>
  <c r="N58" i="89"/>
  <c r="AG49" i="89"/>
  <c r="O49" i="89"/>
  <c r="R7" i="47"/>
  <c r="Q7" i="47"/>
  <c r="J37" i="49"/>
  <c r="P37" i="49" s="1"/>
  <c r="P27" i="49"/>
  <c r="O17" i="51"/>
  <c r="AF17" i="51"/>
  <c r="AG17" i="51"/>
  <c r="E21" i="50"/>
  <c r="AE2" i="51"/>
  <c r="O6" i="50" s="1"/>
  <c r="O69" i="53"/>
  <c r="R59" i="53"/>
  <c r="Q59" i="53"/>
  <c r="P26" i="43"/>
  <c r="I1" i="43"/>
  <c r="AF62" i="43"/>
  <c r="O62" i="43"/>
  <c r="AG62" i="43"/>
  <c r="J22" i="50"/>
  <c r="P79" i="51"/>
  <c r="I1" i="51"/>
  <c r="O17" i="55"/>
  <c r="AF17" i="55"/>
  <c r="AG17" i="55"/>
  <c r="N63" i="81"/>
  <c r="N69" i="81" s="1"/>
  <c r="E1" i="83"/>
  <c r="G3" i="82" s="1"/>
  <c r="O59" i="83"/>
  <c r="N69" i="83"/>
  <c r="F21" i="86"/>
  <c r="AE2" i="87"/>
  <c r="O6" i="86" s="1"/>
  <c r="G1" i="33"/>
  <c r="L18" i="33"/>
  <c r="AG6" i="35"/>
  <c r="O6" i="35"/>
  <c r="Q30" i="35"/>
  <c r="N58" i="35"/>
  <c r="AG49" i="35"/>
  <c r="AF49" i="35"/>
  <c r="K15" i="37"/>
  <c r="L6" i="37"/>
  <c r="L15" i="37" s="1"/>
  <c r="D13" i="36" s="1"/>
  <c r="K58" i="89"/>
  <c r="O7" i="43"/>
  <c r="AF7" i="43"/>
  <c r="I1" i="89"/>
  <c r="AG70" i="43"/>
  <c r="AF70" i="43"/>
  <c r="O70" i="43"/>
  <c r="N79" i="43"/>
  <c r="R10" i="45"/>
  <c r="Q10" i="45"/>
  <c r="N37" i="51"/>
  <c r="AG27" i="51"/>
  <c r="O27" i="51"/>
  <c r="AF27" i="51"/>
  <c r="J58" i="39"/>
  <c r="P58" i="39" s="1"/>
  <c r="P49" i="39"/>
  <c r="P6" i="45"/>
  <c r="L6" i="45"/>
  <c r="L15" i="45" s="1"/>
  <c r="D13" i="44" s="1"/>
  <c r="J15" i="45"/>
  <c r="P8" i="47"/>
  <c r="L8" i="47"/>
  <c r="N26" i="51"/>
  <c r="O16" i="51"/>
  <c r="AG16" i="51"/>
  <c r="P51" i="45"/>
  <c r="L51" i="45"/>
  <c r="O51" i="47"/>
  <c r="AG51" i="47"/>
  <c r="AF51" i="47"/>
  <c r="P17" i="53"/>
  <c r="J26" i="53"/>
  <c r="P26" i="53" s="1"/>
  <c r="P29" i="53"/>
  <c r="J37" i="53"/>
  <c r="P37" i="53" s="1"/>
  <c r="N15" i="83"/>
  <c r="AG5" i="83"/>
  <c r="L8" i="85"/>
  <c r="N26" i="85"/>
  <c r="O16" i="85"/>
  <c r="AF16" i="85"/>
  <c r="AG16" i="87"/>
  <c r="AF16" i="87"/>
  <c r="E1" i="87"/>
  <c r="G3" i="86" s="1"/>
  <c r="N31" i="87"/>
  <c r="K58" i="87"/>
  <c r="N15" i="33"/>
  <c r="O5" i="33"/>
  <c r="D19" i="32"/>
  <c r="AA2" i="33"/>
  <c r="M6" i="32" s="1"/>
  <c r="O60" i="33"/>
  <c r="AG60" i="33"/>
  <c r="AF60" i="33"/>
  <c r="L5" i="35"/>
  <c r="AG5" i="35"/>
  <c r="K15" i="35"/>
  <c r="AF6" i="37"/>
  <c r="R62" i="37"/>
  <c r="Q62" i="37"/>
  <c r="J15" i="39"/>
  <c r="P15" i="39" s="1"/>
  <c r="L6" i="39"/>
  <c r="P6" i="39"/>
  <c r="L37" i="39"/>
  <c r="F13" i="38" s="1"/>
  <c r="P16" i="43"/>
  <c r="J26" i="43"/>
  <c r="Q48" i="45"/>
  <c r="AF48" i="45"/>
  <c r="AG48" i="45"/>
  <c r="AH38" i="45" s="1"/>
  <c r="L17" i="53"/>
  <c r="L26" i="53" s="1"/>
  <c r="E13" i="52" s="1"/>
  <c r="P59" i="87"/>
  <c r="J69" i="87"/>
  <c r="P69" i="87" s="1"/>
  <c r="AG62" i="87"/>
  <c r="AF62" i="87"/>
  <c r="O62" i="87"/>
  <c r="L15" i="33"/>
  <c r="D13" i="32" s="1"/>
  <c r="D20" i="32"/>
  <c r="AD2" i="33"/>
  <c r="N6" i="32" s="1"/>
  <c r="L28" i="33"/>
  <c r="L39" i="33"/>
  <c r="L48" i="33" s="1"/>
  <c r="G13" i="32" s="1"/>
  <c r="J69" i="33"/>
  <c r="P69" i="33" s="1"/>
  <c r="R61" i="33"/>
  <c r="P51" i="35"/>
  <c r="L51" i="35"/>
  <c r="J69" i="35"/>
  <c r="P69" i="35" s="1"/>
  <c r="L70" i="35"/>
  <c r="L79" i="35" s="1"/>
  <c r="J13" i="34" s="1"/>
  <c r="K79" i="35"/>
  <c r="AF79" i="35" s="1"/>
  <c r="Q79" i="35"/>
  <c r="AG79" i="35"/>
  <c r="AH70" i="35" s="1"/>
  <c r="R8" i="37"/>
  <c r="Q8" i="37"/>
  <c r="L49" i="37"/>
  <c r="K58" i="37"/>
  <c r="L52" i="37"/>
  <c r="O5" i="39"/>
  <c r="AG5" i="39"/>
  <c r="N15" i="39"/>
  <c r="AF5" i="39"/>
  <c r="AG29" i="39"/>
  <c r="AF29" i="39"/>
  <c r="R29" i="89"/>
  <c r="Q29" i="89"/>
  <c r="O51" i="89"/>
  <c r="AG51" i="89"/>
  <c r="AF51" i="89"/>
  <c r="P62" i="89"/>
  <c r="L62" i="89"/>
  <c r="I22" i="88"/>
  <c r="P69" i="89"/>
  <c r="L17" i="43"/>
  <c r="AF17" i="43"/>
  <c r="AG26" i="43"/>
  <c r="AH16" i="43" s="1"/>
  <c r="AF26" i="43"/>
  <c r="J48" i="43"/>
  <c r="P38" i="43"/>
  <c r="P59" i="43"/>
  <c r="J69" i="43"/>
  <c r="P69" i="43" s="1"/>
  <c r="P37" i="47"/>
  <c r="Q9" i="53"/>
  <c r="R9" i="53"/>
  <c r="O16" i="53"/>
  <c r="AG16" i="53"/>
  <c r="AF16" i="53"/>
  <c r="L28" i="85"/>
  <c r="R28" i="85" s="1"/>
  <c r="N37" i="85"/>
  <c r="J48" i="85"/>
  <c r="L16" i="87"/>
  <c r="L26" i="87" s="1"/>
  <c r="E13" i="86" s="1"/>
  <c r="P48" i="87"/>
  <c r="AG49" i="87"/>
  <c r="N58" i="87"/>
  <c r="O49" i="87"/>
  <c r="L60" i="33"/>
  <c r="L69" i="33" s="1"/>
  <c r="I13" i="32" s="1"/>
  <c r="AF61" i="33"/>
  <c r="Q70" i="35"/>
  <c r="O79" i="35"/>
  <c r="L48" i="37"/>
  <c r="G13" i="36" s="1"/>
  <c r="L17" i="39"/>
  <c r="AG17" i="39"/>
  <c r="O29" i="39"/>
  <c r="O71" i="39"/>
  <c r="N79" i="39"/>
  <c r="N15" i="89"/>
  <c r="AF5" i="89"/>
  <c r="O5" i="89"/>
  <c r="AG26" i="89"/>
  <c r="AH16" i="89" s="1"/>
  <c r="AF26" i="89"/>
  <c r="AF17" i="89"/>
  <c r="O17" i="89"/>
  <c r="O26" i="89" s="1"/>
  <c r="D18" i="42"/>
  <c r="AA2" i="43"/>
  <c r="M6" i="42" s="1"/>
  <c r="L38" i="43"/>
  <c r="L48" i="43" s="1"/>
  <c r="G13" i="42" s="1"/>
  <c r="K48" i="43"/>
  <c r="AG16" i="45"/>
  <c r="N26" i="45"/>
  <c r="O16" i="45"/>
  <c r="AF16" i="45"/>
  <c r="K37" i="45"/>
  <c r="O52" i="45"/>
  <c r="O58" i="45" s="1"/>
  <c r="AG52" i="45"/>
  <c r="AF52" i="45"/>
  <c r="L17" i="47"/>
  <c r="L26" i="47" s="1"/>
  <c r="E13" i="46" s="1"/>
  <c r="J26" i="47"/>
  <c r="P26" i="47" s="1"/>
  <c r="O52" i="47"/>
  <c r="AF52" i="47"/>
  <c r="AG52" i="47"/>
  <c r="R38" i="49"/>
  <c r="AG52" i="53"/>
  <c r="AF52" i="53"/>
  <c r="O52" i="53"/>
  <c r="O27" i="85"/>
  <c r="L28" i="87"/>
  <c r="Q28" i="87" s="1"/>
  <c r="L59" i="87"/>
  <c r="AG6" i="33"/>
  <c r="AF6" i="33"/>
  <c r="O6" i="33"/>
  <c r="K58" i="33"/>
  <c r="L51" i="33"/>
  <c r="O52" i="33"/>
  <c r="AG61" i="33"/>
  <c r="L79" i="33"/>
  <c r="J13" i="32" s="1"/>
  <c r="J15" i="35"/>
  <c r="P15" i="35" s="1"/>
  <c r="P5" i="35"/>
  <c r="P17" i="35"/>
  <c r="J48" i="35"/>
  <c r="P38" i="35"/>
  <c r="L38" i="35"/>
  <c r="AG52" i="35"/>
  <c r="O52" i="35"/>
  <c r="AG8" i="37"/>
  <c r="AF8" i="37"/>
  <c r="Z2" i="37"/>
  <c r="L6" i="36" s="1"/>
  <c r="D18" i="36"/>
  <c r="AF52" i="37"/>
  <c r="O52" i="37"/>
  <c r="L61" i="37"/>
  <c r="R71" i="37"/>
  <c r="Q71" i="37"/>
  <c r="AG19" i="39"/>
  <c r="AF19" i="39"/>
  <c r="R40" i="39"/>
  <c r="Q40" i="39"/>
  <c r="L52" i="39"/>
  <c r="P52" i="39"/>
  <c r="J22" i="38"/>
  <c r="L9" i="89"/>
  <c r="L15" i="89" s="1"/>
  <c r="D13" i="88" s="1"/>
  <c r="R16" i="89"/>
  <c r="Q16" i="89"/>
  <c r="O19" i="43"/>
  <c r="AG19" i="43"/>
  <c r="AF38" i="43"/>
  <c r="AG38" i="43"/>
  <c r="O38" i="43"/>
  <c r="N48" i="43"/>
  <c r="G1" i="45"/>
  <c r="L37" i="45"/>
  <c r="F13" i="44" s="1"/>
  <c r="Q49" i="45"/>
  <c r="R63" i="45"/>
  <c r="Q63" i="45"/>
  <c r="P63" i="47"/>
  <c r="L63" i="47"/>
  <c r="AG30" i="51"/>
  <c r="AF30" i="51"/>
  <c r="O30" i="51"/>
  <c r="AF61" i="53"/>
  <c r="O61" i="53"/>
  <c r="L16" i="85"/>
  <c r="L26" i="85" s="1"/>
  <c r="E13" i="84" s="1"/>
  <c r="K26" i="85"/>
  <c r="K58" i="85"/>
  <c r="P70" i="85"/>
  <c r="L7" i="33"/>
  <c r="Q7" i="33" s="1"/>
  <c r="Q9" i="33"/>
  <c r="AG28" i="33"/>
  <c r="P37" i="33"/>
  <c r="F22" i="32"/>
  <c r="N26" i="35"/>
  <c r="O16" i="35"/>
  <c r="AG16" i="35"/>
  <c r="AF16" i="35"/>
  <c r="N79" i="37"/>
  <c r="O70" i="37"/>
  <c r="AF70" i="37"/>
  <c r="AG70" i="37"/>
  <c r="L28" i="39"/>
  <c r="AG8" i="89"/>
  <c r="AF8" i="89"/>
  <c r="R52" i="89"/>
  <c r="Q52" i="89"/>
  <c r="L15" i="43"/>
  <c r="D13" i="42" s="1"/>
  <c r="K26" i="43"/>
  <c r="L16" i="43"/>
  <c r="O51" i="43"/>
  <c r="AG51" i="43"/>
  <c r="AF51" i="43"/>
  <c r="AG17" i="45"/>
  <c r="AF17" i="45"/>
  <c r="O17" i="45"/>
  <c r="Q39" i="45"/>
  <c r="R28" i="47"/>
  <c r="Q28" i="47"/>
  <c r="P16" i="49"/>
  <c r="J26" i="49"/>
  <c r="P26" i="49" s="1"/>
  <c r="AF31" i="51"/>
  <c r="AG31" i="51"/>
  <c r="L50" i="59"/>
  <c r="AF50" i="59"/>
  <c r="AG50" i="59"/>
  <c r="AG29" i="61"/>
  <c r="AF29" i="61"/>
  <c r="O29" i="61"/>
  <c r="I1" i="33"/>
  <c r="P15" i="33"/>
  <c r="E18" i="32"/>
  <c r="Z2" i="33"/>
  <c r="L6" i="32" s="1"/>
  <c r="J58" i="33"/>
  <c r="L49" i="33"/>
  <c r="AG51" i="33"/>
  <c r="AF51" i="33"/>
  <c r="O51" i="33"/>
  <c r="R62" i="33"/>
  <c r="Q62" i="33"/>
  <c r="O10" i="35"/>
  <c r="AG10" i="35"/>
  <c r="AF10" i="35"/>
  <c r="R6" i="37"/>
  <c r="Q6" i="37"/>
  <c r="R32" i="37"/>
  <c r="Q32" i="37"/>
  <c r="Q8" i="89"/>
  <c r="R8" i="89"/>
  <c r="AG28" i="89"/>
  <c r="AF28" i="89"/>
  <c r="N37" i="89"/>
  <c r="O28" i="89"/>
  <c r="AG50" i="89"/>
  <c r="O50" i="89"/>
  <c r="P70" i="89"/>
  <c r="J79" i="89"/>
  <c r="P79" i="89" s="1"/>
  <c r="J37" i="43"/>
  <c r="P37" i="43" s="1"/>
  <c r="P27" i="43"/>
  <c r="L27" i="43"/>
  <c r="O59" i="45"/>
  <c r="AG59" i="45"/>
  <c r="N69" i="45"/>
  <c r="AF59" i="45"/>
  <c r="R61" i="45"/>
  <c r="Q61" i="45"/>
  <c r="AF16" i="47"/>
  <c r="O16" i="47"/>
  <c r="AG16" i="47"/>
  <c r="N26" i="47"/>
  <c r="E21" i="46"/>
  <c r="AE2" i="47"/>
  <c r="O6" i="46" s="1"/>
  <c r="L50" i="47"/>
  <c r="L58" i="47" s="1"/>
  <c r="H13" i="46" s="1"/>
  <c r="K58" i="47"/>
  <c r="AG29" i="49"/>
  <c r="AF29" i="49"/>
  <c r="O29" i="49"/>
  <c r="Q31" i="51"/>
  <c r="R31" i="51"/>
  <c r="Q39" i="53"/>
  <c r="R39" i="53"/>
  <c r="J3" i="56"/>
  <c r="G2" i="57"/>
  <c r="AG17" i="87"/>
  <c r="AF27" i="87"/>
  <c r="K79" i="87"/>
  <c r="R7" i="33"/>
  <c r="O16" i="33"/>
  <c r="N26" i="33"/>
  <c r="AG19" i="35"/>
  <c r="L60" i="35"/>
  <c r="O9" i="37"/>
  <c r="Q29" i="37"/>
  <c r="D22" i="38"/>
  <c r="I1" i="39"/>
  <c r="J37" i="39"/>
  <c r="P37" i="39" s="1"/>
  <c r="AF28" i="39"/>
  <c r="O28" i="39"/>
  <c r="R19" i="89"/>
  <c r="Q19" i="89"/>
  <c r="AF50" i="89"/>
  <c r="L70" i="89"/>
  <c r="R5" i="43"/>
  <c r="Q5" i="43"/>
  <c r="AF9" i="43"/>
  <c r="AG9" i="43"/>
  <c r="AF30" i="43"/>
  <c r="AG30" i="43"/>
  <c r="O30" i="43"/>
  <c r="N37" i="43"/>
  <c r="J79" i="43"/>
  <c r="P79" i="43" s="1"/>
  <c r="P70" i="43"/>
  <c r="AF50" i="47"/>
  <c r="O50" i="47"/>
  <c r="AG50" i="47"/>
  <c r="O15" i="53"/>
  <c r="Q5" i="53"/>
  <c r="R5" i="53"/>
  <c r="AF17" i="87"/>
  <c r="K26" i="87"/>
  <c r="AG27" i="87"/>
  <c r="R63" i="87"/>
  <c r="AF16" i="33"/>
  <c r="P49" i="33"/>
  <c r="P61" i="33"/>
  <c r="L7" i="35"/>
  <c r="R8" i="35"/>
  <c r="J26" i="35"/>
  <c r="P26" i="35" s="1"/>
  <c r="AF27" i="35"/>
  <c r="K37" i="35"/>
  <c r="AF37" i="35" s="1"/>
  <c r="P48" i="35"/>
  <c r="G22" i="34"/>
  <c r="L58" i="35"/>
  <c r="H13" i="34" s="1"/>
  <c r="O50" i="35"/>
  <c r="AG50" i="35"/>
  <c r="AF50" i="35"/>
  <c r="AG18" i="37"/>
  <c r="AF18" i="37"/>
  <c r="O50" i="37"/>
  <c r="J69" i="37"/>
  <c r="P69" i="37" s="1"/>
  <c r="AF9" i="39"/>
  <c r="AG9" i="39"/>
  <c r="O9" i="39"/>
  <c r="AG28" i="39"/>
  <c r="AG49" i="39"/>
  <c r="AF49" i="39"/>
  <c r="O49" i="39"/>
  <c r="Q7" i="89"/>
  <c r="D21" i="88"/>
  <c r="AE2" i="89"/>
  <c r="O6" i="88" s="1"/>
  <c r="L38" i="89"/>
  <c r="L48" i="89" s="1"/>
  <c r="G13" i="88" s="1"/>
  <c r="J48" i="89"/>
  <c r="P48" i="89" s="1"/>
  <c r="P38" i="89"/>
  <c r="L58" i="89"/>
  <c r="H13" i="88" s="1"/>
  <c r="AG70" i="89"/>
  <c r="AF70" i="89"/>
  <c r="N79" i="89"/>
  <c r="O70" i="89"/>
  <c r="O9" i="43"/>
  <c r="Q32" i="43"/>
  <c r="R32" i="43"/>
  <c r="O39" i="43"/>
  <c r="AG39" i="43"/>
  <c r="R20" i="51"/>
  <c r="Q20" i="51"/>
  <c r="AF28" i="53"/>
  <c r="AG28" i="53"/>
  <c r="R62" i="53"/>
  <c r="Q62" i="53"/>
  <c r="N79" i="87"/>
  <c r="K48" i="33"/>
  <c r="P39" i="35"/>
  <c r="L40" i="37"/>
  <c r="R40" i="37" s="1"/>
  <c r="O49" i="37"/>
  <c r="AF49" i="37"/>
  <c r="P50" i="37"/>
  <c r="L9" i="39"/>
  <c r="K58" i="39"/>
  <c r="O51" i="39"/>
  <c r="AG51" i="39"/>
  <c r="AF51" i="39"/>
  <c r="AF62" i="39"/>
  <c r="J37" i="89"/>
  <c r="L27" i="89"/>
  <c r="P27" i="89"/>
  <c r="AA2" i="45"/>
  <c r="M6" i="44" s="1"/>
  <c r="J26" i="45"/>
  <c r="P26" i="45" s="1"/>
  <c r="P16" i="45"/>
  <c r="N37" i="45"/>
  <c r="O27" i="45"/>
  <c r="AG27" i="45"/>
  <c r="AG62" i="45"/>
  <c r="AF62" i="45"/>
  <c r="AF70" i="45"/>
  <c r="O30" i="49"/>
  <c r="AG30" i="49"/>
  <c r="AF30" i="49"/>
  <c r="AF38" i="49"/>
  <c r="O62" i="49"/>
  <c r="N69" i="49"/>
  <c r="K58" i="51"/>
  <c r="L49" i="51"/>
  <c r="AG52" i="51"/>
  <c r="O52" i="51"/>
  <c r="AG7" i="53"/>
  <c r="AF7" i="53"/>
  <c r="O7" i="53"/>
  <c r="AF8" i="53"/>
  <c r="Q17" i="53"/>
  <c r="R17" i="53"/>
  <c r="O40" i="53"/>
  <c r="AF40" i="53"/>
  <c r="AG40" i="53"/>
  <c r="P58" i="53"/>
  <c r="P18" i="59"/>
  <c r="L18" i="59"/>
  <c r="O19" i="59"/>
  <c r="AG19" i="59"/>
  <c r="AF19" i="59"/>
  <c r="K69" i="65"/>
  <c r="L60" i="65"/>
  <c r="AF59" i="87"/>
  <c r="L70" i="87"/>
  <c r="L79" i="87" s="1"/>
  <c r="J13" i="86" s="1"/>
  <c r="AF9" i="33"/>
  <c r="K15" i="33"/>
  <c r="O7" i="35"/>
  <c r="N15" i="35"/>
  <c r="O19" i="35"/>
  <c r="O27" i="35"/>
  <c r="AF30" i="35"/>
  <c r="AF70" i="35"/>
  <c r="J22" i="36"/>
  <c r="J15" i="37"/>
  <c r="P15" i="37" s="1"/>
  <c r="L18" i="37"/>
  <c r="Q18" i="37" s="1"/>
  <c r="AF29" i="37"/>
  <c r="AG30" i="37"/>
  <c r="AF59" i="37"/>
  <c r="O31" i="39"/>
  <c r="AG31" i="39"/>
  <c r="AF31" i="39"/>
  <c r="L49" i="39"/>
  <c r="L58" i="39" s="1"/>
  <c r="H13" i="38" s="1"/>
  <c r="AG62" i="39"/>
  <c r="F22" i="88"/>
  <c r="P37" i="89"/>
  <c r="O17" i="43"/>
  <c r="AG17" i="43"/>
  <c r="L70" i="43"/>
  <c r="L79" i="43" s="1"/>
  <c r="J13" i="42" s="1"/>
  <c r="O7" i="45"/>
  <c r="AG7" i="45"/>
  <c r="AG31" i="45"/>
  <c r="AF31" i="45"/>
  <c r="O31" i="45"/>
  <c r="L58" i="45"/>
  <c r="H13" i="44" s="1"/>
  <c r="O62" i="45"/>
  <c r="G1" i="49"/>
  <c r="N26" i="49"/>
  <c r="AG16" i="49"/>
  <c r="AF16" i="49"/>
  <c r="O16" i="49"/>
  <c r="L27" i="49"/>
  <c r="G1" i="51"/>
  <c r="E22" i="50"/>
  <c r="P26" i="51"/>
  <c r="AF52" i="51"/>
  <c r="AG61" i="57"/>
  <c r="AF61" i="57"/>
  <c r="O61" i="57"/>
  <c r="AF28" i="33"/>
  <c r="AF5" i="35"/>
  <c r="AG30" i="35"/>
  <c r="AF51" i="35"/>
  <c r="AF60" i="35"/>
  <c r="AG70" i="35"/>
  <c r="AG29" i="37"/>
  <c r="K37" i="37"/>
  <c r="Q64" i="37"/>
  <c r="AG61" i="39"/>
  <c r="AF61" i="39"/>
  <c r="O61" i="39"/>
  <c r="N48" i="89"/>
  <c r="O38" i="89"/>
  <c r="AG38" i="89"/>
  <c r="AF38" i="89"/>
  <c r="J69" i="89"/>
  <c r="P59" i="89"/>
  <c r="L19" i="43"/>
  <c r="AG28" i="43"/>
  <c r="AF28" i="43"/>
  <c r="O28" i="43"/>
  <c r="O19" i="45"/>
  <c r="AG19" i="45"/>
  <c r="L52" i="45"/>
  <c r="L18" i="47"/>
  <c r="Q18" i="47" s="1"/>
  <c r="R40" i="47"/>
  <c r="Q40" i="47"/>
  <c r="AG8" i="49"/>
  <c r="O8" i="49"/>
  <c r="AG49" i="51"/>
  <c r="AF49" i="51"/>
  <c r="O49" i="51"/>
  <c r="N58" i="51"/>
  <c r="G1" i="53"/>
  <c r="R9" i="57"/>
  <c r="Q9" i="57"/>
  <c r="J69" i="57"/>
  <c r="P60" i="57"/>
  <c r="P69" i="57"/>
  <c r="I22" i="56"/>
  <c r="I1" i="35"/>
  <c r="P5" i="37"/>
  <c r="J37" i="37"/>
  <c r="P37" i="37" s="1"/>
  <c r="AG31" i="37"/>
  <c r="O31" i="37"/>
  <c r="P38" i="37"/>
  <c r="J79" i="37"/>
  <c r="P79" i="37" s="1"/>
  <c r="K37" i="39"/>
  <c r="L39" i="39"/>
  <c r="R39" i="39" s="1"/>
  <c r="AA2" i="39"/>
  <c r="M6" i="38" s="1"/>
  <c r="G19" i="38"/>
  <c r="L62" i="39"/>
  <c r="R62" i="39" s="1"/>
  <c r="AG9" i="89"/>
  <c r="AF9" i="89"/>
  <c r="O9" i="89"/>
  <c r="O59" i="89"/>
  <c r="AG59" i="89"/>
  <c r="AF59" i="89"/>
  <c r="N69" i="89"/>
  <c r="L18" i="43"/>
  <c r="R18" i="43" s="1"/>
  <c r="P60" i="45"/>
  <c r="L60" i="45"/>
  <c r="AF6" i="47"/>
  <c r="AG6" i="47"/>
  <c r="AG29" i="47"/>
  <c r="AF29" i="47"/>
  <c r="J48" i="47"/>
  <c r="P48" i="47" s="1"/>
  <c r="AG5" i="49"/>
  <c r="AF5" i="49"/>
  <c r="N15" i="49"/>
  <c r="O5" i="49"/>
  <c r="O39" i="49"/>
  <c r="AF39" i="49"/>
  <c r="AG39" i="49"/>
  <c r="N58" i="49"/>
  <c r="AG49" i="49"/>
  <c r="O49" i="49"/>
  <c r="AF49" i="49"/>
  <c r="R38" i="51"/>
  <c r="L69" i="51"/>
  <c r="I13" i="50" s="1"/>
  <c r="Q39" i="57"/>
  <c r="R39" i="57"/>
  <c r="K79" i="33"/>
  <c r="N26" i="39"/>
  <c r="J69" i="39"/>
  <c r="L59" i="39"/>
  <c r="R18" i="89"/>
  <c r="R30" i="89"/>
  <c r="Q30" i="89"/>
  <c r="H22" i="88"/>
  <c r="AG16" i="43"/>
  <c r="AF16" i="43"/>
  <c r="O16" i="43"/>
  <c r="L58" i="43"/>
  <c r="H13" i="42" s="1"/>
  <c r="Q50" i="43"/>
  <c r="R50" i="43"/>
  <c r="O8" i="45"/>
  <c r="AG8" i="45"/>
  <c r="AF8" i="45"/>
  <c r="K26" i="45"/>
  <c r="L17" i="45"/>
  <c r="O29" i="45"/>
  <c r="AG29" i="45"/>
  <c r="R51" i="45"/>
  <c r="Q51" i="45"/>
  <c r="L70" i="45"/>
  <c r="L79" i="45" s="1"/>
  <c r="J13" i="44" s="1"/>
  <c r="AG70" i="45"/>
  <c r="L15" i="47"/>
  <c r="D13" i="46" s="1"/>
  <c r="R6" i="47"/>
  <c r="Q6" i="47"/>
  <c r="R29" i="47"/>
  <c r="Q29" i="47"/>
  <c r="R79" i="49"/>
  <c r="S70" i="49" s="1"/>
  <c r="J15" i="48" s="1"/>
  <c r="J14" i="48"/>
  <c r="R19" i="51"/>
  <c r="Q19" i="51"/>
  <c r="Q50" i="51"/>
  <c r="AF17" i="37"/>
  <c r="P26" i="37"/>
  <c r="AG39" i="37"/>
  <c r="AF39" i="37"/>
  <c r="O39" i="37"/>
  <c r="AG51" i="37"/>
  <c r="O51" i="37"/>
  <c r="L59" i="37"/>
  <c r="L69" i="37" s="1"/>
  <c r="I13" i="36" s="1"/>
  <c r="J6" i="36" s="1"/>
  <c r="AF62" i="37"/>
  <c r="L5" i="39"/>
  <c r="O16" i="39"/>
  <c r="AG27" i="39"/>
  <c r="AF27" i="39"/>
  <c r="F22" i="38"/>
  <c r="Q39" i="39"/>
  <c r="L70" i="39"/>
  <c r="L79" i="39" s="1"/>
  <c r="J13" i="38" s="1"/>
  <c r="AG52" i="89"/>
  <c r="O62" i="89"/>
  <c r="AG62" i="89"/>
  <c r="AF62" i="89"/>
  <c r="Q18" i="43"/>
  <c r="AG49" i="43"/>
  <c r="O49" i="43"/>
  <c r="N58" i="43"/>
  <c r="AG61" i="43"/>
  <c r="O61" i="43"/>
  <c r="AF61" i="43"/>
  <c r="AG5" i="47"/>
  <c r="AF5" i="47"/>
  <c r="N15" i="47"/>
  <c r="L39" i="47"/>
  <c r="AF39" i="47"/>
  <c r="L62" i="47"/>
  <c r="Q62" i="47" s="1"/>
  <c r="AG62" i="47"/>
  <c r="K48" i="49"/>
  <c r="R61" i="51"/>
  <c r="Q61" i="51"/>
  <c r="R8" i="53"/>
  <c r="Q8" i="53"/>
  <c r="Q30" i="53"/>
  <c r="R30" i="53"/>
  <c r="O31" i="53"/>
  <c r="AG31" i="53"/>
  <c r="AF31" i="53"/>
  <c r="AG27" i="55"/>
  <c r="O27" i="55"/>
  <c r="AF27" i="55"/>
  <c r="N37" i="55"/>
  <c r="Q17" i="57"/>
  <c r="R17" i="57"/>
  <c r="L31" i="57"/>
  <c r="AF31" i="57"/>
  <c r="L63" i="35"/>
  <c r="R63" i="35" s="1"/>
  <c r="AG17" i="37"/>
  <c r="P29" i="37"/>
  <c r="O30" i="37"/>
  <c r="N58" i="37"/>
  <c r="O59" i="37"/>
  <c r="Z2" i="39"/>
  <c r="L6" i="38" s="1"/>
  <c r="O27" i="39"/>
  <c r="N37" i="39"/>
  <c r="L48" i="39"/>
  <c r="G13" i="38" s="1"/>
  <c r="K69" i="39"/>
  <c r="P69" i="39"/>
  <c r="AG18" i="89"/>
  <c r="AF52" i="89"/>
  <c r="N15" i="43"/>
  <c r="AF5" i="43"/>
  <c r="AF18" i="43"/>
  <c r="L60" i="43"/>
  <c r="F20" i="44"/>
  <c r="AG38" i="45"/>
  <c r="O38" i="45"/>
  <c r="P50" i="45"/>
  <c r="L50" i="45"/>
  <c r="R60" i="45"/>
  <c r="Q60" i="45"/>
  <c r="J69" i="45"/>
  <c r="P69" i="45" s="1"/>
  <c r="O5" i="47"/>
  <c r="J58" i="47"/>
  <c r="P58" i="47" s="1"/>
  <c r="O17" i="49"/>
  <c r="AF17" i="49"/>
  <c r="AG17" i="49"/>
  <c r="L38" i="49"/>
  <c r="L48" i="49" s="1"/>
  <c r="G13" i="48" s="1"/>
  <c r="F22" i="50"/>
  <c r="Q40" i="51"/>
  <c r="R40" i="51"/>
  <c r="P52" i="51"/>
  <c r="L52" i="51"/>
  <c r="AF5" i="53"/>
  <c r="N15" i="53"/>
  <c r="AG5" i="53"/>
  <c r="O60" i="53"/>
  <c r="AG60" i="53"/>
  <c r="AF60" i="53"/>
  <c r="K79" i="39"/>
  <c r="AA2" i="89"/>
  <c r="M6" i="88" s="1"/>
  <c r="L71" i="89"/>
  <c r="D21" i="42"/>
  <c r="AE2" i="43"/>
  <c r="O6" i="42" s="1"/>
  <c r="AG29" i="43"/>
  <c r="O29" i="43"/>
  <c r="AF52" i="43"/>
  <c r="K69" i="43"/>
  <c r="L59" i="43"/>
  <c r="L69" i="43" s="1"/>
  <c r="I13" i="42" s="1"/>
  <c r="J6" i="42" s="1"/>
  <c r="AE2" i="45"/>
  <c r="O6" i="44" s="1"/>
  <c r="AG50" i="45"/>
  <c r="AF50" i="45"/>
  <c r="AG51" i="45"/>
  <c r="AF70" i="47"/>
  <c r="N79" i="47"/>
  <c r="AG27" i="49"/>
  <c r="AF27" i="49"/>
  <c r="N37" i="49"/>
  <c r="O27" i="49"/>
  <c r="AF51" i="49"/>
  <c r="O51" i="49"/>
  <c r="L6" i="51"/>
  <c r="L15" i="51" s="1"/>
  <c r="D13" i="50" s="1"/>
  <c r="O59" i="51"/>
  <c r="N69" i="51"/>
  <c r="AF59" i="51"/>
  <c r="AF62" i="51"/>
  <c r="O62" i="51"/>
  <c r="AG9" i="53"/>
  <c r="D22" i="52"/>
  <c r="I1" i="53"/>
  <c r="AG51" i="53"/>
  <c r="L60" i="57"/>
  <c r="AG62" i="59"/>
  <c r="O62" i="59"/>
  <c r="AF62" i="59"/>
  <c r="AF17" i="39"/>
  <c r="AF39" i="39"/>
  <c r="AD2" i="89"/>
  <c r="N6" i="88" s="1"/>
  <c r="J26" i="89"/>
  <c r="P26" i="89" s="1"/>
  <c r="AF27" i="89"/>
  <c r="AF39" i="89"/>
  <c r="J58" i="89"/>
  <c r="P58" i="89" s="1"/>
  <c r="AG61" i="89"/>
  <c r="AG52" i="43"/>
  <c r="N69" i="43"/>
  <c r="O59" i="43"/>
  <c r="O60" i="43"/>
  <c r="L8" i="45"/>
  <c r="R9" i="45"/>
  <c r="AG30" i="45"/>
  <c r="Z2" i="47"/>
  <c r="L6" i="46" s="1"/>
  <c r="P15" i="47"/>
  <c r="R18" i="47"/>
  <c r="AG28" i="47"/>
  <c r="AF28" i="47"/>
  <c r="AG60" i="47"/>
  <c r="O60" i="47"/>
  <c r="AF60" i="47"/>
  <c r="AG70" i="47"/>
  <c r="AF18" i="49"/>
  <c r="E22" i="48"/>
  <c r="L50" i="49"/>
  <c r="R50" i="49" s="1"/>
  <c r="AG51" i="49"/>
  <c r="L9" i="51"/>
  <c r="Q9" i="51" s="1"/>
  <c r="AG9" i="51"/>
  <c r="AF9" i="51"/>
  <c r="J26" i="51"/>
  <c r="P16" i="51"/>
  <c r="AG50" i="51"/>
  <c r="L7" i="53"/>
  <c r="L15" i="53" s="1"/>
  <c r="D13" i="52" s="1"/>
  <c r="AF50" i="55"/>
  <c r="O50" i="55"/>
  <c r="N58" i="55"/>
  <c r="AG50" i="55"/>
  <c r="D19" i="88"/>
  <c r="K69" i="89"/>
  <c r="L59" i="89"/>
  <c r="L69" i="89" s="1"/>
  <c r="I13" i="88" s="1"/>
  <c r="AG5" i="45"/>
  <c r="N15" i="45"/>
  <c r="O5" i="45"/>
  <c r="L16" i="45"/>
  <c r="L26" i="45" s="1"/>
  <c r="E13" i="44" s="1"/>
  <c r="AG79" i="45"/>
  <c r="AH70" i="45" s="1"/>
  <c r="Q79" i="45"/>
  <c r="K37" i="47"/>
  <c r="L27" i="47"/>
  <c r="L37" i="47" s="1"/>
  <c r="F13" i="46" s="1"/>
  <c r="AG39" i="47"/>
  <c r="O39" i="47"/>
  <c r="N69" i="47"/>
  <c r="O59" i="47"/>
  <c r="AF59" i="47"/>
  <c r="P15" i="49"/>
  <c r="D22" i="48"/>
  <c r="I1" i="49"/>
  <c r="AF50" i="49"/>
  <c r="AG52" i="49"/>
  <c r="AF52" i="49"/>
  <c r="K58" i="49"/>
  <c r="AF60" i="49"/>
  <c r="O60" i="49"/>
  <c r="K15" i="51"/>
  <c r="O51" i="51"/>
  <c r="AF51" i="51"/>
  <c r="L29" i="53"/>
  <c r="L37" i="53" s="1"/>
  <c r="F13" i="52" s="1"/>
  <c r="AG16" i="55"/>
  <c r="O16" i="55"/>
  <c r="N26" i="55"/>
  <c r="AF51" i="55"/>
  <c r="AG51" i="55"/>
  <c r="R5" i="65"/>
  <c r="Q5" i="65"/>
  <c r="AG60" i="89"/>
  <c r="P15" i="45"/>
  <c r="Q18" i="45"/>
  <c r="J37" i="45"/>
  <c r="P37" i="45" s="1"/>
  <c r="J58" i="45"/>
  <c r="P58" i="45" s="1"/>
  <c r="O27" i="47"/>
  <c r="AF27" i="47"/>
  <c r="N37" i="47"/>
  <c r="AG30" i="47"/>
  <c r="AF30" i="47"/>
  <c r="O30" i="47"/>
  <c r="AG48" i="47"/>
  <c r="AH38" i="47" s="1"/>
  <c r="AF61" i="47"/>
  <c r="P6" i="49"/>
  <c r="L6" i="49"/>
  <c r="L15" i="49" s="1"/>
  <c r="D13" i="48" s="1"/>
  <c r="O7" i="49"/>
  <c r="AG7" i="49"/>
  <c r="AE2" i="49"/>
  <c r="O6" i="48" s="1"/>
  <c r="AG28" i="49"/>
  <c r="AF28" i="49"/>
  <c r="Q52" i="49"/>
  <c r="R52" i="49"/>
  <c r="AF19" i="51"/>
  <c r="AG28" i="51"/>
  <c r="O28" i="51"/>
  <c r="K26" i="53"/>
  <c r="AG26" i="53" s="1"/>
  <c r="AH16" i="53" s="1"/>
  <c r="AG29" i="53"/>
  <c r="O29" i="53"/>
  <c r="G1" i="55"/>
  <c r="R18" i="55"/>
  <c r="Q18" i="55"/>
  <c r="Q49" i="55"/>
  <c r="O58" i="55"/>
  <c r="Q51" i="55"/>
  <c r="R51" i="55"/>
  <c r="O69" i="57"/>
  <c r="R59" i="57"/>
  <c r="Q59" i="57"/>
  <c r="R51" i="65"/>
  <c r="Q51" i="65"/>
  <c r="AG37" i="67"/>
  <c r="AH27" i="67" s="1"/>
  <c r="AF37" i="67"/>
  <c r="Q37" i="67"/>
  <c r="K15" i="89"/>
  <c r="O60" i="89"/>
  <c r="AG59" i="43"/>
  <c r="D21" i="44"/>
  <c r="I1" i="45"/>
  <c r="AG9" i="45"/>
  <c r="O30" i="45"/>
  <c r="O50" i="45"/>
  <c r="Q8" i="47"/>
  <c r="R8" i="47"/>
  <c r="Q48" i="47"/>
  <c r="AG49" i="47"/>
  <c r="N58" i="47"/>
  <c r="AF7" i="49"/>
  <c r="O28" i="49"/>
  <c r="P48" i="49"/>
  <c r="G22" i="48"/>
  <c r="R63" i="49"/>
  <c r="Q63" i="49"/>
  <c r="Q70" i="49"/>
  <c r="Z2" i="51"/>
  <c r="L6" i="50" s="1"/>
  <c r="D18" i="50"/>
  <c r="AG19" i="51"/>
  <c r="AG39" i="51"/>
  <c r="AF39" i="51"/>
  <c r="AG40" i="51"/>
  <c r="R71" i="51"/>
  <c r="Q71" i="51"/>
  <c r="E21" i="52"/>
  <c r="AE2" i="53"/>
  <c r="O6" i="52" s="1"/>
  <c r="J58" i="53"/>
  <c r="P49" i="53"/>
  <c r="AG5" i="55"/>
  <c r="AF5" i="55"/>
  <c r="K15" i="55"/>
  <c r="AF15" i="55" s="1"/>
  <c r="AG15" i="55"/>
  <c r="AH5" i="55" s="1"/>
  <c r="O31" i="55"/>
  <c r="AG31" i="55"/>
  <c r="AF31" i="55"/>
  <c r="O39" i="55"/>
  <c r="AG39" i="55"/>
  <c r="G22" i="54"/>
  <c r="R61" i="89"/>
  <c r="K15" i="43"/>
  <c r="P48" i="43"/>
  <c r="R6" i="45"/>
  <c r="AG10" i="45"/>
  <c r="R18" i="45"/>
  <c r="L39" i="45"/>
  <c r="R39" i="45" s="1"/>
  <c r="P48" i="45"/>
  <c r="AG49" i="45"/>
  <c r="N58" i="45"/>
  <c r="L59" i="45"/>
  <c r="L69" i="45" s="1"/>
  <c r="I13" i="44" s="1"/>
  <c r="AG27" i="47"/>
  <c r="O58" i="47"/>
  <c r="R49" i="47"/>
  <c r="Q49" i="47"/>
  <c r="Z2" i="49"/>
  <c r="L6" i="48" s="1"/>
  <c r="D18" i="48"/>
  <c r="N48" i="49"/>
  <c r="O7" i="51"/>
  <c r="AF7" i="51"/>
  <c r="AG7" i="51"/>
  <c r="AA2" i="51"/>
  <c r="M6" i="50" s="1"/>
  <c r="D19" i="50"/>
  <c r="O39" i="51"/>
  <c r="O48" i="51" s="1"/>
  <c r="Q6" i="53"/>
  <c r="L58" i="53"/>
  <c r="H13" i="52" s="1"/>
  <c r="R49" i="53"/>
  <c r="Q49" i="53"/>
  <c r="L15" i="55"/>
  <c r="D13" i="54" s="1"/>
  <c r="AF39" i="55"/>
  <c r="R19" i="57"/>
  <c r="Q19" i="57"/>
  <c r="AG49" i="57"/>
  <c r="AF49" i="57"/>
  <c r="N58" i="57"/>
  <c r="O49" i="57"/>
  <c r="R52" i="59"/>
  <c r="Q52" i="59"/>
  <c r="O70" i="65"/>
  <c r="N79" i="65"/>
  <c r="AG70" i="65"/>
  <c r="AF70" i="65"/>
  <c r="AG38" i="47"/>
  <c r="L52" i="47"/>
  <c r="AG6" i="49"/>
  <c r="L16" i="49"/>
  <c r="L26" i="49" s="1"/>
  <c r="E13" i="48" s="1"/>
  <c r="L28" i="49"/>
  <c r="P7" i="51"/>
  <c r="L7" i="51"/>
  <c r="R9" i="51"/>
  <c r="L18" i="51"/>
  <c r="J37" i="51"/>
  <c r="P37" i="51" s="1"/>
  <c r="J15" i="53"/>
  <c r="P15" i="53" s="1"/>
  <c r="L19" i="53"/>
  <c r="Q19" i="53" s="1"/>
  <c r="K37" i="55"/>
  <c r="AG41" i="55"/>
  <c r="O41" i="55"/>
  <c r="AF41" i="55"/>
  <c r="L7" i="57"/>
  <c r="O50" i="57"/>
  <c r="AG50" i="57"/>
  <c r="L52" i="57"/>
  <c r="O7" i="59"/>
  <c r="AG7" i="59"/>
  <c r="AF7" i="59"/>
  <c r="AG18" i="51"/>
  <c r="O18" i="51"/>
  <c r="L38" i="51"/>
  <c r="L48" i="51" s="1"/>
  <c r="G13" i="50" s="1"/>
  <c r="K48" i="51"/>
  <c r="AG41" i="51"/>
  <c r="AF41" i="51"/>
  <c r="O41" i="51"/>
  <c r="AF59" i="53"/>
  <c r="N69" i="53"/>
  <c r="R6" i="55"/>
  <c r="Q6" i="55"/>
  <c r="AF7" i="55"/>
  <c r="O7" i="55"/>
  <c r="AG7" i="55"/>
  <c r="L26" i="55"/>
  <c r="E13" i="54" s="1"/>
  <c r="L40" i="55"/>
  <c r="L48" i="55" s="1"/>
  <c r="G13" i="54" s="1"/>
  <c r="P40" i="55"/>
  <c r="N37" i="57"/>
  <c r="O27" i="57"/>
  <c r="AF27" i="57"/>
  <c r="O31" i="57"/>
  <c r="AG31" i="57"/>
  <c r="E22" i="58"/>
  <c r="N15" i="61"/>
  <c r="O5" i="61"/>
  <c r="AG5" i="61"/>
  <c r="P7" i="61"/>
  <c r="J15" i="61"/>
  <c r="P15" i="61" s="1"/>
  <c r="R16" i="61"/>
  <c r="Q16" i="61"/>
  <c r="O26" i="61"/>
  <c r="AF29" i="65"/>
  <c r="AG29" i="65"/>
  <c r="O29" i="65"/>
  <c r="AF17" i="47"/>
  <c r="L38" i="47"/>
  <c r="Q38" i="47" s="1"/>
  <c r="L60" i="47"/>
  <c r="AG61" i="47"/>
  <c r="J69" i="47"/>
  <c r="P69" i="47" s="1"/>
  <c r="P79" i="47"/>
  <c r="J15" i="49"/>
  <c r="AA2" i="49"/>
  <c r="M6" i="48" s="1"/>
  <c r="L60" i="49"/>
  <c r="N79" i="49"/>
  <c r="AG70" i="49"/>
  <c r="AF70" i="49"/>
  <c r="L16" i="51"/>
  <c r="N48" i="51"/>
  <c r="P60" i="51"/>
  <c r="J69" i="51"/>
  <c r="P69" i="51" s="1"/>
  <c r="L79" i="51"/>
  <c r="J13" i="50" s="1"/>
  <c r="Q5" i="55"/>
  <c r="R5" i="55"/>
  <c r="Q8" i="55"/>
  <c r="R8" i="55"/>
  <c r="O15" i="55"/>
  <c r="AG19" i="55"/>
  <c r="AF19" i="55"/>
  <c r="O19" i="55"/>
  <c r="K69" i="55"/>
  <c r="AF59" i="55"/>
  <c r="AG60" i="55"/>
  <c r="AF60" i="55"/>
  <c r="O60" i="55"/>
  <c r="L6" i="57"/>
  <c r="AG6" i="57"/>
  <c r="P28" i="57"/>
  <c r="J37" i="57"/>
  <c r="P37" i="57" s="1"/>
  <c r="AF30" i="57"/>
  <c r="AG30" i="57"/>
  <c r="L30" i="57"/>
  <c r="AF6" i="63"/>
  <c r="O6" i="63"/>
  <c r="N15" i="63"/>
  <c r="G1" i="63"/>
  <c r="O28" i="67"/>
  <c r="AF28" i="67"/>
  <c r="AG28" i="67"/>
  <c r="G1" i="47"/>
  <c r="AF62" i="47"/>
  <c r="Q63" i="47"/>
  <c r="L58" i="49"/>
  <c r="H13" i="48" s="1"/>
  <c r="L69" i="49"/>
  <c r="I13" i="48" s="1"/>
  <c r="J6" i="48" s="1"/>
  <c r="Q61" i="49"/>
  <c r="P15" i="51"/>
  <c r="D22" i="50"/>
  <c r="AF18" i="51"/>
  <c r="AF38" i="51"/>
  <c r="AF6" i="53"/>
  <c r="AG6" i="53"/>
  <c r="AG70" i="53"/>
  <c r="AF70" i="53"/>
  <c r="N79" i="53"/>
  <c r="D18" i="54"/>
  <c r="Z2" i="55"/>
  <c r="L6" i="54" s="1"/>
  <c r="L59" i="55"/>
  <c r="L69" i="55" s="1"/>
  <c r="I13" i="54" s="1"/>
  <c r="J6" i="54" s="1"/>
  <c r="R6" i="57"/>
  <c r="Q6" i="57"/>
  <c r="G1" i="59"/>
  <c r="AA2" i="61"/>
  <c r="M6" i="60" s="1"/>
  <c r="D19" i="60"/>
  <c r="AG6" i="63"/>
  <c r="O70" i="45"/>
  <c r="J22" i="46"/>
  <c r="L59" i="47"/>
  <c r="R62" i="47"/>
  <c r="Q50" i="49"/>
  <c r="AG59" i="49"/>
  <c r="O59" i="49"/>
  <c r="R61" i="49"/>
  <c r="J79" i="49"/>
  <c r="P79" i="49" s="1"/>
  <c r="N15" i="51"/>
  <c r="L29" i="51"/>
  <c r="AG38" i="51"/>
  <c r="J58" i="51"/>
  <c r="P58" i="51" s="1"/>
  <c r="AG17" i="53"/>
  <c r="AF17" i="53"/>
  <c r="AG38" i="53"/>
  <c r="N48" i="53"/>
  <c r="AF38" i="53"/>
  <c r="P48" i="53"/>
  <c r="O70" i="53"/>
  <c r="AG29" i="55"/>
  <c r="O29" i="55"/>
  <c r="AF29" i="55"/>
  <c r="L49" i="55"/>
  <c r="L58" i="55" s="1"/>
  <c r="H13" i="54" s="1"/>
  <c r="J58" i="55"/>
  <c r="P58" i="55" s="1"/>
  <c r="P49" i="55"/>
  <c r="AG62" i="55"/>
  <c r="AF62" i="55"/>
  <c r="O62" i="55"/>
  <c r="O6" i="59"/>
  <c r="AG6" i="59"/>
  <c r="AF6" i="59"/>
  <c r="L8" i="61"/>
  <c r="K15" i="61"/>
  <c r="R63" i="47"/>
  <c r="R6" i="49"/>
  <c r="L18" i="49"/>
  <c r="Q18" i="49" s="1"/>
  <c r="K79" i="49"/>
  <c r="O5" i="51"/>
  <c r="O6" i="51"/>
  <c r="AG6" i="51"/>
  <c r="AF29" i="51"/>
  <c r="O29" i="51"/>
  <c r="L50" i="51"/>
  <c r="R50" i="51" s="1"/>
  <c r="K69" i="51"/>
  <c r="O38" i="53"/>
  <c r="AG49" i="53"/>
  <c r="L52" i="53"/>
  <c r="J37" i="55"/>
  <c r="P37" i="55" s="1"/>
  <c r="K48" i="55"/>
  <c r="D21" i="56"/>
  <c r="AE2" i="57"/>
  <c r="O6" i="56" s="1"/>
  <c r="AD2" i="57"/>
  <c r="N6" i="56" s="1"/>
  <c r="E20" i="56"/>
  <c r="AG39" i="57"/>
  <c r="AF39" i="57"/>
  <c r="J15" i="51"/>
  <c r="AG50" i="53"/>
  <c r="AF50" i="53"/>
  <c r="K79" i="53"/>
  <c r="AG70" i="55"/>
  <c r="AF70" i="55"/>
  <c r="N79" i="55"/>
  <c r="O7" i="57"/>
  <c r="AG7" i="57"/>
  <c r="P26" i="57"/>
  <c r="E22" i="56"/>
  <c r="AF29" i="57"/>
  <c r="O29" i="57"/>
  <c r="K69" i="57"/>
  <c r="P63" i="57"/>
  <c r="L63" i="57"/>
  <c r="N37" i="59"/>
  <c r="O27" i="59"/>
  <c r="O38" i="59"/>
  <c r="AG38" i="59"/>
  <c r="N48" i="59"/>
  <c r="AG53" i="59"/>
  <c r="AF53" i="59"/>
  <c r="N58" i="59"/>
  <c r="Q59" i="59"/>
  <c r="L62" i="59"/>
  <c r="P19" i="65"/>
  <c r="J26" i="65"/>
  <c r="P26" i="65" s="1"/>
  <c r="L19" i="65"/>
  <c r="AF28" i="65"/>
  <c r="AG28" i="65"/>
  <c r="K37" i="65"/>
  <c r="L28" i="65"/>
  <c r="Q28" i="65" s="1"/>
  <c r="AF31" i="65"/>
  <c r="O31" i="65"/>
  <c r="AG31" i="65"/>
  <c r="J48" i="49"/>
  <c r="O50" i="53"/>
  <c r="O51" i="53"/>
  <c r="L70" i="53"/>
  <c r="L79" i="53" s="1"/>
  <c r="J13" i="52" s="1"/>
  <c r="R71" i="53"/>
  <c r="AF6" i="55"/>
  <c r="L9" i="55"/>
  <c r="AE2" i="55"/>
  <c r="O6" i="54" s="1"/>
  <c r="R30" i="55"/>
  <c r="Q30" i="55"/>
  <c r="J48" i="55"/>
  <c r="P48" i="55" s="1"/>
  <c r="O70" i="55"/>
  <c r="J15" i="57"/>
  <c r="AF7" i="57"/>
  <c r="AG29" i="57"/>
  <c r="O70" i="57"/>
  <c r="AG70" i="57"/>
  <c r="N79" i="57"/>
  <c r="AF70" i="57"/>
  <c r="AF27" i="59"/>
  <c r="AF38" i="59"/>
  <c r="O53" i="59"/>
  <c r="O50" i="61"/>
  <c r="AG50" i="61"/>
  <c r="AF50" i="61"/>
  <c r="L19" i="63"/>
  <c r="K26" i="63"/>
  <c r="O70" i="63"/>
  <c r="AF70" i="63"/>
  <c r="N79" i="63"/>
  <c r="AG70" i="63"/>
  <c r="P5" i="51"/>
  <c r="L37" i="55"/>
  <c r="F13" i="54" s="1"/>
  <c r="AG28" i="55"/>
  <c r="AF28" i="55"/>
  <c r="L8" i="57"/>
  <c r="AG28" i="57"/>
  <c r="O28" i="57"/>
  <c r="Z2" i="57"/>
  <c r="L6" i="56" s="1"/>
  <c r="N15" i="59"/>
  <c r="AG5" i="59"/>
  <c r="AF5" i="59"/>
  <c r="AG39" i="59"/>
  <c r="AF39" i="59"/>
  <c r="AG52" i="61"/>
  <c r="O52" i="61"/>
  <c r="AE2" i="65"/>
  <c r="O6" i="64" s="1"/>
  <c r="L27" i="65"/>
  <c r="J37" i="65"/>
  <c r="P37" i="65" s="1"/>
  <c r="AF49" i="53"/>
  <c r="N58" i="53"/>
  <c r="K69" i="53"/>
  <c r="AG9" i="55"/>
  <c r="O9" i="55"/>
  <c r="O28" i="55"/>
  <c r="AG49" i="55"/>
  <c r="AF49" i="55"/>
  <c r="K15" i="57"/>
  <c r="L5" i="57"/>
  <c r="L15" i="57" s="1"/>
  <c r="D13" i="56" s="1"/>
  <c r="P15" i="57"/>
  <c r="I1" i="57"/>
  <c r="D22" i="56"/>
  <c r="AF28" i="57"/>
  <c r="O38" i="57"/>
  <c r="AG38" i="57"/>
  <c r="N48" i="57"/>
  <c r="O53" i="57"/>
  <c r="AG53" i="57"/>
  <c r="O5" i="59"/>
  <c r="AG9" i="59"/>
  <c r="O9" i="59"/>
  <c r="AF9" i="59"/>
  <c r="AG18" i="59"/>
  <c r="AF18" i="59"/>
  <c r="O18" i="59"/>
  <c r="O28" i="59"/>
  <c r="AF28" i="59"/>
  <c r="O39" i="59"/>
  <c r="AF49" i="59"/>
  <c r="O49" i="59"/>
  <c r="AG49" i="59"/>
  <c r="AF8" i="61"/>
  <c r="AG8" i="61"/>
  <c r="O8" i="61"/>
  <c r="AF52" i="61"/>
  <c r="AF19" i="63"/>
  <c r="O39" i="63"/>
  <c r="AF39" i="63"/>
  <c r="AG39" i="63"/>
  <c r="R60" i="63"/>
  <c r="Q60" i="63"/>
  <c r="R18" i="65"/>
  <c r="Q18" i="65"/>
  <c r="P27" i="65"/>
  <c r="K26" i="49"/>
  <c r="AG8" i="51"/>
  <c r="P48" i="51"/>
  <c r="N37" i="53"/>
  <c r="AF27" i="53"/>
  <c r="AF51" i="53"/>
  <c r="L69" i="53"/>
  <c r="I13" i="52" s="1"/>
  <c r="J6" i="52" s="1"/>
  <c r="O40" i="55"/>
  <c r="AG40" i="55"/>
  <c r="N15" i="57"/>
  <c r="P50" i="57"/>
  <c r="L50" i="57"/>
  <c r="L58" i="57" s="1"/>
  <c r="H13" i="56" s="1"/>
  <c r="J26" i="59"/>
  <c r="P26" i="59" s="1"/>
  <c r="K69" i="59"/>
  <c r="R28" i="63"/>
  <c r="Q28" i="63"/>
  <c r="R7" i="65"/>
  <c r="Q7" i="65"/>
  <c r="O8" i="51"/>
  <c r="K37" i="51"/>
  <c r="L27" i="51"/>
  <c r="L37" i="51" s="1"/>
  <c r="F13" i="50" s="1"/>
  <c r="O27" i="53"/>
  <c r="L32" i="53"/>
  <c r="Q32" i="53" s="1"/>
  <c r="J48" i="53"/>
  <c r="F22" i="54"/>
  <c r="O48" i="55"/>
  <c r="R38" i="55"/>
  <c r="Q38" i="55"/>
  <c r="AF40" i="55"/>
  <c r="J69" i="55"/>
  <c r="P69" i="55" s="1"/>
  <c r="L27" i="57"/>
  <c r="K37" i="57"/>
  <c r="L17" i="59"/>
  <c r="R17" i="59" s="1"/>
  <c r="L60" i="59"/>
  <c r="R40" i="65"/>
  <c r="Q40" i="65"/>
  <c r="L69" i="65"/>
  <c r="I13" i="64" s="1"/>
  <c r="J6" i="64" s="1"/>
  <c r="K58" i="55"/>
  <c r="N26" i="57"/>
  <c r="AG60" i="57"/>
  <c r="AF60" i="57"/>
  <c r="AG16" i="59"/>
  <c r="AF16" i="59"/>
  <c r="N26" i="59"/>
  <c r="Q32" i="59"/>
  <c r="R50" i="59"/>
  <c r="Q50" i="59"/>
  <c r="AG60" i="59"/>
  <c r="AF60" i="59"/>
  <c r="O60" i="59"/>
  <c r="AG7" i="61"/>
  <c r="O7" i="61"/>
  <c r="AF7" i="61"/>
  <c r="O29" i="63"/>
  <c r="AG29" i="63"/>
  <c r="AF29" i="63"/>
  <c r="AF60" i="65"/>
  <c r="O60" i="65"/>
  <c r="AG60" i="65"/>
  <c r="N69" i="65"/>
  <c r="AF30" i="55"/>
  <c r="Q52" i="55"/>
  <c r="AA2" i="57"/>
  <c r="M6" i="56" s="1"/>
  <c r="AF6" i="57"/>
  <c r="R30" i="57"/>
  <c r="Q30" i="57"/>
  <c r="J58" i="57"/>
  <c r="P58" i="57" s="1"/>
  <c r="P49" i="57"/>
  <c r="Q51" i="57"/>
  <c r="R51" i="57"/>
  <c r="Q16" i="59"/>
  <c r="R16" i="59"/>
  <c r="O26" i="59"/>
  <c r="J37" i="59"/>
  <c r="P37" i="59" s="1"/>
  <c r="P27" i="59"/>
  <c r="AG40" i="59"/>
  <c r="AF40" i="59"/>
  <c r="L69" i="59"/>
  <c r="I13" i="58" s="1"/>
  <c r="N37" i="61"/>
  <c r="AG27" i="61"/>
  <c r="O27" i="61"/>
  <c r="AF28" i="61"/>
  <c r="P30" i="61"/>
  <c r="J37" i="61"/>
  <c r="P37" i="61" s="1"/>
  <c r="K58" i="61"/>
  <c r="L60" i="61"/>
  <c r="L69" i="61" s="1"/>
  <c r="I13" i="60" s="1"/>
  <c r="AF60" i="61"/>
  <c r="AG8" i="63"/>
  <c r="AF8" i="63"/>
  <c r="L37" i="63"/>
  <c r="F13" i="62" s="1"/>
  <c r="AF61" i="63"/>
  <c r="AG61" i="63"/>
  <c r="O61" i="63"/>
  <c r="N69" i="63"/>
  <c r="AG30" i="55"/>
  <c r="N48" i="55"/>
  <c r="AF52" i="55"/>
  <c r="K58" i="57"/>
  <c r="AF59" i="57"/>
  <c r="N69" i="57"/>
  <c r="AG59" i="57"/>
  <c r="F20" i="58"/>
  <c r="AD2" i="59"/>
  <c r="N6" i="58" s="1"/>
  <c r="R40" i="59"/>
  <c r="Q40" i="59"/>
  <c r="AG59" i="59"/>
  <c r="AF59" i="59"/>
  <c r="N69" i="59"/>
  <c r="AG28" i="61"/>
  <c r="AG51" i="61"/>
  <c r="O51" i="61"/>
  <c r="Q63" i="61"/>
  <c r="R63" i="61"/>
  <c r="R8" i="63"/>
  <c r="Q8" i="63"/>
  <c r="O31" i="63"/>
  <c r="AG31" i="63"/>
  <c r="AF31" i="63"/>
  <c r="R71" i="65"/>
  <c r="Q71" i="65"/>
  <c r="AG61" i="55"/>
  <c r="AF61" i="55"/>
  <c r="P16" i="57"/>
  <c r="L16" i="57"/>
  <c r="AG18" i="57"/>
  <c r="O18" i="57"/>
  <c r="O26" i="57" s="1"/>
  <c r="L28" i="57"/>
  <c r="R32" i="57"/>
  <c r="Q32" i="57"/>
  <c r="P70" i="57"/>
  <c r="L70" i="57"/>
  <c r="L79" i="57" s="1"/>
  <c r="J13" i="56" s="1"/>
  <c r="AG29" i="59"/>
  <c r="AF29" i="59"/>
  <c r="O30" i="59"/>
  <c r="AG30" i="59"/>
  <c r="AF30" i="59"/>
  <c r="P79" i="59"/>
  <c r="AG9" i="61"/>
  <c r="AF9" i="61"/>
  <c r="AF38" i="61"/>
  <c r="O38" i="61"/>
  <c r="AG38" i="61"/>
  <c r="N48" i="61"/>
  <c r="AG61" i="61"/>
  <c r="L61" i="61"/>
  <c r="O10" i="63"/>
  <c r="AF10" i="63"/>
  <c r="AG10" i="63"/>
  <c r="AG19" i="63"/>
  <c r="O19" i="63"/>
  <c r="R28" i="65"/>
  <c r="AG39" i="65"/>
  <c r="O39" i="65"/>
  <c r="AF39" i="65"/>
  <c r="O18" i="67"/>
  <c r="AF18" i="67"/>
  <c r="AG18" i="67"/>
  <c r="O61" i="55"/>
  <c r="AG5" i="57"/>
  <c r="AF5" i="57"/>
  <c r="Q10" i="59"/>
  <c r="O29" i="59"/>
  <c r="L51" i="59"/>
  <c r="AG51" i="59"/>
  <c r="L9" i="63"/>
  <c r="AG9" i="63"/>
  <c r="AF27" i="63"/>
  <c r="AG27" i="63"/>
  <c r="O27" i="63"/>
  <c r="N37" i="63"/>
  <c r="AF50" i="63"/>
  <c r="AG50" i="63"/>
  <c r="L50" i="63"/>
  <c r="AG19" i="65"/>
  <c r="AF19" i="65"/>
  <c r="O19" i="65"/>
  <c r="I1" i="55"/>
  <c r="N69" i="55"/>
  <c r="O59" i="55"/>
  <c r="O5" i="57"/>
  <c r="AF8" i="57"/>
  <c r="J26" i="57"/>
  <c r="AG52" i="57"/>
  <c r="O52" i="57"/>
  <c r="L62" i="57"/>
  <c r="Q62" i="57" s="1"/>
  <c r="Q17" i="59"/>
  <c r="O61" i="59"/>
  <c r="AG61" i="59"/>
  <c r="AF61" i="59"/>
  <c r="Z2" i="61"/>
  <c r="L6" i="60" s="1"/>
  <c r="AD2" i="61"/>
  <c r="N6" i="60" s="1"/>
  <c r="O79" i="61"/>
  <c r="AF9" i="63"/>
  <c r="AD2" i="65"/>
  <c r="N6" i="64" s="1"/>
  <c r="AG27" i="67"/>
  <c r="O27" i="67"/>
  <c r="AF27" i="67"/>
  <c r="L7" i="61"/>
  <c r="L15" i="61" s="1"/>
  <c r="D13" i="60" s="1"/>
  <c r="J69" i="61"/>
  <c r="P69" i="61" s="1"/>
  <c r="P60" i="61"/>
  <c r="L18" i="63"/>
  <c r="P18" i="63"/>
  <c r="L69" i="63"/>
  <c r="I13" i="62" s="1"/>
  <c r="J6" i="62" s="1"/>
  <c r="D19" i="66"/>
  <c r="AA2" i="67"/>
  <c r="M6" i="66" s="1"/>
  <c r="AG49" i="67"/>
  <c r="AF49" i="67"/>
  <c r="N58" i="67"/>
  <c r="O49" i="67"/>
  <c r="L7" i="67"/>
  <c r="AG60" i="67"/>
  <c r="AF60" i="67"/>
  <c r="O60" i="67"/>
  <c r="AA2" i="59"/>
  <c r="M6" i="58" s="1"/>
  <c r="L18" i="61"/>
  <c r="Q18" i="61" s="1"/>
  <c r="AF30" i="61"/>
  <c r="AG30" i="61"/>
  <c r="AG70" i="61"/>
  <c r="AF70" i="61"/>
  <c r="N79" i="61"/>
  <c r="O7" i="63"/>
  <c r="AF7" i="63"/>
  <c r="N26" i="63"/>
  <c r="O16" i="63"/>
  <c r="AG16" i="63"/>
  <c r="AF16" i="63"/>
  <c r="R49" i="63"/>
  <c r="P58" i="63"/>
  <c r="H22" i="62"/>
  <c r="AF59" i="63"/>
  <c r="L29" i="65"/>
  <c r="P29" i="65"/>
  <c r="O30" i="65"/>
  <c r="AF30" i="65"/>
  <c r="AG30" i="65"/>
  <c r="Q59" i="65"/>
  <c r="R59" i="65"/>
  <c r="J26" i="67"/>
  <c r="P26" i="67" s="1"/>
  <c r="P16" i="67"/>
  <c r="AF51" i="67"/>
  <c r="AG51" i="67"/>
  <c r="AF62" i="57"/>
  <c r="L48" i="59"/>
  <c r="G13" i="58" s="1"/>
  <c r="K58" i="59"/>
  <c r="L49" i="59"/>
  <c r="L58" i="59" s="1"/>
  <c r="H13" i="58" s="1"/>
  <c r="O79" i="59"/>
  <c r="AG6" i="61"/>
  <c r="O6" i="61"/>
  <c r="D21" i="60"/>
  <c r="AE2" i="61"/>
  <c r="O6" i="60" s="1"/>
  <c r="Q30" i="61"/>
  <c r="L48" i="63"/>
  <c r="G13" i="62" s="1"/>
  <c r="AF5" i="65"/>
  <c r="N15" i="65"/>
  <c r="AF9" i="65"/>
  <c r="AG9" i="65"/>
  <c r="O9" i="65"/>
  <c r="O62" i="65"/>
  <c r="AF62" i="65"/>
  <c r="AF5" i="67"/>
  <c r="N15" i="67"/>
  <c r="AG7" i="67"/>
  <c r="AF7" i="67"/>
  <c r="J48" i="57"/>
  <c r="P48" i="57" s="1"/>
  <c r="AF17" i="59"/>
  <c r="L31" i="59"/>
  <c r="P31" i="59"/>
  <c r="G1" i="61"/>
  <c r="J26" i="63"/>
  <c r="P26" i="63" s="1"/>
  <c r="P17" i="63"/>
  <c r="O38" i="65"/>
  <c r="N48" i="65"/>
  <c r="AG61" i="65"/>
  <c r="AF61" i="65"/>
  <c r="AG62" i="65"/>
  <c r="AG5" i="67"/>
  <c r="L16" i="67"/>
  <c r="L26" i="67" s="1"/>
  <c r="E13" i="66" s="1"/>
  <c r="L48" i="67"/>
  <c r="G13" i="66" s="1"/>
  <c r="AF10" i="59"/>
  <c r="AG17" i="59"/>
  <c r="R18" i="61"/>
  <c r="R39" i="61"/>
  <c r="N69" i="61"/>
  <c r="O59" i="61"/>
  <c r="L17" i="63"/>
  <c r="L26" i="63" s="1"/>
  <c r="E13" i="62" s="1"/>
  <c r="O51" i="63"/>
  <c r="AG51" i="63"/>
  <c r="AF51" i="63"/>
  <c r="K69" i="63"/>
  <c r="AF38" i="65"/>
  <c r="L50" i="65"/>
  <c r="L61" i="65"/>
  <c r="R61" i="65" s="1"/>
  <c r="AF38" i="67"/>
  <c r="O38" i="67"/>
  <c r="N48" i="67"/>
  <c r="AG38" i="67"/>
  <c r="AF51" i="59"/>
  <c r="AG17" i="61"/>
  <c r="K37" i="61"/>
  <c r="L28" i="61"/>
  <c r="Q28" i="61" s="1"/>
  <c r="Q62" i="61"/>
  <c r="AG5" i="63"/>
  <c r="R9" i="63"/>
  <c r="Q9" i="63"/>
  <c r="R52" i="63"/>
  <c r="AF7" i="65"/>
  <c r="AG8" i="65"/>
  <c r="L58" i="67"/>
  <c r="H13" i="66" s="1"/>
  <c r="K79" i="59"/>
  <c r="AG79" i="59" s="1"/>
  <c r="AH70" i="59" s="1"/>
  <c r="L70" i="59"/>
  <c r="L79" i="59" s="1"/>
  <c r="J13" i="58" s="1"/>
  <c r="L26" i="61"/>
  <c r="E13" i="60" s="1"/>
  <c r="N58" i="61"/>
  <c r="O61" i="61"/>
  <c r="AF61" i="61"/>
  <c r="L15" i="63"/>
  <c r="D13" i="62" s="1"/>
  <c r="AE2" i="63"/>
  <c r="O6" i="62" s="1"/>
  <c r="AF18" i="63"/>
  <c r="O18" i="63"/>
  <c r="O6" i="67"/>
  <c r="O15" i="67" s="1"/>
  <c r="AF6" i="67"/>
  <c r="E22" i="66"/>
  <c r="P39" i="67"/>
  <c r="J48" i="67"/>
  <c r="P48" i="67" s="1"/>
  <c r="J69" i="67"/>
  <c r="P69" i="67" s="1"/>
  <c r="P59" i="67"/>
  <c r="N26" i="61"/>
  <c r="R49" i="61"/>
  <c r="O38" i="63"/>
  <c r="AG38" i="63"/>
  <c r="N48" i="63"/>
  <c r="K15" i="65"/>
  <c r="L6" i="65"/>
  <c r="L15" i="65" s="1"/>
  <c r="D13" i="64" s="1"/>
  <c r="O50" i="65"/>
  <c r="AG50" i="65"/>
  <c r="AG6" i="67"/>
  <c r="O17" i="67"/>
  <c r="AF17" i="67"/>
  <c r="Q30" i="63"/>
  <c r="AF38" i="63"/>
  <c r="J69" i="63"/>
  <c r="P69" i="63" s="1"/>
  <c r="AG6" i="65"/>
  <c r="AF6" i="65"/>
  <c r="L38" i="65"/>
  <c r="L48" i="65" s="1"/>
  <c r="G13" i="64" s="1"/>
  <c r="O58" i="65"/>
  <c r="R49" i="65"/>
  <c r="Q49" i="65"/>
  <c r="AF50" i="65"/>
  <c r="K79" i="65"/>
  <c r="L70" i="65"/>
  <c r="L79" i="65" s="1"/>
  <c r="J13" i="64" s="1"/>
  <c r="AG17" i="67"/>
  <c r="L39" i="67"/>
  <c r="O59" i="67"/>
  <c r="N69" i="67"/>
  <c r="AG59" i="67"/>
  <c r="L29" i="59"/>
  <c r="L37" i="59" s="1"/>
  <c r="F13" i="58" s="1"/>
  <c r="O51" i="59"/>
  <c r="J69" i="59"/>
  <c r="P69" i="59" s="1"/>
  <c r="Q49" i="61"/>
  <c r="J15" i="63"/>
  <c r="P15" i="63" s="1"/>
  <c r="O17" i="63"/>
  <c r="AG17" i="63"/>
  <c r="AF17" i="63"/>
  <c r="AF30" i="63"/>
  <c r="L49" i="63"/>
  <c r="L58" i="63" s="1"/>
  <c r="H13" i="62" s="1"/>
  <c r="G1" i="65"/>
  <c r="O6" i="65"/>
  <c r="O15" i="65" s="1"/>
  <c r="L30" i="65"/>
  <c r="AF59" i="67"/>
  <c r="K58" i="63"/>
  <c r="N26" i="65"/>
  <c r="AF16" i="65"/>
  <c r="AG40" i="65"/>
  <c r="AF40" i="65"/>
  <c r="L49" i="65"/>
  <c r="Q61" i="65"/>
  <c r="Q72" i="65"/>
  <c r="R16" i="67"/>
  <c r="Q16" i="67"/>
  <c r="G1" i="67"/>
  <c r="AG61" i="67"/>
  <c r="AF61" i="67"/>
  <c r="AG60" i="61"/>
  <c r="L70" i="61"/>
  <c r="L30" i="63"/>
  <c r="R30" i="63" s="1"/>
  <c r="P38" i="63"/>
  <c r="J48" i="63"/>
  <c r="P48" i="63" s="1"/>
  <c r="N58" i="65"/>
  <c r="J15" i="67"/>
  <c r="P15" i="67" s="1"/>
  <c r="P5" i="67"/>
  <c r="AE2" i="67"/>
  <c r="O6" i="66" s="1"/>
  <c r="O61" i="67"/>
  <c r="K48" i="61"/>
  <c r="P48" i="61"/>
  <c r="O60" i="61"/>
  <c r="J37" i="63"/>
  <c r="P37" i="63"/>
  <c r="F22" i="62"/>
  <c r="N58" i="63"/>
  <c r="AF49" i="63"/>
  <c r="AG49" i="63"/>
  <c r="AG59" i="63"/>
  <c r="O59" i="63"/>
  <c r="AG16" i="65"/>
  <c r="AG27" i="65"/>
  <c r="N37" i="65"/>
  <c r="O27" i="65"/>
  <c r="AF49" i="65"/>
  <c r="AF59" i="65"/>
  <c r="P79" i="65"/>
  <c r="L5" i="67"/>
  <c r="L15" i="67" s="1"/>
  <c r="D13" i="66" s="1"/>
  <c r="AD2" i="67"/>
  <c r="N6" i="66" s="1"/>
  <c r="E20" i="66"/>
  <c r="P29" i="67"/>
  <c r="L40" i="67"/>
  <c r="Q40" i="67" s="1"/>
  <c r="AF60" i="63"/>
  <c r="L7" i="65"/>
  <c r="O39" i="67"/>
  <c r="AG39" i="67"/>
  <c r="AF62" i="61"/>
  <c r="AG52" i="63"/>
  <c r="P15" i="65"/>
  <c r="K26" i="65"/>
  <c r="L16" i="65"/>
  <c r="L26" i="65" s="1"/>
  <c r="E13" i="64" s="1"/>
  <c r="AG52" i="65"/>
  <c r="L6" i="67"/>
  <c r="N26" i="67"/>
  <c r="AF16" i="67"/>
  <c r="G22" i="66"/>
  <c r="K69" i="67"/>
  <c r="L59" i="67"/>
  <c r="L69" i="67" s="1"/>
  <c r="I13" i="66" s="1"/>
  <c r="L31" i="65"/>
  <c r="K26" i="67"/>
  <c r="AF29" i="67"/>
  <c r="J48" i="65"/>
  <c r="P48" i="65" s="1"/>
  <c r="L29" i="67"/>
  <c r="R29" i="67" s="1"/>
  <c r="R40" i="67"/>
  <c r="R11" i="67" l="1"/>
  <c r="Q11" i="67"/>
  <c r="Q52" i="67"/>
  <c r="R52" i="67"/>
  <c r="R62" i="67"/>
  <c r="Q62" i="67"/>
  <c r="Q19" i="67"/>
  <c r="R19" i="67"/>
  <c r="I14" i="84"/>
  <c r="R69" i="85"/>
  <c r="S59" i="85" s="1"/>
  <c r="Q69" i="81"/>
  <c r="AG69" i="81"/>
  <c r="AH59" i="81" s="1"/>
  <c r="AF69" i="81"/>
  <c r="F14" i="74"/>
  <c r="F15" i="74" s="1"/>
  <c r="R37" i="75"/>
  <c r="S27" i="75" s="1"/>
  <c r="R15" i="65"/>
  <c r="S5" i="65" s="1"/>
  <c r="Q15" i="65"/>
  <c r="D14" i="64"/>
  <c r="Q15" i="67"/>
  <c r="D14" i="66"/>
  <c r="R15" i="67"/>
  <c r="S5" i="67" s="1"/>
  <c r="AG58" i="81"/>
  <c r="AH49" i="81" s="1"/>
  <c r="AF58" i="81"/>
  <c r="Q58" i="81"/>
  <c r="J3" i="80"/>
  <c r="G2" i="81"/>
  <c r="AG37" i="81"/>
  <c r="AH27" i="81" s="1"/>
  <c r="AF37" i="81"/>
  <c r="Q37" i="81"/>
  <c r="G2" i="79"/>
  <c r="J3" i="78"/>
  <c r="Q26" i="87"/>
  <c r="E14" i="86"/>
  <c r="E15" i="86" s="1"/>
  <c r="R26" i="87"/>
  <c r="S16" i="87" s="1"/>
  <c r="AF37" i="77"/>
  <c r="Q37" i="77"/>
  <c r="AG37" i="77"/>
  <c r="AH27" i="77" s="1"/>
  <c r="H6" i="60"/>
  <c r="Q26" i="57"/>
  <c r="E14" i="56"/>
  <c r="D14" i="36"/>
  <c r="R15" i="37"/>
  <c r="S5" i="37" s="1"/>
  <c r="Q15" i="37"/>
  <c r="I14" i="12"/>
  <c r="R69" i="13"/>
  <c r="S59" i="13" s="1"/>
  <c r="G14" i="50"/>
  <c r="G15" i="50" s="1"/>
  <c r="R48" i="51"/>
  <c r="S38" i="51" s="1"/>
  <c r="R15" i="43"/>
  <c r="S5" i="43" s="1"/>
  <c r="Q15" i="43"/>
  <c r="D14" i="42"/>
  <c r="G2" i="77"/>
  <c r="J3" i="76"/>
  <c r="F14" i="68"/>
  <c r="Q26" i="89"/>
  <c r="R26" i="89"/>
  <c r="S16" i="89" s="1"/>
  <c r="E14" i="88"/>
  <c r="E15" i="88" s="1"/>
  <c r="H6" i="86"/>
  <c r="H14" i="44"/>
  <c r="H15" i="44" s="1"/>
  <c r="R58" i="45"/>
  <c r="S49" i="45" s="1"/>
  <c r="R7" i="61"/>
  <c r="Q7" i="61"/>
  <c r="R28" i="59"/>
  <c r="Q28" i="59"/>
  <c r="R60" i="55"/>
  <c r="Q60" i="55"/>
  <c r="R39" i="37"/>
  <c r="Q39" i="37"/>
  <c r="R50" i="35"/>
  <c r="Q50" i="35"/>
  <c r="AG37" i="43"/>
  <c r="AH27" i="43" s="1"/>
  <c r="Q37" i="43"/>
  <c r="AF37" i="43"/>
  <c r="O37" i="85"/>
  <c r="Q27" i="85"/>
  <c r="R27" i="85"/>
  <c r="L26" i="39"/>
  <c r="E13" i="38" s="1"/>
  <c r="Q17" i="39"/>
  <c r="R16" i="85"/>
  <c r="Q16" i="85"/>
  <c r="O26" i="85"/>
  <c r="O79" i="57"/>
  <c r="Q70" i="57"/>
  <c r="R70" i="57"/>
  <c r="J3" i="62"/>
  <c r="G2" i="63"/>
  <c r="R50" i="57"/>
  <c r="Q50" i="57"/>
  <c r="H14" i="46"/>
  <c r="H15" i="46" s="1"/>
  <c r="R58" i="47"/>
  <c r="S49" i="47" s="1"/>
  <c r="R60" i="49"/>
  <c r="Q60" i="49"/>
  <c r="Q48" i="67"/>
  <c r="AF48" i="67"/>
  <c r="AG48" i="67"/>
  <c r="AH38" i="67" s="1"/>
  <c r="AF15" i="65"/>
  <c r="AG15" i="65"/>
  <c r="AH5" i="65" s="1"/>
  <c r="Q28" i="57"/>
  <c r="R28" i="57"/>
  <c r="Q29" i="67"/>
  <c r="R17" i="63"/>
  <c r="Q17" i="63"/>
  <c r="AG26" i="61"/>
  <c r="AH16" i="61" s="1"/>
  <c r="AF26" i="61"/>
  <c r="H6" i="62"/>
  <c r="F6" i="62"/>
  <c r="Q79" i="59"/>
  <c r="R38" i="65"/>
  <c r="O48" i="65"/>
  <c r="Q38" i="65"/>
  <c r="AG15" i="67"/>
  <c r="AH5" i="67" s="1"/>
  <c r="AF15" i="67"/>
  <c r="R7" i="63"/>
  <c r="Q7" i="63"/>
  <c r="R79" i="61"/>
  <c r="S70" i="61" s="1"/>
  <c r="J15" i="60" s="1"/>
  <c r="J14" i="60"/>
  <c r="R27" i="63"/>
  <c r="Q27" i="63"/>
  <c r="O37" i="63"/>
  <c r="R61" i="55"/>
  <c r="Q61" i="55"/>
  <c r="R51" i="61"/>
  <c r="Q51" i="61"/>
  <c r="Q69" i="57"/>
  <c r="AG69" i="57"/>
  <c r="AH59" i="57" s="1"/>
  <c r="AF69" i="57"/>
  <c r="AF37" i="61"/>
  <c r="Q37" i="61"/>
  <c r="AG37" i="61"/>
  <c r="AH27" i="61" s="1"/>
  <c r="Q5" i="59"/>
  <c r="R5" i="59"/>
  <c r="O15" i="59"/>
  <c r="Q52" i="61"/>
  <c r="R52" i="61"/>
  <c r="Q53" i="59"/>
  <c r="R53" i="59"/>
  <c r="Q31" i="65"/>
  <c r="R31" i="65"/>
  <c r="Q58" i="59"/>
  <c r="AG58" i="59"/>
  <c r="AH49" i="59" s="1"/>
  <c r="AF58" i="59"/>
  <c r="O79" i="45"/>
  <c r="R70" i="45"/>
  <c r="Q70" i="45"/>
  <c r="L26" i="59"/>
  <c r="E13" i="58" s="1"/>
  <c r="R28" i="61"/>
  <c r="R7" i="51"/>
  <c r="Q7" i="51"/>
  <c r="AG58" i="45"/>
  <c r="AH49" i="45" s="1"/>
  <c r="AF58" i="45"/>
  <c r="Q58" i="45"/>
  <c r="R32" i="53"/>
  <c r="O26" i="55"/>
  <c r="R16" i="55"/>
  <c r="Q16" i="55"/>
  <c r="R19" i="53"/>
  <c r="AF79" i="47"/>
  <c r="Q79" i="47"/>
  <c r="AG79" i="47"/>
  <c r="AH70" i="47" s="1"/>
  <c r="R31" i="53"/>
  <c r="Q31" i="53"/>
  <c r="L15" i="39"/>
  <c r="D13" i="38" s="1"/>
  <c r="O26" i="43"/>
  <c r="E2" i="43" s="1"/>
  <c r="R16" i="43"/>
  <c r="Q16" i="43"/>
  <c r="Q39" i="49"/>
  <c r="R39" i="49"/>
  <c r="R16" i="49"/>
  <c r="Q16" i="49"/>
  <c r="O26" i="49"/>
  <c r="Q40" i="53"/>
  <c r="R40" i="53"/>
  <c r="R62" i="49"/>
  <c r="Q62" i="49"/>
  <c r="R50" i="37"/>
  <c r="Q50" i="37"/>
  <c r="L26" i="43"/>
  <c r="E13" i="42" s="1"/>
  <c r="L48" i="35"/>
  <c r="G13" i="34" s="1"/>
  <c r="R38" i="35"/>
  <c r="Q38" i="35"/>
  <c r="AG26" i="45"/>
  <c r="AH16" i="45" s="1"/>
  <c r="AF26" i="45"/>
  <c r="AG15" i="89"/>
  <c r="AH5" i="89" s="1"/>
  <c r="AF15" i="89"/>
  <c r="AG58" i="87"/>
  <c r="AH49" i="87" s="1"/>
  <c r="AF58" i="87"/>
  <c r="Q58" i="87"/>
  <c r="AG31" i="87"/>
  <c r="AF31" i="87"/>
  <c r="O31" i="87"/>
  <c r="AF26" i="53"/>
  <c r="O69" i="83"/>
  <c r="R59" i="83"/>
  <c r="Q59" i="83"/>
  <c r="Q31" i="89"/>
  <c r="R31" i="89"/>
  <c r="AG48" i="37"/>
  <c r="AH38" i="37" s="1"/>
  <c r="AF48" i="37"/>
  <c r="Q48" i="37"/>
  <c r="L15" i="85"/>
  <c r="D13" i="84" s="1"/>
  <c r="R59" i="85"/>
  <c r="R28" i="35"/>
  <c r="Q28" i="35"/>
  <c r="Q16" i="87"/>
  <c r="AG37" i="35"/>
  <c r="AH27" i="35" s="1"/>
  <c r="R31" i="43"/>
  <c r="Q31" i="43"/>
  <c r="Q27" i="37"/>
  <c r="O37" i="37"/>
  <c r="R27" i="37"/>
  <c r="Q39" i="33"/>
  <c r="R39" i="33"/>
  <c r="R38" i="83"/>
  <c r="Q38" i="83"/>
  <c r="O48" i="83"/>
  <c r="Q29" i="85"/>
  <c r="R29" i="85"/>
  <c r="R49" i="85"/>
  <c r="Q49" i="85"/>
  <c r="O58" i="85"/>
  <c r="R9" i="35"/>
  <c r="Q9" i="35"/>
  <c r="R7" i="39"/>
  <c r="Q7" i="39"/>
  <c r="R50" i="75"/>
  <c r="Q50" i="75"/>
  <c r="O79" i="51"/>
  <c r="R70" i="51"/>
  <c r="Q70" i="51"/>
  <c r="Q58" i="77"/>
  <c r="AG58" i="77"/>
  <c r="AH49" i="77" s="1"/>
  <c r="AF58" i="77"/>
  <c r="R62" i="83"/>
  <c r="Q62" i="83"/>
  <c r="R30" i="75"/>
  <c r="Q30" i="75"/>
  <c r="R39" i="83"/>
  <c r="Q39" i="83"/>
  <c r="R60" i="81"/>
  <c r="Q60" i="81"/>
  <c r="R40" i="73"/>
  <c r="Q40" i="73"/>
  <c r="Q52" i="17"/>
  <c r="R52" i="17"/>
  <c r="AG15" i="15"/>
  <c r="AH5" i="15" s="1"/>
  <c r="AF15" i="15"/>
  <c r="AG26" i="15"/>
  <c r="AH16" i="15" s="1"/>
  <c r="AF26" i="15"/>
  <c r="Q58" i="13"/>
  <c r="AF58" i="13"/>
  <c r="AG58" i="13"/>
  <c r="AH49" i="13" s="1"/>
  <c r="AF26" i="13"/>
  <c r="AG26" i="13"/>
  <c r="AH16" i="13" s="1"/>
  <c r="J6" i="74"/>
  <c r="Q48" i="17"/>
  <c r="AG48" i="17"/>
  <c r="AH38" i="17" s="1"/>
  <c r="AF48" i="17"/>
  <c r="AG26" i="79"/>
  <c r="AH16" i="79" s="1"/>
  <c r="AF26" i="79"/>
  <c r="Q60" i="15"/>
  <c r="R60" i="15"/>
  <c r="O37" i="83"/>
  <c r="R27" i="83"/>
  <c r="Q27" i="83"/>
  <c r="R61" i="73"/>
  <c r="Q61" i="73"/>
  <c r="J14" i="68"/>
  <c r="Q17" i="3"/>
  <c r="R17" i="3"/>
  <c r="O15" i="3"/>
  <c r="Q5" i="3"/>
  <c r="R5" i="3"/>
  <c r="R53" i="79"/>
  <c r="Q53" i="79"/>
  <c r="AG48" i="73"/>
  <c r="AH38" i="73" s="1"/>
  <c r="Q37" i="73"/>
  <c r="AG37" i="73"/>
  <c r="AH27" i="73" s="1"/>
  <c r="AF37" i="73"/>
  <c r="Q20" i="81"/>
  <c r="R20" i="81"/>
  <c r="H14" i="14"/>
  <c r="H15" i="14" s="1"/>
  <c r="Q31" i="15"/>
  <c r="R31" i="15"/>
  <c r="G2" i="69"/>
  <c r="J3" i="68"/>
  <c r="AG15" i="3"/>
  <c r="AH5" i="3" s="1"/>
  <c r="AF15" i="3"/>
  <c r="H14" i="64"/>
  <c r="Q31" i="59"/>
  <c r="R31" i="59"/>
  <c r="O58" i="67"/>
  <c r="Q49" i="67"/>
  <c r="R49" i="67"/>
  <c r="Q61" i="59"/>
  <c r="R61" i="59"/>
  <c r="Q62" i="55"/>
  <c r="R62" i="55"/>
  <c r="R6" i="63"/>
  <c r="Q6" i="63"/>
  <c r="R5" i="61"/>
  <c r="Q5" i="61"/>
  <c r="O15" i="61"/>
  <c r="R27" i="55"/>
  <c r="O37" i="55"/>
  <c r="Q27" i="55"/>
  <c r="R8" i="45"/>
  <c r="Q8" i="45"/>
  <c r="AF79" i="59"/>
  <c r="AF79" i="61"/>
  <c r="AG79" i="61"/>
  <c r="AH70" i="61" s="1"/>
  <c r="Q79" i="61"/>
  <c r="O15" i="57"/>
  <c r="R5" i="57"/>
  <c r="Q5" i="57"/>
  <c r="J6" i="58"/>
  <c r="AG26" i="59"/>
  <c r="AH16" i="59" s="1"/>
  <c r="AF26" i="59"/>
  <c r="O37" i="53"/>
  <c r="R27" i="53"/>
  <c r="Q27" i="53"/>
  <c r="AG15" i="57"/>
  <c r="AH5" i="57" s="1"/>
  <c r="AF15" i="57"/>
  <c r="R49" i="59"/>
  <c r="Q49" i="59"/>
  <c r="O58" i="59"/>
  <c r="R62" i="57"/>
  <c r="R17" i="47"/>
  <c r="R15" i="55"/>
  <c r="S5" i="55" s="1"/>
  <c r="Q15" i="55"/>
  <c r="D14" i="54"/>
  <c r="AG79" i="49"/>
  <c r="AH70" i="49" s="1"/>
  <c r="AF79" i="49"/>
  <c r="Q79" i="49"/>
  <c r="Q48" i="49"/>
  <c r="AF48" i="49"/>
  <c r="AG48" i="49"/>
  <c r="AH38" i="49" s="1"/>
  <c r="Q39" i="55"/>
  <c r="R39" i="55"/>
  <c r="R29" i="53"/>
  <c r="Q29" i="53"/>
  <c r="R7" i="49"/>
  <c r="Q7" i="49"/>
  <c r="R5" i="45"/>
  <c r="O15" i="45"/>
  <c r="Q5" i="45"/>
  <c r="H6" i="52"/>
  <c r="F6" i="52"/>
  <c r="Q71" i="89"/>
  <c r="R71" i="89"/>
  <c r="AG15" i="47"/>
  <c r="AH5" i="47" s="1"/>
  <c r="AF15" i="47"/>
  <c r="R5" i="49"/>
  <c r="O15" i="49"/>
  <c r="Q5" i="49"/>
  <c r="AF69" i="89"/>
  <c r="AG69" i="89"/>
  <c r="AH59" i="89" s="1"/>
  <c r="Q69" i="89"/>
  <c r="R38" i="89"/>
  <c r="Q38" i="89"/>
  <c r="O48" i="89"/>
  <c r="R49" i="37"/>
  <c r="Q49" i="37"/>
  <c r="O58" i="37"/>
  <c r="R39" i="43"/>
  <c r="Q39" i="43"/>
  <c r="Q50" i="47"/>
  <c r="R50" i="47"/>
  <c r="R9" i="37"/>
  <c r="Q9" i="37"/>
  <c r="R16" i="47"/>
  <c r="Q16" i="47"/>
  <c r="O26" i="47"/>
  <c r="O79" i="37"/>
  <c r="R70" i="37"/>
  <c r="Q70" i="37"/>
  <c r="Q79" i="39"/>
  <c r="AG79" i="39"/>
  <c r="AH70" i="39" s="1"/>
  <c r="AF79" i="39"/>
  <c r="O15" i="87"/>
  <c r="R5" i="87"/>
  <c r="Q5" i="87"/>
  <c r="O26" i="83"/>
  <c r="Q16" i="83"/>
  <c r="R16" i="83"/>
  <c r="R60" i="37"/>
  <c r="Q60" i="37"/>
  <c r="Q70" i="87"/>
  <c r="Q37" i="37"/>
  <c r="AG37" i="37"/>
  <c r="AH27" i="37" s="1"/>
  <c r="AF37" i="37"/>
  <c r="Q62" i="85"/>
  <c r="R62" i="85"/>
  <c r="G2" i="83"/>
  <c r="J3" i="82"/>
  <c r="R9" i="81"/>
  <c r="Q61" i="87"/>
  <c r="R61" i="87"/>
  <c r="R70" i="33"/>
  <c r="Q70" i="33"/>
  <c r="O79" i="33"/>
  <c r="Q19" i="83"/>
  <c r="R19" i="83"/>
  <c r="R19" i="85"/>
  <c r="Q19" i="85"/>
  <c r="R6" i="81"/>
  <c r="R30" i="83"/>
  <c r="Q30" i="83"/>
  <c r="R61" i="81"/>
  <c r="Q61" i="81"/>
  <c r="Q40" i="17"/>
  <c r="R40" i="17"/>
  <c r="H14" i="78"/>
  <c r="H15" i="78" s="1"/>
  <c r="R58" i="79"/>
  <c r="S49" i="79" s="1"/>
  <c r="AG79" i="51"/>
  <c r="AH70" i="51" s="1"/>
  <c r="AF79" i="51"/>
  <c r="Q79" i="51"/>
  <c r="Q7" i="73"/>
  <c r="R7" i="73"/>
  <c r="R63" i="79"/>
  <c r="Q63" i="79"/>
  <c r="Q30" i="77"/>
  <c r="R30" i="77"/>
  <c r="Q40" i="13"/>
  <c r="Q58" i="71"/>
  <c r="AF58" i="71"/>
  <c r="AG58" i="71"/>
  <c r="AH49" i="71" s="1"/>
  <c r="Q49" i="13"/>
  <c r="O58" i="13"/>
  <c r="R49" i="13"/>
  <c r="R70" i="3"/>
  <c r="Q70" i="3"/>
  <c r="O79" i="3"/>
  <c r="AG15" i="13"/>
  <c r="AH5" i="13" s="1"/>
  <c r="AF15" i="13"/>
  <c r="R6" i="15"/>
  <c r="Q6" i="15"/>
  <c r="R30" i="73"/>
  <c r="Q30" i="73"/>
  <c r="R60" i="75"/>
  <c r="Q60" i="75"/>
  <c r="R62" i="71"/>
  <c r="Q62" i="71"/>
  <c r="R5" i="75"/>
  <c r="Q5" i="75"/>
  <c r="O15" i="75"/>
  <c r="AG37" i="13"/>
  <c r="AH27" i="13" s="1"/>
  <c r="AF37" i="13"/>
  <c r="Q37" i="13"/>
  <c r="AG37" i="83"/>
  <c r="AH27" i="83" s="1"/>
  <c r="Q37" i="83"/>
  <c r="AF37" i="83"/>
  <c r="Q30" i="69"/>
  <c r="R30" i="69"/>
  <c r="Q48" i="73"/>
  <c r="O48" i="71"/>
  <c r="R38" i="71"/>
  <c r="Q38" i="71"/>
  <c r="AG26" i="71"/>
  <c r="AH16" i="71" s="1"/>
  <c r="AF26" i="71"/>
  <c r="Q51" i="15"/>
  <c r="R52" i="13"/>
  <c r="Q52" i="13"/>
  <c r="L79" i="71"/>
  <c r="Q70" i="71"/>
  <c r="R70" i="71"/>
  <c r="AG69" i="3"/>
  <c r="AH59" i="3" s="1"/>
  <c r="AF69" i="3"/>
  <c r="Q69" i="3"/>
  <c r="R7" i="13"/>
  <c r="Q7" i="13"/>
  <c r="Q51" i="63"/>
  <c r="R51" i="63"/>
  <c r="Q19" i="65"/>
  <c r="R19" i="65"/>
  <c r="R58" i="55"/>
  <c r="S49" i="55" s="1"/>
  <c r="H14" i="54"/>
  <c r="H15" i="54" s="1"/>
  <c r="Q61" i="15"/>
  <c r="R61" i="15"/>
  <c r="R50" i="63"/>
  <c r="Q50" i="63"/>
  <c r="AG58" i="57"/>
  <c r="AH49" i="57" s="1"/>
  <c r="AF58" i="57"/>
  <c r="Q58" i="57"/>
  <c r="AG58" i="55"/>
  <c r="AH49" i="55" s="1"/>
  <c r="AF58" i="55"/>
  <c r="Q58" i="55"/>
  <c r="AG15" i="53"/>
  <c r="AH5" i="53" s="1"/>
  <c r="AF15" i="53"/>
  <c r="L69" i="39"/>
  <c r="I13" i="38" s="1"/>
  <c r="J6" i="38" s="1"/>
  <c r="R59" i="39"/>
  <c r="Q59" i="39"/>
  <c r="Q8" i="49"/>
  <c r="R8" i="49"/>
  <c r="AG15" i="35"/>
  <c r="AH5" i="35" s="1"/>
  <c r="AF15" i="35"/>
  <c r="Q51" i="39"/>
  <c r="R51" i="39"/>
  <c r="R9" i="39"/>
  <c r="Q9" i="39"/>
  <c r="J3" i="32"/>
  <c r="G2" i="33"/>
  <c r="Q17" i="67"/>
  <c r="R17" i="67"/>
  <c r="R10" i="63"/>
  <c r="Q10" i="63"/>
  <c r="R30" i="59"/>
  <c r="Q30" i="59"/>
  <c r="AG26" i="67"/>
  <c r="AH16" i="67" s="1"/>
  <c r="AF26" i="67"/>
  <c r="O69" i="63"/>
  <c r="Q59" i="63"/>
  <c r="R59" i="63"/>
  <c r="Q61" i="67"/>
  <c r="R61" i="67"/>
  <c r="AG26" i="65"/>
  <c r="AH16" i="65" s="1"/>
  <c r="AF26" i="65"/>
  <c r="R61" i="61"/>
  <c r="Q61" i="61"/>
  <c r="Q6" i="61"/>
  <c r="R6" i="61"/>
  <c r="R5" i="67"/>
  <c r="Q59" i="55"/>
  <c r="R59" i="55"/>
  <c r="O69" i="55"/>
  <c r="R29" i="63"/>
  <c r="Q29" i="63"/>
  <c r="R38" i="53"/>
  <c r="Q38" i="53"/>
  <c r="O48" i="53"/>
  <c r="Q17" i="47"/>
  <c r="J3" i="46"/>
  <c r="G2" i="47"/>
  <c r="R26" i="61"/>
  <c r="S16" i="61" s="1"/>
  <c r="E14" i="60"/>
  <c r="E15" i="60" s="1"/>
  <c r="Q26" i="61"/>
  <c r="R31" i="57"/>
  <c r="Q31" i="57"/>
  <c r="AG69" i="53"/>
  <c r="AH59" i="53" s="1"/>
  <c r="Q69" i="53"/>
  <c r="AF69" i="53"/>
  <c r="H6" i="54"/>
  <c r="F6" i="54"/>
  <c r="Q28" i="49"/>
  <c r="R28" i="49"/>
  <c r="I14" i="56"/>
  <c r="AF15" i="45"/>
  <c r="AG15" i="45"/>
  <c r="AH5" i="45" s="1"/>
  <c r="Q60" i="43"/>
  <c r="R60" i="43"/>
  <c r="Q69" i="51"/>
  <c r="AF69" i="51"/>
  <c r="AG69" i="51"/>
  <c r="AH59" i="51" s="1"/>
  <c r="J6" i="50"/>
  <c r="AF15" i="49"/>
  <c r="AG15" i="49"/>
  <c r="AH5" i="49" s="1"/>
  <c r="J3" i="52"/>
  <c r="G2" i="53"/>
  <c r="AG48" i="89"/>
  <c r="AH38" i="89" s="1"/>
  <c r="Q48" i="89"/>
  <c r="AF48" i="89"/>
  <c r="R17" i="43"/>
  <c r="Q17" i="43"/>
  <c r="L79" i="89"/>
  <c r="J13" i="88" s="1"/>
  <c r="J6" i="88" s="1"/>
  <c r="R60" i="35"/>
  <c r="Q60" i="35"/>
  <c r="R50" i="89"/>
  <c r="Q50" i="89"/>
  <c r="AG79" i="37"/>
  <c r="AH70" i="37" s="1"/>
  <c r="Q79" i="37"/>
  <c r="AF79" i="37"/>
  <c r="L69" i="87"/>
  <c r="I13" i="86" s="1"/>
  <c r="J6" i="86" s="1"/>
  <c r="R59" i="87"/>
  <c r="Q71" i="39"/>
  <c r="R71" i="39"/>
  <c r="L58" i="37"/>
  <c r="H13" i="36" s="1"/>
  <c r="Q79" i="43"/>
  <c r="AG79" i="43"/>
  <c r="AH70" i="43" s="1"/>
  <c r="AF79" i="43"/>
  <c r="O63" i="81"/>
  <c r="AG63" i="81"/>
  <c r="AF63" i="81"/>
  <c r="R28" i="87"/>
  <c r="O48" i="85"/>
  <c r="R38" i="85"/>
  <c r="Q38" i="85"/>
  <c r="R30" i="33"/>
  <c r="Q30" i="33"/>
  <c r="R38" i="33"/>
  <c r="Q38" i="33"/>
  <c r="O48" i="33"/>
  <c r="R79" i="87"/>
  <c r="S70" i="87" s="1"/>
  <c r="J15" i="86" s="1"/>
  <c r="J14" i="86"/>
  <c r="Q9" i="85"/>
  <c r="R9" i="85"/>
  <c r="L26" i="37"/>
  <c r="E13" i="36" s="1"/>
  <c r="AG48" i="39"/>
  <c r="AH38" i="39" s="1"/>
  <c r="AF48" i="39"/>
  <c r="Q48" i="39"/>
  <c r="Q58" i="85"/>
  <c r="AG58" i="85"/>
  <c r="AH49" i="85" s="1"/>
  <c r="AF58" i="85"/>
  <c r="AG50" i="81"/>
  <c r="AF50" i="81"/>
  <c r="O50" i="81"/>
  <c r="O69" i="87"/>
  <c r="R61" i="37"/>
  <c r="Q61" i="37"/>
  <c r="G2" i="37"/>
  <c r="J3" i="36"/>
  <c r="R39" i="87"/>
  <c r="Q39" i="87"/>
  <c r="O48" i="17"/>
  <c r="R38" i="17"/>
  <c r="Q38" i="17"/>
  <c r="J3" i="84"/>
  <c r="G2" i="85"/>
  <c r="AG37" i="79"/>
  <c r="AH27" i="79" s="1"/>
  <c r="AF37" i="79"/>
  <c r="Q37" i="79"/>
  <c r="R59" i="75"/>
  <c r="Q59" i="75"/>
  <c r="Q27" i="75"/>
  <c r="R27" i="75"/>
  <c r="L37" i="75"/>
  <c r="F13" i="74" s="1"/>
  <c r="H6" i="74" s="1"/>
  <c r="R79" i="77"/>
  <c r="S70" i="77" s="1"/>
  <c r="J15" i="76" s="1"/>
  <c r="J14" i="76"/>
  <c r="R28" i="13"/>
  <c r="Q28" i="13"/>
  <c r="Q29" i="81"/>
  <c r="R29" i="81"/>
  <c r="Q79" i="83"/>
  <c r="AF79" i="83"/>
  <c r="AG79" i="83"/>
  <c r="AH70" i="83" s="1"/>
  <c r="AF48" i="79"/>
  <c r="AG48" i="79"/>
  <c r="AH38" i="79" s="1"/>
  <c r="Q48" i="79"/>
  <c r="Q51" i="75"/>
  <c r="O26" i="17"/>
  <c r="R16" i="17"/>
  <c r="Q16" i="17"/>
  <c r="O26" i="79"/>
  <c r="R16" i="79"/>
  <c r="Q16" i="79"/>
  <c r="R63" i="77"/>
  <c r="Q63" i="77"/>
  <c r="R39" i="3"/>
  <c r="Q39" i="3"/>
  <c r="R28" i="71"/>
  <c r="Q28" i="71"/>
  <c r="AF37" i="3"/>
  <c r="Q37" i="3"/>
  <c r="AG37" i="3"/>
  <c r="AH27" i="3" s="1"/>
  <c r="Q72" i="71"/>
  <c r="R59" i="3"/>
  <c r="Q59" i="3"/>
  <c r="O69" i="3"/>
  <c r="Q7" i="15"/>
  <c r="R28" i="73"/>
  <c r="Q28" i="73"/>
  <c r="R9" i="65"/>
  <c r="Q9" i="65"/>
  <c r="Q79" i="55"/>
  <c r="AF79" i="55"/>
  <c r="AG79" i="55"/>
  <c r="AH70" i="55" s="1"/>
  <c r="AG37" i="57"/>
  <c r="AH27" i="57" s="1"/>
  <c r="Q37" i="57"/>
  <c r="AF37" i="57"/>
  <c r="O79" i="63"/>
  <c r="R70" i="63"/>
  <c r="Q70" i="63"/>
  <c r="R60" i="53"/>
  <c r="Q60" i="53"/>
  <c r="AG37" i="55"/>
  <c r="AH27" i="55" s="1"/>
  <c r="AF37" i="55"/>
  <c r="Q37" i="55"/>
  <c r="O37" i="35"/>
  <c r="R27" i="35"/>
  <c r="Q27" i="35"/>
  <c r="Q79" i="89"/>
  <c r="AG79" i="89"/>
  <c r="AH70" i="89" s="1"/>
  <c r="AF79" i="89"/>
  <c r="Q17" i="45"/>
  <c r="R17" i="45"/>
  <c r="R30" i="51"/>
  <c r="Q30" i="51"/>
  <c r="Q17" i="89"/>
  <c r="R17" i="89"/>
  <c r="Q60" i="33"/>
  <c r="R60" i="33"/>
  <c r="O26" i="65"/>
  <c r="AG69" i="55"/>
  <c r="AH59" i="55" s="1"/>
  <c r="AF69" i="55"/>
  <c r="Q69" i="55"/>
  <c r="R18" i="67"/>
  <c r="Q18" i="67"/>
  <c r="Q69" i="59"/>
  <c r="AG69" i="59"/>
  <c r="AH59" i="59" s="1"/>
  <c r="AF69" i="59"/>
  <c r="L37" i="61"/>
  <c r="F13" i="60" s="1"/>
  <c r="F6" i="60" s="1"/>
  <c r="L37" i="57"/>
  <c r="F13" i="56" s="1"/>
  <c r="R40" i="55"/>
  <c r="Q40" i="55"/>
  <c r="R39" i="59"/>
  <c r="Q39" i="59"/>
  <c r="R53" i="57"/>
  <c r="Q53" i="57"/>
  <c r="Q28" i="55"/>
  <c r="R28" i="55"/>
  <c r="R29" i="55"/>
  <c r="Q29" i="55"/>
  <c r="AF15" i="51"/>
  <c r="AG15" i="51"/>
  <c r="AH5" i="51" s="1"/>
  <c r="Q79" i="65"/>
  <c r="AF79" i="65"/>
  <c r="AG79" i="65"/>
  <c r="AH70" i="65" s="1"/>
  <c r="R60" i="47"/>
  <c r="Q60" i="47"/>
  <c r="R62" i="59"/>
  <c r="Q62" i="59"/>
  <c r="R62" i="89"/>
  <c r="Q62" i="89"/>
  <c r="Q51" i="37"/>
  <c r="R51" i="37"/>
  <c r="R29" i="45"/>
  <c r="Q29" i="45"/>
  <c r="Q38" i="51"/>
  <c r="R31" i="37"/>
  <c r="Q31" i="37"/>
  <c r="AG58" i="51"/>
  <c r="AH49" i="51" s="1"/>
  <c r="AF58" i="51"/>
  <c r="Q58" i="51"/>
  <c r="R61" i="39"/>
  <c r="Q61" i="39"/>
  <c r="AG26" i="49"/>
  <c r="AH16" i="49" s="1"/>
  <c r="AF26" i="49"/>
  <c r="L37" i="89"/>
  <c r="F13" i="88" s="1"/>
  <c r="H6" i="88" s="1"/>
  <c r="R27" i="89"/>
  <c r="Q27" i="89"/>
  <c r="R52" i="37"/>
  <c r="Q52" i="37"/>
  <c r="R52" i="47"/>
  <c r="Q52" i="47"/>
  <c r="R29" i="39"/>
  <c r="Q29" i="39"/>
  <c r="R51" i="89"/>
  <c r="Q51" i="89"/>
  <c r="L37" i="33"/>
  <c r="F13" i="32" s="1"/>
  <c r="H6" i="32" s="1"/>
  <c r="R28" i="33"/>
  <c r="L15" i="35"/>
  <c r="D13" i="34" s="1"/>
  <c r="O79" i="43"/>
  <c r="Q70" i="43"/>
  <c r="R70" i="43"/>
  <c r="AG58" i="35"/>
  <c r="AH49" i="35" s="1"/>
  <c r="AF58" i="35"/>
  <c r="Q58" i="35"/>
  <c r="O58" i="89"/>
  <c r="R49" i="89"/>
  <c r="Q49" i="89"/>
  <c r="L37" i="85"/>
  <c r="F13" i="84" s="1"/>
  <c r="R70" i="87"/>
  <c r="R79" i="39"/>
  <c r="S70" i="39" s="1"/>
  <c r="J15" i="38" s="1"/>
  <c r="J14" i="38"/>
  <c r="L69" i="35"/>
  <c r="I13" i="34" s="1"/>
  <c r="J6" i="34" s="1"/>
  <c r="R53" i="87"/>
  <c r="Q53" i="87"/>
  <c r="R7" i="85"/>
  <c r="Q7" i="85"/>
  <c r="R5" i="81"/>
  <c r="O15" i="81"/>
  <c r="Q5" i="81"/>
  <c r="R50" i="87"/>
  <c r="Q50" i="87"/>
  <c r="AG79" i="33"/>
  <c r="AH70" i="33" s="1"/>
  <c r="AF79" i="33"/>
  <c r="Q79" i="33"/>
  <c r="Q59" i="87"/>
  <c r="L37" i="81"/>
  <c r="F13" i="80" s="1"/>
  <c r="Q53" i="81"/>
  <c r="R53" i="81"/>
  <c r="R30" i="39"/>
  <c r="Q30" i="39"/>
  <c r="L37" i="17"/>
  <c r="F13" i="16" s="1"/>
  <c r="H6" i="16" s="1"/>
  <c r="R27" i="17"/>
  <c r="AG26" i="83"/>
  <c r="AH16" i="83" s="1"/>
  <c r="AF26" i="83"/>
  <c r="Q60" i="51"/>
  <c r="R60" i="51"/>
  <c r="L58" i="17"/>
  <c r="H13" i="16" s="1"/>
  <c r="R50" i="17"/>
  <c r="AG26" i="75"/>
  <c r="AH16" i="75" s="1"/>
  <c r="AF26" i="75"/>
  <c r="R61" i="13"/>
  <c r="Q61" i="13"/>
  <c r="L37" i="73"/>
  <c r="F13" i="72" s="1"/>
  <c r="AG69" i="13"/>
  <c r="AH59" i="13" s="1"/>
  <c r="AF69" i="13"/>
  <c r="Q69" i="13"/>
  <c r="Q70" i="77"/>
  <c r="L37" i="13"/>
  <c r="F13" i="12" s="1"/>
  <c r="AG79" i="71"/>
  <c r="AH70" i="71" s="1"/>
  <c r="AF79" i="71"/>
  <c r="Q79" i="71"/>
  <c r="Q31" i="75"/>
  <c r="R31" i="75"/>
  <c r="Q6" i="13"/>
  <c r="R6" i="13"/>
  <c r="Q70" i="83"/>
  <c r="O79" i="83"/>
  <c r="R70" i="83"/>
  <c r="G2" i="15"/>
  <c r="J3" i="14"/>
  <c r="R50" i="3"/>
  <c r="Q50" i="3"/>
  <c r="Q79" i="73"/>
  <c r="AF79" i="73"/>
  <c r="AG79" i="73"/>
  <c r="AH70" i="73" s="1"/>
  <c r="R19" i="69"/>
  <c r="Q19" i="69"/>
  <c r="R28" i="3"/>
  <c r="Q28" i="3"/>
  <c r="AG48" i="71"/>
  <c r="AH38" i="71" s="1"/>
  <c r="Q48" i="71"/>
  <c r="AF48" i="71"/>
  <c r="R79" i="15"/>
  <c r="S70" i="15" s="1"/>
  <c r="J15" i="14" s="1"/>
  <c r="J14" i="14"/>
  <c r="Q52" i="69"/>
  <c r="R52" i="69"/>
  <c r="Q30" i="13"/>
  <c r="R60" i="3"/>
  <c r="Q60" i="3"/>
  <c r="L15" i="15"/>
  <c r="D13" i="14" s="1"/>
  <c r="R17" i="69"/>
  <c r="Q17" i="69"/>
  <c r="L69" i="57"/>
  <c r="I13" i="56" s="1"/>
  <c r="J6" i="56" s="1"/>
  <c r="Q60" i="57"/>
  <c r="Q27" i="39"/>
  <c r="O37" i="39"/>
  <c r="R27" i="39"/>
  <c r="R70" i="89"/>
  <c r="O79" i="89"/>
  <c r="Q70" i="89"/>
  <c r="Q58" i="39"/>
  <c r="AG58" i="39"/>
  <c r="AH49" i="39" s="1"/>
  <c r="AF58" i="39"/>
  <c r="O58" i="63"/>
  <c r="AF15" i="59"/>
  <c r="AG15" i="59"/>
  <c r="AH5" i="59" s="1"/>
  <c r="Q28" i="85"/>
  <c r="J3" i="66"/>
  <c r="G2" i="67"/>
  <c r="AG58" i="61"/>
  <c r="AH49" i="61" s="1"/>
  <c r="Q58" i="61"/>
  <c r="AF58" i="61"/>
  <c r="J3" i="60"/>
  <c r="G2" i="61"/>
  <c r="R62" i="65"/>
  <c r="Q62" i="65"/>
  <c r="AF48" i="59"/>
  <c r="Q48" i="59"/>
  <c r="AG48" i="59"/>
  <c r="AH38" i="59" s="1"/>
  <c r="R7" i="59"/>
  <c r="Q7" i="59"/>
  <c r="O69" i="43"/>
  <c r="Q59" i="43"/>
  <c r="R59" i="43"/>
  <c r="R59" i="51"/>
  <c r="O69" i="51"/>
  <c r="Q59" i="51"/>
  <c r="O26" i="67"/>
  <c r="R51" i="59"/>
  <c r="Q51" i="59"/>
  <c r="Q50" i="65"/>
  <c r="R50" i="65"/>
  <c r="R16" i="65"/>
  <c r="Q70" i="59"/>
  <c r="Q5" i="67"/>
  <c r="Q49" i="63"/>
  <c r="Q16" i="65"/>
  <c r="AF48" i="61"/>
  <c r="Q48" i="61"/>
  <c r="AG48" i="61"/>
  <c r="AH38" i="61" s="1"/>
  <c r="Q48" i="55"/>
  <c r="AF48" i="55"/>
  <c r="AG48" i="55"/>
  <c r="AH38" i="55" s="1"/>
  <c r="R8" i="51"/>
  <c r="Q8" i="51"/>
  <c r="AF48" i="57"/>
  <c r="Q48" i="57"/>
  <c r="AG48" i="57"/>
  <c r="AH38" i="57" s="1"/>
  <c r="R9" i="55"/>
  <c r="Q9" i="55"/>
  <c r="AG79" i="63"/>
  <c r="AH70" i="63" s="1"/>
  <c r="AF79" i="63"/>
  <c r="Q79" i="63"/>
  <c r="AG79" i="57"/>
  <c r="AH70" i="57" s="1"/>
  <c r="Q79" i="57"/>
  <c r="AF79" i="57"/>
  <c r="R7" i="57"/>
  <c r="Q7" i="57"/>
  <c r="J3" i="58"/>
  <c r="G2" i="59"/>
  <c r="O37" i="57"/>
  <c r="R27" i="57"/>
  <c r="Q27" i="57"/>
  <c r="R41" i="51"/>
  <c r="Q41" i="51"/>
  <c r="O79" i="65"/>
  <c r="R70" i="65"/>
  <c r="Q70" i="65"/>
  <c r="Q31" i="55"/>
  <c r="R31" i="55"/>
  <c r="Q61" i="47"/>
  <c r="R60" i="89"/>
  <c r="Q60" i="89"/>
  <c r="R28" i="51"/>
  <c r="Q28" i="51"/>
  <c r="Q6" i="45"/>
  <c r="R51" i="51"/>
  <c r="Q51" i="51"/>
  <c r="O69" i="47"/>
  <c r="Q59" i="47"/>
  <c r="R59" i="47"/>
  <c r="AF69" i="43"/>
  <c r="AG69" i="43"/>
  <c r="AH59" i="43" s="1"/>
  <c r="Q69" i="43"/>
  <c r="O48" i="45"/>
  <c r="R38" i="45"/>
  <c r="Q38" i="45"/>
  <c r="AF37" i="39"/>
  <c r="AG37" i="39"/>
  <c r="AH27" i="39" s="1"/>
  <c r="Q37" i="39"/>
  <c r="L48" i="45"/>
  <c r="G13" i="44" s="1"/>
  <c r="H6" i="44" s="1"/>
  <c r="Q59" i="89"/>
  <c r="O69" i="89"/>
  <c r="R59" i="89"/>
  <c r="O58" i="51"/>
  <c r="R49" i="51"/>
  <c r="Q49" i="51"/>
  <c r="R19" i="45"/>
  <c r="Q19" i="45"/>
  <c r="R61" i="57"/>
  <c r="Q61" i="57"/>
  <c r="J3" i="48"/>
  <c r="G2" i="49"/>
  <c r="Q7" i="53"/>
  <c r="R7" i="53"/>
  <c r="R30" i="49"/>
  <c r="Q30" i="49"/>
  <c r="R9" i="43"/>
  <c r="Q9" i="43"/>
  <c r="O58" i="39"/>
  <c r="R49" i="39"/>
  <c r="Q49" i="39"/>
  <c r="AF26" i="33"/>
  <c r="AG26" i="33"/>
  <c r="AH16" i="33" s="1"/>
  <c r="R29" i="49"/>
  <c r="Q29" i="49"/>
  <c r="R28" i="89"/>
  <c r="Q28" i="89"/>
  <c r="O37" i="89"/>
  <c r="Q10" i="35"/>
  <c r="R10" i="35"/>
  <c r="R29" i="61"/>
  <c r="Q29" i="61"/>
  <c r="R61" i="53"/>
  <c r="Q61" i="53"/>
  <c r="G2" i="45"/>
  <c r="J3" i="44"/>
  <c r="N37" i="87"/>
  <c r="R16" i="87"/>
  <c r="R27" i="33"/>
  <c r="O37" i="33"/>
  <c r="Q27" i="33"/>
  <c r="R53" i="85"/>
  <c r="Q53" i="85"/>
  <c r="R70" i="81"/>
  <c r="Q70" i="81"/>
  <c r="Q69" i="35"/>
  <c r="AG69" i="35"/>
  <c r="AH59" i="35" s="1"/>
  <c r="AF69" i="35"/>
  <c r="Q48" i="33"/>
  <c r="AG48" i="33"/>
  <c r="AH38" i="33" s="1"/>
  <c r="AF48" i="33"/>
  <c r="Q70" i="39"/>
  <c r="Q60" i="83"/>
  <c r="R60" i="83"/>
  <c r="Q51" i="81"/>
  <c r="R51" i="81"/>
  <c r="Q6" i="85"/>
  <c r="R62" i="35"/>
  <c r="Q62" i="35"/>
  <c r="R18" i="87"/>
  <c r="Q18" i="87"/>
  <c r="Q51" i="85"/>
  <c r="R51" i="85"/>
  <c r="R18" i="83"/>
  <c r="Q18" i="83"/>
  <c r="O37" i="79"/>
  <c r="R27" i="79"/>
  <c r="Q27" i="79"/>
  <c r="G14" i="76"/>
  <c r="G15" i="76" s="1"/>
  <c r="R48" i="77"/>
  <c r="S38" i="77" s="1"/>
  <c r="Q27" i="17"/>
  <c r="Q71" i="79"/>
  <c r="R71" i="79"/>
  <c r="Q62" i="13"/>
  <c r="R50" i="73"/>
  <c r="Q50" i="73"/>
  <c r="O15" i="15"/>
  <c r="R16" i="13"/>
  <c r="O26" i="13"/>
  <c r="Q16" i="13"/>
  <c r="R28" i="75"/>
  <c r="Q28" i="75"/>
  <c r="R28" i="15"/>
  <c r="Q28" i="15"/>
  <c r="R52" i="83"/>
  <c r="Q52" i="83"/>
  <c r="R16" i="73"/>
  <c r="O26" i="73"/>
  <c r="Q16" i="73"/>
  <c r="R40" i="3"/>
  <c r="Q40" i="3"/>
  <c r="R9" i="79"/>
  <c r="Q9" i="79"/>
  <c r="O79" i="73"/>
  <c r="Q70" i="73"/>
  <c r="R70" i="73"/>
  <c r="O63" i="75"/>
  <c r="O69" i="75" s="1"/>
  <c r="AG63" i="75"/>
  <c r="AF63" i="75"/>
  <c r="Q59" i="69"/>
  <c r="R59" i="69"/>
  <c r="O69" i="69"/>
  <c r="R38" i="3"/>
  <c r="Q38" i="3"/>
  <c r="O48" i="3"/>
  <c r="R51" i="13"/>
  <c r="Q51" i="13"/>
  <c r="Q31" i="13"/>
  <c r="O69" i="15"/>
  <c r="R8" i="69"/>
  <c r="Q8" i="69"/>
  <c r="Q7" i="69"/>
  <c r="R7" i="69"/>
  <c r="Q17" i="15"/>
  <c r="R29" i="13"/>
  <c r="Q29" i="13"/>
  <c r="AG69" i="69"/>
  <c r="AH59" i="69" s="1"/>
  <c r="Q69" i="69"/>
  <c r="AF69" i="69"/>
  <c r="Q6" i="69"/>
  <c r="R6" i="69"/>
  <c r="R19" i="13"/>
  <c r="Q19" i="13"/>
  <c r="R61" i="69"/>
  <c r="Q61" i="69"/>
  <c r="R9" i="71"/>
  <c r="Q9" i="71"/>
  <c r="Q60" i="85"/>
  <c r="R60" i="85"/>
  <c r="Q8" i="85"/>
  <c r="R8" i="85"/>
  <c r="R6" i="43"/>
  <c r="Q6" i="43"/>
  <c r="R70" i="39"/>
  <c r="AG15" i="87"/>
  <c r="AH5" i="87" s="1"/>
  <c r="AF15" i="87"/>
  <c r="Q58" i="79"/>
  <c r="AG58" i="79"/>
  <c r="AH49" i="79" s="1"/>
  <c r="AF58" i="79"/>
  <c r="AG26" i="87"/>
  <c r="AH16" i="87" s="1"/>
  <c r="AF26" i="87"/>
  <c r="AG15" i="81"/>
  <c r="AH5" i="81" s="1"/>
  <c r="AF15" i="81"/>
  <c r="R79" i="47"/>
  <c r="S70" i="47" s="1"/>
  <c r="J15" i="46" s="1"/>
  <c r="J14" i="46"/>
  <c r="R7" i="37"/>
  <c r="Q7" i="37"/>
  <c r="Q8" i="81"/>
  <c r="R8" i="81"/>
  <c r="O31" i="81"/>
  <c r="AF31" i="81"/>
  <c r="AG31" i="81"/>
  <c r="Q27" i="81"/>
  <c r="R27" i="81"/>
  <c r="O15" i="79"/>
  <c r="R5" i="79"/>
  <c r="Q5" i="79"/>
  <c r="AF19" i="77"/>
  <c r="AG19" i="77"/>
  <c r="O19" i="77"/>
  <c r="R27" i="77"/>
  <c r="Q27" i="77"/>
  <c r="O69" i="71"/>
  <c r="Q59" i="71"/>
  <c r="R59" i="71"/>
  <c r="Q7" i="17"/>
  <c r="R7" i="17"/>
  <c r="O58" i="73"/>
  <c r="R49" i="73"/>
  <c r="Q49" i="73"/>
  <c r="G14" i="72"/>
  <c r="G15" i="72" s="1"/>
  <c r="AG58" i="15"/>
  <c r="AH49" i="15" s="1"/>
  <c r="AF58" i="15"/>
  <c r="Q58" i="15"/>
  <c r="AG26" i="17"/>
  <c r="AH16" i="17" s="1"/>
  <c r="AF26" i="17"/>
  <c r="Q51" i="73"/>
  <c r="R51" i="73"/>
  <c r="R51" i="69"/>
  <c r="Q51" i="69"/>
  <c r="L58" i="71"/>
  <c r="H13" i="70" s="1"/>
  <c r="J3" i="74"/>
  <c r="G2" i="75"/>
  <c r="AF48" i="3"/>
  <c r="AG48" i="3"/>
  <c r="AH38" i="3" s="1"/>
  <c r="Q48" i="3"/>
  <c r="Q52" i="71"/>
  <c r="R52" i="71"/>
  <c r="Q58" i="75"/>
  <c r="AF58" i="75"/>
  <c r="AG58" i="75"/>
  <c r="AH49" i="75" s="1"/>
  <c r="R17" i="71"/>
  <c r="Q17" i="71"/>
  <c r="AF58" i="3"/>
  <c r="AG58" i="3"/>
  <c r="AH49" i="3" s="1"/>
  <c r="Q58" i="3"/>
  <c r="R70" i="59"/>
  <c r="Q18" i="59"/>
  <c r="R18" i="59"/>
  <c r="Q61" i="43"/>
  <c r="R61" i="43"/>
  <c r="R28" i="39"/>
  <c r="Q28" i="39"/>
  <c r="O48" i="43"/>
  <c r="R38" i="43"/>
  <c r="Q38" i="43"/>
  <c r="AG15" i="85"/>
  <c r="AH5" i="85" s="1"/>
  <c r="AF15" i="85"/>
  <c r="O69" i="79"/>
  <c r="R59" i="79"/>
  <c r="Q59" i="79"/>
  <c r="Q28" i="83"/>
  <c r="R28" i="83"/>
  <c r="AF69" i="17"/>
  <c r="Q69" i="17"/>
  <c r="AG69" i="17"/>
  <c r="AH59" i="17" s="1"/>
  <c r="Q37" i="69"/>
  <c r="AG37" i="69"/>
  <c r="AH27" i="69" s="1"/>
  <c r="AF37" i="69"/>
  <c r="Q6" i="79"/>
  <c r="R6" i="79"/>
  <c r="R28" i="69"/>
  <c r="Q28" i="69"/>
  <c r="AG69" i="71"/>
  <c r="AH59" i="71" s="1"/>
  <c r="AF69" i="71"/>
  <c r="Q69" i="71"/>
  <c r="AG58" i="73"/>
  <c r="AH49" i="73" s="1"/>
  <c r="AF58" i="73"/>
  <c r="Q58" i="73"/>
  <c r="Q37" i="15"/>
  <c r="AG37" i="15"/>
  <c r="AH27" i="15" s="1"/>
  <c r="AF37" i="15"/>
  <c r="R38" i="13"/>
  <c r="Q38" i="13"/>
  <c r="O48" i="13"/>
  <c r="R5" i="73"/>
  <c r="O15" i="73"/>
  <c r="Q5" i="73"/>
  <c r="F6" i="78"/>
  <c r="H6" i="78"/>
  <c r="Q29" i="75"/>
  <c r="R29" i="75"/>
  <c r="AF26" i="69"/>
  <c r="AG26" i="69"/>
  <c r="AH16" i="69" s="1"/>
  <c r="R7" i="3"/>
  <c r="Q7" i="3"/>
  <c r="J3" i="12"/>
  <c r="G2" i="13"/>
  <c r="AG15" i="71"/>
  <c r="AH5" i="71" s="1"/>
  <c r="AF15" i="71"/>
  <c r="Q58" i="47"/>
  <c r="AF58" i="47"/>
  <c r="AG58" i="47"/>
  <c r="AH49" i="47" s="1"/>
  <c r="O37" i="43"/>
  <c r="R28" i="43"/>
  <c r="Q28" i="43"/>
  <c r="AF79" i="87"/>
  <c r="AG79" i="87"/>
  <c r="AH70" i="87" s="1"/>
  <c r="Q79" i="87"/>
  <c r="O26" i="33"/>
  <c r="R16" i="33"/>
  <c r="Q16" i="33"/>
  <c r="Q37" i="89"/>
  <c r="AG37" i="89"/>
  <c r="AH27" i="89" s="1"/>
  <c r="AF37" i="89"/>
  <c r="O26" i="35"/>
  <c r="R16" i="35"/>
  <c r="Q16" i="35"/>
  <c r="AF37" i="85"/>
  <c r="Q37" i="85"/>
  <c r="AG37" i="85"/>
  <c r="AH27" i="85" s="1"/>
  <c r="Q58" i="89"/>
  <c r="AG58" i="89"/>
  <c r="AH49" i="89" s="1"/>
  <c r="AF58" i="89"/>
  <c r="AG58" i="63"/>
  <c r="AH49" i="63" s="1"/>
  <c r="AF58" i="63"/>
  <c r="Q58" i="63"/>
  <c r="E14" i="58"/>
  <c r="E15" i="58" s="1"/>
  <c r="R26" i="59"/>
  <c r="S16" i="59" s="1"/>
  <c r="Q26" i="59"/>
  <c r="Q39" i="63"/>
  <c r="R39" i="63"/>
  <c r="Q30" i="47"/>
  <c r="R30" i="47"/>
  <c r="R41" i="81"/>
  <c r="Q41" i="81"/>
  <c r="F6" i="16"/>
  <c r="N79" i="79"/>
  <c r="AG70" i="79"/>
  <c r="O70" i="79"/>
  <c r="AF70" i="79"/>
  <c r="AG15" i="75"/>
  <c r="AH5" i="75" s="1"/>
  <c r="AF15" i="75"/>
  <c r="R6" i="3"/>
  <c r="Q6" i="3"/>
  <c r="R49" i="75"/>
  <c r="O58" i="75"/>
  <c r="Q49" i="75"/>
  <c r="R18" i="13"/>
  <c r="Q18" i="13"/>
  <c r="Q40" i="81"/>
  <c r="R40" i="81"/>
  <c r="L26" i="13"/>
  <c r="E13" i="12" s="1"/>
  <c r="F6" i="12" s="1"/>
  <c r="Q29" i="3"/>
  <c r="R29" i="3"/>
  <c r="R49" i="3"/>
  <c r="Q49" i="3"/>
  <c r="O58" i="3"/>
  <c r="G2" i="65"/>
  <c r="J3" i="64"/>
  <c r="AG69" i="67"/>
  <c r="AH59" i="67" s="1"/>
  <c r="AF69" i="67"/>
  <c r="Q69" i="67"/>
  <c r="AF48" i="63"/>
  <c r="Q48" i="63"/>
  <c r="AG48" i="63"/>
  <c r="AH38" i="63" s="1"/>
  <c r="R59" i="61"/>
  <c r="Q59" i="61"/>
  <c r="O69" i="61"/>
  <c r="O69" i="65"/>
  <c r="O37" i="67"/>
  <c r="R27" i="67"/>
  <c r="Q27" i="67"/>
  <c r="Q31" i="63"/>
  <c r="R31" i="63"/>
  <c r="AG79" i="67"/>
  <c r="AH70" i="67" s="1"/>
  <c r="AF79" i="67"/>
  <c r="Q60" i="59"/>
  <c r="R60" i="59"/>
  <c r="Q37" i="53"/>
  <c r="AF37" i="53"/>
  <c r="AG37" i="53"/>
  <c r="AH27" i="53" s="1"/>
  <c r="AG58" i="53"/>
  <c r="AH49" i="53" s="1"/>
  <c r="Q58" i="53"/>
  <c r="AF58" i="53"/>
  <c r="AG37" i="59"/>
  <c r="AH27" i="59" s="1"/>
  <c r="AF37" i="59"/>
  <c r="Q37" i="59"/>
  <c r="Q6" i="59"/>
  <c r="R6" i="59"/>
  <c r="AG15" i="63"/>
  <c r="AH5" i="63" s="1"/>
  <c r="AF15" i="63"/>
  <c r="O58" i="57"/>
  <c r="Q49" i="57"/>
  <c r="R49" i="57"/>
  <c r="R39" i="51"/>
  <c r="Q39" i="51"/>
  <c r="R49" i="55"/>
  <c r="R27" i="49"/>
  <c r="Q27" i="49"/>
  <c r="O37" i="49"/>
  <c r="Q17" i="49"/>
  <c r="R17" i="49"/>
  <c r="R59" i="37"/>
  <c r="O69" i="37"/>
  <c r="Q59" i="37"/>
  <c r="Q49" i="49"/>
  <c r="R49" i="49"/>
  <c r="O58" i="49"/>
  <c r="R18" i="49"/>
  <c r="Q40" i="37"/>
  <c r="Q31" i="45"/>
  <c r="R31" i="45"/>
  <c r="R19" i="35"/>
  <c r="Q19" i="35"/>
  <c r="R52" i="51"/>
  <c r="Q52" i="51"/>
  <c r="R51" i="33"/>
  <c r="Q51" i="33"/>
  <c r="Q62" i="39"/>
  <c r="R79" i="35"/>
  <c r="S70" i="35" s="1"/>
  <c r="J15" i="34" s="1"/>
  <c r="J14" i="34"/>
  <c r="Q62" i="87"/>
  <c r="R62" i="87"/>
  <c r="AG69" i="39"/>
  <c r="AH59" i="39" s="1"/>
  <c r="AF69" i="39"/>
  <c r="Q69" i="39"/>
  <c r="R8" i="39"/>
  <c r="Q8" i="39"/>
  <c r="Q50" i="33"/>
  <c r="R50" i="33"/>
  <c r="R51" i="87"/>
  <c r="Q51" i="87"/>
  <c r="R18" i="33"/>
  <c r="Q18" i="33"/>
  <c r="G2" i="89"/>
  <c r="J3" i="88"/>
  <c r="R6" i="89"/>
  <c r="Q6" i="89"/>
  <c r="Q40" i="85"/>
  <c r="R40" i="85"/>
  <c r="R31" i="83"/>
  <c r="Q31" i="83"/>
  <c r="R9" i="87"/>
  <c r="Q9" i="87"/>
  <c r="O58" i="35"/>
  <c r="R71" i="81"/>
  <c r="Q71" i="81"/>
  <c r="R5" i="83"/>
  <c r="Q61" i="35"/>
  <c r="R61" i="35"/>
  <c r="J3" i="38"/>
  <c r="G2" i="39"/>
  <c r="L37" i="87"/>
  <c r="F13" i="86" s="1"/>
  <c r="F6" i="86" s="1"/>
  <c r="Q27" i="87"/>
  <c r="R27" i="87"/>
  <c r="O15" i="77"/>
  <c r="R5" i="77"/>
  <c r="Q5" i="77"/>
  <c r="R17" i="35"/>
  <c r="Q17" i="35"/>
  <c r="R7" i="77"/>
  <c r="Q7" i="77"/>
  <c r="AF26" i="81"/>
  <c r="AG26" i="81"/>
  <c r="AH16" i="81" s="1"/>
  <c r="R30" i="87"/>
  <c r="Q30" i="87"/>
  <c r="R17" i="75"/>
  <c r="Q17" i="75"/>
  <c r="O26" i="75"/>
  <c r="Q39" i="73"/>
  <c r="R39" i="73"/>
  <c r="Q51" i="77"/>
  <c r="R51" i="77"/>
  <c r="R19" i="75"/>
  <c r="Q19" i="75"/>
  <c r="R31" i="17"/>
  <c r="Q31" i="17"/>
  <c r="AG79" i="13"/>
  <c r="AH70" i="13" s="1"/>
  <c r="O37" i="17"/>
  <c r="L15" i="73"/>
  <c r="D13" i="72" s="1"/>
  <c r="AG15" i="17"/>
  <c r="AH5" i="17" s="1"/>
  <c r="AF15" i="17"/>
  <c r="L37" i="69"/>
  <c r="F13" i="68" s="1"/>
  <c r="H6" i="68" s="1"/>
  <c r="O26" i="69"/>
  <c r="R16" i="69"/>
  <c r="Q16" i="69"/>
  <c r="R19" i="71"/>
  <c r="Q19" i="71"/>
  <c r="R40" i="71"/>
  <c r="Q40" i="71"/>
  <c r="L79" i="81"/>
  <c r="J13" i="80" s="1"/>
  <c r="AF79" i="3"/>
  <c r="Q29" i="71"/>
  <c r="R29" i="71"/>
  <c r="R8" i="13"/>
  <c r="Q8" i="13"/>
  <c r="R5" i="71"/>
  <c r="O15" i="71"/>
  <c r="Q5" i="71"/>
  <c r="Q49" i="17"/>
  <c r="R49" i="17"/>
  <c r="O58" i="17"/>
  <c r="L15" i="71"/>
  <c r="D13" i="70" s="1"/>
  <c r="R62" i="79"/>
  <c r="Q62" i="79"/>
  <c r="O79" i="17"/>
  <c r="R70" i="17"/>
  <c r="Q70" i="17"/>
  <c r="AF58" i="69"/>
  <c r="AG58" i="69"/>
  <c r="AH49" i="69" s="1"/>
  <c r="Q58" i="69"/>
  <c r="R39" i="71"/>
  <c r="Q39" i="71"/>
  <c r="R79" i="59"/>
  <c r="S70" i="59" s="1"/>
  <c r="J15" i="58" s="1"/>
  <c r="J14" i="58"/>
  <c r="R39" i="65"/>
  <c r="Q39" i="65"/>
  <c r="Q29" i="51"/>
  <c r="R29" i="51"/>
  <c r="Q70" i="53"/>
  <c r="O79" i="53"/>
  <c r="R70" i="53"/>
  <c r="I14" i="52"/>
  <c r="R69" i="53"/>
  <c r="S59" i="53" s="1"/>
  <c r="AG26" i="57"/>
  <c r="AH16" i="57" s="1"/>
  <c r="AF26" i="57"/>
  <c r="Q39" i="47"/>
  <c r="R39" i="47"/>
  <c r="Q19" i="59"/>
  <c r="R19" i="59"/>
  <c r="R30" i="43"/>
  <c r="Q30" i="43"/>
  <c r="AF26" i="85"/>
  <c r="AG26" i="85"/>
  <c r="AH16" i="85" s="1"/>
  <c r="R50" i="39"/>
  <c r="Q50" i="39"/>
  <c r="O48" i="47"/>
  <c r="O48" i="81"/>
  <c r="Q38" i="81"/>
  <c r="R38" i="81"/>
  <c r="R50" i="69"/>
  <c r="Q50" i="69"/>
  <c r="Q28" i="67"/>
  <c r="R28" i="67"/>
  <c r="R51" i="49"/>
  <c r="Q51" i="49"/>
  <c r="R9" i="89"/>
  <c r="Q9" i="89"/>
  <c r="Q17" i="81"/>
  <c r="L26" i="81"/>
  <c r="E13" i="80" s="1"/>
  <c r="R17" i="81"/>
  <c r="AF69" i="61"/>
  <c r="AG69" i="61"/>
  <c r="AH59" i="61" s="1"/>
  <c r="Q69" i="61"/>
  <c r="R6" i="51"/>
  <c r="Q6" i="51"/>
  <c r="O69" i="45"/>
  <c r="R59" i="45"/>
  <c r="Q59" i="45"/>
  <c r="R52" i="33"/>
  <c r="Q52" i="33"/>
  <c r="R52" i="45"/>
  <c r="Q52" i="45"/>
  <c r="Q6" i="39"/>
  <c r="R6" i="39"/>
  <c r="R27" i="51"/>
  <c r="Q27" i="51"/>
  <c r="O37" i="51"/>
  <c r="O30" i="81"/>
  <c r="AG30" i="81"/>
  <c r="AF30" i="81"/>
  <c r="O69" i="33"/>
  <c r="Q15" i="83"/>
  <c r="R15" i="83"/>
  <c r="S5" i="83" s="1"/>
  <c r="D14" i="82"/>
  <c r="Q53" i="83"/>
  <c r="R53" i="83"/>
  <c r="L26" i="77"/>
  <c r="E13" i="76" s="1"/>
  <c r="H6" i="76" s="1"/>
  <c r="AF79" i="75"/>
  <c r="AG79" i="75"/>
  <c r="AH70" i="75" s="1"/>
  <c r="Q79" i="75"/>
  <c r="Q6" i="17"/>
  <c r="R6" i="17"/>
  <c r="O26" i="63"/>
  <c r="R16" i="63"/>
  <c r="Q16" i="63"/>
  <c r="R60" i="67"/>
  <c r="Q60" i="67"/>
  <c r="L37" i="67"/>
  <c r="F13" i="66" s="1"/>
  <c r="R52" i="57"/>
  <c r="Q52" i="57"/>
  <c r="Q19" i="63"/>
  <c r="R19" i="63"/>
  <c r="Q18" i="57"/>
  <c r="R18" i="57"/>
  <c r="Q8" i="61"/>
  <c r="R8" i="61"/>
  <c r="R50" i="53"/>
  <c r="Q50" i="53"/>
  <c r="Q5" i="51"/>
  <c r="O15" i="51"/>
  <c r="R5" i="51"/>
  <c r="AF48" i="51"/>
  <c r="AG48" i="51"/>
  <c r="AH38" i="51" s="1"/>
  <c r="Q48" i="51"/>
  <c r="L48" i="47"/>
  <c r="G13" i="46" s="1"/>
  <c r="H6" i="46" s="1"/>
  <c r="R38" i="47"/>
  <c r="AF15" i="61"/>
  <c r="AG15" i="61"/>
  <c r="AH5" i="61" s="1"/>
  <c r="AG37" i="47"/>
  <c r="AH27" i="47" s="1"/>
  <c r="AF37" i="47"/>
  <c r="Q37" i="47"/>
  <c r="Q29" i="43"/>
  <c r="R29" i="43"/>
  <c r="O58" i="43"/>
  <c r="R49" i="43"/>
  <c r="Q49" i="43"/>
  <c r="AF58" i="49"/>
  <c r="Q58" i="49"/>
  <c r="AG58" i="49"/>
  <c r="AH49" i="49" s="1"/>
  <c r="Q31" i="39"/>
  <c r="R31" i="39"/>
  <c r="R7" i="35"/>
  <c r="Q7" i="35"/>
  <c r="L58" i="51"/>
  <c r="H13" i="50" s="1"/>
  <c r="O37" i="45"/>
  <c r="R27" i="45"/>
  <c r="Q27" i="45"/>
  <c r="L37" i="43"/>
  <c r="F13" i="42" s="1"/>
  <c r="F6" i="42" s="1"/>
  <c r="R27" i="43"/>
  <c r="Q27" i="43"/>
  <c r="R70" i="35"/>
  <c r="R16" i="53"/>
  <c r="O26" i="53"/>
  <c r="Q16" i="53"/>
  <c r="AF15" i="39"/>
  <c r="AG15" i="39"/>
  <c r="AH5" i="39" s="1"/>
  <c r="R5" i="33"/>
  <c r="Q5" i="33"/>
  <c r="O15" i="33"/>
  <c r="AG15" i="83"/>
  <c r="AH5" i="83" s="1"/>
  <c r="AF15" i="83"/>
  <c r="R7" i="43"/>
  <c r="Q7" i="43"/>
  <c r="R18" i="85"/>
  <c r="Q18" i="85"/>
  <c r="R18" i="37"/>
  <c r="R38" i="87"/>
  <c r="Q38" i="87"/>
  <c r="O48" i="87"/>
  <c r="Q59" i="85"/>
  <c r="R29" i="35"/>
  <c r="Q29" i="35"/>
  <c r="R50" i="85"/>
  <c r="Q50" i="85"/>
  <c r="R51" i="83"/>
  <c r="Q51" i="83"/>
  <c r="O58" i="83"/>
  <c r="R5" i="35"/>
  <c r="R9" i="83"/>
  <c r="Q9" i="83"/>
  <c r="R7" i="87"/>
  <c r="Q7" i="87"/>
  <c r="AF18" i="77"/>
  <c r="N26" i="77"/>
  <c r="O18" i="77"/>
  <c r="AG18" i="77"/>
  <c r="R18" i="35"/>
  <c r="Q18" i="35"/>
  <c r="J6" i="76"/>
  <c r="O69" i="77"/>
  <c r="R59" i="77"/>
  <c r="Q59" i="77"/>
  <c r="AF48" i="77"/>
  <c r="AG48" i="77"/>
  <c r="AH38" i="77" s="1"/>
  <c r="Q48" i="77"/>
  <c r="AG69" i="75"/>
  <c r="AH59" i="75" s="1"/>
  <c r="AF69" i="75"/>
  <c r="Q69" i="75"/>
  <c r="R62" i="17"/>
  <c r="Q62" i="17"/>
  <c r="AG48" i="15"/>
  <c r="AH38" i="15" s="1"/>
  <c r="AF48" i="15"/>
  <c r="Q48" i="15"/>
  <c r="Q27" i="13"/>
  <c r="O37" i="13"/>
  <c r="R27" i="13"/>
  <c r="Q19" i="81"/>
  <c r="R19" i="81"/>
  <c r="R27" i="15"/>
  <c r="O37" i="15"/>
  <c r="Q27" i="15"/>
  <c r="L48" i="73"/>
  <c r="G13" i="72" s="1"/>
  <c r="R40" i="79"/>
  <c r="Q40" i="79"/>
  <c r="L69" i="71"/>
  <c r="I13" i="70" s="1"/>
  <c r="Q60" i="71"/>
  <c r="R60" i="71"/>
  <c r="AF48" i="81"/>
  <c r="Q48" i="81"/>
  <c r="AG48" i="81"/>
  <c r="AH38" i="81" s="1"/>
  <c r="AG15" i="73"/>
  <c r="AH5" i="73" s="1"/>
  <c r="AF15" i="73"/>
  <c r="R70" i="75"/>
  <c r="O79" i="75"/>
  <c r="Q70" i="75"/>
  <c r="R39" i="77"/>
  <c r="Q39" i="77"/>
  <c r="Q17" i="13"/>
  <c r="R17" i="13"/>
  <c r="Q7" i="71"/>
  <c r="R7" i="71"/>
  <c r="Q27" i="3"/>
  <c r="Q41" i="73"/>
  <c r="R18" i="69"/>
  <c r="Q18" i="69"/>
  <c r="Q38" i="69"/>
  <c r="R38" i="69"/>
  <c r="O48" i="69"/>
  <c r="AG37" i="17"/>
  <c r="AH27" i="17" s="1"/>
  <c r="Q37" i="17"/>
  <c r="AF37" i="17"/>
  <c r="Q6" i="77"/>
  <c r="R6" i="77"/>
  <c r="O26" i="3"/>
  <c r="Q16" i="77"/>
  <c r="Q79" i="17"/>
  <c r="AF79" i="17"/>
  <c r="AG79" i="17"/>
  <c r="AH70" i="17" s="1"/>
  <c r="AG69" i="47"/>
  <c r="AH59" i="47" s="1"/>
  <c r="AF69" i="47"/>
  <c r="Q69" i="47"/>
  <c r="Q62" i="45"/>
  <c r="R62" i="45"/>
  <c r="AG48" i="43"/>
  <c r="AH38" i="43" s="1"/>
  <c r="AF48" i="43"/>
  <c r="Q48" i="43"/>
  <c r="R6" i="35"/>
  <c r="Q6" i="35"/>
  <c r="O48" i="61"/>
  <c r="R38" i="61"/>
  <c r="Q38" i="61"/>
  <c r="O48" i="57"/>
  <c r="R38" i="57"/>
  <c r="Q38" i="57"/>
  <c r="R27" i="59"/>
  <c r="O37" i="59"/>
  <c r="Q27" i="59"/>
  <c r="R59" i="49"/>
  <c r="O69" i="49"/>
  <c r="Q59" i="49"/>
  <c r="Q69" i="45"/>
  <c r="AG69" i="45"/>
  <c r="AH59" i="45" s="1"/>
  <c r="AF69" i="45"/>
  <c r="R52" i="39"/>
  <c r="Q52" i="39"/>
  <c r="AF37" i="75"/>
  <c r="AG37" i="75"/>
  <c r="AH27" i="75" s="1"/>
  <c r="Q37" i="75"/>
  <c r="R60" i="77"/>
  <c r="Q60" i="77"/>
  <c r="Q59" i="67"/>
  <c r="R59" i="67"/>
  <c r="O69" i="67"/>
  <c r="R6" i="67"/>
  <c r="Q6" i="67"/>
  <c r="Q29" i="59"/>
  <c r="R29" i="59"/>
  <c r="Q69" i="65"/>
  <c r="AG69" i="65"/>
  <c r="AH59" i="65" s="1"/>
  <c r="AF69" i="65"/>
  <c r="R48" i="55"/>
  <c r="S38" i="55" s="1"/>
  <c r="G14" i="54"/>
  <c r="G15" i="54" s="1"/>
  <c r="Q51" i="53"/>
  <c r="R51" i="53"/>
  <c r="Q63" i="57"/>
  <c r="R63" i="57"/>
  <c r="Q48" i="53"/>
  <c r="AG48" i="53"/>
  <c r="AH38" i="53" s="1"/>
  <c r="AF48" i="53"/>
  <c r="AG37" i="49"/>
  <c r="AH27" i="49" s="1"/>
  <c r="Q37" i="49"/>
  <c r="AF37" i="49"/>
  <c r="AG58" i="37"/>
  <c r="AH49" i="37" s="1"/>
  <c r="Q58" i="37"/>
  <c r="AF58" i="37"/>
  <c r="Q58" i="43"/>
  <c r="AG58" i="43"/>
  <c r="AH49" i="43" s="1"/>
  <c r="AF58" i="43"/>
  <c r="Q60" i="39"/>
  <c r="R60" i="39"/>
  <c r="O69" i="39"/>
  <c r="N79" i="81"/>
  <c r="O72" i="81"/>
  <c r="O79" i="81" s="1"/>
  <c r="AF48" i="35"/>
  <c r="Q48" i="35"/>
  <c r="AG48" i="35"/>
  <c r="AH38" i="35" s="1"/>
  <c r="AF69" i="77"/>
  <c r="AG69" i="77"/>
  <c r="AH59" i="77" s="1"/>
  <c r="Q69" i="77"/>
  <c r="AF15" i="79"/>
  <c r="AG15" i="79"/>
  <c r="AH5" i="79" s="1"/>
  <c r="F6" i="74"/>
  <c r="R7" i="79"/>
  <c r="Q7" i="79"/>
  <c r="AG29" i="77"/>
  <c r="O29" i="77"/>
  <c r="AF29" i="77"/>
  <c r="Q15" i="13"/>
  <c r="R15" i="13"/>
  <c r="S5" i="13" s="1"/>
  <c r="D14" i="12"/>
  <c r="R60" i="17"/>
  <c r="Q60" i="17"/>
  <c r="AG58" i="17"/>
  <c r="AH49" i="17" s="1"/>
  <c r="AF58" i="17"/>
  <c r="Q58" i="17"/>
  <c r="Q52" i="75"/>
  <c r="R52" i="75"/>
  <c r="O48" i="63"/>
  <c r="R38" i="63"/>
  <c r="Q38" i="63"/>
  <c r="R18" i="63"/>
  <c r="Q18" i="63"/>
  <c r="O48" i="67"/>
  <c r="R38" i="67"/>
  <c r="Q38" i="67"/>
  <c r="AF69" i="63"/>
  <c r="AG69" i="63"/>
  <c r="AH59" i="63" s="1"/>
  <c r="Q69" i="63"/>
  <c r="R60" i="57"/>
  <c r="R18" i="51"/>
  <c r="Q18" i="51"/>
  <c r="Q41" i="55"/>
  <c r="R41" i="55"/>
  <c r="R50" i="55"/>
  <c r="Q50" i="55"/>
  <c r="Q30" i="37"/>
  <c r="R30" i="37"/>
  <c r="O37" i="65"/>
  <c r="R27" i="65"/>
  <c r="Q27" i="65"/>
  <c r="O15" i="63"/>
  <c r="L58" i="65"/>
  <c r="H13" i="64" s="1"/>
  <c r="Q30" i="65"/>
  <c r="R30" i="65"/>
  <c r="AG26" i="63"/>
  <c r="AH16" i="63" s="1"/>
  <c r="AF26" i="63"/>
  <c r="R61" i="63"/>
  <c r="Q61" i="63"/>
  <c r="R27" i="61"/>
  <c r="Q27" i="61"/>
  <c r="O37" i="61"/>
  <c r="Q60" i="65"/>
  <c r="R60" i="65"/>
  <c r="R9" i="59"/>
  <c r="Q9" i="59"/>
  <c r="L37" i="65"/>
  <c r="F13" i="64" s="1"/>
  <c r="H6" i="64" s="1"/>
  <c r="R8" i="57"/>
  <c r="Q8" i="57"/>
  <c r="L69" i="47"/>
  <c r="I13" i="46" s="1"/>
  <c r="J6" i="46" s="1"/>
  <c r="AF79" i="53"/>
  <c r="Q79" i="53"/>
  <c r="AG79" i="53"/>
  <c r="AH70" i="53" s="1"/>
  <c r="Q6" i="49"/>
  <c r="R19" i="55"/>
  <c r="Q19" i="55"/>
  <c r="L26" i="51"/>
  <c r="E13" i="50" s="1"/>
  <c r="H6" i="50" s="1"/>
  <c r="Q7" i="55"/>
  <c r="R7" i="55"/>
  <c r="J6" i="44"/>
  <c r="R50" i="45"/>
  <c r="Q50" i="45"/>
  <c r="G2" i="55"/>
  <c r="J3" i="54"/>
  <c r="O15" i="47"/>
  <c r="Q5" i="47"/>
  <c r="R5" i="47"/>
  <c r="AF15" i="43"/>
  <c r="AG15" i="43"/>
  <c r="AH5" i="43" s="1"/>
  <c r="AG26" i="39"/>
  <c r="AH16" i="39" s="1"/>
  <c r="AF26" i="39"/>
  <c r="G2" i="51"/>
  <c r="J3" i="50"/>
  <c r="AG37" i="45"/>
  <c r="AH27" i="45" s="1"/>
  <c r="Q37" i="45"/>
  <c r="AF37" i="45"/>
  <c r="L58" i="33"/>
  <c r="H13" i="32" s="1"/>
  <c r="F6" i="32" s="1"/>
  <c r="R19" i="43"/>
  <c r="Q19" i="43"/>
  <c r="R52" i="35"/>
  <c r="Q52" i="35"/>
  <c r="Q38" i="49"/>
  <c r="R5" i="89"/>
  <c r="O15" i="89"/>
  <c r="Q5" i="89"/>
  <c r="J6" i="32"/>
  <c r="R51" i="35"/>
  <c r="Q51" i="35"/>
  <c r="AG15" i="33"/>
  <c r="AH5" i="33" s="1"/>
  <c r="AF15" i="33"/>
  <c r="R16" i="51"/>
  <c r="O26" i="51"/>
  <c r="Q16" i="51"/>
  <c r="AF37" i="51"/>
  <c r="Q37" i="51"/>
  <c r="AG37" i="51"/>
  <c r="AH27" i="51" s="1"/>
  <c r="Q17" i="51"/>
  <c r="R17" i="51"/>
  <c r="R38" i="37"/>
  <c r="Q38" i="37"/>
  <c r="O48" i="37"/>
  <c r="L69" i="81"/>
  <c r="I13" i="80" s="1"/>
  <c r="Q59" i="81"/>
  <c r="R60" i="87"/>
  <c r="Q60" i="87"/>
  <c r="L37" i="83"/>
  <c r="F13" i="82" s="1"/>
  <c r="H6" i="82" s="1"/>
  <c r="Q69" i="37"/>
  <c r="AG69" i="37"/>
  <c r="AH59" i="37" s="1"/>
  <c r="AF69" i="37"/>
  <c r="Q48" i="87"/>
  <c r="AG48" i="87"/>
  <c r="AH38" i="87" s="1"/>
  <c r="AF48" i="87"/>
  <c r="O58" i="33"/>
  <c r="R49" i="33"/>
  <c r="Q49" i="33"/>
  <c r="AF15" i="37"/>
  <c r="AG15" i="37"/>
  <c r="AH5" i="37" s="1"/>
  <c r="O15" i="35"/>
  <c r="L37" i="77"/>
  <c r="F13" i="76" s="1"/>
  <c r="R31" i="77"/>
  <c r="Q31" i="77"/>
  <c r="Q17" i="33"/>
  <c r="R17" i="33"/>
  <c r="AF26" i="37"/>
  <c r="AG26" i="37"/>
  <c r="AH16" i="37" s="1"/>
  <c r="R10" i="87"/>
  <c r="Q10" i="87"/>
  <c r="AG69" i="79"/>
  <c r="AH59" i="79" s="1"/>
  <c r="AF69" i="79"/>
  <c r="Q69" i="79"/>
  <c r="R40" i="83"/>
  <c r="Q40" i="83"/>
  <c r="R52" i="87"/>
  <c r="Q52" i="87"/>
  <c r="R18" i="81"/>
  <c r="Q18" i="81"/>
  <c r="Q62" i="81"/>
  <c r="R62" i="81"/>
  <c r="O37" i="73"/>
  <c r="R27" i="73"/>
  <c r="Q27" i="73"/>
  <c r="L58" i="15"/>
  <c r="H13" i="14" s="1"/>
  <c r="Q49" i="15"/>
  <c r="R49" i="15"/>
  <c r="AG39" i="75"/>
  <c r="AF39" i="75"/>
  <c r="O39" i="75"/>
  <c r="Q50" i="77"/>
  <c r="R50" i="77"/>
  <c r="Q18" i="75"/>
  <c r="R18" i="75"/>
  <c r="AG26" i="73"/>
  <c r="AH16" i="73" s="1"/>
  <c r="AF26" i="73"/>
  <c r="Q60" i="13"/>
  <c r="R60" i="13"/>
  <c r="Q18" i="3"/>
  <c r="R18" i="3"/>
  <c r="R8" i="83"/>
  <c r="Q8" i="83"/>
  <c r="Q39" i="13"/>
  <c r="R39" i="13"/>
  <c r="Q38" i="75"/>
  <c r="R38" i="75"/>
  <c r="R27" i="3"/>
  <c r="AF15" i="69"/>
  <c r="AG15" i="69"/>
  <c r="AH5" i="69" s="1"/>
  <c r="Q48" i="69"/>
  <c r="AG48" i="69"/>
  <c r="AH38" i="69" s="1"/>
  <c r="AF48" i="69"/>
  <c r="R28" i="17"/>
  <c r="Q28" i="17"/>
  <c r="Q59" i="73"/>
  <c r="R59" i="73"/>
  <c r="O69" i="73"/>
  <c r="G2" i="71"/>
  <c r="J3" i="70"/>
  <c r="O37" i="71"/>
  <c r="R27" i="71"/>
  <c r="Q27" i="71"/>
  <c r="R39" i="69"/>
  <c r="Q39" i="69"/>
  <c r="Q70" i="69"/>
  <c r="L79" i="69"/>
  <c r="J13" i="68" s="1"/>
  <c r="J6" i="68" s="1"/>
  <c r="R70" i="69"/>
  <c r="Q33" i="73"/>
  <c r="O48" i="59"/>
  <c r="R38" i="59"/>
  <c r="Q38" i="59"/>
  <c r="R17" i="55"/>
  <c r="Q17" i="55"/>
  <c r="Q58" i="65"/>
  <c r="AF58" i="65"/>
  <c r="AG58" i="65"/>
  <c r="AH49" i="65" s="1"/>
  <c r="Q6" i="65"/>
  <c r="R6" i="65"/>
  <c r="Q58" i="67"/>
  <c r="AG58" i="67"/>
  <c r="AH49" i="67" s="1"/>
  <c r="AF58" i="67"/>
  <c r="AG26" i="35"/>
  <c r="AH16" i="35" s="1"/>
  <c r="AF26" i="35"/>
  <c r="R52" i="53"/>
  <c r="Q52" i="53"/>
  <c r="R51" i="47"/>
  <c r="Q51" i="47"/>
  <c r="R59" i="35"/>
  <c r="Q59" i="35"/>
  <c r="O69" i="35"/>
  <c r="Q19" i="37"/>
  <c r="R19" i="37"/>
  <c r="AF48" i="85"/>
  <c r="Q48" i="85"/>
  <c r="AG48" i="85"/>
  <c r="AH38" i="85" s="1"/>
  <c r="Q32" i="79"/>
  <c r="R32" i="79"/>
  <c r="R79" i="85"/>
  <c r="S70" i="85" s="1"/>
  <c r="J15" i="84" s="1"/>
  <c r="J14" i="84"/>
  <c r="Q37" i="33"/>
  <c r="AG37" i="33"/>
  <c r="AH27" i="33" s="1"/>
  <c r="AF37" i="33"/>
  <c r="R30" i="85"/>
  <c r="Q30" i="85"/>
  <c r="R17" i="85"/>
  <c r="Q17" i="85"/>
  <c r="O26" i="37"/>
  <c r="R16" i="37"/>
  <c r="Q16" i="37"/>
  <c r="Q49" i="77"/>
  <c r="O58" i="77"/>
  <c r="R49" i="77"/>
  <c r="O48" i="15"/>
  <c r="R38" i="15"/>
  <c r="Q38" i="15"/>
  <c r="F6" i="2"/>
  <c r="H6" i="2"/>
  <c r="Q5" i="17"/>
  <c r="O15" i="17"/>
  <c r="R5" i="17"/>
  <c r="G14" i="78"/>
  <c r="G15" i="78" s="1"/>
  <c r="R48" i="79"/>
  <c r="S38" i="79" s="1"/>
  <c r="L15" i="81"/>
  <c r="D13" i="80" s="1"/>
  <c r="R39" i="67"/>
  <c r="Q39" i="67"/>
  <c r="AG37" i="65"/>
  <c r="AH27" i="65" s="1"/>
  <c r="AF37" i="65"/>
  <c r="Q37" i="65"/>
  <c r="Q60" i="61"/>
  <c r="R60" i="61"/>
  <c r="L79" i="61"/>
  <c r="J13" i="60" s="1"/>
  <c r="J6" i="60" s="1"/>
  <c r="R70" i="61"/>
  <c r="O58" i="61"/>
  <c r="AG48" i="65"/>
  <c r="AH38" i="65" s="1"/>
  <c r="Q48" i="65"/>
  <c r="AF48" i="65"/>
  <c r="Q70" i="61"/>
  <c r="AF37" i="63"/>
  <c r="Q37" i="63"/>
  <c r="AG37" i="63"/>
  <c r="AH27" i="63" s="1"/>
  <c r="L26" i="57"/>
  <c r="E13" i="56" s="1"/>
  <c r="H6" i="56" s="1"/>
  <c r="R16" i="57"/>
  <c r="Q16" i="57"/>
  <c r="R50" i="61"/>
  <c r="Q50" i="61"/>
  <c r="R70" i="55"/>
  <c r="Q70" i="55"/>
  <c r="O79" i="55"/>
  <c r="O69" i="59"/>
  <c r="R29" i="57"/>
  <c r="Q29" i="57"/>
  <c r="O58" i="53"/>
  <c r="R29" i="65"/>
  <c r="Q29" i="65"/>
  <c r="R30" i="45"/>
  <c r="Q30" i="45"/>
  <c r="O37" i="47"/>
  <c r="R27" i="47"/>
  <c r="Q27" i="47"/>
  <c r="AF26" i="55"/>
  <c r="AG26" i="55"/>
  <c r="AH16" i="55" s="1"/>
  <c r="R62" i="51"/>
  <c r="Q62" i="51"/>
  <c r="O26" i="39"/>
  <c r="R16" i="39"/>
  <c r="Q16" i="39"/>
  <c r="L37" i="49"/>
  <c r="F13" i="48" s="1"/>
  <c r="H6" i="48" s="1"/>
  <c r="R7" i="45"/>
  <c r="Q7" i="45"/>
  <c r="AG69" i="49"/>
  <c r="AH59" i="49" s="1"/>
  <c r="Q69" i="49"/>
  <c r="AF69" i="49"/>
  <c r="R15" i="53"/>
  <c r="S5" i="53" s="1"/>
  <c r="Q15" i="53"/>
  <c r="D14" i="52"/>
  <c r="AG26" i="47"/>
  <c r="AH16" i="47" s="1"/>
  <c r="AF26" i="47"/>
  <c r="R51" i="43"/>
  <c r="Q51" i="43"/>
  <c r="R17" i="39"/>
  <c r="R6" i="33"/>
  <c r="Q6" i="33"/>
  <c r="O48" i="49"/>
  <c r="Q16" i="45"/>
  <c r="O26" i="45"/>
  <c r="R16" i="45"/>
  <c r="R49" i="87"/>
  <c r="Q49" i="87"/>
  <c r="O58" i="87"/>
  <c r="R5" i="39"/>
  <c r="Q5" i="39"/>
  <c r="O15" i="39"/>
  <c r="AG26" i="51"/>
  <c r="AH16" i="51" s="1"/>
  <c r="AF26" i="51"/>
  <c r="H6" i="36"/>
  <c r="F6" i="36"/>
  <c r="AF69" i="83"/>
  <c r="Q69" i="83"/>
  <c r="AG69" i="83"/>
  <c r="AH59" i="83" s="1"/>
  <c r="R62" i="43"/>
  <c r="Q62" i="43"/>
  <c r="AG79" i="85"/>
  <c r="AH70" i="85" s="1"/>
  <c r="Q79" i="85"/>
  <c r="AF79" i="85"/>
  <c r="G14" i="34"/>
  <c r="G15" i="34" s="1"/>
  <c r="R48" i="35"/>
  <c r="S38" i="35" s="1"/>
  <c r="R39" i="85"/>
  <c r="Q39" i="85"/>
  <c r="Q28" i="33"/>
  <c r="AF58" i="83"/>
  <c r="AG58" i="83"/>
  <c r="AH49" i="83" s="1"/>
  <c r="Q58" i="83"/>
  <c r="G2" i="35"/>
  <c r="J3" i="34"/>
  <c r="O48" i="39"/>
  <c r="R38" i="39"/>
  <c r="Q38" i="39"/>
  <c r="G2" i="87"/>
  <c r="J3" i="86"/>
  <c r="E14" i="80"/>
  <c r="E15" i="80" s="1"/>
  <c r="R8" i="33"/>
  <c r="Q8" i="33"/>
  <c r="R52" i="85"/>
  <c r="Q52" i="85"/>
  <c r="Q52" i="77"/>
  <c r="R52" i="77"/>
  <c r="Q40" i="75"/>
  <c r="R40" i="75"/>
  <c r="Q62" i="77"/>
  <c r="R62" i="77"/>
  <c r="Q62" i="75"/>
  <c r="R62" i="75"/>
  <c r="Q18" i="73"/>
  <c r="R18" i="73"/>
  <c r="O15" i="85"/>
  <c r="R50" i="71"/>
  <c r="Q50" i="71"/>
  <c r="O58" i="71"/>
  <c r="O26" i="15"/>
  <c r="R16" i="15"/>
  <c r="Q16" i="15"/>
  <c r="O69" i="17"/>
  <c r="Q79" i="15"/>
  <c r="AG79" i="15"/>
  <c r="AH70" i="15" s="1"/>
  <c r="AF79" i="15"/>
  <c r="R51" i="17"/>
  <c r="Q51" i="17"/>
  <c r="L69" i="15"/>
  <c r="I13" i="14" s="1"/>
  <c r="J6" i="14" s="1"/>
  <c r="R18" i="71"/>
  <c r="Q18" i="71"/>
  <c r="Q50" i="17"/>
  <c r="AG48" i="13"/>
  <c r="AH38" i="13" s="1"/>
  <c r="AF48" i="13"/>
  <c r="Q48" i="13"/>
  <c r="R49" i="81"/>
  <c r="O58" i="81"/>
  <c r="Q49" i="81"/>
  <c r="AG69" i="15"/>
  <c r="AH59" i="15" s="1"/>
  <c r="AF69" i="15"/>
  <c r="Q69" i="15"/>
  <c r="L48" i="13"/>
  <c r="G13" i="12" s="1"/>
  <c r="N48" i="75"/>
  <c r="AG26" i="3"/>
  <c r="AH16" i="3" s="1"/>
  <c r="AF26" i="3"/>
  <c r="O37" i="3"/>
  <c r="O15" i="69"/>
  <c r="R5" i="69"/>
  <c r="Q5" i="69"/>
  <c r="R79" i="13"/>
  <c r="S70" i="13" s="1"/>
  <c r="J15" i="12" s="1"/>
  <c r="Q8" i="79"/>
  <c r="R8" i="79"/>
  <c r="Q61" i="3"/>
  <c r="R61" i="3"/>
  <c r="R8" i="17"/>
  <c r="Q8" i="17"/>
  <c r="Q69" i="73"/>
  <c r="AG69" i="73"/>
  <c r="AH59" i="73" s="1"/>
  <c r="AF69" i="73"/>
  <c r="O58" i="69"/>
  <c r="Q16" i="71"/>
  <c r="O26" i="71"/>
  <c r="R16" i="71"/>
  <c r="AF37" i="71"/>
  <c r="AG37" i="71"/>
  <c r="AH27" i="71" s="1"/>
  <c r="Q37" i="71"/>
  <c r="R79" i="81" l="1"/>
  <c r="S70" i="81" s="1"/>
  <c r="J15" i="80" s="1"/>
  <c r="J14" i="80"/>
  <c r="I14" i="74"/>
  <c r="R69" i="75"/>
  <c r="S59" i="75" s="1"/>
  <c r="G14" i="38"/>
  <c r="G15" i="38" s="1"/>
  <c r="R48" i="39"/>
  <c r="S38" i="39" s="1"/>
  <c r="Q26" i="37"/>
  <c r="E14" i="36"/>
  <c r="E15" i="36" s="1"/>
  <c r="R26" i="37"/>
  <c r="S16" i="37" s="1"/>
  <c r="R26" i="53"/>
  <c r="S16" i="53" s="1"/>
  <c r="Q26" i="53"/>
  <c r="E14" i="52"/>
  <c r="E15" i="52" s="1"/>
  <c r="R69" i="71"/>
  <c r="S59" i="71" s="1"/>
  <c r="I14" i="70"/>
  <c r="R37" i="35"/>
  <c r="S27" i="35" s="1"/>
  <c r="F14" i="34"/>
  <c r="F15" i="34" s="1"/>
  <c r="R69" i="87"/>
  <c r="S59" i="87" s="1"/>
  <c r="I14" i="86"/>
  <c r="R69" i="55"/>
  <c r="S59" i="55" s="1"/>
  <c r="I14" i="54"/>
  <c r="H14" i="12"/>
  <c r="H15" i="12" s="1"/>
  <c r="R58" i="13"/>
  <c r="S49" i="13" s="1"/>
  <c r="H14" i="68"/>
  <c r="H15" i="68" s="1"/>
  <c r="R58" i="69"/>
  <c r="S49" i="69" s="1"/>
  <c r="Q26" i="81"/>
  <c r="R26" i="45"/>
  <c r="S16" i="45" s="1"/>
  <c r="Q26" i="45"/>
  <c r="E14" i="44"/>
  <c r="E15" i="44" s="1"/>
  <c r="E2" i="53"/>
  <c r="J6" i="80"/>
  <c r="R37" i="61"/>
  <c r="S27" i="61" s="1"/>
  <c r="F14" i="60"/>
  <c r="F15" i="60" s="1"/>
  <c r="R29" i="77"/>
  <c r="Q29" i="77"/>
  <c r="R37" i="15"/>
  <c r="S27" i="15" s="1"/>
  <c r="F14" i="14"/>
  <c r="F15" i="14" s="1"/>
  <c r="H6" i="72"/>
  <c r="F6" i="72"/>
  <c r="D14" i="76"/>
  <c r="R15" i="77"/>
  <c r="S5" i="77" s="1"/>
  <c r="Q15" i="77"/>
  <c r="H14" i="48"/>
  <c r="H15" i="48" s="1"/>
  <c r="R58" i="49"/>
  <c r="S49" i="49" s="1"/>
  <c r="AG79" i="79"/>
  <c r="AH70" i="79" s="1"/>
  <c r="Q79" i="79"/>
  <c r="AF79" i="79"/>
  <c r="F6" i="68"/>
  <c r="R48" i="73"/>
  <c r="S38" i="73" s="1"/>
  <c r="O37" i="77"/>
  <c r="I14" i="42"/>
  <c r="R69" i="43"/>
  <c r="S59" i="43" s="1"/>
  <c r="R48" i="33"/>
  <c r="S38" i="33" s="1"/>
  <c r="G14" i="32"/>
  <c r="G15" i="32" s="1"/>
  <c r="H6" i="42"/>
  <c r="R69" i="57"/>
  <c r="S59" i="57" s="1"/>
  <c r="F6" i="76"/>
  <c r="Q15" i="87"/>
  <c r="D14" i="86"/>
  <c r="E2" i="87"/>
  <c r="R15" i="87"/>
  <c r="S5" i="87" s="1"/>
  <c r="R69" i="83"/>
  <c r="S59" i="83" s="1"/>
  <c r="I14" i="82"/>
  <c r="D14" i="58"/>
  <c r="R15" i="59"/>
  <c r="S5" i="59" s="1"/>
  <c r="Q15" i="59"/>
  <c r="E2" i="59"/>
  <c r="F14" i="84"/>
  <c r="F15" i="84" s="1"/>
  <c r="R37" i="85"/>
  <c r="S27" i="85" s="1"/>
  <c r="D15" i="36"/>
  <c r="F6" i="50"/>
  <c r="R37" i="45"/>
  <c r="S27" i="45" s="1"/>
  <c r="F14" i="44"/>
  <c r="F15" i="44" s="1"/>
  <c r="R58" i="39"/>
  <c r="S49" i="39" s="1"/>
  <c r="H14" i="38"/>
  <c r="H15" i="38" s="1"/>
  <c r="R69" i="3"/>
  <c r="S59" i="3" s="1"/>
  <c r="I14" i="2"/>
  <c r="G14" i="66"/>
  <c r="G15" i="66" s="1"/>
  <c r="R48" i="67"/>
  <c r="S38" i="67" s="1"/>
  <c r="H14" i="32"/>
  <c r="H15" i="32" s="1"/>
  <c r="R58" i="33"/>
  <c r="S49" i="33" s="1"/>
  <c r="R48" i="37"/>
  <c r="S38" i="37" s="1"/>
  <c r="G14" i="36"/>
  <c r="G15" i="36" s="1"/>
  <c r="H6" i="70"/>
  <c r="R37" i="17"/>
  <c r="S27" i="17" s="1"/>
  <c r="F14" i="16"/>
  <c r="F15" i="16" s="1"/>
  <c r="G14" i="42"/>
  <c r="G15" i="42" s="1"/>
  <c r="R48" i="43"/>
  <c r="S38" i="43" s="1"/>
  <c r="R19" i="77"/>
  <c r="Q19" i="77"/>
  <c r="I14" i="46"/>
  <c r="R69" i="47"/>
  <c r="S59" i="47" s="1"/>
  <c r="D15" i="54"/>
  <c r="R37" i="83"/>
  <c r="S27" i="83" s="1"/>
  <c r="F14" i="82"/>
  <c r="F15" i="82" s="1"/>
  <c r="J14" i="50"/>
  <c r="R79" i="51"/>
  <c r="S70" i="51" s="1"/>
  <c r="J15" i="50" s="1"/>
  <c r="R48" i="83"/>
  <c r="S38" i="83" s="1"/>
  <c r="G14" i="82"/>
  <c r="G15" i="82" s="1"/>
  <c r="R37" i="63"/>
  <c r="S27" i="63" s="1"/>
  <c r="F14" i="62"/>
  <c r="F15" i="62" s="1"/>
  <c r="H7" i="42"/>
  <c r="D15" i="42"/>
  <c r="F6" i="48"/>
  <c r="D15" i="64"/>
  <c r="D14" i="38"/>
  <c r="R15" i="39"/>
  <c r="S5" i="39" s="1"/>
  <c r="Q15" i="39"/>
  <c r="E2" i="39"/>
  <c r="R26" i="73"/>
  <c r="S16" i="73" s="1"/>
  <c r="Q26" i="73"/>
  <c r="E14" i="72"/>
  <c r="E15" i="72" s="1"/>
  <c r="Q15" i="47"/>
  <c r="E2" i="47"/>
  <c r="D14" i="46"/>
  <c r="R15" i="47"/>
  <c r="S5" i="47" s="1"/>
  <c r="R37" i="59"/>
  <c r="S27" i="59" s="1"/>
  <c r="F14" i="58"/>
  <c r="F15" i="58" s="1"/>
  <c r="F14" i="2"/>
  <c r="F15" i="2" s="1"/>
  <c r="R37" i="3"/>
  <c r="S27" i="3" s="1"/>
  <c r="Q31" i="81"/>
  <c r="R31" i="81"/>
  <c r="R79" i="65"/>
  <c r="S70" i="65" s="1"/>
  <c r="J15" i="64" s="1"/>
  <c r="J14" i="64"/>
  <c r="F14" i="38"/>
  <c r="F15" i="38" s="1"/>
  <c r="R37" i="39"/>
  <c r="S27" i="39" s="1"/>
  <c r="R48" i="17"/>
  <c r="S38" i="17" s="1"/>
  <c r="G14" i="16"/>
  <c r="G15" i="16" s="1"/>
  <c r="Q15" i="49"/>
  <c r="D14" i="48"/>
  <c r="R15" i="49"/>
  <c r="S5" i="49" s="1"/>
  <c r="E2" i="49"/>
  <c r="F14" i="52"/>
  <c r="F15" i="52" s="1"/>
  <c r="R37" i="53"/>
  <c r="S27" i="53" s="1"/>
  <c r="R31" i="87"/>
  <c r="Q31" i="87"/>
  <c r="O37" i="87"/>
  <c r="R79" i="45"/>
  <c r="S70" i="45" s="1"/>
  <c r="J15" i="44" s="1"/>
  <c r="J14" i="44"/>
  <c r="R79" i="57"/>
  <c r="S70" i="57" s="1"/>
  <c r="J15" i="56" s="1"/>
  <c r="J14" i="56"/>
  <c r="F6" i="64"/>
  <c r="R58" i="71"/>
  <c r="S49" i="71" s="1"/>
  <c r="H14" i="70"/>
  <c r="H15" i="70" s="1"/>
  <c r="R26" i="33"/>
  <c r="S16" i="33" s="1"/>
  <c r="E14" i="32"/>
  <c r="E15" i="32" s="1"/>
  <c r="Q26" i="33"/>
  <c r="J14" i="42"/>
  <c r="R79" i="43"/>
  <c r="S70" i="43" s="1"/>
  <c r="J15" i="42" s="1"/>
  <c r="E2" i="15"/>
  <c r="R15" i="15"/>
  <c r="S5" i="15" s="1"/>
  <c r="Q15" i="15"/>
  <c r="D14" i="14"/>
  <c r="Q15" i="69"/>
  <c r="R15" i="69"/>
  <c r="S5" i="69" s="1"/>
  <c r="E2" i="69"/>
  <c r="D14" i="68"/>
  <c r="I14" i="16"/>
  <c r="R69" i="17"/>
  <c r="S59" i="17" s="1"/>
  <c r="R69" i="59"/>
  <c r="S59" i="59" s="1"/>
  <c r="I14" i="58"/>
  <c r="R37" i="65"/>
  <c r="S27" i="65" s="1"/>
  <c r="F14" i="64"/>
  <c r="F15" i="64" s="1"/>
  <c r="R79" i="55"/>
  <c r="S70" i="55" s="1"/>
  <c r="J15" i="54" s="1"/>
  <c r="J14" i="54"/>
  <c r="R69" i="35"/>
  <c r="S59" i="35" s="1"/>
  <c r="I14" i="34"/>
  <c r="F6" i="46"/>
  <c r="AG26" i="77"/>
  <c r="AH16" i="77" s="1"/>
  <c r="AF26" i="77"/>
  <c r="G14" i="80"/>
  <c r="G15" i="80" s="1"/>
  <c r="R48" i="81"/>
  <c r="S38" i="81" s="1"/>
  <c r="R39" i="75"/>
  <c r="Q39" i="75"/>
  <c r="F14" i="66"/>
  <c r="F15" i="66" s="1"/>
  <c r="R37" i="67"/>
  <c r="S27" i="67" s="1"/>
  <c r="R58" i="75"/>
  <c r="S49" i="75" s="1"/>
  <c r="H14" i="74"/>
  <c r="H15" i="74" s="1"/>
  <c r="I14" i="68"/>
  <c r="R69" i="69"/>
  <c r="S59" i="69" s="1"/>
  <c r="R79" i="33"/>
  <c r="S70" i="33" s="1"/>
  <c r="J15" i="32" s="1"/>
  <c r="J14" i="32"/>
  <c r="E14" i="54"/>
  <c r="E15" i="54" s="1"/>
  <c r="R26" i="55"/>
  <c r="S16" i="55" s="1"/>
  <c r="Q26" i="55"/>
  <c r="H6" i="66"/>
  <c r="E15" i="56"/>
  <c r="AG48" i="75"/>
  <c r="AH38" i="75" s="1"/>
  <c r="AF48" i="75"/>
  <c r="Q48" i="75"/>
  <c r="H6" i="80"/>
  <c r="F6" i="80"/>
  <c r="R37" i="79"/>
  <c r="S27" i="79" s="1"/>
  <c r="F14" i="78"/>
  <c r="F15" i="78" s="1"/>
  <c r="Q26" i="65"/>
  <c r="R26" i="65"/>
  <c r="S16" i="65" s="1"/>
  <c r="E14" i="64"/>
  <c r="E15" i="64" s="1"/>
  <c r="J14" i="62"/>
  <c r="R79" i="63"/>
  <c r="S70" i="63" s="1"/>
  <c r="J15" i="62" s="1"/>
  <c r="Q15" i="51"/>
  <c r="R15" i="51"/>
  <c r="S5" i="51" s="1"/>
  <c r="D14" i="50"/>
  <c r="E2" i="51"/>
  <c r="D14" i="70"/>
  <c r="E2" i="71"/>
  <c r="Q15" i="71"/>
  <c r="R15" i="71"/>
  <c r="S5" i="71" s="1"/>
  <c r="F6" i="56"/>
  <c r="Q18" i="77"/>
  <c r="R18" i="77"/>
  <c r="O26" i="77"/>
  <c r="G14" i="48"/>
  <c r="G15" i="48" s="1"/>
  <c r="R48" i="49"/>
  <c r="S38" i="49" s="1"/>
  <c r="Q72" i="81"/>
  <c r="R72" i="81"/>
  <c r="E14" i="2"/>
  <c r="E15" i="2" s="1"/>
  <c r="Q26" i="3"/>
  <c r="R26" i="3"/>
  <c r="S16" i="3" s="1"/>
  <c r="R69" i="33"/>
  <c r="S59" i="33" s="1"/>
  <c r="I14" i="32"/>
  <c r="H14" i="16"/>
  <c r="H15" i="16" s="1"/>
  <c r="R58" i="17"/>
  <c r="S49" i="17" s="1"/>
  <c r="G14" i="14"/>
  <c r="G15" i="14" s="1"/>
  <c r="R48" i="15"/>
  <c r="S38" i="15" s="1"/>
  <c r="Q79" i="81"/>
  <c r="AG79" i="81"/>
  <c r="AH70" i="81" s="1"/>
  <c r="AF79" i="81"/>
  <c r="E2" i="33"/>
  <c r="R15" i="33"/>
  <c r="S5" i="33" s="1"/>
  <c r="Q15" i="33"/>
  <c r="D14" i="32"/>
  <c r="G14" i="46"/>
  <c r="G15" i="46" s="1"/>
  <c r="R48" i="47"/>
  <c r="S38" i="47" s="1"/>
  <c r="E14" i="14"/>
  <c r="E15" i="14" s="1"/>
  <c r="R26" i="15"/>
  <c r="S16" i="15" s="1"/>
  <c r="Q26" i="15"/>
  <c r="R69" i="39"/>
  <c r="S59" i="39" s="1"/>
  <c r="I14" i="38"/>
  <c r="H14" i="42"/>
  <c r="H15" i="42" s="1"/>
  <c r="R58" i="43"/>
  <c r="S49" i="43" s="1"/>
  <c r="R69" i="37"/>
  <c r="S59" i="37" s="1"/>
  <c r="I14" i="36"/>
  <c r="H14" i="56"/>
  <c r="H15" i="56" s="1"/>
  <c r="R58" i="57"/>
  <c r="S49" i="57" s="1"/>
  <c r="R69" i="65"/>
  <c r="S59" i="65" s="1"/>
  <c r="I14" i="64"/>
  <c r="R58" i="3"/>
  <c r="S49" i="3" s="1"/>
  <c r="H14" i="2"/>
  <c r="H15" i="2" s="1"/>
  <c r="D14" i="72"/>
  <c r="E2" i="73"/>
  <c r="Q15" i="73"/>
  <c r="R15" i="73"/>
  <c r="S5" i="73" s="1"/>
  <c r="H14" i="72"/>
  <c r="H15" i="72" s="1"/>
  <c r="R58" i="73"/>
  <c r="S49" i="73" s="1"/>
  <c r="R26" i="13"/>
  <c r="S16" i="13" s="1"/>
  <c r="Q26" i="13"/>
  <c r="E14" i="12"/>
  <c r="E15" i="12" s="1"/>
  <c r="R48" i="53"/>
  <c r="S38" i="53" s="1"/>
  <c r="G14" i="52"/>
  <c r="G15" i="52" s="1"/>
  <c r="R15" i="75"/>
  <c r="S5" i="75" s="1"/>
  <c r="D14" i="74"/>
  <c r="Q15" i="75"/>
  <c r="R58" i="37"/>
  <c r="S49" i="37" s="1"/>
  <c r="H14" i="36"/>
  <c r="H15" i="36" s="1"/>
  <c r="E2" i="55"/>
  <c r="F14" i="54"/>
  <c r="F15" i="54" s="1"/>
  <c r="R37" i="55"/>
  <c r="S27" i="55" s="1"/>
  <c r="R58" i="15"/>
  <c r="S49" i="15" s="1"/>
  <c r="E2" i="3"/>
  <c r="R15" i="3"/>
  <c r="S5" i="3" s="1"/>
  <c r="Q15" i="3"/>
  <c r="D14" i="2"/>
  <c r="H6" i="84"/>
  <c r="F6" i="84"/>
  <c r="R26" i="57"/>
  <c r="S16" i="57" s="1"/>
  <c r="E2" i="65"/>
  <c r="E14" i="84"/>
  <c r="E15" i="84" s="1"/>
  <c r="R26" i="85"/>
  <c r="S16" i="85" s="1"/>
  <c r="Q26" i="85"/>
  <c r="R58" i="77"/>
  <c r="S49" i="77" s="1"/>
  <c r="H14" i="76"/>
  <c r="H15" i="76" s="1"/>
  <c r="F14" i="12"/>
  <c r="F15" i="12" s="1"/>
  <c r="R37" i="13"/>
  <c r="S27" i="13" s="1"/>
  <c r="G14" i="86"/>
  <c r="G15" i="86" s="1"/>
  <c r="R48" i="87"/>
  <c r="S38" i="87" s="1"/>
  <c r="I15" i="52"/>
  <c r="H14" i="66"/>
  <c r="H15" i="66" s="1"/>
  <c r="R58" i="67"/>
  <c r="S49" i="67" s="1"/>
  <c r="D14" i="88"/>
  <c r="R15" i="89"/>
  <c r="S5" i="89" s="1"/>
  <c r="Q15" i="89"/>
  <c r="E2" i="89"/>
  <c r="F14" i="50"/>
  <c r="F15" i="50" s="1"/>
  <c r="R37" i="51"/>
  <c r="S27" i="51" s="1"/>
  <c r="G14" i="12"/>
  <c r="G15" i="12" s="1"/>
  <c r="R48" i="13"/>
  <c r="S38" i="13" s="1"/>
  <c r="D14" i="78"/>
  <c r="Q15" i="79"/>
  <c r="R15" i="79"/>
  <c r="S5" i="79" s="1"/>
  <c r="R48" i="45"/>
  <c r="S38" i="45" s="1"/>
  <c r="G14" i="44"/>
  <c r="G15" i="44" s="1"/>
  <c r="Q26" i="67"/>
  <c r="E14" i="66"/>
  <c r="E15" i="66" s="1"/>
  <c r="R26" i="67"/>
  <c r="S16" i="67" s="1"/>
  <c r="R58" i="63"/>
  <c r="S49" i="63" s="1"/>
  <c r="H14" i="62"/>
  <c r="H15" i="62" s="1"/>
  <c r="H6" i="34"/>
  <c r="F6" i="34"/>
  <c r="R48" i="71"/>
  <c r="S38" i="71" s="1"/>
  <c r="G14" i="70"/>
  <c r="G15" i="70" s="1"/>
  <c r="J14" i="36"/>
  <c r="R79" i="37"/>
  <c r="S70" i="37" s="1"/>
  <c r="J15" i="36" s="1"/>
  <c r="R15" i="61"/>
  <c r="S5" i="61" s="1"/>
  <c r="E2" i="61"/>
  <c r="D14" i="60"/>
  <c r="Q15" i="61"/>
  <c r="H6" i="38"/>
  <c r="F6" i="38"/>
  <c r="R26" i="43"/>
  <c r="S16" i="43" s="1"/>
  <c r="Q26" i="43"/>
  <c r="E14" i="42"/>
  <c r="E15" i="42" s="1"/>
  <c r="E2" i="13"/>
  <c r="R79" i="53"/>
  <c r="S70" i="53" s="1"/>
  <c r="J15" i="52" s="1"/>
  <c r="J14" i="52"/>
  <c r="J7" i="52" s="1"/>
  <c r="R37" i="57"/>
  <c r="S27" i="57" s="1"/>
  <c r="F14" i="56"/>
  <c r="F15" i="56" s="1"/>
  <c r="R79" i="83"/>
  <c r="S70" i="83" s="1"/>
  <c r="J15" i="82" s="1"/>
  <c r="J14" i="82"/>
  <c r="R48" i="85"/>
  <c r="S38" i="85" s="1"/>
  <c r="G14" i="84"/>
  <c r="G15" i="84" s="1"/>
  <c r="Q26" i="47"/>
  <c r="R26" i="47"/>
  <c r="S16" i="47" s="1"/>
  <c r="E14" i="46"/>
  <c r="E15" i="46" s="1"/>
  <c r="G14" i="88"/>
  <c r="G15" i="88" s="1"/>
  <c r="R48" i="89"/>
  <c r="S38" i="89" s="1"/>
  <c r="H14" i="58"/>
  <c r="H15" i="58" s="1"/>
  <c r="R58" i="59"/>
  <c r="S49" i="59" s="1"/>
  <c r="R79" i="69"/>
  <c r="S70" i="69" s="1"/>
  <c r="J15" i="68" s="1"/>
  <c r="R37" i="37"/>
  <c r="S27" i="37" s="1"/>
  <c r="F14" i="36"/>
  <c r="F15" i="36" s="1"/>
  <c r="F6" i="88"/>
  <c r="Q15" i="85"/>
  <c r="R15" i="85"/>
  <c r="S5" i="85" s="1"/>
  <c r="D14" i="84"/>
  <c r="E2" i="85"/>
  <c r="R58" i="87"/>
  <c r="S49" i="87" s="1"/>
  <c r="H14" i="86"/>
  <c r="H15" i="86" s="1"/>
  <c r="F14" i="70"/>
  <c r="F15" i="70" s="1"/>
  <c r="R37" i="71"/>
  <c r="S27" i="71" s="1"/>
  <c r="D14" i="34"/>
  <c r="E2" i="35"/>
  <c r="R15" i="35"/>
  <c r="S5" i="35" s="1"/>
  <c r="Q15" i="35"/>
  <c r="D15" i="12"/>
  <c r="F7" i="12"/>
  <c r="H7" i="12"/>
  <c r="R69" i="67"/>
  <c r="S59" i="67" s="1"/>
  <c r="I14" i="66"/>
  <c r="G14" i="68"/>
  <c r="G15" i="68" s="1"/>
  <c r="R48" i="69"/>
  <c r="S38" i="69" s="1"/>
  <c r="R69" i="77"/>
  <c r="S59" i="77" s="1"/>
  <c r="I14" i="76"/>
  <c r="R26" i="69"/>
  <c r="S16" i="69" s="1"/>
  <c r="Q26" i="69"/>
  <c r="E14" i="68"/>
  <c r="E15" i="68" s="1"/>
  <c r="R37" i="49"/>
  <c r="S27" i="49" s="1"/>
  <c r="F14" i="48"/>
  <c r="F15" i="48" s="1"/>
  <c r="R69" i="79"/>
  <c r="S59" i="79" s="1"/>
  <c r="I14" i="78"/>
  <c r="R63" i="75"/>
  <c r="Q63" i="75"/>
  <c r="F14" i="32"/>
  <c r="F15" i="32" s="1"/>
  <c r="R37" i="33"/>
  <c r="S27" i="33" s="1"/>
  <c r="R37" i="89"/>
  <c r="S27" i="89" s="1"/>
  <c r="F14" i="88"/>
  <c r="F15" i="88" s="1"/>
  <c r="H14" i="50"/>
  <c r="H15" i="50" s="1"/>
  <c r="R58" i="51"/>
  <c r="S49" i="51" s="1"/>
  <c r="R69" i="51"/>
  <c r="S59" i="51" s="1"/>
  <c r="I14" i="50"/>
  <c r="H6" i="14"/>
  <c r="F6" i="14"/>
  <c r="R26" i="79"/>
  <c r="S16" i="79" s="1"/>
  <c r="E14" i="78"/>
  <c r="E15" i="78" s="1"/>
  <c r="Q26" i="79"/>
  <c r="R15" i="57"/>
  <c r="S5" i="57" s="1"/>
  <c r="Q15" i="57"/>
  <c r="E2" i="57"/>
  <c r="D14" i="56"/>
  <c r="H15" i="64"/>
  <c r="R58" i="85"/>
  <c r="S49" i="85" s="1"/>
  <c r="H14" i="84"/>
  <c r="H15" i="84" s="1"/>
  <c r="J7" i="12"/>
  <c r="I15" i="12"/>
  <c r="J8" i="12" s="1"/>
  <c r="F14" i="46"/>
  <c r="F15" i="46" s="1"/>
  <c r="R37" i="47"/>
  <c r="S27" i="47" s="1"/>
  <c r="Q30" i="81"/>
  <c r="R30" i="81"/>
  <c r="J14" i="2"/>
  <c r="R79" i="3"/>
  <c r="S70" i="3" s="1"/>
  <c r="J15" i="2" s="1"/>
  <c r="R37" i="69"/>
  <c r="S27" i="69" s="1"/>
  <c r="F6" i="44"/>
  <c r="E2" i="67"/>
  <c r="R58" i="65"/>
  <c r="S49" i="65" s="1"/>
  <c r="E14" i="70"/>
  <c r="E15" i="70" s="1"/>
  <c r="Q26" i="71"/>
  <c r="R26" i="71"/>
  <c r="S16" i="71" s="1"/>
  <c r="D15" i="52"/>
  <c r="H7" i="52"/>
  <c r="R26" i="39"/>
  <c r="S16" i="39" s="1"/>
  <c r="E14" i="38"/>
  <c r="E15" i="38" s="1"/>
  <c r="Q26" i="39"/>
  <c r="H14" i="52"/>
  <c r="H15" i="52" s="1"/>
  <c r="R58" i="53"/>
  <c r="S49" i="53" s="1"/>
  <c r="Q26" i="51"/>
  <c r="E14" i="50"/>
  <c r="E15" i="50" s="1"/>
  <c r="R26" i="51"/>
  <c r="S16" i="51" s="1"/>
  <c r="Q15" i="63"/>
  <c r="R15" i="63"/>
  <c r="S5" i="63" s="1"/>
  <c r="D14" i="62"/>
  <c r="E2" i="63"/>
  <c r="R69" i="49"/>
  <c r="S59" i="49" s="1"/>
  <c r="I14" i="48"/>
  <c r="J14" i="74"/>
  <c r="R79" i="75"/>
  <c r="S70" i="75" s="1"/>
  <c r="J15" i="74" s="1"/>
  <c r="D15" i="82"/>
  <c r="F7" i="82"/>
  <c r="H7" i="82"/>
  <c r="R79" i="17"/>
  <c r="S70" i="17" s="1"/>
  <c r="J15" i="16" s="1"/>
  <c r="J14" i="16"/>
  <c r="O79" i="79"/>
  <c r="E2" i="79" s="1"/>
  <c r="R70" i="79"/>
  <c r="Q70" i="79"/>
  <c r="F6" i="82"/>
  <c r="H6" i="12"/>
  <c r="I14" i="88"/>
  <c r="R69" i="89"/>
  <c r="S59" i="89" s="1"/>
  <c r="R15" i="81"/>
  <c r="S5" i="81" s="1"/>
  <c r="Q15" i="81"/>
  <c r="E2" i="81"/>
  <c r="D14" i="80"/>
  <c r="Q50" i="81"/>
  <c r="R50" i="81"/>
  <c r="J13" i="70"/>
  <c r="F6" i="70" s="1"/>
  <c r="R79" i="71"/>
  <c r="S70" i="71" s="1"/>
  <c r="J15" i="70" s="1"/>
  <c r="E14" i="48"/>
  <c r="E15" i="48" s="1"/>
  <c r="R26" i="49"/>
  <c r="S16" i="49" s="1"/>
  <c r="Q26" i="49"/>
  <c r="F15" i="68"/>
  <c r="E2" i="37"/>
  <c r="G14" i="56"/>
  <c r="G15" i="56" s="1"/>
  <c r="R48" i="57"/>
  <c r="S38" i="57" s="1"/>
  <c r="R69" i="45"/>
  <c r="S59" i="45" s="1"/>
  <c r="I14" i="44"/>
  <c r="R69" i="61"/>
  <c r="S59" i="61" s="1"/>
  <c r="I14" i="60"/>
  <c r="H14" i="60"/>
  <c r="H15" i="60" s="1"/>
  <c r="R58" i="61"/>
  <c r="S49" i="61" s="1"/>
  <c r="S70" i="67"/>
  <c r="J15" i="66" s="1"/>
  <c r="J14" i="66"/>
  <c r="O37" i="81"/>
  <c r="I14" i="14"/>
  <c r="R69" i="15"/>
  <c r="S59" i="15" s="1"/>
  <c r="Q15" i="17"/>
  <c r="E2" i="17"/>
  <c r="D14" i="16"/>
  <c r="R15" i="17"/>
  <c r="S5" i="17" s="1"/>
  <c r="R58" i="83"/>
  <c r="S49" i="83" s="1"/>
  <c r="H14" i="82"/>
  <c r="H15" i="82" s="1"/>
  <c r="R26" i="83"/>
  <c r="S16" i="83" s="1"/>
  <c r="Q26" i="83"/>
  <c r="E14" i="82"/>
  <c r="E15" i="82" s="1"/>
  <c r="R58" i="81"/>
  <c r="S49" i="81" s="1"/>
  <c r="H14" i="80"/>
  <c r="H15" i="80" s="1"/>
  <c r="R26" i="81"/>
  <c r="S16" i="81" s="1"/>
  <c r="G14" i="58"/>
  <c r="G15" i="58" s="1"/>
  <c r="R48" i="59"/>
  <c r="S38" i="59" s="1"/>
  <c r="R69" i="73"/>
  <c r="S59" i="73" s="1"/>
  <c r="I14" i="72"/>
  <c r="O48" i="75"/>
  <c r="R37" i="73"/>
  <c r="S27" i="73" s="1"/>
  <c r="F14" i="72"/>
  <c r="F15" i="72" s="1"/>
  <c r="G14" i="62"/>
  <c r="G15" i="62" s="1"/>
  <c r="R48" i="63"/>
  <c r="S38" i="63" s="1"/>
  <c r="G14" i="60"/>
  <c r="G15" i="60" s="1"/>
  <c r="R48" i="61"/>
  <c r="S38" i="61" s="1"/>
  <c r="E14" i="62"/>
  <c r="E15" i="62" s="1"/>
  <c r="R26" i="63"/>
  <c r="S16" i="63" s="1"/>
  <c r="Q26" i="63"/>
  <c r="E2" i="83"/>
  <c r="R26" i="75"/>
  <c r="S16" i="75" s="1"/>
  <c r="Q26" i="75"/>
  <c r="E14" i="74"/>
  <c r="E15" i="74" s="1"/>
  <c r="R58" i="35"/>
  <c r="S49" i="35" s="1"/>
  <c r="H14" i="34"/>
  <c r="H15" i="34" s="1"/>
  <c r="E14" i="34"/>
  <c r="E15" i="34" s="1"/>
  <c r="R26" i="35"/>
  <c r="S16" i="35" s="1"/>
  <c r="Q26" i="35"/>
  <c r="R37" i="43"/>
  <c r="S27" i="43" s="1"/>
  <c r="F14" i="42"/>
  <c r="F15" i="42" s="1"/>
  <c r="G14" i="2"/>
  <c r="G15" i="2" s="1"/>
  <c r="R48" i="3"/>
  <c r="S38" i="3" s="1"/>
  <c r="J14" i="72"/>
  <c r="R79" i="73"/>
  <c r="S70" i="73" s="1"/>
  <c r="J15" i="72" s="1"/>
  <c r="Q37" i="87"/>
  <c r="AG37" i="87"/>
  <c r="AH27" i="87" s="1"/>
  <c r="AF37" i="87"/>
  <c r="R79" i="89"/>
  <c r="S70" i="89" s="1"/>
  <c r="J15" i="88" s="1"/>
  <c r="J14" i="88"/>
  <c r="R58" i="89"/>
  <c r="S49" i="89" s="1"/>
  <c r="H14" i="88"/>
  <c r="H15" i="88" s="1"/>
  <c r="R26" i="17"/>
  <c r="S16" i="17" s="1"/>
  <c r="Q26" i="17"/>
  <c r="E14" i="16"/>
  <c r="E15" i="16" s="1"/>
  <c r="Q63" i="81"/>
  <c r="R63" i="81"/>
  <c r="J7" i="56"/>
  <c r="I15" i="56"/>
  <c r="J8" i="56" s="1"/>
  <c r="R69" i="63"/>
  <c r="S59" i="63" s="1"/>
  <c r="I14" i="62"/>
  <c r="Q15" i="45"/>
  <c r="D14" i="44"/>
  <c r="R15" i="45"/>
  <c r="S5" i="45" s="1"/>
  <c r="E2" i="45"/>
  <c r="O69" i="81"/>
  <c r="H6" i="58"/>
  <c r="F6" i="58"/>
  <c r="R48" i="65"/>
  <c r="S38" i="65" s="1"/>
  <c r="G14" i="64"/>
  <c r="G15" i="64" s="1"/>
  <c r="D15" i="66"/>
  <c r="J7" i="84"/>
  <c r="I15" i="84"/>
  <c r="J8" i="84" s="1"/>
  <c r="H7" i="66" l="1"/>
  <c r="I15" i="36"/>
  <c r="J8" i="36" s="1"/>
  <c r="J7" i="36"/>
  <c r="I15" i="16"/>
  <c r="J8" i="16" s="1"/>
  <c r="J7" i="16"/>
  <c r="J7" i="46"/>
  <c r="I15" i="46"/>
  <c r="J8" i="46" s="1"/>
  <c r="H7" i="36"/>
  <c r="D15" i="86"/>
  <c r="H7" i="86"/>
  <c r="F7" i="32"/>
  <c r="D15" i="32"/>
  <c r="H7" i="32"/>
  <c r="H8" i="36"/>
  <c r="J7" i="72"/>
  <c r="J8" i="72" s="1"/>
  <c r="I15" i="72"/>
  <c r="D15" i="16"/>
  <c r="H7" i="16"/>
  <c r="F7" i="16"/>
  <c r="I15" i="44"/>
  <c r="J8" i="44" s="1"/>
  <c r="J7" i="44"/>
  <c r="I15" i="66"/>
  <c r="F7" i="68"/>
  <c r="F8" i="68" s="1"/>
  <c r="D15" i="68"/>
  <c r="H7" i="68"/>
  <c r="H8" i="68" s="1"/>
  <c r="J6" i="70"/>
  <c r="F7" i="36"/>
  <c r="J14" i="78"/>
  <c r="R79" i="79"/>
  <c r="S70" i="79" s="1"/>
  <c r="J15" i="78" s="1"/>
  <c r="H8" i="52"/>
  <c r="F8" i="52"/>
  <c r="R69" i="81"/>
  <c r="S59" i="81" s="1"/>
  <c r="I14" i="80"/>
  <c r="D15" i="80"/>
  <c r="J7" i="78"/>
  <c r="I15" i="78"/>
  <c r="J8" i="78" s="1"/>
  <c r="J8" i="52"/>
  <c r="D15" i="70"/>
  <c r="H7" i="70"/>
  <c r="H8" i="70" s="1"/>
  <c r="F7" i="70"/>
  <c r="F8" i="70" s="1"/>
  <c r="G14" i="74"/>
  <c r="G15" i="74" s="1"/>
  <c r="R48" i="75"/>
  <c r="S38" i="75" s="1"/>
  <c r="D15" i="88"/>
  <c r="H7" i="88"/>
  <c r="F7" i="88"/>
  <c r="D15" i="84"/>
  <c r="H7" i="84"/>
  <c r="F7" i="84"/>
  <c r="J7" i="68"/>
  <c r="J8" i="68" s="1"/>
  <c r="I15" i="68"/>
  <c r="J7" i="34"/>
  <c r="I15" i="34"/>
  <c r="J8" i="34" s="1"/>
  <c r="I15" i="54"/>
  <c r="J8" i="54" s="1"/>
  <c r="J7" i="54"/>
  <c r="I15" i="50"/>
  <c r="J8" i="50" s="1"/>
  <c r="J7" i="50"/>
  <c r="H7" i="50"/>
  <c r="F7" i="50"/>
  <c r="D15" i="50"/>
  <c r="J7" i="2"/>
  <c r="I15" i="2"/>
  <c r="J8" i="2" s="1"/>
  <c r="J7" i="14"/>
  <c r="I15" i="14"/>
  <c r="J8" i="14" s="1"/>
  <c r="H8" i="12"/>
  <c r="F8" i="12"/>
  <c r="D15" i="2"/>
  <c r="H7" i="2"/>
  <c r="F7" i="2"/>
  <c r="D15" i="72"/>
  <c r="H7" i="72"/>
  <c r="H8" i="72" s="1"/>
  <c r="F7" i="72"/>
  <c r="F8" i="72" s="1"/>
  <c r="J7" i="86"/>
  <c r="I15" i="86"/>
  <c r="J8" i="86" s="1"/>
  <c r="R37" i="81"/>
  <c r="S27" i="81" s="1"/>
  <c r="F14" i="80"/>
  <c r="F15" i="80" s="1"/>
  <c r="H7" i="64"/>
  <c r="H7" i="14"/>
  <c r="F7" i="14"/>
  <c r="D15" i="14"/>
  <c r="J7" i="62"/>
  <c r="I15" i="62"/>
  <c r="J8" i="62" s="1"/>
  <c r="I15" i="88"/>
  <c r="J8" i="88" s="1"/>
  <c r="J7" i="88"/>
  <c r="D15" i="56"/>
  <c r="H7" i="56"/>
  <c r="F7" i="56"/>
  <c r="R26" i="77"/>
  <c r="S16" i="77" s="1"/>
  <c r="Q26" i="77"/>
  <c r="E14" i="76"/>
  <c r="E15" i="76" s="1"/>
  <c r="H7" i="46"/>
  <c r="F7" i="46"/>
  <c r="D15" i="46"/>
  <c r="H8" i="64"/>
  <c r="H7" i="58"/>
  <c r="F7" i="58"/>
  <c r="D15" i="58"/>
  <c r="D15" i="76"/>
  <c r="J7" i="60"/>
  <c r="I15" i="60"/>
  <c r="J8" i="60" s="1"/>
  <c r="F7" i="62"/>
  <c r="D15" i="62"/>
  <c r="H7" i="62"/>
  <c r="F7" i="78"/>
  <c r="D15" i="78"/>
  <c r="H7" i="78"/>
  <c r="D15" i="74"/>
  <c r="H7" i="74"/>
  <c r="F7" i="74"/>
  <c r="I15" i="38"/>
  <c r="J8" i="38" s="1"/>
  <c r="J7" i="38"/>
  <c r="H7" i="48"/>
  <c r="F7" i="48"/>
  <c r="D15" i="48"/>
  <c r="H7" i="38"/>
  <c r="D15" i="38"/>
  <c r="F7" i="38"/>
  <c r="D15" i="44"/>
  <c r="H7" i="44"/>
  <c r="F7" i="44"/>
  <c r="H8" i="82"/>
  <c r="E2" i="75"/>
  <c r="F7" i="64"/>
  <c r="H8" i="66"/>
  <c r="I15" i="48"/>
  <c r="J8" i="48" s="1"/>
  <c r="J7" i="48"/>
  <c r="F7" i="60"/>
  <c r="D15" i="60"/>
  <c r="H7" i="60"/>
  <c r="I15" i="64"/>
  <c r="J8" i="64" s="1"/>
  <c r="J7" i="64"/>
  <c r="H8" i="54"/>
  <c r="F8" i="54"/>
  <c r="I15" i="82"/>
  <c r="J8" i="82" s="1"/>
  <c r="J7" i="82"/>
  <c r="I15" i="42"/>
  <c r="J8" i="42" s="1"/>
  <c r="J7" i="42"/>
  <c r="E2" i="77"/>
  <c r="J7" i="74"/>
  <c r="I15" i="74"/>
  <c r="J8" i="74" s="1"/>
  <c r="J7" i="58"/>
  <c r="I15" i="58"/>
  <c r="J8" i="58" s="1"/>
  <c r="R37" i="87"/>
  <c r="S27" i="87" s="1"/>
  <c r="F14" i="86"/>
  <c r="F15" i="86" s="1"/>
  <c r="H8" i="42"/>
  <c r="F7" i="54"/>
  <c r="F14" i="76"/>
  <c r="F15" i="76" s="1"/>
  <c r="R37" i="77"/>
  <c r="S27" i="77" s="1"/>
  <c r="I15" i="70"/>
  <c r="J7" i="70"/>
  <c r="J8" i="70" s="1"/>
  <c r="J7" i="76"/>
  <c r="I15" i="76"/>
  <c r="J8" i="76" s="1"/>
  <c r="H7" i="34"/>
  <c r="F7" i="34"/>
  <c r="D15" i="34"/>
  <c r="F7" i="52"/>
  <c r="J7" i="32"/>
  <c r="I15" i="32"/>
  <c r="J8" i="32" s="1"/>
  <c r="F7" i="42"/>
  <c r="H7" i="54"/>
  <c r="H8" i="80" l="1"/>
  <c r="H8" i="32"/>
  <c r="F8" i="32"/>
  <c r="H8" i="14"/>
  <c r="F8" i="14"/>
  <c r="H8" i="88"/>
  <c r="F8" i="88"/>
  <c r="H8" i="2"/>
  <c r="F8" i="2"/>
  <c r="H8" i="34"/>
  <c r="F8" i="34"/>
  <c r="F8" i="82"/>
  <c r="H8" i="76"/>
  <c r="F8" i="76"/>
  <c r="F8" i="86"/>
  <c r="H8" i="86"/>
  <c r="H7" i="76"/>
  <c r="F7" i="86"/>
  <c r="F8" i="42"/>
  <c r="J7" i="80"/>
  <c r="I15" i="80"/>
  <c r="J8" i="80" s="1"/>
  <c r="F7" i="76"/>
  <c r="H8" i="74"/>
  <c r="F8" i="74"/>
  <c r="H8" i="58"/>
  <c r="F8" i="58"/>
  <c r="F8" i="16"/>
  <c r="H8" i="16"/>
  <c r="H8" i="60"/>
  <c r="F8" i="60"/>
  <c r="H8" i="44"/>
  <c r="F8" i="44"/>
  <c r="H8" i="56"/>
  <c r="F8" i="56"/>
  <c r="F8" i="78"/>
  <c r="H8" i="78"/>
  <c r="F8" i="64"/>
  <c r="H8" i="38"/>
  <c r="F8" i="38"/>
  <c r="F8" i="50"/>
  <c r="H8" i="50"/>
  <c r="F8" i="36"/>
  <c r="F8" i="84"/>
  <c r="H8" i="84"/>
  <c r="H7" i="80"/>
  <c r="H8" i="48"/>
  <c r="F8" i="48"/>
  <c r="H8" i="62"/>
  <c r="F8" i="62"/>
  <c r="H8" i="46"/>
  <c r="F8" i="46"/>
  <c r="F7" i="80"/>
  <c r="F8" i="80" l="1"/>
</calcChain>
</file>

<file path=xl/sharedStrings.xml><?xml version="1.0" encoding="utf-8"?>
<sst xmlns="http://schemas.openxmlformats.org/spreadsheetml/2006/main" count="6578" uniqueCount="239">
  <si>
    <t xml:space="preserve">長家廠4度C日報分析                              </t>
  </si>
  <si>
    <t>總生產量</t>
  </si>
  <si>
    <t>營業額</t>
  </si>
  <si>
    <t>出勤人數</t>
  </si>
  <si>
    <t>產線配置圖</t>
  </si>
  <si>
    <t>生產實績</t>
  </si>
  <si>
    <t>人時性差異分析</t>
  </si>
  <si>
    <t>日報登錄</t>
  </si>
  <si>
    <t>合計
次數</t>
  </si>
  <si>
    <t>合計
時間/分</t>
  </si>
  <si>
    <t>分析說明</t>
  </si>
  <si>
    <t>合計
設備次數</t>
  </si>
  <si>
    <t>產能差異分析</t>
  </si>
  <si>
    <t>12月24日  星期三</t>
  </si>
  <si>
    <t>人時性</t>
  </si>
  <si>
    <t>平均廠價</t>
  </si>
  <si>
    <t>多次生產數</t>
  </si>
  <si>
    <t>線別</t>
  </si>
  <si>
    <t>品類</t>
  </si>
  <si>
    <t>品名</t>
  </si>
  <si>
    <t>廠價</t>
  </si>
  <si>
    <t>生產量</t>
  </si>
  <si>
    <t>營收</t>
  </si>
  <si>
    <t>多次
生產</t>
  </si>
  <si>
    <t>人數</t>
  </si>
  <si>
    <t>產能/時</t>
  </si>
  <si>
    <t>達成率</t>
  </si>
  <si>
    <t>達成率平均</t>
  </si>
  <si>
    <t>生產時間</t>
  </si>
  <si>
    <t>前置、換線時間/分</t>
  </si>
  <si>
    <t>稼動時間/分</t>
  </si>
  <si>
    <t>休息時間</t>
  </si>
  <si>
    <t>產線異常統計
(5分鐘以上)</t>
  </si>
  <si>
    <t>短暫停線統計
(5分鐘以下)</t>
  </si>
  <si>
    <t>開始</t>
  </si>
  <si>
    <t>結束</t>
  </si>
  <si>
    <t>次數</t>
  </si>
  <si>
    <t>時間/分</t>
  </si>
  <si>
    <t>總次數</t>
  </si>
  <si>
    <t>設備因素(次數)</t>
  </si>
  <si>
    <t>自動一線
(ET-600)</t>
  </si>
  <si>
    <t>4度一組</t>
  </si>
  <si>
    <t>平均</t>
  </si>
  <si>
    <t>自動二線
(ET-600)</t>
  </si>
  <si>
    <t xml:space="preserve">4度二組A
</t>
  </si>
  <si>
    <t>手工三線
(ET-55)</t>
  </si>
  <si>
    <t xml:space="preserve"> </t>
  </si>
  <si>
    <t xml:space="preserve">
4度二組B
</t>
  </si>
  <si>
    <t>手工四線
(ET-55)</t>
  </si>
  <si>
    <t xml:space="preserve">
4度二組C1
</t>
  </si>
  <si>
    <t>手工五線
(ET-55)</t>
  </si>
  <si>
    <t xml:space="preserve">
4度二組C2
</t>
  </si>
  <si>
    <t>調理包一線
(八爪機)</t>
  </si>
  <si>
    <t xml:space="preserve">               </t>
  </si>
  <si>
    <t xml:space="preserve">
4度三組
</t>
  </si>
  <si>
    <t>調理包二線
(手工)</t>
  </si>
  <si>
    <t xml:space="preserve">
4度四組
</t>
  </si>
  <si>
    <t>1.當日出勤人數較多</t>
  </si>
  <si>
    <t>2.當日出勤人數較少</t>
  </si>
  <si>
    <t>3.當日出勤熟手較少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</si>
  <si>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</si>
  <si>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</si>
  <si>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</si>
  <si>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</si>
  <si>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</si>
  <si>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</si>
  <si>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</si>
  <si>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</si>
  <si>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</si>
  <si>
    <t>13.區域出貨，分段生產</t>
  </si>
  <si>
    <t>長家廠組合室生產人時性分析</t>
  </si>
  <si>
    <t>日期</t>
  </si>
  <si>
    <t>訂單量</t>
  </si>
  <si>
    <t>項目</t>
  </si>
  <si>
    <t>➀</t>
  </si>
  <si>
    <t>➁</t>
  </si>
  <si>
    <t>③</t>
  </si>
  <si>
    <t>異常停線</t>
  </si>
  <si>
    <t>短暫停線</t>
  </si>
  <si>
    <t>組合室</t>
  </si>
  <si>
    <t>全溫層</t>
  </si>
  <si>
    <t>義大利麵</t>
  </si>
  <si>
    <t>袋裝小吃、義麵</t>
  </si>
  <si>
    <t>合計次數</t>
  </si>
  <si>
    <t>時間</t>
  </si>
  <si>
    <t>設備次數</t>
  </si>
  <si>
    <t>排關平均</t>
  </si>
  <si>
    <t>實績平均</t>
  </si>
  <si>
    <t>※現行日本鮮食廠以達成率80%為基本(即為現行KPI)</t>
  </si>
  <si>
    <t>溫層</t>
  </si>
  <si>
    <t>4度C-各編組展開</t>
  </si>
  <si>
    <t>編組</t>
  </si>
  <si>
    <t>自動1線</t>
  </si>
  <si>
    <t>自動2線</t>
  </si>
  <si>
    <t>手工3線</t>
  </si>
  <si>
    <t>手工4線</t>
  </si>
  <si>
    <t>手工5線</t>
  </si>
  <si>
    <t>調理包1線</t>
  </si>
  <si>
    <t>調理包2線</t>
  </si>
  <si>
    <t>排關</t>
  </si>
  <si>
    <t>實績</t>
  </si>
  <si>
    <t>作業
時間</t>
  </si>
  <si>
    <t>產線異常
(5分鐘以上)</t>
  </si>
  <si>
    <t>短暫停線
(5分鐘以下)</t>
  </si>
  <si>
    <t>配置人數</t>
  </si>
  <si>
    <t>主要應用設備</t>
  </si>
  <si>
    <t>ET-600</t>
  </si>
  <si>
    <t>ET-55</t>
  </si>
  <si>
    <t>八爪機</t>
  </si>
  <si>
    <t>次要應用設備</t>
  </si>
  <si>
    <t>封口機</t>
  </si>
  <si>
    <t>備註</t>
  </si>
  <si>
    <t>8月1日 星期六</t>
  </si>
  <si>
    <t>羅馬黑胡椒起司義大利麵</t>
  </si>
  <si>
    <t>香煎魚排佐檸檬奶油義大利麵</t>
  </si>
  <si>
    <t>奶油培根義大利麵</t>
  </si>
  <si>
    <t>熱乾麵</t>
  </si>
  <si>
    <t>府城鹽水意麵</t>
  </si>
  <si>
    <t>13:30-14:02封膜異常+重檢機異常</t>
  </si>
  <si>
    <t>青醬蛤蜊義大利麵</t>
  </si>
  <si>
    <t>白酒清炒鮮蛤義大利麵</t>
  </si>
  <si>
    <t>義式蕃茄起司義大利麵</t>
  </si>
  <si>
    <t>蕃茄莎莎海鮮冷義大利麵</t>
  </si>
  <si>
    <t>金沙豆腐義大利麵</t>
  </si>
  <si>
    <t>奶油鮮蝦明太子細扁麵</t>
  </si>
  <si>
    <t>義式蛋蛋青醬鮪魚冷義大利麵</t>
  </si>
  <si>
    <t>青花椒麻雞肉拌麵</t>
  </si>
  <si>
    <t>沙茶豬肉炒麵</t>
  </si>
  <si>
    <t>黑松露野菇義大利麵</t>
  </si>
  <si>
    <t>焗烤起司雙饗筆尖麵</t>
  </si>
  <si>
    <t>小吃、微波</t>
  </si>
  <si>
    <t>小滷青蔬</t>
  </si>
  <si>
    <t>起司馬鈴薯</t>
  </si>
  <si>
    <t>韓式炒冬粉</t>
  </si>
  <si>
    <t>麻辣雞心</t>
  </si>
  <si>
    <t>鱈魚粉紅青醬筆尖麵</t>
  </si>
  <si>
    <t>單排生產</t>
  </si>
  <si>
    <t>8月2日 星期日</t>
  </si>
  <si>
    <t>8:10-8:15注醬機異常</t>
  </si>
  <si>
    <t>9:56-10:03熱轉印異常</t>
  </si>
  <si>
    <t>8月3日 星期一</t>
  </si>
  <si>
    <t>8月4日 星期二</t>
  </si>
  <si>
    <t>番茄蘑菇義大利麵</t>
  </si>
  <si>
    <t>8月5日 星期三</t>
  </si>
  <si>
    <t>14:05-14:25試產</t>
  </si>
  <si>
    <t>8月6日 星期四</t>
  </si>
  <si>
    <t>8月7日 星期五</t>
  </si>
  <si>
    <t>07:12-07:28封膜異常,換線生產 07:28-07:47熱轉印下貼標異常停線</t>
  </si>
  <si>
    <t>8月8日 星期六</t>
  </si>
  <si>
    <t>生產數量少</t>
  </si>
  <si>
    <t>8月9日 星期日</t>
  </si>
  <si>
    <t>13:05-13:10熱轉印異常</t>
  </si>
  <si>
    <t>8月10日 星期一</t>
  </si>
  <si>
    <t>10:30-10:38熱轉印異常</t>
  </si>
  <si>
    <t>14:13-14:21停線休息</t>
  </si>
  <si>
    <t>8月11日 星期二</t>
  </si>
  <si>
    <t>手挖醬作業</t>
  </si>
  <si>
    <t>8月12日 星期三</t>
  </si>
  <si>
    <t>10:50-11:05待冬粉冷卻</t>
  </si>
  <si>
    <t>8月13日 星期四</t>
  </si>
  <si>
    <t>08:27-08:39空壓異常停線</t>
  </si>
  <si>
    <t>10:32-10:44分流機異常，停線</t>
  </si>
  <si>
    <t>手抓麵作業</t>
  </si>
  <si>
    <t>08:30-08:40空壓異常停線</t>
  </si>
  <si>
    <t>8月14日 星期五</t>
  </si>
  <si>
    <t>7:04-7:15玉取機出麵不穩</t>
  </si>
  <si>
    <t>7:45-7:55玉取機換麵</t>
  </si>
  <si>
    <t>8月15日 星期六</t>
  </si>
  <si>
    <t>7:35-7:43玉取機換麵</t>
  </si>
  <si>
    <t>玉取機停麵</t>
  </si>
  <si>
    <t>8月16日 星期日</t>
  </si>
  <si>
    <t>7:56-8:03玉取機換麵</t>
  </si>
  <si>
    <t>9:52-10:01上廁所</t>
  </si>
  <si>
    <t>8月17日 星期一</t>
  </si>
  <si>
    <t>7:53-7:57自動線換麵</t>
  </si>
  <si>
    <t>8月18日 星期二</t>
  </si>
  <si>
    <t>7:52-8:03玉取機換麵</t>
  </si>
  <si>
    <t>8月19日 星期三</t>
  </si>
  <si>
    <t>7:41-7:55自動線換麵</t>
  </si>
  <si>
    <t>8月20日 星期四</t>
  </si>
  <si>
    <t>8月21日 星期五</t>
  </si>
  <si>
    <t>7:32-7:48玉取機換麵</t>
  </si>
  <si>
    <t>9:16-9:23休息上廁所</t>
  </si>
  <si>
    <t>10:23-10:26封膜異常</t>
  </si>
  <si>
    <t>8月22日 星期六</t>
  </si>
  <si>
    <t>7:40-7:46玉取機換麵</t>
  </si>
  <si>
    <t>8:32-8:36、8:56-8:58、8:52-8:54封膜異常</t>
  </si>
  <si>
    <t>9:24-9:58檢重機異常</t>
  </si>
  <si>
    <t>9:15-9:24休息上廁所</t>
  </si>
  <si>
    <t>8月23日 星期日</t>
  </si>
  <si>
    <t>7:54-8:04玉取機換麵</t>
  </si>
  <si>
    <t>8:04-8:30下貼標 機異常</t>
  </si>
  <si>
    <t>9:30-9:52下貼標異常</t>
  </si>
  <si>
    <t>8月24日 星期一</t>
  </si>
  <si>
    <t>8:00-8:06玉取機換麵</t>
  </si>
  <si>
    <t>9:15-9:19封膜異常</t>
  </si>
  <si>
    <t>10:20-10:30上廁所休息</t>
  </si>
  <si>
    <t>11:04-11:50下貼標機異常</t>
  </si>
  <si>
    <t>8月25日 星期二</t>
  </si>
  <si>
    <t>初次生產</t>
  </si>
  <si>
    <t>8月26日 星期三</t>
  </si>
  <si>
    <t>8月27日 星期四</t>
  </si>
  <si>
    <t>8月28日 星期五</t>
  </si>
  <si>
    <t>check</t>
  </si>
  <si>
    <t>類別</t>
  </si>
  <si>
    <t>4度C</t>
  </si>
  <si>
    <t>蒜香奶油蝦蝦義大利麵</t>
  </si>
  <si>
    <t>冷凍</t>
  </si>
  <si>
    <t>冷凍調理麵</t>
  </si>
  <si>
    <t>經典肉醬義大利麵</t>
  </si>
  <si>
    <t>奶油蘑菇培根義大利麵</t>
  </si>
  <si>
    <t>清炒蛤蜊義大利麵</t>
  </si>
  <si>
    <t>青醬乳酪筆尖麵</t>
  </si>
  <si>
    <t>辣蕃茄義大利麵</t>
  </si>
  <si>
    <t>韓式起司義大利麵</t>
  </si>
  <si>
    <t>和風明太子細扁麵</t>
  </si>
  <si>
    <t>8月29日 星期六</t>
  </si>
  <si>
    <t>7:33-7:53玉曲機換麵</t>
  </si>
  <si>
    <t>8月30日 星期日</t>
  </si>
  <si>
    <t>單排生產、生產數量少</t>
  </si>
  <si>
    <t>8月31日 星期一</t>
  </si>
  <si>
    <t>品項</t>
  </si>
  <si>
    <t>產能</t>
  </si>
  <si>
    <t>人時</t>
  </si>
  <si>
    <t>白酒清炒鮮蛤義大利麵-手</t>
  </si>
  <si>
    <t>青醬蛤蜊義大利麵-手</t>
  </si>
  <si>
    <t>蒜香奶油蝦蝦義大利麵-手</t>
  </si>
  <si>
    <t>目前使用手工</t>
  </si>
  <si>
    <t>焗烤起司肉醬筆尖麵</t>
  </si>
  <si>
    <t>羅馬黑胡椒起司義大利麵-自動</t>
  </si>
  <si>
    <t>目前使用雙排</t>
  </si>
  <si>
    <t>整條德式香腸義大利麵</t>
  </si>
  <si>
    <t>調理包</t>
  </si>
  <si>
    <t>夏季+1人補料</t>
  </si>
  <si>
    <t>更新日期07/03</t>
  </si>
  <si>
    <t>7:00-7:10輸送帶異常、8:57-9:03補封膜</t>
    <phoneticPr fontId="8" type="noConversion"/>
  </si>
  <si>
    <t>13:50-14:30調人力試產、降速生產</t>
    <phoneticPr fontId="8" type="noConversion"/>
  </si>
  <si>
    <t>13:20-13:50備盒</t>
    <phoneticPr fontId="8" type="noConversion"/>
  </si>
  <si>
    <t>7:00-7:33待二氧化氯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</si>
</sst>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76" formatCode="[$-F800]dddd\,\ mmmm\ dd\,\ yyyy"/>
    <numFmt numFmtId="177" formatCode="#,##0_ "/>
    <numFmt numFmtId="178" formatCode="_-* #,##0_-;\-* #,##0_-;_-* &quot;-&quot;??_-;_-@_-"/>
    <numFmt numFmtId="179" formatCode="0.0"/>
    <numFmt numFmtId="180" formatCode="0.0%"/>
    <numFmt numFmtId="181" formatCode="h:mm;@"/>
    <numFmt numFmtId="182" formatCode="0_ "/>
    <numFmt numFmtId="183" formatCode="0.0_ "/>
    <numFmt numFmtId="184" formatCode="0_);[Red]\(0\)"/>
    <numFmt numFmtId="185" formatCode="m&quot;月&quot;d&quot;日&quot;"/>
    <numFmt numFmtId="186" formatCode="yyyy&quot;年&quot;mm&quot;月&quot;dd&quot;日&quot;"/>
  </numFmts>
  <fonts count="33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8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color theme="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theme="1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</borders>
  <cellStyleXfs count="35">
    <xf numFmtId="0" fontId="0" fillId="0" borderId="0"/>
    <xf numFmtId="0" fontId="4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973">
    <xf numFmtId="0" fontId="0" fillId="0" borderId="0" xfId="0"/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9" fillId="0" borderId="1" xfId="2" applyFont="1" applyBorder="1" applyAlignment="1">
      <alignment horizontal="center" vertical="center"/>
    </xf>
    <xf numFmtId="178" fontId="9" fillId="0" borderId="0" xfId="28" applyNumberFormat="1" applyFont="1" applyBorder="1" applyAlignment="1">
      <alignment vertical="center"/>
    </xf>
    <xf numFmtId="0" fontId="9" fillId="0" borderId="0" xfId="2" applyFont="1">
      <alignment vertical="center"/>
    </xf>
    <xf numFmtId="0" fontId="13" fillId="0" borderId="0" xfId="2" applyFont="1">
      <alignment vertical="center"/>
    </xf>
    <xf numFmtId="0" fontId="14" fillId="0" borderId="0" xfId="10" applyFont="1">
      <alignment vertical="center"/>
    </xf>
    <xf numFmtId="0" fontId="15" fillId="0" borderId="0" xfId="2" applyFont="1">
      <alignment vertical="center"/>
    </xf>
    <xf numFmtId="0" fontId="16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179" fontId="18" fillId="0" borderId="1" xfId="2" applyNumberFormat="1" applyFont="1" applyBorder="1" applyAlignment="1">
      <alignment horizontal="center" vertical="center"/>
    </xf>
    <xf numFmtId="180" fontId="18" fillId="0" borderId="9" xfId="29" applyNumberFormat="1" applyFont="1" applyBorder="1" applyAlignment="1">
      <alignment horizontal="center" vertical="center"/>
    </xf>
    <xf numFmtId="180" fontId="18" fillId="0" borderId="9" xfId="29" applyNumberFormat="1" applyFont="1" applyFill="1" applyBorder="1" applyAlignment="1">
      <alignment horizontal="center" vertical="center"/>
    </xf>
    <xf numFmtId="20" fontId="19" fillId="0" borderId="1" xfId="2" applyNumberFormat="1" applyFont="1" applyBorder="1" applyAlignment="1">
      <alignment horizontal="center" vertical="center"/>
    </xf>
    <xf numFmtId="181" fontId="19" fillId="0" borderId="12" xfId="20" applyNumberFormat="1" applyFont="1" applyBorder="1" applyAlignment="1">
      <alignment horizontal="center" vertical="center"/>
    </xf>
    <xf numFmtId="20" fontId="19" fillId="0" borderId="11" xfId="2" applyNumberFormat="1" applyFont="1" applyBorder="1" applyAlignment="1">
      <alignment horizontal="center" vertical="center"/>
    </xf>
    <xf numFmtId="20" fontId="19" fillId="0" borderId="1" xfId="20" applyNumberFormat="1" applyFont="1" applyBorder="1" applyAlignment="1">
      <alignment horizontal="center" vertical="center"/>
    </xf>
    <xf numFmtId="20" fontId="8" fillId="0" borderId="11" xfId="14" applyNumberFormat="1" applyFont="1" applyBorder="1" applyAlignment="1">
      <alignment horizontal="center" vertical="center"/>
    </xf>
    <xf numFmtId="20" fontId="8" fillId="6" borderId="11" xfId="14" applyNumberFormat="1" applyFont="1" applyFill="1" applyBorder="1" applyAlignment="1">
      <alignment horizontal="center" vertical="center"/>
    </xf>
    <xf numFmtId="20" fontId="19" fillId="0" borderId="13" xfId="20" applyNumberFormat="1" applyFont="1" applyBorder="1" applyAlignment="1">
      <alignment horizontal="center" vertical="center"/>
    </xf>
    <xf numFmtId="1" fontId="8" fillId="0" borderId="1" xfId="2" applyNumberFormat="1" applyFont="1" applyBorder="1" applyAlignment="1">
      <alignment horizontal="center" vertical="center" wrapText="1"/>
    </xf>
    <xf numFmtId="0" fontId="20" fillId="0" borderId="1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1" fillId="0" borderId="13" xfId="20" applyFont="1" applyBorder="1">
      <alignment vertical="center"/>
    </xf>
    <xf numFmtId="0" fontId="21" fillId="0" borderId="13" xfId="20" applyFont="1" applyBorder="1" applyAlignment="1">
      <alignment horizontal="left" vertical="center"/>
    </xf>
    <xf numFmtId="178" fontId="22" fillId="7" borderId="13" xfId="24" applyNumberFormat="1" applyFont="1" applyFill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/>
    </xf>
    <xf numFmtId="43" fontId="21" fillId="0" borderId="13" xfId="24" applyFont="1" applyBorder="1" applyAlignment="1">
      <alignment horizontal="center" vertical="center"/>
    </xf>
    <xf numFmtId="0" fontId="21" fillId="0" borderId="13" xfId="20" applyFont="1" applyBorder="1" applyAlignment="1">
      <alignment horizontal="center" vertical="center"/>
    </xf>
    <xf numFmtId="1" fontId="21" fillId="0" borderId="13" xfId="20" applyNumberFormat="1" applyFont="1" applyBorder="1" applyAlignment="1">
      <alignment horizontal="center" vertical="center"/>
    </xf>
    <xf numFmtId="0" fontId="19" fillId="0" borderId="0" xfId="20" applyFont="1">
      <alignment vertical="center"/>
    </xf>
    <xf numFmtId="179" fontId="21" fillId="0" borderId="13" xfId="20" applyNumberFormat="1" applyFont="1" applyBorder="1" applyAlignment="1">
      <alignment horizontal="center" vertical="center"/>
    </xf>
    <xf numFmtId="179" fontId="24" fillId="0" borderId="13" xfId="20" applyNumberFormat="1" applyFont="1" applyBorder="1" applyAlignment="1">
      <alignment horizontal="center" vertical="center" wrapText="1"/>
    </xf>
    <xf numFmtId="2" fontId="21" fillId="0" borderId="13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19" fillId="0" borderId="17" xfId="19" applyFont="1" applyBorder="1" applyAlignment="1">
      <alignment horizontal="center"/>
    </xf>
    <xf numFmtId="0" fontId="19" fillId="0" borderId="18" xfId="20" applyFont="1" applyBorder="1" applyAlignment="1">
      <alignment horizontal="center"/>
    </xf>
    <xf numFmtId="0" fontId="19" fillId="0" borderId="18" xfId="19" applyFont="1" applyBorder="1" applyAlignment="1"/>
    <xf numFmtId="1" fontId="19" fillId="0" borderId="19" xfId="20" applyNumberFormat="1" applyFont="1" applyBorder="1" applyAlignment="1">
      <alignment horizontal="center" vertical="center"/>
    </xf>
    <xf numFmtId="43" fontId="19" fillId="0" borderId="20" xfId="24" applyFont="1" applyBorder="1" applyAlignment="1">
      <alignment horizontal="center" vertical="center"/>
    </xf>
    <xf numFmtId="0" fontId="19" fillId="0" borderId="20" xfId="20" applyFont="1" applyBorder="1" applyAlignment="1">
      <alignment horizontal="center" vertical="center" wrapText="1"/>
    </xf>
    <xf numFmtId="1" fontId="19" fillId="3" borderId="20" xfId="20" applyNumberFormat="1" applyFont="1" applyFill="1" applyBorder="1" applyAlignment="1">
      <alignment horizontal="center" vertical="center"/>
    </xf>
    <xf numFmtId="1" fontId="19" fillId="0" borderId="20" xfId="20" applyNumberFormat="1" applyFont="1" applyBorder="1" applyAlignment="1">
      <alignment horizontal="center" vertical="center"/>
    </xf>
    <xf numFmtId="179" fontId="19" fillId="0" borderId="20" xfId="20" applyNumberFormat="1" applyFont="1" applyBorder="1" applyAlignment="1">
      <alignment horizontal="center" vertical="center"/>
    </xf>
    <xf numFmtId="0" fontId="19" fillId="3" borderId="20" xfId="20" applyFont="1" applyFill="1" applyBorder="1" applyAlignment="1">
      <alignment horizontal="center" vertical="center"/>
    </xf>
    <xf numFmtId="182" fontId="19" fillId="0" borderId="20" xfId="20" applyNumberFormat="1" applyFont="1" applyBorder="1" applyAlignment="1">
      <alignment horizontal="center" vertical="center"/>
    </xf>
    <xf numFmtId="183" fontId="19" fillId="0" borderId="20" xfId="20" applyNumberFormat="1" applyFont="1" applyBorder="1" applyAlignment="1">
      <alignment horizontal="center" vertical="center"/>
    </xf>
    <xf numFmtId="180" fontId="19" fillId="0" borderId="20" xfId="34" applyNumberFormat="1" applyFont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0" fontId="19" fillId="0" borderId="22" xfId="20" applyFont="1" applyBorder="1">
      <alignment vertical="center"/>
    </xf>
    <xf numFmtId="0" fontId="19" fillId="0" borderId="21" xfId="20" applyFont="1" applyBorder="1" applyAlignment="1">
      <alignment horizontal="center" vertical="center" wrapText="1"/>
    </xf>
    <xf numFmtId="0" fontId="19" fillId="0" borderId="21" xfId="20" applyFont="1" applyBorder="1" applyAlignment="1">
      <alignment horizontal="center" vertical="center"/>
    </xf>
    <xf numFmtId="182" fontId="19" fillId="0" borderId="21" xfId="20" applyNumberFormat="1" applyFont="1" applyBorder="1" applyAlignment="1">
      <alignment horizontal="center" vertical="center"/>
    </xf>
    <xf numFmtId="0" fontId="19" fillId="0" borderId="25" xfId="19" applyFont="1" applyBorder="1" applyAlignment="1">
      <alignment horizontal="center"/>
    </xf>
    <xf numFmtId="0" fontId="19" fillId="0" borderId="26" xfId="20" applyFont="1" applyBorder="1" applyAlignment="1">
      <alignment horizontal="center"/>
    </xf>
    <xf numFmtId="0" fontId="19" fillId="0" borderId="27" xfId="19" applyFont="1" applyBorder="1" applyAlignment="1"/>
    <xf numFmtId="0" fontId="19" fillId="0" borderId="28" xfId="19" applyFont="1" applyBorder="1" applyAlignment="1"/>
    <xf numFmtId="0" fontId="19" fillId="0" borderId="29" xfId="19" applyFont="1" applyBorder="1" applyAlignment="1">
      <alignment horizontal="center"/>
    </xf>
    <xf numFmtId="1" fontId="19" fillId="0" borderId="30" xfId="20" applyNumberFormat="1" applyFont="1" applyBorder="1" applyAlignment="1">
      <alignment horizontal="center" vertical="center"/>
    </xf>
    <xf numFmtId="43" fontId="19" fillId="0" borderId="31" xfId="24" applyFont="1" applyBorder="1" applyAlignment="1">
      <alignment horizontal="center" vertical="center"/>
    </xf>
    <xf numFmtId="0" fontId="19" fillId="0" borderId="31" xfId="20" applyFont="1" applyBorder="1" applyAlignment="1">
      <alignment horizontal="center" vertical="center" wrapText="1"/>
    </xf>
    <xf numFmtId="1" fontId="19" fillId="3" borderId="31" xfId="20" applyNumberFormat="1" applyFont="1" applyFill="1" applyBorder="1" applyAlignment="1">
      <alignment horizontal="center" vertical="center"/>
    </xf>
    <xf numFmtId="1" fontId="19" fillId="0" borderId="31" xfId="20" applyNumberFormat="1" applyFont="1" applyBorder="1" applyAlignment="1">
      <alignment horizontal="center" vertical="center"/>
    </xf>
    <xf numFmtId="179" fontId="19" fillId="0" borderId="31" xfId="20" applyNumberFormat="1" applyFont="1" applyBorder="1" applyAlignment="1">
      <alignment horizontal="center" vertical="center"/>
    </xf>
    <xf numFmtId="0" fontId="19" fillId="3" borderId="31" xfId="20" applyFont="1" applyFill="1" applyBorder="1" applyAlignment="1">
      <alignment horizontal="center" vertical="center"/>
    </xf>
    <xf numFmtId="182" fontId="19" fillId="0" borderId="31" xfId="20" applyNumberFormat="1" applyFont="1" applyBorder="1" applyAlignment="1">
      <alignment horizontal="center" vertical="center"/>
    </xf>
    <xf numFmtId="183" fontId="19" fillId="0" borderId="31" xfId="20" applyNumberFormat="1" applyFont="1" applyBorder="1" applyAlignment="1">
      <alignment horizontal="center" vertical="center"/>
    </xf>
    <xf numFmtId="180" fontId="19" fillId="0" borderId="3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0" fontId="19" fillId="0" borderId="13" xfId="20" applyFont="1" applyBorder="1" applyAlignment="1">
      <alignment horizontal="center" vertical="center" wrapText="1"/>
    </xf>
    <xf numFmtId="182" fontId="19" fillId="0" borderId="13" xfId="20" applyNumberFormat="1" applyFont="1" applyBorder="1" applyAlignment="1">
      <alignment horizontal="center" vertical="center"/>
    </xf>
    <xf numFmtId="0" fontId="19" fillId="0" borderId="1" xfId="19" applyFont="1" applyBorder="1" applyAlignment="1">
      <alignment horizontal="center"/>
    </xf>
    <xf numFmtId="0" fontId="19" fillId="0" borderId="33" xfId="20" applyFont="1" applyBorder="1" applyAlignment="1">
      <alignment horizontal="center"/>
    </xf>
    <xf numFmtId="0" fontId="19" fillId="0" borderId="33" xfId="19" applyFont="1" applyBorder="1" applyAlignment="1"/>
    <xf numFmtId="43" fontId="19" fillId="0" borderId="13" xfId="24" applyFont="1" applyBorder="1" applyAlignment="1">
      <alignment horizontal="center" vertical="center"/>
    </xf>
    <xf numFmtId="1" fontId="19" fillId="3" borderId="13" xfId="20" applyNumberFormat="1" applyFont="1" applyFill="1" applyBorder="1" applyAlignment="1">
      <alignment horizontal="center" vertical="center"/>
    </xf>
    <xf numFmtId="1" fontId="19" fillId="0" borderId="13" xfId="20" applyNumberFormat="1" applyFont="1" applyBorder="1" applyAlignment="1">
      <alignment horizontal="center" vertical="center"/>
    </xf>
    <xf numFmtId="179" fontId="19" fillId="0" borderId="13" xfId="20" applyNumberFormat="1" applyFont="1" applyBorder="1" applyAlignment="1">
      <alignment horizontal="center" vertical="center"/>
    </xf>
    <xf numFmtId="0" fontId="19" fillId="3" borderId="13" xfId="20" applyFont="1" applyFill="1" applyBorder="1" applyAlignment="1">
      <alignment horizontal="center" vertical="center"/>
    </xf>
    <xf numFmtId="183" fontId="19" fillId="0" borderId="13" xfId="20" applyNumberFormat="1" applyFont="1" applyBorder="1" applyAlignment="1">
      <alignment horizontal="center" vertical="center"/>
    </xf>
    <xf numFmtId="20" fontId="19" fillId="0" borderId="27" xfId="20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/>
    </xf>
    <xf numFmtId="0" fontId="19" fillId="0" borderId="30" xfId="19" applyFont="1" applyBorder="1" applyAlignment="1"/>
    <xf numFmtId="0" fontId="19" fillId="0" borderId="37" xfId="20" applyFont="1" applyBorder="1" applyAlignment="1">
      <alignment horizontal="center"/>
    </xf>
    <xf numFmtId="0" fontId="19" fillId="0" borderId="38" xfId="19" applyFont="1" applyBorder="1" applyAlignment="1"/>
    <xf numFmtId="184" fontId="19" fillId="0" borderId="1" xfId="20" applyNumberFormat="1" applyFont="1" applyBorder="1" applyAlignment="1">
      <alignment horizontal="center" vertical="center"/>
    </xf>
    <xf numFmtId="43" fontId="19" fillId="0" borderId="1" xfId="24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/>
    </xf>
    <xf numFmtId="179" fontId="19" fillId="0" borderId="30" xfId="20" applyNumberFormat="1" applyFont="1" applyBorder="1" applyAlignment="1">
      <alignment horizontal="center" vertical="center"/>
    </xf>
    <xf numFmtId="0" fontId="19" fillId="3" borderId="1" xfId="20" applyFont="1" applyFill="1" applyBorder="1" applyAlignment="1">
      <alignment horizontal="center" vertical="center"/>
    </xf>
    <xf numFmtId="1" fontId="19" fillId="0" borderId="1" xfId="20" applyNumberFormat="1" applyFont="1" applyBorder="1" applyAlignment="1">
      <alignment horizontal="center" vertical="center"/>
    </xf>
    <xf numFmtId="179" fontId="19" fillId="0" borderId="1" xfId="20" applyNumberFormat="1" applyFont="1" applyBorder="1" applyAlignment="1">
      <alignment horizontal="center" vertical="center"/>
    </xf>
    <xf numFmtId="182" fontId="19" fillId="0" borderId="1" xfId="20" applyNumberFormat="1" applyFont="1" applyBorder="1" applyAlignment="1">
      <alignment horizontal="center" vertical="center"/>
    </xf>
    <xf numFmtId="183" fontId="19" fillId="0" borderId="1" xfId="20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0" fontId="19" fillId="0" borderId="30" xfId="20" applyFont="1" applyBorder="1" applyAlignment="1">
      <alignment horizontal="center" vertical="center" wrapText="1"/>
    </xf>
    <xf numFmtId="0" fontId="19" fillId="0" borderId="39" xfId="20" applyFont="1" applyBorder="1" applyAlignment="1">
      <alignment horizontal="center" vertical="center"/>
    </xf>
    <xf numFmtId="0" fontId="19" fillId="0" borderId="40" xfId="20" applyFont="1" applyBorder="1" applyAlignment="1">
      <alignment horizontal="center" vertical="center"/>
    </xf>
    <xf numFmtId="0" fontId="19" fillId="0" borderId="41" xfId="19" applyFont="1" applyBorder="1" applyAlignment="1"/>
    <xf numFmtId="0" fontId="19" fillId="0" borderId="39" xfId="19" applyFont="1" applyBorder="1" applyAlignment="1"/>
    <xf numFmtId="0" fontId="19" fillId="0" borderId="30" xfId="19" applyFont="1" applyBorder="1" applyAlignment="1">
      <alignment horizontal="center"/>
    </xf>
    <xf numFmtId="1" fontId="19" fillId="3" borderId="14" xfId="20" applyNumberFormat="1" applyFont="1" applyFill="1" applyBorder="1" applyAlignment="1">
      <alignment horizontal="center" vertical="center"/>
    </xf>
    <xf numFmtId="1" fontId="19" fillId="0" borderId="14" xfId="20" applyNumberFormat="1" applyFont="1" applyBorder="1" applyAlignment="1">
      <alignment horizontal="center" vertical="center"/>
    </xf>
    <xf numFmtId="0" fontId="19" fillId="3" borderId="14" xfId="20" applyFont="1" applyFill="1" applyBorder="1" applyAlignment="1">
      <alignment horizontal="center" vertical="center"/>
    </xf>
    <xf numFmtId="181" fontId="19" fillId="0" borderId="14" xfId="20" applyNumberFormat="1" applyFont="1" applyBorder="1" applyAlignment="1">
      <alignment horizontal="center" vertical="center"/>
    </xf>
    <xf numFmtId="20" fontId="19" fillId="0" borderId="14" xfId="20" applyNumberFormat="1" applyFont="1" applyBorder="1" applyAlignment="1">
      <alignment horizontal="center" vertical="center"/>
    </xf>
    <xf numFmtId="182" fontId="19" fillId="0" borderId="14" xfId="20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1" fontId="8" fillId="6" borderId="1" xfId="14" applyNumberFormat="1" applyFont="1" applyFill="1" applyBorder="1" applyAlignment="1">
      <alignment horizontal="center" vertical="center"/>
    </xf>
    <xf numFmtId="181" fontId="8" fillId="6" borderId="11" xfId="14" applyNumberFormat="1" applyFont="1" applyFill="1" applyBorder="1" applyAlignment="1">
      <alignment horizontal="center" vertical="center"/>
    </xf>
    <xf numFmtId="0" fontId="19" fillId="0" borderId="43" xfId="20" applyFont="1" applyBorder="1" applyAlignment="1">
      <alignment horizontal="center"/>
    </xf>
    <xf numFmtId="0" fontId="19" fillId="11" borderId="44" xfId="20" applyFont="1" applyFill="1" applyBorder="1" applyAlignment="1">
      <alignment horizontal="center"/>
    </xf>
    <xf numFmtId="179" fontId="19" fillId="11" borderId="44" xfId="20" applyNumberFormat="1" applyFont="1" applyFill="1" applyBorder="1" applyAlignment="1">
      <alignment horizontal="center" vertical="center"/>
    </xf>
    <xf numFmtId="43" fontId="19" fillId="11" borderId="44" xfId="24" applyFont="1" applyFill="1" applyBorder="1" applyAlignment="1">
      <alignment horizontal="center" vertical="center"/>
    </xf>
    <xf numFmtId="0" fontId="19" fillId="11" borderId="44" xfId="20" applyFont="1" applyFill="1" applyBorder="1" applyAlignment="1">
      <alignment horizontal="center" vertical="center"/>
    </xf>
    <xf numFmtId="1" fontId="19" fillId="11" borderId="44" xfId="20" applyNumberFormat="1" applyFont="1" applyFill="1" applyBorder="1" applyAlignment="1">
      <alignment horizontal="center" vertical="center"/>
    </xf>
    <xf numFmtId="182" fontId="19" fillId="0" borderId="44" xfId="20" applyNumberFormat="1" applyFont="1" applyBorder="1" applyAlignment="1">
      <alignment horizontal="center" vertical="center"/>
    </xf>
    <xf numFmtId="183" fontId="19" fillId="0" borderId="44" xfId="20" applyNumberFormat="1" applyFont="1" applyBorder="1" applyAlignment="1">
      <alignment horizontal="center" vertical="center"/>
    </xf>
    <xf numFmtId="180" fontId="19" fillId="0" borderId="44" xfId="34" applyNumberFormat="1" applyFont="1" applyFill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181" fontId="19" fillId="0" borderId="4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 vertical="center"/>
    </xf>
    <xf numFmtId="0" fontId="19" fillId="0" borderId="43" xfId="20" applyFont="1" applyBorder="1" applyAlignment="1">
      <alignment horizontal="center" vertical="center" wrapText="1"/>
    </xf>
    <xf numFmtId="179" fontId="19" fillId="0" borderId="44" xfId="20" applyNumberFormat="1" applyFont="1" applyBorder="1" applyAlignment="1">
      <alignment horizontal="center" vertical="center"/>
    </xf>
    <xf numFmtId="0" fontId="19" fillId="0" borderId="46" xfId="19" applyFont="1" applyBorder="1" applyAlignment="1">
      <alignment horizontal="center"/>
    </xf>
    <xf numFmtId="0" fontId="19" fillId="0" borderId="47" xfId="20" applyFont="1" applyBorder="1" applyAlignment="1">
      <alignment horizontal="center"/>
    </xf>
    <xf numFmtId="0" fontId="19" fillId="0" borderId="48" xfId="19" applyFont="1" applyBorder="1" applyAlignment="1"/>
    <xf numFmtId="0" fontId="19" fillId="0" borderId="49" xfId="19" applyFont="1" applyBorder="1" applyAlignment="1"/>
    <xf numFmtId="184" fontId="19" fillId="0" borderId="17" xfId="2" applyNumberFormat="1" applyFont="1" applyBorder="1" applyAlignment="1">
      <alignment horizontal="center" vertical="center"/>
    </xf>
    <xf numFmtId="43" fontId="19" fillId="0" borderId="17" xfId="24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1" fontId="19" fillId="3" borderId="21" xfId="20" applyNumberFormat="1" applyFont="1" applyFill="1" applyBorder="1" applyAlignment="1">
      <alignment horizontal="center" vertical="center"/>
    </xf>
    <xf numFmtId="1" fontId="19" fillId="0" borderId="21" xfId="20" applyNumberFormat="1" applyFont="1" applyBorder="1" applyAlignment="1">
      <alignment horizontal="center" vertical="center"/>
    </xf>
    <xf numFmtId="179" fontId="19" fillId="0" borderId="21" xfId="20" applyNumberFormat="1" applyFont="1" applyBorder="1" applyAlignment="1">
      <alignment horizontal="center" vertical="center"/>
    </xf>
    <xf numFmtId="1" fontId="19" fillId="3" borderId="17" xfId="20" applyNumberFormat="1" applyFont="1" applyFill="1" applyBorder="1" applyAlignment="1">
      <alignment horizontal="center" vertical="center"/>
    </xf>
    <xf numFmtId="1" fontId="19" fillId="0" borderId="17" xfId="20" applyNumberFormat="1" applyFont="1" applyBorder="1" applyAlignment="1">
      <alignment horizontal="center" vertical="center"/>
    </xf>
    <xf numFmtId="179" fontId="19" fillId="0" borderId="17" xfId="20" applyNumberFormat="1" applyFont="1" applyBorder="1" applyAlignment="1">
      <alignment horizontal="center" vertical="center"/>
    </xf>
    <xf numFmtId="182" fontId="19" fillId="0" borderId="17" xfId="20" applyNumberFormat="1" applyFont="1" applyBorder="1" applyAlignment="1">
      <alignment horizontal="center" vertical="center"/>
    </xf>
    <xf numFmtId="183" fontId="19" fillId="0" borderId="17" xfId="20" applyNumberFormat="1" applyFont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20" fontId="19" fillId="0" borderId="17" xfId="20" applyNumberFormat="1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 wrapText="1"/>
    </xf>
    <xf numFmtId="184" fontId="19" fillId="0" borderId="1" xfId="2" applyNumberFormat="1" applyFont="1" applyBorder="1" applyAlignment="1">
      <alignment horizontal="center" vertical="center"/>
    </xf>
    <xf numFmtId="1" fontId="19" fillId="3" borderId="1" xfId="20" applyNumberFormat="1" applyFont="1" applyFill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181" fontId="19" fillId="0" borderId="1" xfId="20" applyNumberFormat="1" applyFont="1" applyBorder="1" applyAlignment="1">
      <alignment horizontal="center" vertical="center"/>
    </xf>
    <xf numFmtId="0" fontId="19" fillId="0" borderId="27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/>
    </xf>
    <xf numFmtId="0" fontId="17" fillId="0" borderId="50" xfId="2" applyFont="1" applyBorder="1" applyAlignment="1">
      <alignment horizontal="center" vertical="center"/>
    </xf>
    <xf numFmtId="0" fontId="19" fillId="11" borderId="50" xfId="20" applyFont="1" applyFill="1" applyBorder="1" applyAlignment="1">
      <alignment horizontal="center"/>
    </xf>
    <xf numFmtId="1" fontId="19" fillId="11" borderId="50" xfId="20" applyNumberFormat="1" applyFont="1" applyFill="1" applyBorder="1" applyAlignment="1">
      <alignment horizontal="center" vertical="center"/>
    </xf>
    <xf numFmtId="43" fontId="19" fillId="11" borderId="50" xfId="24" applyFont="1" applyFill="1" applyBorder="1" applyAlignment="1">
      <alignment horizontal="center" vertical="center"/>
    </xf>
    <xf numFmtId="0" fontId="19" fillId="11" borderId="50" xfId="20" applyFont="1" applyFill="1" applyBorder="1" applyAlignment="1">
      <alignment horizontal="center" vertical="center"/>
    </xf>
    <xf numFmtId="179" fontId="19" fillId="11" borderId="50" xfId="20" applyNumberFormat="1" applyFont="1" applyFill="1" applyBorder="1" applyAlignment="1">
      <alignment horizontal="center" vertical="center"/>
    </xf>
    <xf numFmtId="182" fontId="19" fillId="0" borderId="50" xfId="20" applyNumberFormat="1" applyFont="1" applyBorder="1" applyAlignment="1">
      <alignment horizontal="center" vertical="center"/>
    </xf>
    <xf numFmtId="183" fontId="19" fillId="0" borderId="50" xfId="20" applyNumberFormat="1" applyFont="1" applyBorder="1" applyAlignment="1">
      <alignment horizontal="center" vertical="center"/>
    </xf>
    <xf numFmtId="180" fontId="19" fillId="0" borderId="50" xfId="34" applyNumberFormat="1" applyFont="1" applyFill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181" fontId="19" fillId="0" borderId="50" xfId="20" applyNumberFormat="1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1" fontId="19" fillId="0" borderId="50" xfId="20" applyNumberFormat="1" applyFont="1" applyBorder="1" applyAlignment="1">
      <alignment horizontal="center" vertical="center"/>
    </xf>
    <xf numFmtId="179" fontId="19" fillId="0" borderId="50" xfId="20" applyNumberFormat="1" applyFont="1" applyBorder="1" applyAlignment="1">
      <alignment horizontal="center" vertical="center"/>
    </xf>
    <xf numFmtId="0" fontId="19" fillId="0" borderId="52" xfId="19" applyFont="1" applyBorder="1" applyAlignment="1">
      <alignment horizontal="center"/>
    </xf>
    <xf numFmtId="0" fontId="19" fillId="0" borderId="53" xfId="19" applyFont="1" applyBorder="1" applyAlignment="1"/>
    <xf numFmtId="184" fontId="19" fillId="0" borderId="17" xfId="20" applyNumberFormat="1" applyFont="1" applyBorder="1" applyAlignment="1">
      <alignment horizontal="center" vertical="center"/>
    </xf>
    <xf numFmtId="0" fontId="19" fillId="3" borderId="17" xfId="20" applyFont="1" applyFill="1" applyBorder="1" applyAlignment="1">
      <alignment horizontal="center" vertical="center"/>
    </xf>
    <xf numFmtId="20" fontId="19" fillId="0" borderId="17" xfId="2" applyNumberFormat="1" applyFont="1" applyBorder="1" applyAlignment="1">
      <alignment horizontal="center" vertical="center"/>
    </xf>
    <xf numFmtId="180" fontId="19" fillId="0" borderId="55" xfId="34" applyNumberFormat="1" applyFont="1" applyBorder="1" applyAlignment="1">
      <alignment horizontal="center" vertical="center"/>
    </xf>
    <xf numFmtId="0" fontId="19" fillId="0" borderId="41" xfId="20" applyFont="1" applyBorder="1" applyAlignment="1">
      <alignment horizontal="center"/>
    </xf>
    <xf numFmtId="20" fontId="19" fillId="0" borderId="1" xfId="19" applyNumberFormat="1" applyFont="1" applyBorder="1" applyAlignment="1">
      <alignment horizontal="center" vertical="center"/>
    </xf>
    <xf numFmtId="0" fontId="19" fillId="0" borderId="58" xfId="19" applyFont="1" applyBorder="1" applyAlignment="1"/>
    <xf numFmtId="0" fontId="19" fillId="0" borderId="3" xfId="19" applyFont="1" applyBorder="1" applyAlignment="1"/>
    <xf numFmtId="0" fontId="19" fillId="0" borderId="58" xfId="20" applyFont="1" applyBorder="1" applyAlignment="1">
      <alignment horizontal="center" vertical="center"/>
    </xf>
    <xf numFmtId="0" fontId="19" fillId="0" borderId="60" xfId="19" applyFont="1" applyBorder="1" applyAlignment="1"/>
    <xf numFmtId="0" fontId="19" fillId="0" borderId="61" xfId="20" applyFont="1" applyBorder="1" applyAlignment="1">
      <alignment horizontal="center" vertical="center"/>
    </xf>
    <xf numFmtId="182" fontId="19" fillId="0" borderId="9" xfId="20" applyNumberFormat="1" applyFont="1" applyBorder="1" applyAlignment="1">
      <alignment horizontal="center" vertical="center"/>
    </xf>
    <xf numFmtId="183" fontId="19" fillId="0" borderId="9" xfId="20" applyNumberFormat="1" applyFont="1" applyBorder="1" applyAlignment="1">
      <alignment horizontal="center" vertical="center"/>
    </xf>
    <xf numFmtId="0" fontId="19" fillId="0" borderId="9" xfId="20" applyFont="1" applyBorder="1" applyAlignment="1">
      <alignment horizontal="center" vertical="center"/>
    </xf>
    <xf numFmtId="20" fontId="19" fillId="0" borderId="9" xfId="20" applyNumberFormat="1" applyFont="1" applyBorder="1" applyAlignment="1">
      <alignment horizontal="center" vertical="center"/>
    </xf>
    <xf numFmtId="0" fontId="19" fillId="0" borderId="55" xfId="19" applyFont="1" applyBorder="1" applyAlignment="1"/>
    <xf numFmtId="0" fontId="19" fillId="0" borderId="22" xfId="19" applyFont="1" applyBorder="1" applyAlignment="1"/>
    <xf numFmtId="184" fontId="8" fillId="0" borderId="17" xfId="2" applyNumberFormat="1" applyFont="1" applyBorder="1" applyAlignment="1">
      <alignment horizontal="center" vertical="center"/>
    </xf>
    <xf numFmtId="1" fontId="19" fillId="3" borderId="64" xfId="20" applyNumberFormat="1" applyFont="1" applyFill="1" applyBorder="1" applyAlignment="1">
      <alignment horizontal="center" vertical="center"/>
    </xf>
    <xf numFmtId="1" fontId="19" fillId="0" borderId="54" xfId="20" applyNumberFormat="1" applyFont="1" applyBorder="1" applyAlignment="1">
      <alignment horizontal="center" vertical="center"/>
    </xf>
    <xf numFmtId="179" fontId="19" fillId="0" borderId="65" xfId="20" applyNumberFormat="1" applyFont="1" applyBorder="1" applyAlignment="1">
      <alignment horizontal="center" vertical="center"/>
    </xf>
    <xf numFmtId="0" fontId="19" fillId="3" borderId="66" xfId="20" applyFont="1" applyFill="1" applyBorder="1" applyAlignment="1">
      <alignment horizontal="center" vertical="center"/>
    </xf>
    <xf numFmtId="20" fontId="8" fillId="0" borderId="17" xfId="1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0" fontId="8" fillId="0" borderId="17" xfId="20" applyFont="1" applyBorder="1" applyAlignment="1">
      <alignment horizontal="center" vertical="center" wrapText="1"/>
    </xf>
    <xf numFmtId="179" fontId="8" fillId="0" borderId="17" xfId="14" applyNumberFormat="1" applyFont="1" applyBorder="1" applyAlignment="1">
      <alignment horizontal="center" vertical="center"/>
    </xf>
    <xf numFmtId="180" fontId="8" fillId="0" borderId="17" xfId="33" applyNumberFormat="1" applyFont="1" applyBorder="1" applyAlignment="1">
      <alignment horizontal="center" vertical="center"/>
    </xf>
    <xf numFmtId="0" fontId="8" fillId="0" borderId="0" xfId="14" applyFont="1">
      <alignment vertical="center"/>
    </xf>
    <xf numFmtId="0" fontId="19" fillId="0" borderId="2" xfId="20" applyFont="1" applyBorder="1" applyAlignment="1">
      <alignment horizontal="center"/>
    </xf>
    <xf numFmtId="0" fontId="19" fillId="0" borderId="2" xfId="19" applyFont="1" applyBorder="1" applyAlignment="1"/>
    <xf numFmtId="184" fontId="8" fillId="0" borderId="1" xfId="2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1" fontId="8" fillId="3" borderId="1" xfId="14" applyNumberFormat="1" applyFont="1" applyFill="1" applyBorder="1" applyAlignment="1">
      <alignment horizontal="center" vertical="center"/>
    </xf>
    <xf numFmtId="1" fontId="8" fillId="0" borderId="1" xfId="14" applyNumberFormat="1" applyFont="1" applyBorder="1" applyAlignment="1">
      <alignment horizontal="center" vertical="center"/>
    </xf>
    <xf numFmtId="179" fontId="8" fillId="0" borderId="1" xfId="1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" xfId="20" applyFont="1" applyBorder="1" applyAlignment="1">
      <alignment horizontal="center" vertical="center" wrapText="1"/>
    </xf>
    <xf numFmtId="180" fontId="8" fillId="0" borderId="1" xfId="33" applyNumberFormat="1" applyFont="1" applyBorder="1" applyAlignment="1">
      <alignment horizontal="center" vertical="center"/>
    </xf>
    <xf numFmtId="0" fontId="19" fillId="0" borderId="72" xfId="19" applyFont="1" applyBorder="1" applyAlignment="1">
      <alignment horizontal="center"/>
    </xf>
    <xf numFmtId="20" fontId="8" fillId="0" borderId="1" xfId="6" applyNumberFormat="1" applyFont="1" applyBorder="1" applyAlignment="1">
      <alignment horizontal="center" vertical="center"/>
    </xf>
    <xf numFmtId="20" fontId="8" fillId="0" borderId="2" xfId="6" applyNumberFormat="1" applyFont="1" applyBorder="1" applyAlignment="1">
      <alignment horizontal="center" vertical="center"/>
    </xf>
    <xf numFmtId="20" fontId="8" fillId="0" borderId="1" xfId="14" applyNumberFormat="1" applyFont="1" applyBorder="1" applyAlignment="1">
      <alignment horizontal="center" vertical="center"/>
    </xf>
    <xf numFmtId="179" fontId="8" fillId="0" borderId="7" xfId="14" applyNumberFormat="1" applyFont="1" applyBorder="1" applyAlignment="1">
      <alignment horizontal="center" vertical="center"/>
    </xf>
    <xf numFmtId="179" fontId="8" fillId="0" borderId="2" xfId="14" applyNumberFormat="1" applyFont="1" applyBorder="1" applyAlignment="1">
      <alignment horizontal="center" vertical="center"/>
    </xf>
    <xf numFmtId="182" fontId="8" fillId="0" borderId="4" xfId="14" applyNumberFormat="1" applyFont="1" applyBorder="1" applyAlignment="1">
      <alignment horizontal="center" vertical="center"/>
    </xf>
    <xf numFmtId="0" fontId="19" fillId="0" borderId="74" xfId="20" applyFont="1" applyBorder="1" applyAlignment="1">
      <alignment horizontal="center" vertical="center"/>
    </xf>
    <xf numFmtId="43" fontId="8" fillId="0" borderId="1" xfId="24" applyFont="1" applyBorder="1" applyAlignment="1">
      <alignment horizontal="center" vertical="center"/>
    </xf>
    <xf numFmtId="181" fontId="8" fillId="0" borderId="11" xfId="14" applyNumberFormat="1" applyFont="1" applyBorder="1" applyAlignment="1">
      <alignment horizontal="center" vertical="center"/>
    </xf>
    <xf numFmtId="0" fontId="19" fillId="0" borderId="62" xfId="20" applyFont="1" applyBorder="1" applyAlignment="1">
      <alignment horizontal="center" vertical="center"/>
    </xf>
    <xf numFmtId="181" fontId="8" fillId="0" borderId="1" xfId="14" applyNumberFormat="1" applyFont="1" applyBorder="1" applyAlignment="1">
      <alignment horizontal="center" vertical="center"/>
    </xf>
    <xf numFmtId="0" fontId="19" fillId="0" borderId="76" xfId="20" applyFont="1" applyBorder="1" applyAlignment="1">
      <alignment horizontal="center"/>
    </xf>
    <xf numFmtId="184" fontId="19" fillId="11" borderId="50" xfId="20" applyNumberFormat="1" applyFont="1" applyFill="1" applyBorder="1" applyAlignment="1">
      <alignment horizontal="center" vertical="center"/>
    </xf>
    <xf numFmtId="182" fontId="19" fillId="0" borderId="77" xfId="20" applyNumberFormat="1" applyFont="1" applyBorder="1" applyAlignment="1">
      <alignment horizontal="center" vertical="center"/>
    </xf>
    <xf numFmtId="183" fontId="19" fillId="0" borderId="78" xfId="20" applyNumberFormat="1" applyFont="1" applyBorder="1" applyAlignment="1">
      <alignment horizontal="center" vertical="center"/>
    </xf>
    <xf numFmtId="180" fontId="19" fillId="0" borderId="78" xfId="34" applyNumberFormat="1" applyFont="1" applyFill="1" applyBorder="1" applyAlignment="1">
      <alignment horizontal="center" vertical="center"/>
    </xf>
    <xf numFmtId="181" fontId="19" fillId="0" borderId="78" xfId="20" applyNumberFormat="1" applyFont="1" applyBorder="1" applyAlignment="1">
      <alignment horizontal="center" vertical="center"/>
    </xf>
    <xf numFmtId="0" fontId="19" fillId="0" borderId="78" xfId="20" applyFont="1" applyBorder="1" applyAlignment="1">
      <alignment horizontal="center" vertical="center"/>
    </xf>
    <xf numFmtId="0" fontId="8" fillId="0" borderId="50" xfId="20" applyFont="1" applyBorder="1" applyAlignment="1">
      <alignment horizontal="center" vertical="center" wrapText="1"/>
    </xf>
    <xf numFmtId="20" fontId="19" fillId="0" borderId="78" xfId="20" applyNumberFormat="1" applyFont="1" applyBorder="1" applyAlignment="1">
      <alignment horizontal="center" vertical="center"/>
    </xf>
    <xf numFmtId="1" fontId="8" fillId="0" borderId="17" xfId="14" applyNumberFormat="1" applyFont="1" applyBorder="1" applyAlignment="1">
      <alignment horizontal="center" vertical="center"/>
    </xf>
    <xf numFmtId="182" fontId="19" fillId="0" borderId="49" xfId="20" applyNumberFormat="1" applyFont="1" applyBorder="1" applyAlignment="1">
      <alignment horizontal="center" vertical="center"/>
    </xf>
    <xf numFmtId="183" fontId="19" fillId="0" borderId="21" xfId="20" applyNumberFormat="1" applyFont="1" applyBorder="1" applyAlignment="1">
      <alignment horizontal="center" vertical="center"/>
    </xf>
    <xf numFmtId="43" fontId="19" fillId="0" borderId="34" xfId="24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/>
    </xf>
    <xf numFmtId="0" fontId="19" fillId="3" borderId="60" xfId="20" applyFont="1" applyFill="1" applyBorder="1" applyAlignment="1">
      <alignment horizontal="center" vertical="center"/>
    </xf>
    <xf numFmtId="1" fontId="19" fillId="0" borderId="34" xfId="20" applyNumberFormat="1" applyFont="1" applyBorder="1" applyAlignment="1">
      <alignment horizontal="center" vertical="center"/>
    </xf>
    <xf numFmtId="179" fontId="19" fillId="0" borderId="34" xfId="20" applyNumberFormat="1" applyFont="1" applyBorder="1" applyAlignment="1">
      <alignment horizontal="center" vertical="center"/>
    </xf>
    <xf numFmtId="0" fontId="19" fillId="6" borderId="13" xfId="20" applyFont="1" applyFill="1" applyBorder="1" applyAlignment="1">
      <alignment horizontal="center" vertical="center" wrapText="1"/>
    </xf>
    <xf numFmtId="0" fontId="19" fillId="6" borderId="13" xfId="20" applyFont="1" applyFill="1" applyBorder="1" applyAlignment="1">
      <alignment horizontal="center" vertical="center"/>
    </xf>
    <xf numFmtId="179" fontId="19" fillId="0" borderId="14" xfId="20" applyNumberFormat="1" applyFont="1" applyBorder="1" applyAlignment="1">
      <alignment horizontal="center" vertical="center"/>
    </xf>
    <xf numFmtId="0" fontId="19" fillId="0" borderId="44" xfId="20" applyFont="1" applyBorder="1" applyAlignment="1">
      <alignment horizontal="center"/>
    </xf>
    <xf numFmtId="1" fontId="19" fillId="11" borderId="78" xfId="20" applyNumberFormat="1" applyFont="1" applyFill="1" applyBorder="1" applyAlignment="1">
      <alignment horizontal="center" vertical="center"/>
    </xf>
    <xf numFmtId="181" fontId="8" fillId="0" borderId="83" xfId="14" applyNumberFormat="1" applyFont="1" applyBorder="1" applyAlignment="1">
      <alignment horizontal="center" vertical="center"/>
    </xf>
    <xf numFmtId="1" fontId="19" fillId="0" borderId="44" xfId="20" applyNumberFormat="1" applyFont="1" applyBorder="1" applyAlignment="1">
      <alignment horizontal="center" vertical="center"/>
    </xf>
    <xf numFmtId="43" fontId="19" fillId="0" borderId="21" xfId="24" applyFont="1" applyBorder="1" applyAlignment="1">
      <alignment horizontal="center" vertical="center"/>
    </xf>
    <xf numFmtId="0" fontId="19" fillId="3" borderId="21" xfId="20" applyFont="1" applyFill="1" applyBorder="1" applyAlignment="1">
      <alignment horizontal="center" vertical="center"/>
    </xf>
    <xf numFmtId="20" fontId="19" fillId="0" borderId="21" xfId="20" applyNumberFormat="1" applyFont="1" applyBorder="1" applyAlignment="1">
      <alignment horizontal="center" vertical="center"/>
    </xf>
    <xf numFmtId="180" fontId="19" fillId="0" borderId="54" xfId="34" applyNumberFormat="1" applyFont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19" fillId="0" borderId="34" xfId="20" applyFont="1" applyBorder="1" applyAlignment="1">
      <alignment horizontal="center" vertical="center" wrapText="1"/>
    </xf>
    <xf numFmtId="180" fontId="19" fillId="0" borderId="12" xfId="34" applyNumberFormat="1" applyFont="1" applyBorder="1" applyAlignment="1">
      <alignment horizontal="center" vertical="center"/>
    </xf>
    <xf numFmtId="0" fontId="19" fillId="0" borderId="9" xfId="19" applyFont="1" applyBorder="1" applyAlignment="1">
      <alignment horizontal="center"/>
    </xf>
    <xf numFmtId="0" fontId="19" fillId="0" borderId="40" xfId="20" applyFont="1" applyBorder="1" applyAlignment="1">
      <alignment horizontal="center"/>
    </xf>
    <xf numFmtId="0" fontId="19" fillId="0" borderId="37" xfId="19" applyFont="1" applyBorder="1" applyAlignment="1"/>
    <xf numFmtId="0" fontId="19" fillId="0" borderId="40" xfId="19" applyFont="1" applyBorder="1" applyAlignment="1"/>
    <xf numFmtId="43" fontId="19" fillId="0" borderId="14" xfId="24" applyFont="1" applyBorder="1" applyAlignment="1">
      <alignment horizontal="center" vertical="center"/>
    </xf>
    <xf numFmtId="183" fontId="19" fillId="0" borderId="14" xfId="20" applyNumberFormat="1" applyFont="1" applyBorder="1" applyAlignment="1">
      <alignment horizontal="center" vertical="center"/>
    </xf>
    <xf numFmtId="0" fontId="19" fillId="0" borderId="87" xfId="20" applyFont="1" applyBorder="1" applyAlignment="1">
      <alignment horizontal="center" vertical="center" wrapText="1"/>
    </xf>
    <xf numFmtId="0" fontId="19" fillId="0" borderId="88" xfId="19" applyFont="1" applyBorder="1" applyAlignment="1"/>
    <xf numFmtId="0" fontId="19" fillId="0" borderId="89" xfId="19" applyFont="1" applyBorder="1" applyAlignment="1">
      <alignment horizontal="center"/>
    </xf>
    <xf numFmtId="0" fontId="19" fillId="0" borderId="73" xfId="19" applyFont="1" applyBorder="1" applyAlignment="1"/>
    <xf numFmtId="0" fontId="19" fillId="0" borderId="31" xfId="20" applyFont="1" applyBorder="1" applyAlignment="1">
      <alignment horizontal="center" vertical="center"/>
    </xf>
    <xf numFmtId="20" fontId="19" fillId="0" borderId="13" xfId="19" applyNumberFormat="1" applyFont="1" applyBorder="1" applyAlignment="1">
      <alignment horizontal="center" vertical="center"/>
    </xf>
    <xf numFmtId="180" fontId="19" fillId="0" borderId="27" xfId="34" applyNumberFormat="1" applyFont="1" applyBorder="1" applyAlignment="1">
      <alignment horizontal="center" vertical="center"/>
    </xf>
    <xf numFmtId="181" fontId="19" fillId="0" borderId="13" xfId="20" applyNumberFormat="1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1" fontId="19" fillId="0" borderId="90" xfId="20" applyNumberFormat="1" applyFont="1" applyBorder="1" applyAlignment="1">
      <alignment horizontal="center" vertical="center"/>
    </xf>
    <xf numFmtId="179" fontId="19" fillId="0" borderId="91" xfId="20" applyNumberFormat="1" applyFont="1" applyBorder="1" applyAlignment="1">
      <alignment horizontal="center" vertical="center"/>
    </xf>
    <xf numFmtId="0" fontId="19" fillId="11" borderId="78" xfId="20" applyFont="1" applyFill="1" applyBorder="1" applyAlignment="1">
      <alignment horizontal="center" vertical="center"/>
    </xf>
    <xf numFmtId="179" fontId="19" fillId="11" borderId="78" xfId="20" applyNumberFormat="1" applyFont="1" applyFill="1" applyBorder="1" applyAlignment="1">
      <alignment horizontal="center" vertical="center"/>
    </xf>
    <xf numFmtId="182" fontId="19" fillId="0" borderId="78" xfId="20" applyNumberFormat="1" applyFont="1" applyBorder="1" applyAlignment="1">
      <alignment horizontal="center" vertical="center"/>
    </xf>
    <xf numFmtId="20" fontId="19" fillId="0" borderId="54" xfId="20" applyNumberFormat="1" applyFont="1" applyBorder="1" applyAlignment="1">
      <alignment horizontal="center" vertical="center"/>
    </xf>
    <xf numFmtId="20" fontId="19" fillId="0" borderId="85" xfId="20" applyNumberFormat="1" applyFont="1" applyBorder="1" applyAlignment="1">
      <alignment horizontal="center" vertical="center"/>
    </xf>
    <xf numFmtId="20" fontId="19" fillId="0" borderId="34" xfId="20" applyNumberFormat="1" applyFont="1" applyBorder="1" applyAlignment="1">
      <alignment horizontal="center" vertical="center"/>
    </xf>
    <xf numFmtId="184" fontId="19" fillId="0" borderId="9" xfId="20" applyNumberFormat="1" applyFont="1" applyBorder="1" applyAlignment="1">
      <alignment horizontal="center" vertical="center"/>
    </xf>
    <xf numFmtId="1" fontId="19" fillId="3" borderId="27" xfId="20" applyNumberFormat="1" applyFont="1" applyFill="1" applyBorder="1" applyAlignment="1">
      <alignment horizontal="center" vertical="center"/>
    </xf>
    <xf numFmtId="1" fontId="19" fillId="3" borderId="9" xfId="20" applyNumberFormat="1" applyFont="1" applyFill="1" applyBorder="1" applyAlignment="1">
      <alignment horizontal="center" vertical="center"/>
    </xf>
    <xf numFmtId="1" fontId="19" fillId="0" borderId="9" xfId="20" applyNumberFormat="1" applyFont="1" applyBorder="1" applyAlignment="1">
      <alignment horizontal="center" vertical="center"/>
    </xf>
    <xf numFmtId="179" fontId="19" fillId="0" borderId="9" xfId="20" applyNumberFormat="1" applyFont="1" applyBorder="1" applyAlignment="1">
      <alignment horizontal="center" vertical="center"/>
    </xf>
    <xf numFmtId="180" fontId="19" fillId="0" borderId="39" xfId="34" applyNumberFormat="1" applyFont="1" applyBorder="1" applyAlignment="1">
      <alignment horizontal="center" vertical="center"/>
    </xf>
    <xf numFmtId="20" fontId="19" fillId="0" borderId="87" xfId="20" applyNumberFormat="1" applyFont="1" applyBorder="1" applyAlignment="1">
      <alignment horizontal="center" vertical="center"/>
    </xf>
    <xf numFmtId="180" fontId="19" fillId="0" borderId="94" xfId="34" applyNumberFormat="1" applyFont="1" applyBorder="1" applyAlignment="1">
      <alignment horizontal="center" vertical="center"/>
    </xf>
    <xf numFmtId="20" fontId="19" fillId="0" borderId="14" xfId="19" applyNumberFormat="1" applyFont="1" applyBorder="1" applyAlignment="1">
      <alignment horizontal="center" vertical="center"/>
    </xf>
    <xf numFmtId="43" fontId="19" fillId="11" borderId="78" xfId="24" applyFont="1" applyFill="1" applyBorder="1" applyAlignment="1">
      <alignment horizontal="center" vertical="center"/>
    </xf>
    <xf numFmtId="0" fontId="19" fillId="0" borderId="0" xfId="20" applyFont="1" applyAlignment="1">
      <alignment vertical="center" wrapText="1"/>
    </xf>
    <xf numFmtId="0" fontId="19" fillId="0" borderId="1" xfId="20" applyFont="1" applyBorder="1">
      <alignment vertical="center"/>
    </xf>
    <xf numFmtId="0" fontId="19" fillId="0" borderId="0" xfId="19" applyFont="1" applyAlignment="1">
      <alignment horizontal="center"/>
    </xf>
    <xf numFmtId="0" fontId="19" fillId="0" borderId="0" xfId="2" applyFont="1" applyAlignment="1">
      <alignment horizontal="center" vertical="center"/>
    </xf>
    <xf numFmtId="0" fontId="8" fillId="0" borderId="0" xfId="14" applyFont="1" applyAlignment="1">
      <alignment horizontal="center"/>
    </xf>
    <xf numFmtId="20" fontId="19" fillId="0" borderId="58" xfId="20" applyNumberFormat="1" applyFont="1" applyBorder="1" applyAlignment="1">
      <alignment horizontal="center" vertical="center"/>
    </xf>
    <xf numFmtId="20" fontId="19" fillId="0" borderId="41" xfId="20" applyNumberFormat="1" applyFont="1" applyBorder="1" applyAlignment="1">
      <alignment horizontal="center" vertical="center"/>
    </xf>
    <xf numFmtId="0" fontId="19" fillId="0" borderId="48" xfId="20" applyFont="1" applyBorder="1" applyAlignment="1">
      <alignment horizontal="center" vertical="center"/>
    </xf>
    <xf numFmtId="20" fontId="19" fillId="0" borderId="27" xfId="19" applyNumberFormat="1" applyFont="1" applyBorder="1" applyAlignment="1">
      <alignment horizontal="center" vertical="center"/>
    </xf>
    <xf numFmtId="20" fontId="19" fillId="0" borderId="55" xfId="20" applyNumberFormat="1" applyFont="1" applyBorder="1" applyAlignment="1">
      <alignment horizontal="center" vertical="center"/>
    </xf>
    <xf numFmtId="20" fontId="19" fillId="0" borderId="70" xfId="20" applyNumberFormat="1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 wrapText="1"/>
    </xf>
    <xf numFmtId="179" fontId="19" fillId="0" borderId="76" xfId="20" applyNumberFormat="1" applyFont="1" applyBorder="1" applyAlignment="1">
      <alignment horizontal="center" vertical="center"/>
    </xf>
    <xf numFmtId="179" fontId="19" fillId="0" borderId="67" xfId="20" applyNumberFormat="1" applyFont="1" applyBorder="1" applyAlignment="1">
      <alignment horizontal="center" vertical="center"/>
    </xf>
    <xf numFmtId="20" fontId="19" fillId="0" borderId="2" xfId="20" applyNumberFormat="1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/>
    </xf>
    <xf numFmtId="179" fontId="19" fillId="0" borderId="99" xfId="20" applyNumberFormat="1" applyFont="1" applyBorder="1" applyAlignment="1">
      <alignment horizontal="center" vertical="center"/>
    </xf>
    <xf numFmtId="0" fontId="19" fillId="0" borderId="67" xfId="20" applyFont="1" applyBorder="1" applyAlignment="1">
      <alignment horizontal="center" vertical="center"/>
    </xf>
    <xf numFmtId="20" fontId="19" fillId="0" borderId="2" xfId="19" applyNumberFormat="1" applyFont="1" applyBorder="1" applyAlignment="1">
      <alignment horizontal="center" vertical="center"/>
    </xf>
    <xf numFmtId="179" fontId="8" fillId="0" borderId="100" xfId="14" applyNumberFormat="1" applyFont="1" applyBorder="1" applyAlignment="1">
      <alignment horizontal="center" vertical="center"/>
    </xf>
    <xf numFmtId="20" fontId="19" fillId="0" borderId="101" xfId="20" applyNumberFormat="1" applyFont="1" applyBorder="1" applyAlignment="1">
      <alignment horizontal="center" vertical="center"/>
    </xf>
    <xf numFmtId="20" fontId="19" fillId="0" borderId="37" xfId="20" applyNumberFormat="1" applyFont="1" applyBorder="1" applyAlignment="1">
      <alignment horizontal="center" vertical="center"/>
    </xf>
    <xf numFmtId="179" fontId="19" fillId="0" borderId="58" xfId="20" applyNumberFormat="1" applyFont="1" applyBorder="1" applyAlignment="1">
      <alignment horizontal="center" vertical="center"/>
    </xf>
    <xf numFmtId="20" fontId="19" fillId="0" borderId="41" xfId="19" applyNumberFormat="1" applyFont="1" applyBorder="1" applyAlignment="1">
      <alignment horizontal="center" vertical="center"/>
    </xf>
    <xf numFmtId="182" fontId="19" fillId="0" borderId="30" xfId="20" applyNumberFormat="1" applyFont="1" applyBorder="1" applyAlignment="1">
      <alignment horizontal="center" vertical="center"/>
    </xf>
    <xf numFmtId="182" fontId="19" fillId="0" borderId="39" xfId="20" applyNumberFormat="1" applyFont="1" applyBorder="1" applyAlignment="1">
      <alignment horizontal="center" vertical="center"/>
    </xf>
    <xf numFmtId="182" fontId="19" fillId="0" borderId="43" xfId="20" applyNumberFormat="1" applyFont="1" applyBorder="1" applyAlignment="1">
      <alignment horizontal="center" vertical="center"/>
    </xf>
    <xf numFmtId="182" fontId="19" fillId="0" borderId="46" xfId="20" applyNumberFormat="1" applyFont="1" applyBorder="1" applyAlignment="1">
      <alignment horizontal="center" vertical="center"/>
    </xf>
    <xf numFmtId="182" fontId="19" fillId="0" borderId="3" xfId="20" applyNumberFormat="1" applyFont="1" applyBorder="1" applyAlignment="1">
      <alignment horizontal="center" vertical="center"/>
    </xf>
    <xf numFmtId="182" fontId="19" fillId="0" borderId="96" xfId="20" applyNumberFormat="1" applyFont="1" applyBorder="1" applyAlignment="1">
      <alignment horizontal="center" vertical="center"/>
    </xf>
    <xf numFmtId="182" fontId="8" fillId="0" borderId="102" xfId="14" applyNumberFormat="1" applyFont="1" applyBorder="1" applyAlignment="1">
      <alignment horizontal="center" vertical="center"/>
    </xf>
    <xf numFmtId="182" fontId="8" fillId="0" borderId="3" xfId="14" applyNumberFormat="1" applyFont="1" applyBorder="1" applyAlignment="1">
      <alignment horizontal="center" vertical="center"/>
    </xf>
    <xf numFmtId="182" fontId="19" fillId="0" borderId="103" xfId="20" applyNumberFormat="1" applyFont="1" applyBorder="1" applyAlignment="1">
      <alignment horizontal="center" vertical="center"/>
    </xf>
    <xf numFmtId="182" fontId="19" fillId="0" borderId="97" xfId="20" applyNumberFormat="1" applyFont="1" applyBorder="1" applyAlignment="1">
      <alignment horizontal="center" vertical="center"/>
    </xf>
    <xf numFmtId="182" fontId="19" fillId="0" borderId="60" xfId="20" applyNumberFormat="1" applyFont="1" applyBorder="1" applyAlignment="1">
      <alignment horizontal="center" vertical="center"/>
    </xf>
    <xf numFmtId="182" fontId="19" fillId="0" borderId="104" xfId="20" applyNumberFormat="1" applyFont="1" applyBorder="1" applyAlignment="1">
      <alignment horizontal="center" vertical="center"/>
    </xf>
    <xf numFmtId="20" fontId="8" fillId="6" borderId="105" xfId="14" applyNumberFormat="1" applyFont="1" applyFill="1" applyBorder="1" applyAlignment="1">
      <alignment horizontal="center" vertical="center"/>
    </xf>
    <xf numFmtId="20" fontId="8" fillId="6" borderId="98" xfId="14" applyNumberFormat="1" applyFont="1" applyFill="1" applyBorder="1" applyAlignment="1">
      <alignment horizontal="center" vertical="center"/>
    </xf>
    <xf numFmtId="20" fontId="19" fillId="0" borderId="50" xfId="20" applyNumberFormat="1" applyFont="1" applyBorder="1" applyAlignment="1">
      <alignment horizontal="center" vertical="center"/>
    </xf>
    <xf numFmtId="20" fontId="19" fillId="0" borderId="99" xfId="20" applyNumberFormat="1" applyFont="1" applyBorder="1" applyAlignment="1">
      <alignment horizontal="center" vertical="center"/>
    </xf>
    <xf numFmtId="0" fontId="19" fillId="8" borderId="50" xfId="20" applyFont="1" applyFill="1" applyBorder="1" applyAlignment="1">
      <alignment horizontal="center" vertical="center"/>
    </xf>
    <xf numFmtId="9" fontId="19" fillId="8" borderId="50" xfId="29" applyFont="1" applyFill="1" applyBorder="1" applyAlignment="1">
      <alignment horizontal="center" vertical="center"/>
    </xf>
    <xf numFmtId="0" fontId="22" fillId="0" borderId="72" xfId="20" applyFont="1" applyBorder="1" applyAlignment="1">
      <alignment horizontal="center" vertical="center" wrapText="1"/>
    </xf>
    <xf numFmtId="0" fontId="22" fillId="0" borderId="15" xfId="20" applyFont="1" applyBorder="1" applyAlignment="1">
      <alignment horizontal="center" vertical="center"/>
    </xf>
    <xf numFmtId="20" fontId="19" fillId="0" borderId="10" xfId="2" applyNumberFormat="1" applyFont="1" applyBorder="1" applyAlignment="1">
      <alignment horizontal="center" vertical="center"/>
    </xf>
    <xf numFmtId="20" fontId="8" fillId="0" borderId="10" xfId="14" applyNumberFormat="1" applyFont="1" applyBorder="1" applyAlignment="1">
      <alignment horizontal="center" vertical="center"/>
    </xf>
    <xf numFmtId="20" fontId="8" fillId="6" borderId="10" xfId="14" applyNumberFormat="1" applyFont="1" applyFill="1" applyBorder="1" applyAlignment="1">
      <alignment horizontal="center" vertical="center"/>
    </xf>
    <xf numFmtId="0" fontId="17" fillId="14" borderId="1" xfId="10" applyFont="1" applyFill="1" applyBorder="1" applyAlignment="1">
      <alignment horizontal="center" vertical="center"/>
    </xf>
    <xf numFmtId="20" fontId="19" fillId="14" borderId="1" xfId="2" applyNumberFormat="1" applyFont="1" applyFill="1" applyBorder="1" applyAlignment="1">
      <alignment horizontal="center" vertical="center"/>
    </xf>
    <xf numFmtId="20" fontId="19" fillId="14" borderId="1" xfId="20" applyNumberFormat="1" applyFont="1" applyFill="1" applyBorder="1" applyAlignment="1">
      <alignment horizontal="center" vertical="center"/>
    </xf>
    <xf numFmtId="20" fontId="8" fillId="14" borderId="1" xfId="14" applyNumberFormat="1" applyFont="1" applyFill="1" applyBorder="1" applyAlignment="1">
      <alignment horizontal="center" vertical="center"/>
    </xf>
    <xf numFmtId="184" fontId="19" fillId="8" borderId="50" xfId="20" applyNumberFormat="1" applyFont="1" applyFill="1" applyBorder="1" applyAlignment="1">
      <alignment horizontal="center" vertical="center"/>
    </xf>
    <xf numFmtId="184" fontId="19" fillId="0" borderId="1" xfId="19" applyNumberFormat="1" applyFont="1" applyBorder="1" applyAlignment="1">
      <alignment horizontal="center" vertical="center"/>
    </xf>
    <xf numFmtId="184" fontId="8" fillId="0" borderId="17" xfId="14" applyNumberFormat="1" applyFont="1" applyBorder="1" applyAlignment="1">
      <alignment horizontal="center" vertical="center"/>
    </xf>
    <xf numFmtId="184" fontId="8" fillId="0" borderId="1" xfId="6" applyNumberFormat="1" applyFont="1" applyBorder="1" applyAlignment="1">
      <alignment horizontal="center" vertical="center"/>
    </xf>
    <xf numFmtId="184" fontId="8" fillId="0" borderId="1" xfId="14" applyNumberFormat="1" applyFont="1" applyBorder="1" applyAlignment="1">
      <alignment horizontal="center" vertical="center"/>
    </xf>
    <xf numFmtId="184" fontId="23" fillId="0" borderId="14" xfId="20" applyNumberFormat="1" applyFont="1" applyBorder="1" applyAlignment="1">
      <alignment horizontal="center" vertical="center"/>
    </xf>
    <xf numFmtId="182" fontId="23" fillId="0" borderId="14" xfId="20" applyNumberFormat="1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8" fillId="0" borderId="41" xfId="20" applyFont="1" applyBorder="1" applyAlignment="1">
      <alignment horizontal="center" vertical="center"/>
    </xf>
    <xf numFmtId="0" fontId="30" fillId="8" borderId="9" xfId="1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31" fillId="0" borderId="0" xfId="1" applyFont="1" applyAlignment="1">
      <alignment horizontal="center" vertical="center"/>
    </xf>
    <xf numFmtId="0" fontId="32" fillId="0" borderId="0" xfId="1" applyFont="1">
      <alignment vertical="center"/>
    </xf>
    <xf numFmtId="0" fontId="8" fillId="0" borderId="1" xfId="15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85" fontId="8" fillId="0" borderId="0" xfId="1" applyNumberFormat="1" applyFont="1">
      <alignment vertical="center"/>
    </xf>
    <xf numFmtId="0" fontId="8" fillId="0" borderId="0" xfId="1" quotePrefix="1" applyFont="1">
      <alignment vertical="center"/>
    </xf>
    <xf numFmtId="0" fontId="7" fillId="0" borderId="0" xfId="4" applyFont="1">
      <alignment vertical="center"/>
    </xf>
    <xf numFmtId="0" fontId="8" fillId="0" borderId="0" xfId="4" applyFont="1">
      <alignment vertical="center"/>
    </xf>
    <xf numFmtId="0" fontId="9" fillId="0" borderId="1" xfId="4" applyFont="1" applyBorder="1" applyAlignment="1">
      <alignment horizontal="center" vertical="center"/>
    </xf>
    <xf numFmtId="0" fontId="22" fillId="0" borderId="72" xfId="22" applyFont="1" applyBorder="1" applyAlignment="1">
      <alignment horizontal="center" vertical="center" wrapText="1"/>
    </xf>
    <xf numFmtId="0" fontId="22" fillId="0" borderId="15" xfId="22" applyFont="1" applyBorder="1" applyAlignment="1">
      <alignment horizontal="center" vertical="center"/>
    </xf>
    <xf numFmtId="0" fontId="9" fillId="0" borderId="0" xfId="4" applyFont="1">
      <alignment vertical="center"/>
    </xf>
    <xf numFmtId="0" fontId="15" fillId="0" borderId="0" xfId="4" applyFont="1">
      <alignment vertical="center"/>
    </xf>
    <xf numFmtId="0" fontId="16" fillId="0" borderId="0" xfId="4" applyFont="1">
      <alignment vertical="center"/>
    </xf>
    <xf numFmtId="0" fontId="14" fillId="0" borderId="0" xfId="12" applyFont="1">
      <alignment vertical="center"/>
    </xf>
    <xf numFmtId="0" fontId="8" fillId="0" borderId="1" xfId="4" applyFont="1" applyBorder="1" applyAlignment="1">
      <alignment horizontal="center" vertical="center"/>
    </xf>
    <xf numFmtId="0" fontId="17" fillId="0" borderId="1" xfId="4" applyFont="1" applyBorder="1" applyAlignment="1">
      <alignment horizontal="center" vertical="center" wrapText="1"/>
    </xf>
    <xf numFmtId="0" fontId="8" fillId="0" borderId="1" xfId="4" applyFont="1" applyBorder="1" applyAlignment="1">
      <alignment horizontal="center" vertical="center" wrapText="1"/>
    </xf>
    <xf numFmtId="179" fontId="18" fillId="0" borderId="1" xfId="4" applyNumberFormat="1" applyFont="1" applyBorder="1" applyAlignment="1">
      <alignment horizontal="center" vertical="center"/>
    </xf>
    <xf numFmtId="180" fontId="18" fillId="0" borderId="9" xfId="31" applyNumberFormat="1" applyFont="1" applyBorder="1" applyAlignment="1">
      <alignment horizontal="center" vertical="center"/>
    </xf>
    <xf numFmtId="180" fontId="18" fillId="0" borderId="9" xfId="31" applyNumberFormat="1" applyFont="1" applyFill="1" applyBorder="1" applyAlignment="1">
      <alignment horizontal="center" vertical="center"/>
    </xf>
    <xf numFmtId="20" fontId="19" fillId="0" borderId="1" xfId="4" applyNumberFormat="1" applyFont="1" applyBorder="1" applyAlignment="1">
      <alignment horizontal="center" vertical="center"/>
    </xf>
    <xf numFmtId="20" fontId="19" fillId="0" borderId="1" xfId="22" applyNumberFormat="1" applyFont="1" applyBorder="1" applyAlignment="1">
      <alignment horizontal="center" vertical="center"/>
    </xf>
    <xf numFmtId="20" fontId="8" fillId="0" borderId="11" xfId="17" applyNumberFormat="1" applyFont="1" applyBorder="1" applyAlignment="1">
      <alignment horizontal="center" vertical="center"/>
    </xf>
    <xf numFmtId="20" fontId="19" fillId="0" borderId="13" xfId="22" applyNumberFormat="1" applyFont="1" applyBorder="1" applyAlignment="1">
      <alignment horizontal="center" vertical="center"/>
    </xf>
    <xf numFmtId="0" fontId="17" fillId="14" borderId="1" xfId="12" applyFont="1" applyFill="1" applyBorder="1" applyAlignment="1">
      <alignment horizontal="center" vertical="center"/>
    </xf>
    <xf numFmtId="184" fontId="19" fillId="14" borderId="1" xfId="4" applyNumberFormat="1" applyFont="1" applyFill="1" applyBorder="1" applyAlignment="1">
      <alignment horizontal="center" vertical="center"/>
    </xf>
    <xf numFmtId="184" fontId="19" fillId="14" borderId="1" xfId="22" applyNumberFormat="1" applyFont="1" applyFill="1" applyBorder="1" applyAlignment="1">
      <alignment horizontal="center" vertical="center"/>
    </xf>
    <xf numFmtId="184" fontId="8" fillId="14" borderId="1" xfId="17" applyNumberFormat="1" applyFont="1" applyFill="1" applyBorder="1" applyAlignment="1">
      <alignment horizontal="center" vertical="center"/>
    </xf>
    <xf numFmtId="1" fontId="8" fillId="0" borderId="1" xfId="4" applyNumberFormat="1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184" fontId="19" fillId="14" borderId="1" xfId="2" applyNumberFormat="1" applyFont="1" applyFill="1" applyBorder="1" applyAlignment="1">
      <alignment horizontal="center" vertical="center"/>
    </xf>
    <xf numFmtId="184" fontId="19" fillId="14" borderId="1" xfId="20" applyNumberFormat="1" applyFont="1" applyFill="1" applyBorder="1" applyAlignment="1">
      <alignment horizontal="center" vertical="center"/>
    </xf>
    <xf numFmtId="184" fontId="8" fillId="14" borderId="1" xfId="14" applyNumberFormat="1" applyFont="1" applyFill="1" applyBorder="1" applyAlignment="1">
      <alignment horizontal="center" vertical="center"/>
    </xf>
    <xf numFmtId="43" fontId="19" fillId="0" borderId="91" xfId="24" applyFont="1" applyBorder="1" applyAlignment="1">
      <alignment horizontal="center" vertical="center"/>
    </xf>
    <xf numFmtId="0" fontId="19" fillId="0" borderId="10" xfId="19" applyFont="1" applyBorder="1" applyAlignment="1">
      <alignment horizontal="center"/>
    </xf>
    <xf numFmtId="1" fontId="8" fillId="0" borderId="11" xfId="14" applyNumberFormat="1" applyFont="1" applyBorder="1" applyAlignment="1">
      <alignment horizontal="center" vertical="center"/>
    </xf>
    <xf numFmtId="0" fontId="19" fillId="0" borderId="10" xfId="20" applyFont="1" applyBorder="1" applyAlignment="1">
      <alignment horizontal="center" vertical="center"/>
    </xf>
    <xf numFmtId="1" fontId="19" fillId="3" borderId="15" xfId="20" applyNumberFormat="1" applyFont="1" applyFill="1" applyBorder="1" applyAlignment="1">
      <alignment horizontal="center" vertical="center"/>
    </xf>
    <xf numFmtId="1" fontId="19" fillId="0" borderId="15" xfId="20" applyNumberFormat="1" applyFont="1" applyBorder="1" applyAlignment="1">
      <alignment horizontal="center" vertical="center"/>
    </xf>
    <xf numFmtId="179" fontId="19" fillId="0" borderId="15" xfId="20" applyNumberFormat="1" applyFont="1" applyBorder="1" applyAlignment="1">
      <alignment horizontal="center" vertical="center"/>
    </xf>
    <xf numFmtId="0" fontId="19" fillId="3" borderId="34" xfId="20" applyFont="1" applyFill="1" applyBorder="1" applyAlignment="1">
      <alignment horizontal="center" vertical="center"/>
    </xf>
    <xf numFmtId="182" fontId="19" fillId="0" borderId="15" xfId="20" applyNumberFormat="1" applyFont="1" applyBorder="1" applyAlignment="1">
      <alignment horizontal="center" vertical="center"/>
    </xf>
    <xf numFmtId="183" fontId="19" fillId="0" borderId="15" xfId="20" applyNumberFormat="1" applyFont="1" applyBorder="1" applyAlignment="1">
      <alignment horizontal="center" vertical="center"/>
    </xf>
    <xf numFmtId="180" fontId="19" fillId="0" borderId="15" xfId="34" applyNumberFormat="1" applyFont="1" applyBorder="1" applyAlignment="1">
      <alignment horizontal="center" vertical="center"/>
    </xf>
    <xf numFmtId="0" fontId="19" fillId="0" borderId="47" xfId="19" applyFont="1" applyBorder="1" applyAlignment="1"/>
    <xf numFmtId="0" fontId="19" fillId="0" borderId="11" xfId="19" applyFont="1" applyBorder="1" applyAlignment="1">
      <alignment horizontal="center"/>
    </xf>
    <xf numFmtId="0" fontId="19" fillId="0" borderId="11" xfId="20" applyFont="1" applyBorder="1" applyAlignment="1">
      <alignment horizontal="center" vertical="center"/>
    </xf>
    <xf numFmtId="43" fontId="19" fillId="0" borderId="11" xfId="24" applyFont="1" applyBorder="1" applyAlignment="1">
      <alignment horizontal="center" vertical="center"/>
    </xf>
    <xf numFmtId="1" fontId="19" fillId="3" borderId="11" xfId="20" applyNumberFormat="1" applyFont="1" applyFill="1" applyBorder="1" applyAlignment="1">
      <alignment horizontal="center" vertical="center"/>
    </xf>
    <xf numFmtId="1" fontId="19" fillId="0" borderId="11" xfId="20" applyNumberFormat="1" applyFont="1" applyBorder="1" applyAlignment="1">
      <alignment horizontal="center" vertical="center"/>
    </xf>
    <xf numFmtId="179" fontId="19" fillId="0" borderId="11" xfId="20" applyNumberFormat="1" applyFont="1" applyBorder="1" applyAlignment="1">
      <alignment horizontal="center" vertical="center"/>
    </xf>
    <xf numFmtId="0" fontId="19" fillId="3" borderId="11" xfId="20" applyFont="1" applyFill="1" applyBorder="1" applyAlignment="1">
      <alignment horizontal="center" vertical="center"/>
    </xf>
    <xf numFmtId="182" fontId="19" fillId="0" borderId="11" xfId="20" applyNumberFormat="1" applyFont="1" applyBorder="1" applyAlignment="1">
      <alignment horizontal="center" vertical="center"/>
    </xf>
    <xf numFmtId="183" fontId="19" fillId="0" borderId="11" xfId="20" applyNumberFormat="1" applyFont="1" applyBorder="1" applyAlignment="1">
      <alignment horizontal="center" vertical="center"/>
    </xf>
    <xf numFmtId="180" fontId="19" fillId="0" borderId="11" xfId="34" applyNumberFormat="1" applyFont="1" applyBorder="1" applyAlignment="1">
      <alignment horizontal="center" vertical="center"/>
    </xf>
    <xf numFmtId="0" fontId="19" fillId="11" borderId="112" xfId="20" applyFont="1" applyFill="1" applyBorder="1" applyAlignment="1">
      <alignment horizontal="center"/>
    </xf>
    <xf numFmtId="179" fontId="19" fillId="11" borderId="112" xfId="20" applyNumberFormat="1" applyFont="1" applyFill="1" applyBorder="1" applyAlignment="1">
      <alignment horizontal="center" vertical="center"/>
    </xf>
    <xf numFmtId="43" fontId="19" fillId="11" borderId="112" xfId="24" applyFont="1" applyFill="1" applyBorder="1" applyAlignment="1">
      <alignment horizontal="center" vertical="center"/>
    </xf>
    <xf numFmtId="0" fontId="19" fillId="11" borderId="111" xfId="20" applyFont="1" applyFill="1" applyBorder="1" applyAlignment="1">
      <alignment horizontal="center" vertical="center"/>
    </xf>
    <xf numFmtId="1" fontId="19" fillId="11" borderId="111" xfId="20" applyNumberFormat="1" applyFont="1" applyFill="1" applyBorder="1" applyAlignment="1">
      <alignment horizontal="center" vertical="center"/>
    </xf>
    <xf numFmtId="179" fontId="19" fillId="11" borderId="111" xfId="20" applyNumberFormat="1" applyFont="1" applyFill="1" applyBorder="1" applyAlignment="1">
      <alignment horizontal="center" vertical="center"/>
    </xf>
    <xf numFmtId="182" fontId="19" fillId="0" borderId="111" xfId="20" applyNumberFormat="1" applyFont="1" applyBorder="1" applyAlignment="1">
      <alignment horizontal="center" vertical="center"/>
    </xf>
    <xf numFmtId="183" fontId="19" fillId="0" borderId="111" xfId="20" applyNumberFormat="1" applyFont="1" applyBorder="1" applyAlignment="1">
      <alignment horizontal="center" vertical="center"/>
    </xf>
    <xf numFmtId="180" fontId="19" fillId="0" borderId="112" xfId="34" applyNumberFormat="1" applyFont="1" applyFill="1" applyBorder="1" applyAlignment="1">
      <alignment horizontal="center" vertical="center"/>
    </xf>
    <xf numFmtId="0" fontId="19" fillId="0" borderId="85" xfId="20" applyFont="1" applyBorder="1" applyAlignment="1">
      <alignment horizontal="center" vertical="center"/>
    </xf>
    <xf numFmtId="0" fontId="7" fillId="0" borderId="0" xfId="5" applyFont="1">
      <alignment vertical="center"/>
    </xf>
    <xf numFmtId="0" fontId="8" fillId="0" borderId="0" xfId="5" applyFont="1">
      <alignment vertical="center"/>
    </xf>
    <xf numFmtId="0" fontId="9" fillId="0" borderId="1" xfId="5" applyFont="1" applyBorder="1" applyAlignment="1">
      <alignment horizontal="center" vertical="center"/>
    </xf>
    <xf numFmtId="0" fontId="22" fillId="0" borderId="72" xfId="23" applyFont="1" applyBorder="1" applyAlignment="1">
      <alignment horizontal="center" vertical="center" wrapText="1"/>
    </xf>
    <xf numFmtId="0" fontId="22" fillId="0" borderId="15" xfId="23" applyFont="1" applyBorder="1" applyAlignment="1">
      <alignment horizontal="center" vertical="center"/>
    </xf>
    <xf numFmtId="0" fontId="9" fillId="0" borderId="0" xfId="5" applyFont="1">
      <alignment vertical="center"/>
    </xf>
    <xf numFmtId="0" fontId="15" fillId="0" borderId="0" xfId="5" applyFont="1">
      <alignment vertical="center"/>
    </xf>
    <xf numFmtId="0" fontId="16" fillId="0" borderId="0" xfId="5" applyFont="1">
      <alignment vertical="center"/>
    </xf>
    <xf numFmtId="0" fontId="14" fillId="0" borderId="0" xfId="13" applyFont="1">
      <alignment vertical="center"/>
    </xf>
    <xf numFmtId="0" fontId="8" fillId="0" borderId="1" xfId="5" applyFont="1" applyBorder="1" applyAlignment="1">
      <alignment horizontal="center" vertical="center"/>
    </xf>
    <xf numFmtId="0" fontId="17" fillId="0" borderId="1" xfId="5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wrapText="1"/>
    </xf>
    <xf numFmtId="179" fontId="18" fillId="0" borderId="1" xfId="5" applyNumberFormat="1" applyFont="1" applyBorder="1" applyAlignment="1">
      <alignment horizontal="center" vertical="center"/>
    </xf>
    <xf numFmtId="180" fontId="18" fillId="0" borderId="9" xfId="32" applyNumberFormat="1" applyFont="1" applyBorder="1" applyAlignment="1">
      <alignment horizontal="center" vertical="center"/>
    </xf>
    <xf numFmtId="180" fontId="18" fillId="0" borderId="9" xfId="32" applyNumberFormat="1" applyFont="1" applyFill="1" applyBorder="1" applyAlignment="1">
      <alignment horizontal="center" vertical="center"/>
    </xf>
    <xf numFmtId="20" fontId="19" fillId="0" borderId="1" xfId="5" applyNumberFormat="1" applyFont="1" applyBorder="1" applyAlignment="1">
      <alignment horizontal="center" vertical="center"/>
    </xf>
    <xf numFmtId="181" fontId="19" fillId="0" borderId="12" xfId="23" applyNumberFormat="1" applyFont="1" applyBorder="1" applyAlignment="1">
      <alignment horizontal="center" vertical="center"/>
    </xf>
    <xf numFmtId="20" fontId="19" fillId="0" borderId="9" xfId="23" applyNumberFormat="1" applyFont="1" applyBorder="1" applyAlignment="1">
      <alignment horizontal="center" vertical="center"/>
    </xf>
    <xf numFmtId="20" fontId="8" fillId="0" borderId="10" xfId="18" applyNumberFormat="1" applyFont="1" applyBorder="1" applyAlignment="1">
      <alignment horizontal="center" vertical="center"/>
    </xf>
    <xf numFmtId="20" fontId="19" fillId="0" borderId="14" xfId="23" applyNumberFormat="1" applyFont="1" applyBorder="1" applyAlignment="1">
      <alignment horizontal="center" vertical="center"/>
    </xf>
    <xf numFmtId="0" fontId="17" fillId="14" borderId="1" xfId="13" applyFont="1" applyFill="1" applyBorder="1" applyAlignment="1">
      <alignment horizontal="center" vertical="center"/>
    </xf>
    <xf numFmtId="184" fontId="19" fillId="14" borderId="1" xfId="5" applyNumberFormat="1" applyFont="1" applyFill="1" applyBorder="1" applyAlignment="1">
      <alignment horizontal="center" vertical="center"/>
    </xf>
    <xf numFmtId="184" fontId="19" fillId="14" borderId="1" xfId="23" applyNumberFormat="1" applyFont="1" applyFill="1" applyBorder="1" applyAlignment="1">
      <alignment horizontal="center" vertical="center"/>
    </xf>
    <xf numFmtId="184" fontId="8" fillId="14" borderId="1" xfId="18" applyNumberFormat="1" applyFont="1" applyFill="1" applyBorder="1" applyAlignment="1">
      <alignment horizontal="center" vertical="center"/>
    </xf>
    <xf numFmtId="1" fontId="8" fillId="0" borderId="1" xfId="5" applyNumberFormat="1" applyFont="1" applyBorder="1" applyAlignment="1">
      <alignment horizontal="center" vertical="center" wrapText="1"/>
    </xf>
    <xf numFmtId="0" fontId="20" fillId="0" borderId="1" xfId="5" applyFont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21" fillId="0" borderId="13" xfId="23" applyFont="1" applyBorder="1">
      <alignment vertical="center"/>
    </xf>
    <xf numFmtId="0" fontId="21" fillId="0" borderId="13" xfId="23" applyFont="1" applyBorder="1" applyAlignment="1">
      <alignment horizontal="left" vertical="center"/>
    </xf>
    <xf numFmtId="178" fontId="22" fillId="7" borderId="13" xfId="27" applyNumberFormat="1" applyFont="1" applyFill="1" applyBorder="1" applyAlignment="1">
      <alignment horizontal="center" vertical="center"/>
    </xf>
    <xf numFmtId="0" fontId="19" fillId="0" borderId="13" xfId="23" applyFont="1" applyBorder="1" applyAlignment="1">
      <alignment horizontal="center" vertical="center"/>
    </xf>
    <xf numFmtId="43" fontId="21" fillId="0" borderId="13" xfId="27" applyFont="1" applyBorder="1" applyAlignment="1">
      <alignment horizontal="center" vertical="center"/>
    </xf>
    <xf numFmtId="0" fontId="21" fillId="0" borderId="13" xfId="23" applyFont="1" applyBorder="1" applyAlignment="1">
      <alignment horizontal="center" vertical="center"/>
    </xf>
    <xf numFmtId="1" fontId="21" fillId="0" borderId="13" xfId="23" applyNumberFormat="1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 wrapText="1"/>
    </xf>
    <xf numFmtId="0" fontId="19" fillId="0" borderId="0" xfId="23" applyFont="1">
      <alignment vertical="center"/>
    </xf>
    <xf numFmtId="179" fontId="21" fillId="0" borderId="13" xfId="23" applyNumberFormat="1" applyFont="1" applyBorder="1" applyAlignment="1">
      <alignment horizontal="center" vertical="center"/>
    </xf>
    <xf numFmtId="179" fontId="24" fillId="0" borderId="13" xfId="23" applyNumberFormat="1" applyFont="1" applyBorder="1" applyAlignment="1">
      <alignment horizontal="center" vertical="center" wrapText="1"/>
    </xf>
    <xf numFmtId="2" fontId="21" fillId="0" borderId="13" xfId="23" applyNumberFormat="1" applyFont="1" applyBorder="1" applyAlignment="1">
      <alignment horizontal="center" vertical="center"/>
    </xf>
    <xf numFmtId="184" fontId="23" fillId="0" borderId="14" xfId="23" applyNumberFormat="1" applyFont="1" applyBorder="1" applyAlignment="1">
      <alignment horizontal="center" vertical="center"/>
    </xf>
    <xf numFmtId="182" fontId="23" fillId="0" borderId="14" xfId="23" applyNumberFormat="1" applyFont="1" applyBorder="1" applyAlignment="1">
      <alignment horizontal="center" vertical="center"/>
    </xf>
    <xf numFmtId="0" fontId="8" fillId="0" borderId="14" xfId="23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/>
    </xf>
    <xf numFmtId="0" fontId="8" fillId="8" borderId="14" xfId="23" applyFont="1" applyFill="1" applyBorder="1" applyAlignment="1">
      <alignment horizontal="center" vertical="center"/>
    </xf>
    <xf numFmtId="0" fontId="8" fillId="0" borderId="41" xfId="23" applyFont="1" applyBorder="1" applyAlignment="1">
      <alignment horizontal="center" vertical="center"/>
    </xf>
    <xf numFmtId="0" fontId="30" fillId="8" borderId="9" xfId="13" applyFont="1" applyFill="1" applyBorder="1" applyAlignment="1">
      <alignment horizontal="center" vertical="center"/>
    </xf>
    <xf numFmtId="0" fontId="19" fillId="0" borderId="18" xfId="23" applyFont="1" applyBorder="1" applyAlignment="1">
      <alignment horizontal="center"/>
    </xf>
    <xf numFmtId="1" fontId="19" fillId="0" borderId="19" xfId="23" applyNumberFormat="1" applyFont="1" applyBorder="1" applyAlignment="1">
      <alignment horizontal="center" vertical="center"/>
    </xf>
    <xf numFmtId="43" fontId="19" fillId="0" borderId="20" xfId="27" applyFont="1" applyBorder="1" applyAlignment="1">
      <alignment horizontal="center" vertical="center"/>
    </xf>
    <xf numFmtId="0" fontId="19" fillId="0" borderId="20" xfId="23" applyFont="1" applyBorder="1" applyAlignment="1">
      <alignment horizontal="center" vertical="center" wrapText="1"/>
    </xf>
    <xf numFmtId="1" fontId="19" fillId="3" borderId="20" xfId="23" applyNumberFormat="1" applyFont="1" applyFill="1" applyBorder="1" applyAlignment="1">
      <alignment horizontal="center" vertical="center"/>
    </xf>
    <xf numFmtId="1" fontId="19" fillId="0" borderId="20" xfId="23" applyNumberFormat="1" applyFont="1" applyBorder="1" applyAlignment="1">
      <alignment horizontal="center" vertical="center"/>
    </xf>
    <xf numFmtId="179" fontId="19" fillId="0" borderId="20" xfId="23" applyNumberFormat="1" applyFont="1" applyBorder="1" applyAlignment="1">
      <alignment horizontal="center" vertical="center"/>
    </xf>
    <xf numFmtId="0" fontId="19" fillId="3" borderId="20" xfId="23" applyFont="1" applyFill="1" applyBorder="1" applyAlignment="1">
      <alignment horizontal="center" vertical="center"/>
    </xf>
    <xf numFmtId="182" fontId="19" fillId="0" borderId="20" xfId="23" applyNumberFormat="1" applyFont="1" applyBorder="1" applyAlignment="1">
      <alignment horizontal="center" vertical="center"/>
    </xf>
    <xf numFmtId="183" fontId="19" fillId="0" borderId="20" xfId="23" applyNumberFormat="1" applyFont="1" applyBorder="1" applyAlignment="1">
      <alignment horizontal="center" vertical="center"/>
    </xf>
    <xf numFmtId="20" fontId="8" fillId="6" borderId="105" xfId="18" applyNumberFormat="1" applyFont="1" applyFill="1" applyBorder="1" applyAlignment="1">
      <alignment horizontal="center" vertical="center"/>
    </xf>
    <xf numFmtId="20" fontId="8" fillId="6" borderId="98" xfId="18" applyNumberFormat="1" applyFont="1" applyFill="1" applyBorder="1" applyAlignment="1">
      <alignment horizontal="center" vertical="center"/>
    </xf>
    <xf numFmtId="0" fontId="19" fillId="0" borderId="22" xfId="23" applyFont="1" applyBorder="1">
      <alignment vertical="center"/>
    </xf>
    <xf numFmtId="0" fontId="19" fillId="0" borderId="21" xfId="23" applyFont="1" applyBorder="1" applyAlignment="1">
      <alignment horizontal="center" vertical="center" wrapText="1"/>
    </xf>
    <xf numFmtId="0" fontId="19" fillId="0" borderId="21" xfId="23" applyFont="1" applyBorder="1" applyAlignment="1">
      <alignment horizontal="center" vertical="center"/>
    </xf>
    <xf numFmtId="0" fontId="19" fillId="0" borderId="48" xfId="23" applyFont="1" applyBorder="1" applyAlignment="1">
      <alignment horizontal="center" vertical="center"/>
    </xf>
    <xf numFmtId="184" fontId="19" fillId="0" borderId="17" xfId="23" applyNumberFormat="1" applyFont="1" applyBorder="1" applyAlignment="1">
      <alignment horizontal="center" vertical="center"/>
    </xf>
    <xf numFmtId="0" fontId="19" fillId="0" borderId="17" xfId="23" applyFont="1" applyBorder="1" applyAlignment="1">
      <alignment horizontal="center" vertical="center"/>
    </xf>
    <xf numFmtId="182" fontId="19" fillId="0" borderId="49" xfId="23" applyNumberFormat="1" applyFont="1" applyBorder="1" applyAlignment="1">
      <alignment horizontal="center" vertical="center"/>
    </xf>
    <xf numFmtId="0" fontId="19" fillId="0" borderId="26" xfId="23" applyFont="1" applyBorder="1" applyAlignment="1">
      <alignment horizontal="center"/>
    </xf>
    <xf numFmtId="1" fontId="19" fillId="0" borderId="30" xfId="23" applyNumberFormat="1" applyFont="1" applyBorder="1" applyAlignment="1">
      <alignment horizontal="center" vertical="center"/>
    </xf>
    <xf numFmtId="43" fontId="19" fillId="0" borderId="31" xfId="27" applyFont="1" applyBorder="1" applyAlignment="1">
      <alignment horizontal="center" vertical="center"/>
    </xf>
    <xf numFmtId="0" fontId="19" fillId="0" borderId="31" xfId="23" applyFont="1" applyBorder="1" applyAlignment="1">
      <alignment horizontal="center" vertical="center" wrapText="1"/>
    </xf>
    <xf numFmtId="1" fontId="19" fillId="3" borderId="31" xfId="23" applyNumberFormat="1" applyFont="1" applyFill="1" applyBorder="1" applyAlignment="1">
      <alignment horizontal="center" vertical="center"/>
    </xf>
    <xf numFmtId="1" fontId="19" fillId="0" borderId="31" xfId="23" applyNumberFormat="1" applyFont="1" applyBorder="1" applyAlignment="1">
      <alignment horizontal="center" vertical="center"/>
    </xf>
    <xf numFmtId="179" fontId="19" fillId="0" borderId="31" xfId="23" applyNumberFormat="1" applyFont="1" applyBorder="1" applyAlignment="1">
      <alignment horizontal="center" vertical="center"/>
    </xf>
    <xf numFmtId="0" fontId="19" fillId="3" borderId="31" xfId="23" applyFont="1" applyFill="1" applyBorder="1" applyAlignment="1">
      <alignment horizontal="center" vertical="center"/>
    </xf>
    <xf numFmtId="182" fontId="19" fillId="0" borderId="31" xfId="23" applyNumberFormat="1" applyFont="1" applyBorder="1" applyAlignment="1">
      <alignment horizontal="center" vertical="center"/>
    </xf>
    <xf numFmtId="183" fontId="19" fillId="0" borderId="31" xfId="23" applyNumberFormat="1" applyFont="1" applyBorder="1" applyAlignment="1">
      <alignment horizontal="center" vertical="center"/>
    </xf>
    <xf numFmtId="0" fontId="19" fillId="0" borderId="13" xfId="23" applyFont="1" applyBorder="1" applyAlignment="1">
      <alignment horizontal="center" vertical="center" wrapText="1"/>
    </xf>
    <xf numFmtId="20" fontId="19" fillId="0" borderId="13" xfId="23" applyNumberFormat="1" applyFont="1" applyBorder="1" applyAlignment="1">
      <alignment horizontal="center" vertical="center"/>
    </xf>
    <xf numFmtId="20" fontId="19" fillId="0" borderId="27" xfId="23" applyNumberFormat="1" applyFont="1" applyBorder="1" applyAlignment="1">
      <alignment horizontal="center" vertical="center"/>
    </xf>
    <xf numFmtId="184" fontId="19" fillId="0" borderId="1" xfId="23" applyNumberFormat="1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 wrapText="1"/>
    </xf>
    <xf numFmtId="182" fontId="19" fillId="0" borderId="30" xfId="23" applyNumberFormat="1" applyFont="1" applyBorder="1" applyAlignment="1">
      <alignment horizontal="center" vertical="center"/>
    </xf>
    <xf numFmtId="0" fontId="19" fillId="0" borderId="33" xfId="23" applyFont="1" applyBorder="1" applyAlignment="1">
      <alignment horizontal="center"/>
    </xf>
    <xf numFmtId="43" fontId="19" fillId="0" borderId="13" xfId="27" applyFont="1" applyBorder="1" applyAlignment="1">
      <alignment horizontal="center" vertical="center"/>
    </xf>
    <xf numFmtId="1" fontId="19" fillId="3" borderId="13" xfId="23" applyNumberFormat="1" applyFont="1" applyFill="1" applyBorder="1" applyAlignment="1">
      <alignment horizontal="center" vertical="center"/>
    </xf>
    <xf numFmtId="1" fontId="19" fillId="0" borderId="13" xfId="23" applyNumberFormat="1" applyFont="1" applyBorder="1" applyAlignment="1">
      <alignment horizontal="center" vertical="center"/>
    </xf>
    <xf numFmtId="179" fontId="19" fillId="0" borderId="13" xfId="23" applyNumberFormat="1" applyFont="1" applyBorder="1" applyAlignment="1">
      <alignment horizontal="center" vertical="center"/>
    </xf>
    <xf numFmtId="0" fontId="19" fillId="3" borderId="13" xfId="23" applyFont="1" applyFill="1" applyBorder="1" applyAlignment="1">
      <alignment horizontal="center" vertical="center"/>
    </xf>
    <xf numFmtId="182" fontId="19" fillId="0" borderId="13" xfId="23" applyNumberFormat="1" applyFont="1" applyBorder="1" applyAlignment="1">
      <alignment horizontal="center" vertical="center"/>
    </xf>
    <xf numFmtId="183" fontId="19" fillId="0" borderId="13" xfId="23" applyNumberFormat="1" applyFont="1" applyBorder="1" applyAlignment="1">
      <alignment horizontal="center" vertical="center"/>
    </xf>
    <xf numFmtId="20" fontId="19" fillId="0" borderId="11" xfId="5" applyNumberFormat="1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/>
    </xf>
    <xf numFmtId="0" fontId="19" fillId="0" borderId="27" xfId="23" applyFont="1" applyBorder="1" applyAlignment="1">
      <alignment horizontal="center"/>
    </xf>
    <xf numFmtId="0" fontId="19" fillId="0" borderId="37" xfId="23" applyFont="1" applyBorder="1" applyAlignment="1">
      <alignment horizontal="center"/>
    </xf>
    <xf numFmtId="43" fontId="19" fillId="0" borderId="1" xfId="27" applyFont="1" applyBorder="1" applyAlignment="1">
      <alignment horizontal="center" vertical="center"/>
    </xf>
    <xf numFmtId="179" fontId="19" fillId="0" borderId="30" xfId="23" applyNumberFormat="1" applyFont="1" applyBorder="1" applyAlignment="1">
      <alignment horizontal="center" vertical="center"/>
    </xf>
    <xf numFmtId="0" fontId="19" fillId="3" borderId="1" xfId="23" applyFont="1" applyFill="1" applyBorder="1" applyAlignment="1">
      <alignment horizontal="center" vertical="center"/>
    </xf>
    <xf numFmtId="1" fontId="19" fillId="0" borderId="1" xfId="23" applyNumberFormat="1" applyFont="1" applyBorder="1" applyAlignment="1">
      <alignment horizontal="center" vertical="center"/>
    </xf>
    <xf numFmtId="179" fontId="19" fillId="0" borderId="1" xfId="23" applyNumberFormat="1" applyFont="1" applyBorder="1" applyAlignment="1">
      <alignment horizontal="center" vertical="center"/>
    </xf>
    <xf numFmtId="182" fontId="19" fillId="0" borderId="1" xfId="23" applyNumberFormat="1" applyFont="1" applyBorder="1" applyAlignment="1">
      <alignment horizontal="center" vertical="center"/>
    </xf>
    <xf numFmtId="183" fontId="19" fillId="0" borderId="1" xfId="23" applyNumberFormat="1" applyFont="1" applyBorder="1" applyAlignment="1">
      <alignment horizontal="center" vertical="center"/>
    </xf>
    <xf numFmtId="0" fontId="19" fillId="0" borderId="30" xfId="23" applyFont="1" applyBorder="1" applyAlignment="1">
      <alignment horizontal="center" vertical="center" wrapText="1"/>
    </xf>
    <xf numFmtId="0" fontId="19" fillId="0" borderId="39" xfId="23" applyFont="1" applyBorder="1" applyAlignment="1">
      <alignment horizontal="center" vertical="center"/>
    </xf>
    <xf numFmtId="0" fontId="19" fillId="0" borderId="40" xfId="23" applyFont="1" applyBorder="1" applyAlignment="1">
      <alignment horizontal="center" vertical="center"/>
    </xf>
    <xf numFmtId="1" fontId="19" fillId="3" borderId="14" xfId="23" applyNumberFormat="1" applyFont="1" applyFill="1" applyBorder="1" applyAlignment="1">
      <alignment horizontal="center" vertical="center"/>
    </xf>
    <xf numFmtId="1" fontId="19" fillId="0" borderId="14" xfId="23" applyNumberFormat="1" applyFont="1" applyBorder="1" applyAlignment="1">
      <alignment horizontal="center" vertical="center"/>
    </xf>
    <xf numFmtId="0" fontId="19" fillId="3" borderId="14" xfId="23" applyFont="1" applyFill="1" applyBorder="1" applyAlignment="1">
      <alignment horizontal="center" vertical="center"/>
    </xf>
    <xf numFmtId="181" fontId="19" fillId="0" borderId="14" xfId="23" applyNumberFormat="1" applyFont="1" applyBorder="1" applyAlignment="1">
      <alignment horizontal="center" vertical="center"/>
    </xf>
    <xf numFmtId="20" fontId="19" fillId="0" borderId="41" xfId="23" applyNumberFormat="1" applyFont="1" applyBorder="1" applyAlignment="1">
      <alignment horizontal="center" vertical="center"/>
    </xf>
    <xf numFmtId="182" fontId="19" fillId="0" borderId="39" xfId="23" applyNumberFormat="1" applyFont="1" applyBorder="1" applyAlignment="1">
      <alignment horizontal="center" vertical="center"/>
    </xf>
    <xf numFmtId="181" fontId="8" fillId="6" borderId="1" xfId="18" applyNumberFormat="1" applyFont="1" applyFill="1" applyBorder="1" applyAlignment="1">
      <alignment horizontal="center" vertical="center"/>
    </xf>
    <xf numFmtId="181" fontId="8" fillId="6" borderId="11" xfId="18" applyNumberFormat="1" applyFont="1" applyFill="1" applyBorder="1" applyAlignment="1">
      <alignment horizontal="center" vertical="center"/>
    </xf>
    <xf numFmtId="0" fontId="19" fillId="0" borderId="43" xfId="23" applyFont="1" applyBorder="1" applyAlignment="1">
      <alignment horizontal="center"/>
    </xf>
    <xf numFmtId="0" fontId="19" fillId="11" borderId="44" xfId="23" applyFont="1" applyFill="1" applyBorder="1" applyAlignment="1">
      <alignment horizontal="center"/>
    </xf>
    <xf numFmtId="179" fontId="19" fillId="11" borderId="44" xfId="23" applyNumberFormat="1" applyFont="1" applyFill="1" applyBorder="1" applyAlignment="1">
      <alignment horizontal="center" vertical="center"/>
    </xf>
    <xf numFmtId="43" fontId="19" fillId="11" borderId="44" xfId="27" applyFont="1" applyFill="1" applyBorder="1" applyAlignment="1">
      <alignment horizontal="center" vertical="center"/>
    </xf>
    <xf numFmtId="0" fontId="19" fillId="11" borderId="44" xfId="23" applyFont="1" applyFill="1" applyBorder="1" applyAlignment="1">
      <alignment horizontal="center" vertical="center"/>
    </xf>
    <xf numFmtId="1" fontId="19" fillId="11" borderId="44" xfId="23" applyNumberFormat="1" applyFont="1" applyFill="1" applyBorder="1" applyAlignment="1">
      <alignment horizontal="center" vertical="center"/>
    </xf>
    <xf numFmtId="182" fontId="19" fillId="0" borderId="44" xfId="23" applyNumberFormat="1" applyFont="1" applyBorder="1" applyAlignment="1">
      <alignment horizontal="center" vertical="center"/>
    </xf>
    <xf numFmtId="183" fontId="19" fillId="0" borderId="44" xfId="23" applyNumberFormat="1" applyFont="1" applyBorder="1" applyAlignment="1">
      <alignment horizontal="center" vertical="center"/>
    </xf>
    <xf numFmtId="181" fontId="19" fillId="0" borderId="44" xfId="23" applyNumberFormat="1" applyFont="1" applyBorder="1" applyAlignment="1">
      <alignment horizontal="center" vertical="center"/>
    </xf>
    <xf numFmtId="0" fontId="19" fillId="0" borderId="44" xfId="23" applyFont="1" applyBorder="1" applyAlignment="1">
      <alignment horizontal="center" vertical="center"/>
    </xf>
    <xf numFmtId="0" fontId="19" fillId="0" borderId="43" xfId="23" applyFont="1" applyBorder="1" applyAlignment="1">
      <alignment horizontal="center" vertical="center" wrapText="1"/>
    </xf>
    <xf numFmtId="179" fontId="19" fillId="0" borderId="44" xfId="23" applyNumberFormat="1" applyFont="1" applyBorder="1" applyAlignment="1">
      <alignment horizontal="center" vertical="center"/>
    </xf>
    <xf numFmtId="179" fontId="19" fillId="0" borderId="76" xfId="23" applyNumberFormat="1" applyFont="1" applyBorder="1" applyAlignment="1">
      <alignment horizontal="center" vertical="center"/>
    </xf>
    <xf numFmtId="184" fontId="19" fillId="8" borderId="50" xfId="23" applyNumberFormat="1" applyFont="1" applyFill="1" applyBorder="1" applyAlignment="1">
      <alignment horizontal="center" vertical="center"/>
    </xf>
    <xf numFmtId="0" fontId="19" fillId="0" borderId="50" xfId="23" applyFont="1" applyBorder="1" applyAlignment="1">
      <alignment horizontal="center" vertical="center"/>
    </xf>
    <xf numFmtId="0" fontId="19" fillId="8" borderId="50" xfId="23" applyFont="1" applyFill="1" applyBorder="1" applyAlignment="1">
      <alignment horizontal="center" vertical="center"/>
    </xf>
    <xf numFmtId="182" fontId="19" fillId="0" borderId="43" xfId="23" applyNumberFormat="1" applyFont="1" applyBorder="1" applyAlignment="1">
      <alignment horizontal="center" vertical="center"/>
    </xf>
    <xf numFmtId="0" fontId="19" fillId="0" borderId="47" xfId="23" applyFont="1" applyBorder="1" applyAlignment="1">
      <alignment horizontal="center"/>
    </xf>
    <xf numFmtId="184" fontId="19" fillId="0" borderId="17" xfId="5" applyNumberFormat="1" applyFont="1" applyBorder="1" applyAlignment="1">
      <alignment horizontal="center" vertical="center"/>
    </xf>
    <xf numFmtId="43" fontId="19" fillId="0" borderId="17" xfId="27" applyFont="1" applyBorder="1" applyAlignment="1">
      <alignment horizontal="center" vertical="center"/>
    </xf>
    <xf numFmtId="1" fontId="19" fillId="3" borderId="21" xfId="23" applyNumberFormat="1" applyFont="1" applyFill="1" applyBorder="1" applyAlignment="1">
      <alignment horizontal="center" vertical="center"/>
    </xf>
    <xf numFmtId="1" fontId="19" fillId="0" borderId="21" xfId="23" applyNumberFormat="1" applyFont="1" applyBorder="1" applyAlignment="1">
      <alignment horizontal="center" vertical="center"/>
    </xf>
    <xf numFmtId="179" fontId="19" fillId="0" borderId="21" xfId="23" applyNumberFormat="1" applyFont="1" applyBorder="1" applyAlignment="1">
      <alignment horizontal="center" vertical="center"/>
    </xf>
    <xf numFmtId="1" fontId="19" fillId="3" borderId="17" xfId="23" applyNumberFormat="1" applyFont="1" applyFill="1" applyBorder="1" applyAlignment="1">
      <alignment horizontal="center" vertical="center"/>
    </xf>
    <xf numFmtId="1" fontId="19" fillId="0" borderId="17" xfId="23" applyNumberFormat="1" applyFont="1" applyBorder="1" applyAlignment="1">
      <alignment horizontal="center" vertical="center"/>
    </xf>
    <xf numFmtId="179" fontId="19" fillId="0" borderId="17" xfId="23" applyNumberFormat="1" applyFont="1" applyBorder="1" applyAlignment="1">
      <alignment horizontal="center" vertical="center"/>
    </xf>
    <xf numFmtId="182" fontId="19" fillId="0" borderId="17" xfId="23" applyNumberFormat="1" applyFont="1" applyBorder="1" applyAlignment="1">
      <alignment horizontal="center" vertical="center"/>
    </xf>
    <xf numFmtId="183" fontId="19" fillId="0" borderId="17" xfId="23" applyNumberFormat="1" applyFont="1" applyBorder="1" applyAlignment="1">
      <alignment horizontal="center" vertical="center"/>
    </xf>
    <xf numFmtId="20" fontId="19" fillId="0" borderId="17" xfId="23" applyNumberFormat="1" applyFont="1" applyBorder="1" applyAlignment="1">
      <alignment horizontal="center" vertical="center"/>
    </xf>
    <xf numFmtId="0" fontId="19" fillId="0" borderId="17" xfId="23" applyFont="1" applyBorder="1" applyAlignment="1">
      <alignment horizontal="center" vertical="center" wrapText="1"/>
    </xf>
    <xf numFmtId="179" fontId="19" fillId="0" borderId="67" xfId="23" applyNumberFormat="1" applyFont="1" applyBorder="1" applyAlignment="1">
      <alignment horizontal="center" vertical="center"/>
    </xf>
    <xf numFmtId="184" fontId="19" fillId="0" borderId="1" xfId="5" applyNumberFormat="1" applyFont="1" applyBorder="1" applyAlignment="1">
      <alignment horizontal="center" vertical="center"/>
    </xf>
    <xf numFmtId="1" fontId="19" fillId="3" borderId="1" xfId="23" applyNumberFormat="1" applyFont="1" applyFill="1" applyBorder="1" applyAlignment="1">
      <alignment horizontal="center" vertical="center"/>
    </xf>
    <xf numFmtId="20" fontId="19" fillId="0" borderId="1" xfId="23" applyNumberFormat="1" applyFont="1" applyBorder="1" applyAlignment="1">
      <alignment horizontal="center" vertical="center"/>
    </xf>
    <xf numFmtId="20" fontId="19" fillId="0" borderId="2" xfId="23" applyNumberFormat="1" applyFont="1" applyBorder="1" applyAlignment="1">
      <alignment horizontal="center" vertical="center"/>
    </xf>
    <xf numFmtId="181" fontId="19" fillId="0" borderId="1" xfId="23" applyNumberFormat="1" applyFont="1" applyBorder="1" applyAlignment="1">
      <alignment horizontal="center" vertical="center"/>
    </xf>
    <xf numFmtId="0" fontId="19" fillId="0" borderId="2" xfId="23" applyFont="1" applyBorder="1" applyAlignment="1">
      <alignment horizontal="center" vertical="center"/>
    </xf>
    <xf numFmtId="0" fontId="19" fillId="0" borderId="27" xfId="23" applyFont="1" applyBorder="1" applyAlignment="1">
      <alignment horizontal="center" vertical="center"/>
    </xf>
    <xf numFmtId="0" fontId="19" fillId="0" borderId="50" xfId="23" applyFont="1" applyBorder="1" applyAlignment="1">
      <alignment horizontal="center"/>
    </xf>
    <xf numFmtId="0" fontId="17" fillId="0" borderId="50" xfId="5" applyFont="1" applyBorder="1" applyAlignment="1">
      <alignment horizontal="center" vertical="center"/>
    </xf>
    <xf numFmtId="0" fontId="19" fillId="11" borderId="50" xfId="23" applyFont="1" applyFill="1" applyBorder="1" applyAlignment="1">
      <alignment horizontal="center"/>
    </xf>
    <xf numFmtId="1" fontId="19" fillId="11" borderId="50" xfId="23" applyNumberFormat="1" applyFont="1" applyFill="1" applyBorder="1" applyAlignment="1">
      <alignment horizontal="center" vertical="center"/>
    </xf>
    <xf numFmtId="43" fontId="19" fillId="11" borderId="50" xfId="27" applyFont="1" applyFill="1" applyBorder="1" applyAlignment="1">
      <alignment horizontal="center" vertical="center"/>
    </xf>
    <xf numFmtId="0" fontId="19" fillId="11" borderId="50" xfId="23" applyFont="1" applyFill="1" applyBorder="1" applyAlignment="1">
      <alignment horizontal="center" vertical="center"/>
    </xf>
    <xf numFmtId="179" fontId="19" fillId="11" borderId="50" xfId="23" applyNumberFormat="1" applyFont="1" applyFill="1" applyBorder="1" applyAlignment="1">
      <alignment horizontal="center" vertical="center"/>
    </xf>
    <xf numFmtId="182" fontId="19" fillId="0" borderId="50" xfId="23" applyNumberFormat="1" applyFont="1" applyBorder="1" applyAlignment="1">
      <alignment horizontal="center" vertical="center"/>
    </xf>
    <xf numFmtId="183" fontId="19" fillId="0" borderId="50" xfId="23" applyNumberFormat="1" applyFont="1" applyBorder="1" applyAlignment="1">
      <alignment horizontal="center" vertical="center"/>
    </xf>
    <xf numFmtId="181" fontId="19" fillId="0" borderId="50" xfId="23" applyNumberFormat="1" applyFont="1" applyBorder="1" applyAlignment="1">
      <alignment horizontal="center" vertical="center"/>
    </xf>
    <xf numFmtId="1" fontId="19" fillId="0" borderId="50" xfId="23" applyNumberFormat="1" applyFont="1" applyBorder="1" applyAlignment="1">
      <alignment horizontal="center" vertical="center"/>
    </xf>
    <xf numFmtId="179" fontId="19" fillId="0" borderId="50" xfId="23" applyNumberFormat="1" applyFont="1" applyBorder="1" applyAlignment="1">
      <alignment horizontal="center" vertical="center"/>
    </xf>
    <xf numFmtId="179" fontId="19" fillId="0" borderId="99" xfId="23" applyNumberFormat="1" applyFont="1" applyBorder="1" applyAlignment="1">
      <alignment horizontal="center" vertical="center"/>
    </xf>
    <xf numFmtId="0" fontId="19" fillId="3" borderId="17" xfId="23" applyFont="1" applyFill="1" applyBorder="1" applyAlignment="1">
      <alignment horizontal="center" vertical="center"/>
    </xf>
    <xf numFmtId="20" fontId="19" fillId="0" borderId="17" xfId="5" applyNumberFormat="1" applyFont="1" applyBorder="1" applyAlignment="1">
      <alignment horizontal="center" vertical="center"/>
    </xf>
    <xf numFmtId="0" fontId="19" fillId="0" borderId="67" xfId="23" applyFont="1" applyBorder="1" applyAlignment="1">
      <alignment horizontal="center" vertical="center"/>
    </xf>
    <xf numFmtId="182" fontId="19" fillId="0" borderId="46" xfId="23" applyNumberFormat="1" applyFont="1" applyBorder="1" applyAlignment="1">
      <alignment horizontal="center" vertical="center"/>
    </xf>
    <xf numFmtId="0" fontId="19" fillId="0" borderId="41" xfId="23" applyFont="1" applyBorder="1" applyAlignment="1">
      <alignment horizontal="center"/>
    </xf>
    <xf numFmtId="182" fontId="19" fillId="0" borderId="3" xfId="23" applyNumberFormat="1" applyFont="1" applyBorder="1" applyAlignment="1">
      <alignment horizontal="center" vertical="center"/>
    </xf>
    <xf numFmtId="182" fontId="19" fillId="0" borderId="96" xfId="23" applyNumberFormat="1" applyFont="1" applyBorder="1" applyAlignment="1">
      <alignment horizontal="center" vertical="center"/>
    </xf>
    <xf numFmtId="0" fontId="19" fillId="0" borderId="58" xfId="23" applyFont="1" applyBorder="1" applyAlignment="1">
      <alignment horizontal="center" vertical="center"/>
    </xf>
    <xf numFmtId="0" fontId="19" fillId="0" borderId="61" xfId="23" applyFont="1" applyBorder="1" applyAlignment="1">
      <alignment horizontal="center" vertical="center"/>
    </xf>
    <xf numFmtId="184" fontId="19" fillId="11" borderId="50" xfId="23" applyNumberFormat="1" applyFont="1" applyFill="1" applyBorder="1" applyAlignment="1">
      <alignment horizontal="center" vertical="center"/>
    </xf>
    <xf numFmtId="20" fontId="19" fillId="0" borderId="50" xfId="23" applyNumberFormat="1" applyFont="1" applyBorder="1" applyAlignment="1">
      <alignment horizontal="center" vertical="center"/>
    </xf>
    <xf numFmtId="20" fontId="19" fillId="0" borderId="99" xfId="23" applyNumberFormat="1" applyFont="1" applyBorder="1" applyAlignment="1">
      <alignment horizontal="center" vertical="center"/>
    </xf>
    <xf numFmtId="9" fontId="19" fillId="8" borderId="50" xfId="32" applyFont="1" applyFill="1" applyBorder="1" applyAlignment="1">
      <alignment horizontal="center" vertical="center"/>
    </xf>
    <xf numFmtId="184" fontId="8" fillId="0" borderId="17" xfId="5" applyNumberFormat="1" applyFont="1" applyBorder="1" applyAlignment="1">
      <alignment horizontal="center" vertical="center"/>
    </xf>
    <xf numFmtId="1" fontId="19" fillId="3" borderId="64" xfId="23" applyNumberFormat="1" applyFont="1" applyFill="1" applyBorder="1" applyAlignment="1">
      <alignment horizontal="center" vertical="center"/>
    </xf>
    <xf numFmtId="1" fontId="19" fillId="0" borderId="54" xfId="23" applyNumberFormat="1" applyFont="1" applyBorder="1" applyAlignment="1">
      <alignment horizontal="center" vertical="center"/>
    </xf>
    <xf numFmtId="179" fontId="19" fillId="0" borderId="65" xfId="23" applyNumberFormat="1" applyFont="1" applyBorder="1" applyAlignment="1">
      <alignment horizontal="center" vertical="center"/>
    </xf>
    <xf numFmtId="0" fontId="19" fillId="3" borderId="66" xfId="23" applyFont="1" applyFill="1" applyBorder="1" applyAlignment="1">
      <alignment horizontal="center" vertical="center"/>
    </xf>
    <xf numFmtId="20" fontId="8" fillId="0" borderId="17" xfId="18" applyNumberFormat="1" applyFont="1" applyBorder="1" applyAlignment="1">
      <alignment horizontal="center" vertical="center"/>
    </xf>
    <xf numFmtId="0" fontId="8" fillId="0" borderId="17" xfId="18" applyFont="1" applyBorder="1" applyAlignment="1">
      <alignment horizontal="center" vertical="center"/>
    </xf>
    <xf numFmtId="0" fontId="8" fillId="0" borderId="17" xfId="23" applyFont="1" applyBorder="1" applyAlignment="1">
      <alignment horizontal="center" vertical="center" wrapText="1"/>
    </xf>
    <xf numFmtId="179" fontId="8" fillId="0" borderId="17" xfId="18" applyNumberFormat="1" applyFont="1" applyBorder="1" applyAlignment="1">
      <alignment horizontal="center" vertical="center"/>
    </xf>
    <xf numFmtId="179" fontId="8" fillId="0" borderId="100" xfId="18" applyNumberFormat="1" applyFont="1" applyBorder="1" applyAlignment="1">
      <alignment horizontal="center" vertical="center"/>
    </xf>
    <xf numFmtId="184" fontId="8" fillId="0" borderId="17" xfId="18" applyNumberFormat="1" applyFont="1" applyBorder="1" applyAlignment="1">
      <alignment horizontal="center" vertical="center"/>
    </xf>
    <xf numFmtId="182" fontId="8" fillId="0" borderId="102" xfId="18" applyNumberFormat="1" applyFont="1" applyBorder="1" applyAlignment="1">
      <alignment horizontal="center" vertical="center"/>
    </xf>
    <xf numFmtId="0" fontId="19" fillId="0" borderId="2" xfId="23" applyFont="1" applyBorder="1" applyAlignment="1">
      <alignment horizontal="center"/>
    </xf>
    <xf numFmtId="184" fontId="8" fillId="0" borderId="1" xfId="5" applyNumberFormat="1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1" fontId="8" fillId="3" borderId="1" xfId="18" applyNumberFormat="1" applyFont="1" applyFill="1" applyBorder="1" applyAlignment="1">
      <alignment horizontal="center" vertical="center"/>
    </xf>
    <xf numFmtId="1" fontId="8" fillId="0" borderId="1" xfId="18" applyNumberFormat="1" applyFont="1" applyBorder="1" applyAlignment="1">
      <alignment horizontal="center" vertical="center"/>
    </xf>
    <xf numFmtId="179" fontId="8" fillId="0" borderId="1" xfId="18" applyNumberFormat="1" applyFont="1" applyBorder="1" applyAlignment="1">
      <alignment horizontal="center" vertical="center"/>
    </xf>
    <xf numFmtId="20" fontId="8" fillId="0" borderId="11" xfId="18" applyNumberFormat="1" applyFont="1" applyBorder="1" applyAlignment="1">
      <alignment horizontal="center" vertical="center"/>
    </xf>
    <xf numFmtId="0" fontId="8" fillId="0" borderId="1" xfId="23" applyFont="1" applyBorder="1" applyAlignment="1">
      <alignment horizontal="center" vertical="center" wrapText="1"/>
    </xf>
    <xf numFmtId="182" fontId="8" fillId="0" borderId="3" xfId="18" applyNumberFormat="1" applyFont="1" applyBorder="1" applyAlignment="1">
      <alignment horizontal="center" vertical="center"/>
    </xf>
    <xf numFmtId="20" fontId="8" fillId="0" borderId="1" xfId="9" applyNumberFormat="1" applyFont="1" applyBorder="1" applyAlignment="1">
      <alignment horizontal="center" vertical="center"/>
    </xf>
    <xf numFmtId="20" fontId="8" fillId="0" borderId="2" xfId="9" applyNumberFormat="1" applyFont="1" applyBorder="1" applyAlignment="1">
      <alignment horizontal="center" vertical="center"/>
    </xf>
    <xf numFmtId="184" fontId="8" fillId="0" borderId="1" xfId="9" applyNumberFormat="1" applyFont="1" applyBorder="1" applyAlignment="1">
      <alignment horizontal="center" vertical="center"/>
    </xf>
    <xf numFmtId="20" fontId="8" fillId="0" borderId="1" xfId="18" applyNumberFormat="1" applyFont="1" applyBorder="1" applyAlignment="1">
      <alignment horizontal="center" vertical="center"/>
    </xf>
    <xf numFmtId="179" fontId="8" fillId="0" borderId="7" xfId="18" applyNumberFormat="1" applyFont="1" applyBorder="1" applyAlignment="1">
      <alignment horizontal="center" vertical="center"/>
    </xf>
    <xf numFmtId="184" fontId="8" fillId="0" borderId="1" xfId="18" applyNumberFormat="1" applyFont="1" applyBorder="1" applyAlignment="1">
      <alignment horizontal="center" vertical="center"/>
    </xf>
    <xf numFmtId="179" fontId="8" fillId="0" borderId="2" xfId="18" applyNumberFormat="1" applyFont="1" applyBorder="1" applyAlignment="1">
      <alignment horizontal="center" vertical="center"/>
    </xf>
    <xf numFmtId="182" fontId="8" fillId="0" borderId="4" xfId="18" applyNumberFormat="1" applyFont="1" applyBorder="1" applyAlignment="1">
      <alignment horizontal="center" vertical="center"/>
    </xf>
    <xf numFmtId="0" fontId="19" fillId="0" borderId="74" xfId="23" applyFont="1" applyBorder="1" applyAlignment="1">
      <alignment horizontal="center" vertical="center"/>
    </xf>
    <xf numFmtId="43" fontId="8" fillId="0" borderId="1" xfId="27" applyFont="1" applyBorder="1" applyAlignment="1">
      <alignment horizontal="center" vertical="center"/>
    </xf>
    <xf numFmtId="181" fontId="8" fillId="0" borderId="11" xfId="18" applyNumberFormat="1" applyFont="1" applyBorder="1" applyAlignment="1">
      <alignment horizontal="center" vertical="center"/>
    </xf>
    <xf numFmtId="0" fontId="19" fillId="0" borderId="62" xfId="23" applyFont="1" applyBorder="1" applyAlignment="1">
      <alignment horizontal="center" vertical="center"/>
    </xf>
    <xf numFmtId="181" fontId="8" fillId="0" borderId="1" xfId="18" applyNumberFormat="1" applyFont="1" applyBorder="1" applyAlignment="1">
      <alignment horizontal="center" vertical="center"/>
    </xf>
    <xf numFmtId="0" fontId="19" fillId="0" borderId="76" xfId="23" applyFont="1" applyBorder="1" applyAlignment="1">
      <alignment horizontal="center"/>
    </xf>
    <xf numFmtId="182" fontId="19" fillId="0" borderId="77" xfId="23" applyNumberFormat="1" applyFont="1" applyBorder="1" applyAlignment="1">
      <alignment horizontal="center" vertical="center"/>
    </xf>
    <xf numFmtId="183" fontId="19" fillId="0" borderId="78" xfId="23" applyNumberFormat="1" applyFont="1" applyBorder="1" applyAlignment="1">
      <alignment horizontal="center" vertical="center"/>
    </xf>
    <xf numFmtId="181" fontId="19" fillId="0" borderId="78" xfId="23" applyNumberFormat="1" applyFont="1" applyBorder="1" applyAlignment="1">
      <alignment horizontal="center" vertical="center"/>
    </xf>
    <xf numFmtId="0" fontId="19" fillId="0" borderId="78" xfId="23" applyFont="1" applyBorder="1" applyAlignment="1">
      <alignment horizontal="center" vertical="center"/>
    </xf>
    <xf numFmtId="0" fontId="8" fillId="0" borderId="50" xfId="23" applyFont="1" applyBorder="1" applyAlignment="1">
      <alignment horizontal="center" vertical="center" wrapText="1"/>
    </xf>
    <xf numFmtId="20" fontId="19" fillId="0" borderId="78" xfId="23" applyNumberFormat="1" applyFont="1" applyBorder="1" applyAlignment="1">
      <alignment horizontal="center" vertical="center"/>
    </xf>
    <xf numFmtId="20" fontId="19" fillId="0" borderId="101" xfId="23" applyNumberFormat="1" applyFont="1" applyBorder="1" applyAlignment="1">
      <alignment horizontal="center" vertical="center"/>
    </xf>
    <xf numFmtId="182" fontId="19" fillId="0" borderId="103" xfId="23" applyNumberFormat="1" applyFont="1" applyBorder="1" applyAlignment="1">
      <alignment horizontal="center" vertical="center"/>
    </xf>
    <xf numFmtId="1" fontId="8" fillId="0" borderId="17" xfId="18" applyNumberFormat="1" applyFont="1" applyBorder="1" applyAlignment="1">
      <alignment horizontal="center" vertical="center"/>
    </xf>
    <xf numFmtId="183" fontId="19" fillId="0" borderId="21" xfId="23" applyNumberFormat="1" applyFont="1" applyBorder="1" applyAlignment="1">
      <alignment horizontal="center" vertical="center"/>
    </xf>
    <xf numFmtId="43" fontId="19" fillId="0" borderId="34" xfId="27" applyFont="1" applyBorder="1" applyAlignment="1">
      <alignment horizontal="center" vertical="center"/>
    </xf>
    <xf numFmtId="0" fontId="19" fillId="0" borderId="34" xfId="23" applyFont="1" applyBorder="1" applyAlignment="1">
      <alignment horizontal="center" vertical="center"/>
    </xf>
    <xf numFmtId="0" fontId="19" fillId="3" borderId="60" xfId="23" applyFont="1" applyFill="1" applyBorder="1" applyAlignment="1">
      <alignment horizontal="center" vertical="center"/>
    </xf>
    <xf numFmtId="1" fontId="19" fillId="0" borderId="34" xfId="23" applyNumberFormat="1" applyFont="1" applyBorder="1" applyAlignment="1">
      <alignment horizontal="center" vertical="center"/>
    </xf>
    <xf numFmtId="179" fontId="19" fillId="0" borderId="34" xfId="23" applyNumberFormat="1" applyFont="1" applyBorder="1" applyAlignment="1">
      <alignment horizontal="center" vertical="center"/>
    </xf>
    <xf numFmtId="20" fontId="8" fillId="6" borderId="11" xfId="18" applyNumberFormat="1" applyFont="1" applyFill="1" applyBorder="1" applyAlignment="1">
      <alignment horizontal="center" vertical="center"/>
    </xf>
    <xf numFmtId="0" fontId="19" fillId="6" borderId="13" xfId="23" applyFont="1" applyFill="1" applyBorder="1" applyAlignment="1">
      <alignment horizontal="center" vertical="center" wrapText="1"/>
    </xf>
    <xf numFmtId="0" fontId="19" fillId="6" borderId="13" xfId="23" applyFont="1" applyFill="1" applyBorder="1" applyAlignment="1">
      <alignment horizontal="center" vertical="center"/>
    </xf>
    <xf numFmtId="179" fontId="19" fillId="0" borderId="14" xfId="23" applyNumberFormat="1" applyFont="1" applyBorder="1" applyAlignment="1">
      <alignment horizontal="center" vertical="center"/>
    </xf>
    <xf numFmtId="0" fontId="19" fillId="0" borderId="44" xfId="23" applyFont="1" applyBorder="1" applyAlignment="1">
      <alignment horizontal="center"/>
    </xf>
    <xf numFmtId="1" fontId="19" fillId="11" borderId="78" xfId="23" applyNumberFormat="1" applyFont="1" applyFill="1" applyBorder="1" applyAlignment="1">
      <alignment horizontal="center" vertical="center"/>
    </xf>
    <xf numFmtId="181" fontId="8" fillId="0" borderId="83" xfId="18" applyNumberFormat="1" applyFont="1" applyBorder="1" applyAlignment="1">
      <alignment horizontal="center" vertical="center"/>
    </xf>
    <xf numFmtId="1" fontId="19" fillId="0" borderId="44" xfId="23" applyNumberFormat="1" applyFont="1" applyBorder="1" applyAlignment="1">
      <alignment horizontal="center" vertical="center"/>
    </xf>
    <xf numFmtId="43" fontId="19" fillId="0" borderId="21" xfId="27" applyFont="1" applyBorder="1" applyAlignment="1">
      <alignment horizontal="center" vertical="center"/>
    </xf>
    <xf numFmtId="0" fontId="19" fillId="3" borderId="21" xfId="23" applyFont="1" applyFill="1" applyBorder="1" applyAlignment="1">
      <alignment horizontal="center" vertical="center"/>
    </xf>
    <xf numFmtId="182" fontId="19" fillId="0" borderId="21" xfId="23" applyNumberFormat="1" applyFont="1" applyBorder="1" applyAlignment="1">
      <alignment horizontal="center" vertical="center"/>
    </xf>
    <xf numFmtId="20" fontId="19" fillId="0" borderId="21" xfId="23" applyNumberFormat="1" applyFont="1" applyBorder="1" applyAlignment="1">
      <alignment horizontal="center" vertical="center"/>
    </xf>
    <xf numFmtId="0" fontId="19" fillId="0" borderId="34" xfId="23" applyFont="1" applyBorder="1" applyAlignment="1">
      <alignment horizontal="center" vertical="center" wrapText="1"/>
    </xf>
    <xf numFmtId="182" fontId="19" fillId="0" borderId="97" xfId="23" applyNumberFormat="1" applyFont="1" applyBorder="1" applyAlignment="1">
      <alignment horizontal="center" vertical="center"/>
    </xf>
    <xf numFmtId="0" fontId="19" fillId="0" borderId="40" xfId="23" applyFont="1" applyBorder="1" applyAlignment="1">
      <alignment horizontal="center"/>
    </xf>
    <xf numFmtId="43" fontId="19" fillId="0" borderId="14" xfId="27" applyFont="1" applyBorder="1" applyAlignment="1">
      <alignment horizontal="center" vertical="center"/>
    </xf>
    <xf numFmtId="0" fontId="19" fillId="0" borderId="9" xfId="23" applyFont="1" applyBorder="1" applyAlignment="1">
      <alignment horizontal="center" vertical="center"/>
    </xf>
    <xf numFmtId="182" fontId="19" fillId="0" borderId="14" xfId="23" applyNumberFormat="1" applyFont="1" applyBorder="1" applyAlignment="1">
      <alignment horizontal="center" vertical="center"/>
    </xf>
    <xf numFmtId="183" fontId="19" fillId="0" borderId="14" xfId="23" applyNumberFormat="1" applyFont="1" applyBorder="1" applyAlignment="1">
      <alignment horizontal="center" vertical="center"/>
    </xf>
    <xf numFmtId="0" fontId="19" fillId="0" borderId="87" xfId="23" applyFont="1" applyBorder="1" applyAlignment="1">
      <alignment horizontal="center" vertical="center" wrapText="1"/>
    </xf>
    <xf numFmtId="182" fontId="19" fillId="0" borderId="60" xfId="23" applyNumberFormat="1" applyFont="1" applyBorder="1" applyAlignment="1">
      <alignment horizontal="center" vertical="center"/>
    </xf>
    <xf numFmtId="0" fontId="19" fillId="0" borderId="31" xfId="23" applyFont="1" applyBorder="1" applyAlignment="1">
      <alignment horizontal="center" vertical="center"/>
    </xf>
    <xf numFmtId="181" fontId="19" fillId="0" borderId="13" xfId="23" applyNumberFormat="1" applyFont="1" applyBorder="1" applyAlignment="1">
      <alignment horizontal="center" vertical="center"/>
    </xf>
    <xf numFmtId="0" fontId="19" fillId="0" borderId="3" xfId="23" applyFont="1" applyBorder="1" applyAlignment="1">
      <alignment horizontal="center" vertical="center"/>
    </xf>
    <xf numFmtId="1" fontId="19" fillId="0" borderId="90" xfId="23" applyNumberFormat="1" applyFont="1" applyBorder="1" applyAlignment="1">
      <alignment horizontal="center" vertical="center"/>
    </xf>
    <xf numFmtId="179" fontId="19" fillId="0" borderId="91" xfId="23" applyNumberFormat="1" applyFont="1" applyBorder="1" applyAlignment="1">
      <alignment horizontal="center" vertical="center"/>
    </xf>
    <xf numFmtId="0" fontId="19" fillId="11" borderId="78" xfId="23" applyFont="1" applyFill="1" applyBorder="1" applyAlignment="1">
      <alignment horizontal="center" vertical="center"/>
    </xf>
    <xf numFmtId="179" fontId="19" fillId="11" borderId="78" xfId="23" applyNumberFormat="1" applyFont="1" applyFill="1" applyBorder="1" applyAlignment="1">
      <alignment horizontal="center" vertical="center"/>
    </xf>
    <xf numFmtId="182" fontId="19" fillId="0" borderId="78" xfId="23" applyNumberFormat="1" applyFont="1" applyBorder="1" applyAlignment="1">
      <alignment horizontal="center" vertical="center"/>
    </xf>
    <xf numFmtId="20" fontId="19" fillId="0" borderId="54" xfId="23" applyNumberFormat="1" applyFont="1" applyBorder="1" applyAlignment="1">
      <alignment horizontal="center" vertical="center"/>
    </xf>
    <xf numFmtId="20" fontId="19" fillId="0" borderId="55" xfId="23" applyNumberFormat="1" applyFont="1" applyBorder="1" applyAlignment="1">
      <alignment horizontal="center" vertical="center"/>
    </xf>
    <xf numFmtId="20" fontId="19" fillId="0" borderId="85" xfId="23" applyNumberFormat="1" applyFont="1" applyBorder="1" applyAlignment="1">
      <alignment horizontal="center" vertical="center"/>
    </xf>
    <xf numFmtId="20" fontId="19" fillId="0" borderId="70" xfId="23" applyNumberFormat="1" applyFont="1" applyBorder="1" applyAlignment="1">
      <alignment horizontal="center" vertical="center"/>
    </xf>
    <xf numFmtId="20" fontId="19" fillId="0" borderId="34" xfId="23" applyNumberFormat="1" applyFont="1" applyBorder="1" applyAlignment="1">
      <alignment horizontal="center" vertical="center"/>
    </xf>
    <xf numFmtId="20" fontId="19" fillId="0" borderId="58" xfId="23" applyNumberFormat="1" applyFont="1" applyBorder="1" applyAlignment="1">
      <alignment horizontal="center" vertical="center"/>
    </xf>
    <xf numFmtId="184" fontId="19" fillId="0" borderId="9" xfId="23" applyNumberFormat="1" applyFont="1" applyBorder="1" applyAlignment="1">
      <alignment horizontal="center" vertical="center"/>
    </xf>
    <xf numFmtId="1" fontId="19" fillId="3" borderId="27" xfId="23" applyNumberFormat="1" applyFont="1" applyFill="1" applyBorder="1" applyAlignment="1">
      <alignment horizontal="center" vertical="center"/>
    </xf>
    <xf numFmtId="1" fontId="19" fillId="3" borderId="9" xfId="23" applyNumberFormat="1" applyFont="1" applyFill="1" applyBorder="1" applyAlignment="1">
      <alignment horizontal="center" vertical="center"/>
    </xf>
    <xf numFmtId="1" fontId="19" fillId="0" borderId="9" xfId="23" applyNumberFormat="1" applyFont="1" applyBorder="1" applyAlignment="1">
      <alignment horizontal="center" vertical="center"/>
    </xf>
    <xf numFmtId="179" fontId="19" fillId="0" borderId="9" xfId="23" applyNumberFormat="1" applyFont="1" applyBorder="1" applyAlignment="1">
      <alignment horizontal="center" vertical="center"/>
    </xf>
    <xf numFmtId="182" fontId="19" fillId="0" borderId="9" xfId="23" applyNumberFormat="1" applyFont="1" applyBorder="1" applyAlignment="1">
      <alignment horizontal="center" vertical="center"/>
    </xf>
    <xf numFmtId="183" fontId="19" fillId="0" borderId="9" xfId="23" applyNumberFormat="1" applyFont="1" applyBorder="1" applyAlignment="1">
      <alignment horizontal="center" vertical="center"/>
    </xf>
    <xf numFmtId="20" fontId="19" fillId="0" borderId="87" xfId="23" applyNumberFormat="1" applyFont="1" applyBorder="1" applyAlignment="1">
      <alignment horizontal="center" vertical="center"/>
    </xf>
    <xf numFmtId="20" fontId="19" fillId="0" borderId="37" xfId="23" applyNumberFormat="1" applyFont="1" applyBorder="1" applyAlignment="1">
      <alignment horizontal="center" vertical="center"/>
    </xf>
    <xf numFmtId="182" fontId="19" fillId="0" borderId="104" xfId="23" applyNumberFormat="1" applyFont="1" applyBorder="1" applyAlignment="1">
      <alignment horizontal="center" vertical="center"/>
    </xf>
    <xf numFmtId="179" fontId="19" fillId="0" borderId="58" xfId="23" applyNumberFormat="1" applyFont="1" applyBorder="1" applyAlignment="1">
      <alignment horizontal="center" vertical="center"/>
    </xf>
    <xf numFmtId="43" fontId="19" fillId="11" borderId="78" xfId="27" applyFont="1" applyFill="1" applyBorder="1" applyAlignment="1">
      <alignment horizontal="center" vertical="center"/>
    </xf>
    <xf numFmtId="0" fontId="19" fillId="0" borderId="0" xfId="23" applyFont="1" applyAlignment="1">
      <alignment vertical="center" wrapText="1"/>
    </xf>
    <xf numFmtId="0" fontId="19" fillId="0" borderId="1" xfId="23" applyFont="1" applyBorder="1">
      <alignment vertical="center"/>
    </xf>
    <xf numFmtId="0" fontId="19" fillId="0" borderId="0" xfId="5" applyFont="1" applyAlignment="1">
      <alignment horizontal="center" vertical="center"/>
    </xf>
    <xf numFmtId="0" fontId="8" fillId="0" borderId="0" xfId="18" applyFont="1" applyAlignment="1">
      <alignment horizontal="center"/>
    </xf>
    <xf numFmtId="1" fontId="25" fillId="3" borderId="13" xfId="20" applyNumberFormat="1" applyFont="1" applyFill="1" applyBorder="1" applyAlignment="1">
      <alignment horizontal="center" vertical="center"/>
    </xf>
    <xf numFmtId="0" fontId="19" fillId="0" borderId="70" xfId="19" applyFont="1" applyBorder="1" applyAlignment="1"/>
    <xf numFmtId="20" fontId="8" fillId="6" borderId="1" xfId="14" applyNumberFormat="1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10" applyFont="1" applyBorder="1" applyAlignment="1">
      <alignment horizontal="center" vertical="center"/>
    </xf>
    <xf numFmtId="0" fontId="11" fillId="0" borderId="1" xfId="10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186" fontId="10" fillId="2" borderId="1" xfId="10" applyNumberFormat="1" applyFont="1" applyFill="1" applyBorder="1" applyAlignment="1">
      <alignment horizontal="center" vertical="center"/>
    </xf>
    <xf numFmtId="176" fontId="10" fillId="2" borderId="1" xfId="10" applyNumberFormat="1" applyFont="1" applyFill="1" applyBorder="1" applyAlignment="1">
      <alignment horizontal="center" vertical="center"/>
    </xf>
    <xf numFmtId="177" fontId="9" fillId="0" borderId="1" xfId="28" applyNumberFormat="1" applyFont="1" applyBorder="1" applyAlignment="1">
      <alignment horizontal="center" vertical="center"/>
    </xf>
    <xf numFmtId="177" fontId="9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0" fontId="12" fillId="0" borderId="1" xfId="33" applyNumberFormat="1" applyFont="1" applyFill="1" applyBorder="1" applyAlignment="1">
      <alignment horizontal="center" vertical="center"/>
    </xf>
    <xf numFmtId="178" fontId="9" fillId="3" borderId="1" xfId="28" applyNumberFormat="1" applyFont="1" applyFill="1" applyBorder="1" applyAlignment="1">
      <alignment horizontal="center" vertical="center"/>
    </xf>
    <xf numFmtId="178" fontId="9" fillId="4" borderId="1" xfId="28" applyNumberFormat="1" applyFont="1" applyFill="1" applyBorder="1" applyAlignment="1">
      <alignment horizontal="center" vertical="center"/>
    </xf>
    <xf numFmtId="179" fontId="9" fillId="0" borderId="1" xfId="2" applyNumberFormat="1" applyFont="1" applyBorder="1" applyAlignment="1">
      <alignment horizontal="center" vertical="center"/>
    </xf>
    <xf numFmtId="179" fontId="9" fillId="0" borderId="1" xfId="28" applyNumberFormat="1" applyFont="1" applyBorder="1" applyAlignment="1">
      <alignment horizontal="center" vertical="center"/>
    </xf>
    <xf numFmtId="0" fontId="28" fillId="8" borderId="1" xfId="20" applyFont="1" applyFill="1" applyBorder="1" applyAlignment="1">
      <alignment horizontal="center" vertical="center"/>
    </xf>
    <xf numFmtId="0" fontId="29" fillId="0" borderId="3" xfId="2" applyFont="1" applyBorder="1" applyAlignment="1">
      <alignment horizontal="center" vertical="center"/>
    </xf>
    <xf numFmtId="1" fontId="29" fillId="0" borderId="1" xfId="2" applyNumberFormat="1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28" fillId="8" borderId="3" xfId="20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 textRotation="255"/>
    </xf>
    <xf numFmtId="0" fontId="8" fillId="0" borderId="10" xfId="2" applyFont="1" applyBorder="1" applyAlignment="1">
      <alignment horizontal="center" vertical="center" textRotation="255"/>
    </xf>
    <xf numFmtId="0" fontId="8" fillId="0" borderId="11" xfId="2" applyFont="1" applyBorder="1" applyAlignment="1">
      <alignment horizontal="center" vertical="center" textRotation="255"/>
    </xf>
    <xf numFmtId="0" fontId="8" fillId="0" borderId="9" xfId="2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17" fillId="14" borderId="1" xfId="10" applyFont="1" applyFill="1" applyBorder="1" applyAlignment="1">
      <alignment horizontal="center" vertical="center" wrapText="1"/>
    </xf>
    <xf numFmtId="0" fontId="8" fillId="14" borderId="1" xfId="10" applyFont="1" applyFill="1" applyBorder="1" applyAlignment="1">
      <alignment horizontal="center" vertical="center"/>
    </xf>
    <xf numFmtId="179" fontId="12" fillId="5" borderId="1" xfId="2" applyNumberFormat="1" applyFont="1" applyFill="1" applyBorder="1" applyAlignment="1">
      <alignment horizontal="center" vertical="center"/>
    </xf>
    <xf numFmtId="179" fontId="12" fillId="5" borderId="1" xfId="28" applyNumberFormat="1" applyFont="1" applyFill="1" applyBorder="1" applyAlignment="1">
      <alignment horizontal="center" vertical="center"/>
    </xf>
    <xf numFmtId="14" fontId="21" fillId="0" borderId="13" xfId="20" applyNumberFormat="1" applyFont="1" applyBorder="1" applyAlignment="1">
      <alignment horizontal="left" vertical="center"/>
    </xf>
    <xf numFmtId="0" fontId="19" fillId="0" borderId="13" xfId="20" applyFont="1" applyBorder="1" applyAlignment="1">
      <alignment horizontal="center" vertical="center"/>
    </xf>
    <xf numFmtId="0" fontId="19" fillId="0" borderId="14" xfId="20" applyFont="1" applyBorder="1" applyAlignment="1">
      <alignment horizontal="center" vertical="center"/>
    </xf>
    <xf numFmtId="0" fontId="8" fillId="0" borderId="14" xfId="20" applyFont="1" applyBorder="1" applyAlignment="1">
      <alignment horizontal="center" vertical="center"/>
    </xf>
    <xf numFmtId="0" fontId="8" fillId="0" borderId="15" xfId="20" applyFont="1" applyBorder="1" applyAlignment="1">
      <alignment horizontal="center" vertical="center"/>
    </xf>
    <xf numFmtId="0" fontId="8" fillId="3" borderId="13" xfId="20" applyFont="1" applyFill="1" applyBorder="1" applyAlignment="1">
      <alignment horizontal="center" vertical="center"/>
    </xf>
    <xf numFmtId="0" fontId="8" fillId="3" borderId="14" xfId="20" applyFont="1" applyFill="1" applyBorder="1" applyAlignment="1">
      <alignment horizontal="center" vertical="center"/>
    </xf>
    <xf numFmtId="0" fontId="8" fillId="4" borderId="13" xfId="20" applyFont="1" applyFill="1" applyBorder="1" applyAlignment="1">
      <alignment horizontal="center" vertical="center"/>
    </xf>
    <xf numFmtId="0" fontId="8" fillId="4" borderId="14" xfId="20" applyFont="1" applyFill="1" applyBorder="1" applyAlignment="1">
      <alignment horizontal="center" vertical="center"/>
    </xf>
    <xf numFmtId="180" fontId="19" fillId="0" borderId="21" xfId="34" applyNumberFormat="1" applyFont="1" applyBorder="1" applyAlignment="1">
      <alignment horizontal="center" vertical="center"/>
    </xf>
    <xf numFmtId="180" fontId="19" fillId="0" borderId="13" xfId="34" applyNumberFormat="1" applyFont="1" applyBorder="1" applyAlignment="1">
      <alignment horizontal="center" vertical="center"/>
    </xf>
    <xf numFmtId="180" fontId="19" fillId="0" borderId="14" xfId="34" applyNumberFormat="1" applyFont="1" applyBorder="1" applyAlignment="1">
      <alignment horizontal="center" vertical="center"/>
    </xf>
    <xf numFmtId="180" fontId="19" fillId="0" borderId="41" xfId="34" applyNumberFormat="1" applyFont="1" applyBorder="1" applyAlignment="1">
      <alignment horizontal="center" vertical="center"/>
    </xf>
    <xf numFmtId="180" fontId="19" fillId="0" borderId="44" xfId="34" applyNumberFormat="1" applyFont="1" applyBorder="1" applyAlignment="1">
      <alignment horizontal="center" vertical="center"/>
    </xf>
    <xf numFmtId="0" fontId="23" fillId="0" borderId="13" xfId="20" applyFont="1" applyBorder="1" applyAlignment="1">
      <alignment horizontal="center" vertical="center"/>
    </xf>
    <xf numFmtId="0" fontId="19" fillId="3" borderId="16" xfId="20" applyFont="1" applyFill="1" applyBorder="1" applyAlignment="1">
      <alignment horizontal="center" vertical="center" wrapText="1"/>
    </xf>
    <xf numFmtId="0" fontId="19" fillId="3" borderId="24" xfId="20" applyFont="1" applyFill="1" applyBorder="1" applyAlignment="1">
      <alignment horizontal="center" vertical="center"/>
    </xf>
    <xf numFmtId="0" fontId="19" fillId="3" borderId="35" xfId="20" applyFont="1" applyFill="1" applyBorder="1" applyAlignment="1">
      <alignment horizontal="center" vertical="center"/>
    </xf>
    <xf numFmtId="0" fontId="19" fillId="3" borderId="42" xfId="20" applyFont="1" applyFill="1" applyBorder="1" applyAlignment="1">
      <alignment horizontal="center" vertical="center"/>
    </xf>
    <xf numFmtId="0" fontId="8" fillId="9" borderId="13" xfId="20" applyFont="1" applyFill="1" applyBorder="1" applyAlignment="1">
      <alignment horizontal="center" vertical="center"/>
    </xf>
    <xf numFmtId="0" fontId="8" fillId="9" borderId="14" xfId="20" applyFont="1" applyFill="1" applyBorder="1" applyAlignment="1">
      <alignment horizontal="center" vertical="center"/>
    </xf>
    <xf numFmtId="0" fontId="8" fillId="8" borderId="13" xfId="20" applyFont="1" applyFill="1" applyBorder="1" applyAlignment="1">
      <alignment horizontal="center" vertical="center"/>
    </xf>
    <xf numFmtId="0" fontId="8" fillId="8" borderId="14" xfId="20" applyFont="1" applyFill="1" applyBorder="1" applyAlignment="1">
      <alignment horizontal="center" vertical="center"/>
    </xf>
    <xf numFmtId="0" fontId="19" fillId="11" borderId="44" xfId="20" applyFont="1" applyFill="1" applyBorder="1" applyAlignment="1"/>
    <xf numFmtId="0" fontId="8" fillId="0" borderId="13" xfId="20" applyFont="1" applyBorder="1" applyAlignment="1">
      <alignment horizontal="center" vertical="center" wrapText="1"/>
    </xf>
    <xf numFmtId="0" fontId="8" fillId="0" borderId="14" xfId="20" applyFont="1" applyBorder="1" applyAlignment="1">
      <alignment horizontal="center" vertical="center" wrapText="1"/>
    </xf>
    <xf numFmtId="0" fontId="21" fillId="0" borderId="13" xfId="20" applyFont="1" applyBorder="1" applyAlignment="1">
      <alignment horizontal="center" vertical="center"/>
    </xf>
    <xf numFmtId="0" fontId="8" fillId="5" borderId="13" xfId="20" applyFont="1" applyFill="1" applyBorder="1" applyAlignment="1">
      <alignment horizontal="center" vertical="center"/>
    </xf>
    <xf numFmtId="0" fontId="8" fillId="5" borderId="14" xfId="20" applyFont="1" applyFill="1" applyBorder="1" applyAlignment="1">
      <alignment horizontal="center" vertical="center"/>
    </xf>
    <xf numFmtId="0" fontId="8" fillId="10" borderId="13" xfId="20" applyFont="1" applyFill="1" applyBorder="1" applyAlignment="1">
      <alignment horizontal="center" vertical="center" wrapText="1"/>
    </xf>
    <xf numFmtId="0" fontId="8" fillId="10" borderId="14" xfId="20" applyFont="1" applyFill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 wrapText="1"/>
    </xf>
    <xf numFmtId="0" fontId="22" fillId="0" borderId="1" xfId="20" applyFont="1" applyBorder="1" applyAlignment="1">
      <alignment horizontal="center" vertical="center"/>
    </xf>
    <xf numFmtId="0" fontId="22" fillId="0" borderId="9" xfId="20" applyFont="1" applyBorder="1" applyAlignment="1">
      <alignment horizontal="center" vertical="center"/>
    </xf>
    <xf numFmtId="0" fontId="19" fillId="9" borderId="30" xfId="20" applyFont="1" applyFill="1" applyBorder="1" applyAlignment="1">
      <alignment horizontal="center" vertical="center"/>
    </xf>
    <xf numFmtId="0" fontId="19" fillId="9" borderId="39" xfId="20" applyFont="1" applyFill="1" applyBorder="1" applyAlignment="1">
      <alignment horizontal="center" vertical="center"/>
    </xf>
    <xf numFmtId="0" fontId="30" fillId="8" borderId="1" xfId="10" applyFont="1" applyFill="1" applyBorder="1" applyAlignment="1">
      <alignment horizontal="center" vertical="center" wrapText="1"/>
    </xf>
    <xf numFmtId="0" fontId="25" fillId="8" borderId="1" xfId="10" applyFont="1" applyFill="1" applyBorder="1" applyAlignment="1">
      <alignment horizontal="center" vertical="center"/>
    </xf>
    <xf numFmtId="0" fontId="19" fillId="5" borderId="13" xfId="20" applyFont="1" applyFill="1" applyBorder="1" applyAlignment="1">
      <alignment horizontal="center" vertical="center"/>
    </xf>
    <xf numFmtId="0" fontId="19" fillId="5" borderId="14" xfId="20" applyFont="1" applyFill="1" applyBorder="1" applyAlignment="1">
      <alignment horizontal="center" vertical="center"/>
    </xf>
    <xf numFmtId="0" fontId="19" fillId="10" borderId="13" xfId="20" applyFont="1" applyFill="1" applyBorder="1" applyAlignment="1">
      <alignment horizontal="center" vertical="center" wrapText="1"/>
    </xf>
    <xf numFmtId="0" fontId="19" fillId="10" borderId="14" xfId="20" applyFont="1" applyFill="1" applyBorder="1" applyAlignment="1">
      <alignment horizontal="center" vertical="center" wrapText="1"/>
    </xf>
    <xf numFmtId="0" fontId="8" fillId="8" borderId="13" xfId="20" applyFont="1" applyFill="1" applyBorder="1" applyAlignment="1">
      <alignment horizontal="center" vertical="center" wrapText="1"/>
    </xf>
    <xf numFmtId="0" fontId="8" fillId="8" borderId="27" xfId="20" applyFont="1" applyFill="1" applyBorder="1" applyAlignment="1">
      <alignment horizontal="center" vertical="center"/>
    </xf>
    <xf numFmtId="0" fontId="23" fillId="0" borderId="14" xfId="20" applyFont="1" applyBorder="1" applyAlignment="1">
      <alignment horizontal="center" vertical="center"/>
    </xf>
    <xf numFmtId="180" fontId="19" fillId="0" borderId="23" xfId="34" applyNumberFormat="1" applyFont="1" applyBorder="1" applyAlignment="1">
      <alignment horizontal="center" vertical="center"/>
    </xf>
    <xf numFmtId="180" fontId="19" fillId="0" borderId="32" xfId="34" applyNumberFormat="1" applyFont="1" applyBorder="1" applyAlignment="1">
      <alignment horizontal="center" vertical="center"/>
    </xf>
    <xf numFmtId="180" fontId="19" fillId="0" borderId="36" xfId="34" applyNumberFormat="1" applyFont="1" applyBorder="1" applyAlignment="1">
      <alignment horizontal="center" vertical="center"/>
    </xf>
    <xf numFmtId="180" fontId="19" fillId="0" borderId="45" xfId="34" applyNumberFormat="1" applyFont="1" applyBorder="1" applyAlignment="1">
      <alignment horizontal="center" vertical="center"/>
    </xf>
    <xf numFmtId="0" fontId="19" fillId="0" borderId="1" xfId="20" applyFont="1" applyBorder="1" applyAlignment="1">
      <alignment horizontal="center" vertical="center" wrapText="1"/>
    </xf>
    <xf numFmtId="0" fontId="19" fillId="0" borderId="1" xfId="20" applyFont="1" applyBorder="1" applyAlignment="1">
      <alignment horizontal="center" vertical="center"/>
    </xf>
    <xf numFmtId="0" fontId="19" fillId="0" borderId="50" xfId="20" applyFont="1" applyBorder="1" applyAlignment="1">
      <alignment horizontal="center" vertical="center"/>
    </xf>
    <xf numFmtId="0" fontId="19" fillId="0" borderId="17" xfId="20" applyFont="1" applyBorder="1" applyAlignment="1">
      <alignment horizontal="center" vertical="center"/>
    </xf>
    <xf numFmtId="0" fontId="19" fillId="4" borderId="51" xfId="20" applyFont="1" applyFill="1" applyBorder="1" applyAlignment="1">
      <alignment horizontal="center" vertical="center" wrapText="1"/>
    </xf>
    <xf numFmtId="0" fontId="19" fillId="4" borderId="56" xfId="20" applyFont="1" applyFill="1" applyBorder="1" applyAlignment="1">
      <alignment horizontal="center" vertical="center"/>
    </xf>
    <xf numFmtId="0" fontId="19" fillId="4" borderId="106" xfId="20" applyFont="1" applyFill="1" applyBorder="1" applyAlignment="1">
      <alignment horizontal="center" vertical="center"/>
    </xf>
    <xf numFmtId="180" fontId="19" fillId="0" borderId="17" xfId="34" applyNumberFormat="1" applyFont="1" applyBorder="1" applyAlignment="1">
      <alignment horizontal="center" vertical="center"/>
    </xf>
    <xf numFmtId="180" fontId="19" fillId="0" borderId="1" xfId="34" applyNumberFormat="1" applyFont="1" applyBorder="1" applyAlignment="1">
      <alignment horizontal="center" vertical="center"/>
    </xf>
    <xf numFmtId="180" fontId="19" fillId="0" borderId="50" xfId="34" applyNumberFormat="1" applyFont="1" applyBorder="1" applyAlignment="1">
      <alignment horizontal="center" vertical="center"/>
    </xf>
    <xf numFmtId="0" fontId="19" fillId="11" borderId="107" xfId="20" applyFont="1" applyFill="1" applyBorder="1" applyAlignment="1"/>
    <xf numFmtId="0" fontId="19" fillId="11" borderId="108" xfId="20" applyFont="1" applyFill="1" applyBorder="1" applyAlignment="1"/>
    <xf numFmtId="9" fontId="19" fillId="0" borderId="50" xfId="29" applyFont="1" applyBorder="1" applyAlignment="1">
      <alignment horizontal="center" vertical="center"/>
    </xf>
    <xf numFmtId="0" fontId="19" fillId="10" borderId="16" xfId="20" applyFont="1" applyFill="1" applyBorder="1" applyAlignment="1">
      <alignment horizontal="center" vertical="center" wrapText="1"/>
    </xf>
    <xf numFmtId="0" fontId="19" fillId="10" borderId="24" xfId="20" applyFont="1" applyFill="1" applyBorder="1" applyAlignment="1">
      <alignment horizontal="center" vertical="center"/>
    </xf>
    <xf numFmtId="0" fontId="19" fillId="10" borderId="35" xfId="20" applyFont="1" applyFill="1" applyBorder="1" applyAlignment="1">
      <alignment horizontal="center" vertical="center"/>
    </xf>
    <xf numFmtId="0" fontId="19" fillId="10" borderId="42" xfId="20" applyFont="1" applyFill="1" applyBorder="1" applyAlignment="1">
      <alignment horizontal="center" vertical="center"/>
    </xf>
    <xf numFmtId="180" fontId="19" fillId="0" borderId="57" xfId="34" applyNumberFormat="1" applyFont="1" applyBorder="1" applyAlignment="1">
      <alignment horizontal="center" vertical="center"/>
    </xf>
    <xf numFmtId="180" fontId="19" fillId="0" borderId="59" xfId="34" applyNumberFormat="1" applyFont="1" applyBorder="1" applyAlignment="1">
      <alignment horizontal="center" vertical="center"/>
    </xf>
    <xf numFmtId="180" fontId="8" fillId="0" borderId="68" xfId="33" applyNumberFormat="1" applyFont="1" applyBorder="1" applyAlignment="1">
      <alignment horizontal="center" vertical="center"/>
    </xf>
    <xf numFmtId="180" fontId="8" fillId="0" borderId="71" xfId="33" applyNumberFormat="1" applyFont="1" applyBorder="1" applyAlignment="1">
      <alignment horizontal="center" vertical="center"/>
    </xf>
    <xf numFmtId="180" fontId="8" fillId="0" borderId="79" xfId="33" applyNumberFormat="1" applyFont="1" applyBorder="1" applyAlignment="1">
      <alignment horizontal="center" vertical="center"/>
    </xf>
    <xf numFmtId="0" fontId="8" fillId="0" borderId="1" xfId="14" applyFont="1" applyBorder="1" applyAlignment="1">
      <alignment horizontal="center" vertical="center"/>
    </xf>
    <xf numFmtId="0" fontId="19" fillId="4" borderId="80" xfId="20" applyFont="1" applyFill="1" applyBorder="1" applyAlignment="1">
      <alignment horizontal="center" vertical="center" wrapText="1"/>
    </xf>
    <xf numFmtId="0" fontId="19" fillId="4" borderId="81" xfId="20" applyFont="1" applyFill="1" applyBorder="1" applyAlignment="1">
      <alignment horizontal="center" vertical="center"/>
    </xf>
    <xf numFmtId="0" fontId="19" fillId="4" borderId="82" xfId="20" applyFont="1" applyFill="1" applyBorder="1" applyAlignment="1">
      <alignment horizontal="center" vertical="center"/>
    </xf>
    <xf numFmtId="0" fontId="27" fillId="12" borderId="63" xfId="14" applyFont="1" applyFill="1" applyBorder="1" applyAlignment="1">
      <alignment horizontal="center" vertical="center" wrapText="1"/>
    </xf>
    <xf numFmtId="0" fontId="27" fillId="12" borderId="69" xfId="14" applyFont="1" applyFill="1" applyBorder="1" applyAlignment="1">
      <alignment horizontal="center" vertical="center" wrapText="1"/>
    </xf>
    <xf numFmtId="0" fontId="27" fillId="12" borderId="75" xfId="14" applyFont="1" applyFill="1" applyBorder="1" applyAlignment="1">
      <alignment horizontal="center" vertical="center" wrapText="1"/>
    </xf>
    <xf numFmtId="180" fontId="19" fillId="0" borderId="49" xfId="34" applyNumberFormat="1" applyFont="1" applyBorder="1" applyAlignment="1">
      <alignment horizontal="center" vertical="center"/>
    </xf>
    <xf numFmtId="180" fontId="19" fillId="0" borderId="30" xfId="34" applyNumberFormat="1" applyFont="1" applyBorder="1" applyAlignment="1">
      <alignment horizontal="center" vertical="center"/>
    </xf>
    <xf numFmtId="0" fontId="8" fillId="0" borderId="17" xfId="14" applyFont="1" applyBorder="1" applyAlignment="1">
      <alignment horizontal="center" vertical="center"/>
    </xf>
    <xf numFmtId="180" fontId="19" fillId="0" borderId="86" xfId="34" applyNumberFormat="1" applyFont="1" applyBorder="1" applyAlignment="1">
      <alignment horizontal="center" vertical="center"/>
    </xf>
    <xf numFmtId="0" fontId="19" fillId="13" borderId="92" xfId="20" applyFont="1" applyFill="1" applyBorder="1" applyAlignment="1">
      <alignment horizontal="center" vertical="center" wrapText="1"/>
    </xf>
    <xf numFmtId="0" fontId="19" fillId="13" borderId="93" xfId="20" applyFont="1" applyFill="1" applyBorder="1" applyAlignment="1">
      <alignment horizontal="center" vertical="center" wrapText="1"/>
    </xf>
    <xf numFmtId="0" fontId="19" fillId="13" borderId="95" xfId="20" applyFont="1" applyFill="1" applyBorder="1" applyAlignment="1">
      <alignment horizontal="center" vertical="center" wrapText="1"/>
    </xf>
    <xf numFmtId="180" fontId="19" fillId="0" borderId="39" xfId="34" applyNumberFormat="1" applyFont="1" applyBorder="1" applyAlignment="1">
      <alignment horizontal="center" vertical="center"/>
    </xf>
    <xf numFmtId="0" fontId="19" fillId="10" borderId="80" xfId="20" applyFont="1" applyFill="1" applyBorder="1" applyAlignment="1">
      <alignment horizontal="center" vertical="center" wrapText="1"/>
    </xf>
    <xf numFmtId="0" fontId="19" fillId="10" borderId="84" xfId="20" applyFont="1" applyFill="1" applyBorder="1" applyAlignment="1">
      <alignment horizontal="center" vertical="center" wrapText="1"/>
    </xf>
    <xf numFmtId="0" fontId="19" fillId="10" borderId="81" xfId="20" applyFont="1" applyFill="1" applyBorder="1" applyAlignment="1">
      <alignment horizontal="center" vertical="center" wrapText="1"/>
    </xf>
    <xf numFmtId="0" fontId="19" fillId="10" borderId="82" xfId="20" applyFont="1" applyFill="1" applyBorder="1" applyAlignment="1">
      <alignment horizontal="center" vertical="center"/>
    </xf>
    <xf numFmtId="180" fontId="19" fillId="0" borderId="34" xfId="3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176" fontId="10" fillId="2" borderId="1" xfId="12" applyNumberFormat="1" applyFont="1" applyFill="1" applyBorder="1" applyAlignment="1">
      <alignment horizontal="center" vertical="center"/>
    </xf>
    <xf numFmtId="177" fontId="9" fillId="0" borderId="1" xfId="4" applyNumberFormat="1" applyFont="1" applyBorder="1" applyAlignment="1">
      <alignment horizontal="center" vertical="center"/>
    </xf>
    <xf numFmtId="0" fontId="28" fillId="8" borderId="3" xfId="22" applyFont="1" applyFill="1" applyBorder="1" applyAlignment="1">
      <alignment horizontal="center" vertical="center"/>
    </xf>
    <xf numFmtId="0" fontId="28" fillId="8" borderId="1" xfId="22" applyFont="1" applyFill="1" applyBorder="1" applyAlignment="1">
      <alignment horizontal="center" vertical="center"/>
    </xf>
    <xf numFmtId="0" fontId="9" fillId="0" borderId="1" xfId="12" applyFont="1" applyBorder="1" applyAlignment="1">
      <alignment horizontal="center" vertical="center"/>
    </xf>
    <xf numFmtId="179" fontId="9" fillId="0" borderId="1" xfId="4" applyNumberFormat="1" applyFont="1" applyBorder="1" applyAlignment="1">
      <alignment horizontal="center" vertical="center"/>
    </xf>
    <xf numFmtId="0" fontId="11" fillId="0" borderId="1" xfId="12" applyFont="1" applyBorder="1" applyAlignment="1">
      <alignment horizontal="center" vertical="center"/>
    </xf>
    <xf numFmtId="1" fontId="29" fillId="0" borderId="1" xfId="4" applyNumberFormat="1" applyFont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184" fontId="29" fillId="0" borderId="3" xfId="4" applyNumberFormat="1" applyFont="1" applyBorder="1" applyAlignment="1">
      <alignment horizontal="center" vertical="center"/>
    </xf>
    <xf numFmtId="0" fontId="29" fillId="0" borderId="3" xfId="4" applyFont="1" applyBorder="1" applyAlignment="1">
      <alignment horizontal="center" vertical="center"/>
    </xf>
    <xf numFmtId="184" fontId="29" fillId="0" borderId="1" xfId="4" applyNumberFormat="1" applyFont="1" applyBorder="1" applyAlignment="1">
      <alignment horizontal="center" vertical="center"/>
    </xf>
    <xf numFmtId="0" fontId="29" fillId="0" borderId="1" xfId="4" applyFont="1" applyBorder="1" applyAlignment="1">
      <alignment horizontal="center" vertical="center"/>
    </xf>
    <xf numFmtId="0" fontId="8" fillId="0" borderId="2" xfId="4" applyFont="1" applyBorder="1" applyAlignment="1">
      <alignment horizontal="center" vertical="center"/>
    </xf>
    <xf numFmtId="0" fontId="8" fillId="0" borderId="3" xfId="4" applyFont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9" fillId="3" borderId="3" xfId="4" applyFont="1" applyFill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179" fontId="12" fillId="5" borderId="1" xfId="4" applyNumberFormat="1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9" xfId="4" applyFont="1" applyBorder="1" applyAlignment="1">
      <alignment horizontal="center" vertical="center" textRotation="255"/>
    </xf>
    <xf numFmtId="0" fontId="8" fillId="0" borderId="10" xfId="4" applyFont="1" applyBorder="1" applyAlignment="1">
      <alignment horizontal="center" vertical="center" textRotation="255"/>
    </xf>
    <xf numFmtId="0" fontId="8" fillId="0" borderId="11" xfId="4" applyFont="1" applyBorder="1" applyAlignment="1">
      <alignment horizontal="center" vertical="center" textRotation="255"/>
    </xf>
    <xf numFmtId="0" fontId="8" fillId="0" borderId="9" xfId="4" applyFont="1" applyBorder="1" applyAlignment="1">
      <alignment horizontal="center" vertical="center" wrapText="1"/>
    </xf>
    <xf numFmtId="0" fontId="8" fillId="0" borderId="11" xfId="4" applyFont="1" applyBorder="1" applyAlignment="1">
      <alignment horizontal="center" vertical="center" wrapText="1"/>
    </xf>
    <xf numFmtId="0" fontId="17" fillId="14" borderId="1" xfId="12" applyFont="1" applyFill="1" applyBorder="1" applyAlignment="1">
      <alignment horizontal="center" vertical="center" wrapText="1"/>
    </xf>
    <xf numFmtId="0" fontId="8" fillId="14" borderId="1" xfId="12" applyFont="1" applyFill="1" applyBorder="1" applyAlignment="1">
      <alignment horizontal="center" vertical="center"/>
    </xf>
    <xf numFmtId="0" fontId="19" fillId="0" borderId="109" xfId="20" applyFont="1" applyBorder="1" applyAlignment="1">
      <alignment horizontal="center" vertical="center" wrapText="1"/>
    </xf>
    <xf numFmtId="0" fontId="19" fillId="0" borderId="110" xfId="20" applyFont="1" applyBorder="1" applyAlignment="1">
      <alignment horizontal="center" vertical="center" wrapText="1"/>
    </xf>
    <xf numFmtId="0" fontId="19" fillId="0" borderId="7" xfId="20" applyFont="1" applyBorder="1" applyAlignment="1">
      <alignment horizontal="center" vertical="center" wrapText="1"/>
    </xf>
    <xf numFmtId="0" fontId="19" fillId="0" borderId="8" xfId="20" applyFont="1" applyBorder="1" applyAlignment="1">
      <alignment horizontal="center" vertical="center" wrapText="1"/>
    </xf>
    <xf numFmtId="0" fontId="19" fillId="0" borderId="2" xfId="20" applyFont="1" applyBorder="1" applyAlignment="1">
      <alignment horizontal="center" vertical="center"/>
    </xf>
    <xf numFmtId="0" fontId="19" fillId="0" borderId="3" xfId="20" applyFont="1" applyBorder="1" applyAlignment="1">
      <alignment horizontal="center" vertical="center"/>
    </xf>
    <xf numFmtId="0" fontId="19" fillId="0" borderId="2" xfId="20" applyFont="1" applyBorder="1" applyAlignment="1">
      <alignment horizontal="center" vertical="center" wrapText="1"/>
    </xf>
    <xf numFmtId="0" fontId="19" fillId="0" borderId="3" xfId="20" applyFont="1" applyBorder="1" applyAlignment="1">
      <alignment horizontal="center" vertical="center" wrapText="1"/>
    </xf>
    <xf numFmtId="20" fontId="19" fillId="0" borderId="1" xfId="20" applyNumberFormat="1" applyFont="1" applyBorder="1" applyAlignment="1">
      <alignment horizontal="center" vertical="center" wrapText="1"/>
    </xf>
    <xf numFmtId="0" fontId="7" fillId="0" borderId="1" xfId="5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86" fontId="10" fillId="2" borderId="1" xfId="13" applyNumberFormat="1" applyFont="1" applyFill="1" applyBorder="1" applyAlignment="1">
      <alignment horizontal="center" vertical="center"/>
    </xf>
    <xf numFmtId="176" fontId="10" fillId="2" borderId="1" xfId="13" applyNumberFormat="1" applyFont="1" applyFill="1" applyBorder="1" applyAlignment="1">
      <alignment horizontal="center" vertical="center"/>
    </xf>
    <xf numFmtId="177" fontId="9" fillId="0" borderId="1" xfId="5" applyNumberFormat="1" applyFont="1" applyBorder="1" applyAlignment="1">
      <alignment horizontal="center" vertical="center"/>
    </xf>
    <xf numFmtId="0" fontId="28" fillId="8" borderId="3" xfId="23" applyFont="1" applyFill="1" applyBorder="1" applyAlignment="1">
      <alignment horizontal="center" vertical="center"/>
    </xf>
    <xf numFmtId="0" fontId="28" fillId="8" borderId="1" xfId="23" applyFont="1" applyFill="1" applyBorder="1" applyAlignment="1">
      <alignment horizontal="center" vertical="center"/>
    </xf>
    <xf numFmtId="0" fontId="9" fillId="0" borderId="1" xfId="13" applyFont="1" applyBorder="1" applyAlignment="1">
      <alignment horizontal="center" vertical="center"/>
    </xf>
    <xf numFmtId="179" fontId="9" fillId="0" borderId="1" xfId="5" applyNumberFormat="1" applyFont="1" applyBorder="1" applyAlignment="1">
      <alignment horizontal="center" vertical="center"/>
    </xf>
    <xf numFmtId="0" fontId="11" fillId="0" borderId="1" xfId="13" applyFont="1" applyBorder="1" applyAlignment="1">
      <alignment horizontal="center" vertical="center"/>
    </xf>
    <xf numFmtId="1" fontId="29" fillId="0" borderId="1" xfId="5" applyNumberFormat="1" applyFont="1" applyBorder="1" applyAlignment="1">
      <alignment horizontal="center" vertical="center"/>
    </xf>
    <xf numFmtId="0" fontId="8" fillId="0" borderId="5" xfId="5" applyFont="1" applyBorder="1" applyAlignment="1">
      <alignment horizontal="center" vertical="center"/>
    </xf>
    <xf numFmtId="0" fontId="8" fillId="0" borderId="6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0" fontId="8" fillId="0" borderId="8" xfId="5" applyFont="1" applyBorder="1" applyAlignment="1">
      <alignment horizontal="center" vertical="center"/>
    </xf>
    <xf numFmtId="0" fontId="29" fillId="0" borderId="3" xfId="5" applyFont="1" applyBorder="1" applyAlignment="1">
      <alignment horizontal="center" vertical="center"/>
    </xf>
    <xf numFmtId="0" fontId="29" fillId="0" borderId="1" xfId="5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9" fillId="3" borderId="2" xfId="5" applyFont="1" applyFill="1" applyBorder="1" applyAlignment="1">
      <alignment horizontal="center" vertical="center"/>
    </xf>
    <xf numFmtId="0" fontId="9" fillId="3" borderId="4" xfId="5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12" fillId="0" borderId="1" xfId="5" applyFont="1" applyBorder="1" applyAlignment="1">
      <alignment horizontal="center" vertical="center"/>
    </xf>
    <xf numFmtId="179" fontId="12" fillId="5" borderId="1" xfId="5" applyNumberFormat="1" applyFont="1" applyFill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9" xfId="5" applyFont="1" applyBorder="1" applyAlignment="1">
      <alignment horizontal="center" vertical="center" textRotation="255"/>
    </xf>
    <xf numFmtId="0" fontId="8" fillId="0" borderId="10" xfId="5" applyFont="1" applyBorder="1" applyAlignment="1">
      <alignment horizontal="center" vertical="center" textRotation="255"/>
    </xf>
    <xf numFmtId="0" fontId="8" fillId="0" borderId="11" xfId="5" applyFont="1" applyBorder="1" applyAlignment="1">
      <alignment horizontal="center" vertical="center" textRotation="255"/>
    </xf>
    <xf numFmtId="0" fontId="8" fillId="0" borderId="9" xfId="5" applyFont="1" applyBorder="1" applyAlignment="1">
      <alignment horizontal="center" vertical="center" wrapText="1"/>
    </xf>
    <xf numFmtId="0" fontId="8" fillId="0" borderId="11" xfId="5" applyFont="1" applyBorder="1" applyAlignment="1">
      <alignment horizontal="center" vertical="center" wrapText="1"/>
    </xf>
    <xf numFmtId="0" fontId="17" fillId="14" borderId="1" xfId="13" applyFont="1" applyFill="1" applyBorder="1" applyAlignment="1">
      <alignment horizontal="center" vertical="center" wrapText="1"/>
    </xf>
    <xf numFmtId="0" fontId="8" fillId="14" borderId="1" xfId="13" applyFont="1" applyFill="1" applyBorder="1" applyAlignment="1">
      <alignment horizontal="center" vertical="center"/>
    </xf>
    <xf numFmtId="14" fontId="21" fillId="0" borderId="13" xfId="23" applyNumberFormat="1" applyFont="1" applyBorder="1" applyAlignment="1">
      <alignment horizontal="left" vertical="center"/>
    </xf>
    <xf numFmtId="0" fontId="19" fillId="0" borderId="13" xfId="23" applyFont="1" applyBorder="1" applyAlignment="1">
      <alignment horizontal="center" vertical="center"/>
    </xf>
    <xf numFmtId="0" fontId="19" fillId="0" borderId="14" xfId="23" applyFont="1" applyBorder="1" applyAlignment="1">
      <alignment horizontal="center" vertical="center"/>
    </xf>
    <xf numFmtId="0" fontId="8" fillId="0" borderId="14" xfId="23" applyFont="1" applyBorder="1" applyAlignment="1">
      <alignment horizontal="center" vertical="center"/>
    </xf>
    <xf numFmtId="0" fontId="8" fillId="0" borderId="15" xfId="23" applyFont="1" applyBorder="1" applyAlignment="1">
      <alignment horizontal="center" vertical="center"/>
    </xf>
    <xf numFmtId="0" fontId="23" fillId="0" borderId="13" xfId="23" applyFont="1" applyBorder="1" applyAlignment="1">
      <alignment horizontal="center" vertical="center"/>
    </xf>
    <xf numFmtId="0" fontId="23" fillId="0" borderId="14" xfId="23" applyFont="1" applyBorder="1" applyAlignment="1">
      <alignment horizontal="center" vertical="center"/>
    </xf>
    <xf numFmtId="0" fontId="21" fillId="0" borderId="13" xfId="23" applyFont="1" applyBorder="1" applyAlignment="1">
      <alignment horizontal="center" vertical="center"/>
    </xf>
    <xf numFmtId="0" fontId="8" fillId="8" borderId="13" xfId="23" applyFont="1" applyFill="1" applyBorder="1" applyAlignment="1">
      <alignment horizontal="center" vertical="center"/>
    </xf>
    <xf numFmtId="0" fontId="8" fillId="8" borderId="14" xfId="23" applyFont="1" applyFill="1" applyBorder="1" applyAlignment="1">
      <alignment horizontal="center" vertical="center"/>
    </xf>
    <xf numFmtId="0" fontId="8" fillId="10" borderId="13" xfId="23" applyFont="1" applyFill="1" applyBorder="1" applyAlignment="1">
      <alignment horizontal="center" vertical="center" wrapText="1"/>
    </xf>
    <xf numFmtId="0" fontId="8" fillId="10" borderId="14" xfId="23" applyFont="1" applyFill="1" applyBorder="1" applyAlignment="1">
      <alignment horizontal="center" vertical="center" wrapText="1"/>
    </xf>
    <xf numFmtId="0" fontId="8" fillId="0" borderId="13" xfId="23" applyFont="1" applyBorder="1" applyAlignment="1">
      <alignment horizontal="center" vertical="center" wrapText="1"/>
    </xf>
    <xf numFmtId="0" fontId="8" fillId="0" borderId="14" xfId="23" applyFont="1" applyBorder="1" applyAlignment="1">
      <alignment horizontal="center" vertical="center" wrapText="1"/>
    </xf>
    <xf numFmtId="0" fontId="8" fillId="3" borderId="13" xfId="23" applyFont="1" applyFill="1" applyBorder="1" applyAlignment="1">
      <alignment horizontal="center" vertical="center"/>
    </xf>
    <xf numFmtId="0" fontId="8" fillId="3" borderId="14" xfId="23" applyFont="1" applyFill="1" applyBorder="1" applyAlignment="1">
      <alignment horizontal="center" vertical="center"/>
    </xf>
    <xf numFmtId="0" fontId="8" fillId="9" borderId="13" xfId="23" applyFont="1" applyFill="1" applyBorder="1" applyAlignment="1">
      <alignment horizontal="center" vertical="center"/>
    </xf>
    <xf numFmtId="0" fontId="8" fillId="9" borderId="14" xfId="23" applyFont="1" applyFill="1" applyBorder="1" applyAlignment="1">
      <alignment horizontal="center" vertical="center"/>
    </xf>
    <xf numFmtId="0" fontId="8" fillId="4" borderId="13" xfId="23" applyFont="1" applyFill="1" applyBorder="1" applyAlignment="1">
      <alignment horizontal="center" vertical="center"/>
    </xf>
    <xf numFmtId="0" fontId="8" fillId="4" borderId="14" xfId="23" applyFont="1" applyFill="1" applyBorder="1" applyAlignment="1">
      <alignment horizontal="center" vertical="center"/>
    </xf>
    <xf numFmtId="0" fontId="8" fillId="8" borderId="27" xfId="23" applyFont="1" applyFill="1" applyBorder="1" applyAlignment="1">
      <alignment horizontal="center" vertical="center"/>
    </xf>
    <xf numFmtId="0" fontId="30" fillId="8" borderId="1" xfId="13" applyFont="1" applyFill="1" applyBorder="1" applyAlignment="1">
      <alignment horizontal="center" vertical="center" wrapText="1"/>
    </xf>
    <xf numFmtId="0" fontId="25" fillId="8" borderId="1" xfId="13" applyFont="1" applyFill="1" applyBorder="1" applyAlignment="1">
      <alignment horizontal="center" vertical="center"/>
    </xf>
    <xf numFmtId="0" fontId="19" fillId="0" borderId="1" xfId="23" applyFont="1" applyBorder="1" applyAlignment="1">
      <alignment horizontal="center" vertical="center"/>
    </xf>
    <xf numFmtId="0" fontId="8" fillId="5" borderId="13" xfId="23" applyFont="1" applyFill="1" applyBorder="1" applyAlignment="1">
      <alignment horizontal="center" vertical="center"/>
    </xf>
    <xf numFmtId="0" fontId="8" fillId="5" borderId="14" xfId="23" applyFont="1" applyFill="1" applyBorder="1" applyAlignment="1">
      <alignment horizontal="center" vertical="center"/>
    </xf>
    <xf numFmtId="0" fontId="8" fillId="8" borderId="13" xfId="23" applyFont="1" applyFill="1" applyBorder="1" applyAlignment="1">
      <alignment horizontal="center" vertical="center" wrapText="1"/>
    </xf>
    <xf numFmtId="0" fontId="19" fillId="9" borderId="30" xfId="23" applyFont="1" applyFill="1" applyBorder="1" applyAlignment="1">
      <alignment horizontal="center" vertical="center"/>
    </xf>
    <xf numFmtId="0" fontId="19" fillId="9" borderId="39" xfId="23" applyFont="1" applyFill="1" applyBorder="1" applyAlignment="1">
      <alignment horizontal="center" vertical="center"/>
    </xf>
    <xf numFmtId="0" fontId="19" fillId="5" borderId="13" xfId="23" applyFont="1" applyFill="1" applyBorder="1" applyAlignment="1">
      <alignment horizontal="center" vertical="center"/>
    </xf>
    <xf numFmtId="0" fontId="19" fillId="5" borderId="14" xfId="23" applyFont="1" applyFill="1" applyBorder="1" applyAlignment="1">
      <alignment horizontal="center" vertical="center"/>
    </xf>
    <xf numFmtId="0" fontId="19" fillId="10" borderId="13" xfId="23" applyFont="1" applyFill="1" applyBorder="1" applyAlignment="1">
      <alignment horizontal="center" vertical="center" wrapText="1"/>
    </xf>
    <xf numFmtId="0" fontId="19" fillId="10" borderId="14" xfId="23" applyFont="1" applyFill="1" applyBorder="1" applyAlignment="1">
      <alignment horizontal="center" vertical="center" wrapText="1"/>
    </xf>
    <xf numFmtId="0" fontId="19" fillId="0" borderId="17" xfId="23" applyFont="1" applyBorder="1" applyAlignment="1">
      <alignment horizontal="center" vertical="center"/>
    </xf>
    <xf numFmtId="0" fontId="19" fillId="0" borderId="1" xfId="23" applyFont="1" applyBorder="1" applyAlignment="1">
      <alignment horizontal="center" vertical="center" wrapText="1"/>
    </xf>
    <xf numFmtId="0" fontId="22" fillId="0" borderId="1" xfId="23" applyFont="1" applyBorder="1" applyAlignment="1">
      <alignment horizontal="center" vertical="center" wrapText="1"/>
    </xf>
    <xf numFmtId="0" fontId="22" fillId="0" borderId="1" xfId="23" applyFont="1" applyBorder="1" applyAlignment="1">
      <alignment horizontal="center" vertical="center"/>
    </xf>
    <xf numFmtId="0" fontId="22" fillId="0" borderId="9" xfId="23" applyFont="1" applyBorder="1" applyAlignment="1">
      <alignment horizontal="center" vertical="center"/>
    </xf>
    <xf numFmtId="0" fontId="19" fillId="11" borderId="44" xfId="23" applyFont="1" applyFill="1" applyBorder="1" applyAlignment="1"/>
    <xf numFmtId="0" fontId="19" fillId="0" borderId="50" xfId="23" applyFont="1" applyBorder="1" applyAlignment="1">
      <alignment horizontal="center" vertical="center"/>
    </xf>
    <xf numFmtId="0" fontId="19" fillId="10" borderId="16" xfId="23" applyFont="1" applyFill="1" applyBorder="1" applyAlignment="1">
      <alignment horizontal="center" vertical="center" wrapText="1"/>
    </xf>
    <xf numFmtId="0" fontId="19" fillId="10" borderId="24" xfId="23" applyFont="1" applyFill="1" applyBorder="1" applyAlignment="1">
      <alignment horizontal="center" vertical="center"/>
    </xf>
    <xf numFmtId="0" fontId="19" fillId="10" borderId="35" xfId="23" applyFont="1" applyFill="1" applyBorder="1" applyAlignment="1">
      <alignment horizontal="center" vertical="center"/>
    </xf>
    <xf numFmtId="0" fontId="19" fillId="10" borderId="42" xfId="23" applyFont="1" applyFill="1" applyBorder="1" applyAlignment="1">
      <alignment horizontal="center" vertical="center"/>
    </xf>
    <xf numFmtId="0" fontId="19" fillId="3" borderId="16" xfId="23" applyFont="1" applyFill="1" applyBorder="1" applyAlignment="1">
      <alignment horizontal="center" vertical="center" wrapText="1"/>
    </xf>
    <xf numFmtId="0" fontId="19" fillId="3" borderId="24" xfId="23" applyFont="1" applyFill="1" applyBorder="1" applyAlignment="1">
      <alignment horizontal="center" vertical="center"/>
    </xf>
    <xf numFmtId="0" fontId="19" fillId="3" borderId="35" xfId="23" applyFont="1" applyFill="1" applyBorder="1" applyAlignment="1">
      <alignment horizontal="center" vertical="center"/>
    </xf>
    <xf numFmtId="0" fontId="19" fillId="3" borderId="42" xfId="23" applyFont="1" applyFill="1" applyBorder="1" applyAlignment="1">
      <alignment horizontal="center" vertical="center"/>
    </xf>
    <xf numFmtId="0" fontId="27" fillId="12" borderId="63" xfId="18" applyFont="1" applyFill="1" applyBorder="1" applyAlignment="1">
      <alignment horizontal="center" vertical="center" wrapText="1"/>
    </xf>
    <xf numFmtId="0" fontId="27" fillId="12" borderId="69" xfId="18" applyFont="1" applyFill="1" applyBorder="1" applyAlignment="1">
      <alignment horizontal="center" vertical="center" wrapText="1"/>
    </xf>
    <xf numFmtId="0" fontId="27" fillId="12" borderId="75" xfId="18" applyFont="1" applyFill="1" applyBorder="1" applyAlignment="1">
      <alignment horizontal="center" vertical="center" wrapText="1"/>
    </xf>
    <xf numFmtId="0" fontId="8" fillId="0" borderId="17" xfId="18" applyFont="1" applyBorder="1" applyAlignment="1">
      <alignment horizontal="center" vertical="center"/>
    </xf>
    <xf numFmtId="0" fontId="19" fillId="4" borderId="51" xfId="23" applyFont="1" applyFill="1" applyBorder="1" applyAlignment="1">
      <alignment horizontal="center" vertical="center" wrapText="1"/>
    </xf>
    <xf numFmtId="0" fontId="19" fillId="4" borderId="56" xfId="23" applyFont="1" applyFill="1" applyBorder="1" applyAlignment="1">
      <alignment horizontal="center" vertical="center"/>
    </xf>
    <xf numFmtId="0" fontId="19" fillId="4" borderId="106" xfId="23" applyFont="1" applyFill="1" applyBorder="1" applyAlignment="1">
      <alignment horizontal="center" vertical="center"/>
    </xf>
    <xf numFmtId="0" fontId="19" fillId="11" borderId="107" xfId="23" applyFont="1" applyFill="1" applyBorder="1" applyAlignment="1"/>
    <xf numFmtId="0" fontId="19" fillId="11" borderId="108" xfId="23" applyFont="1" applyFill="1" applyBorder="1" applyAlignment="1"/>
    <xf numFmtId="9" fontId="19" fillId="0" borderId="50" xfId="32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0" fontId="19" fillId="10" borderId="80" xfId="23" applyFont="1" applyFill="1" applyBorder="1" applyAlignment="1">
      <alignment horizontal="center" vertical="center" wrapText="1"/>
    </xf>
    <xf numFmtId="0" fontId="19" fillId="10" borderId="84" xfId="23" applyFont="1" applyFill="1" applyBorder="1" applyAlignment="1">
      <alignment horizontal="center" vertical="center" wrapText="1"/>
    </xf>
    <xf numFmtId="0" fontId="19" fillId="10" borderId="81" xfId="23" applyFont="1" applyFill="1" applyBorder="1" applyAlignment="1">
      <alignment horizontal="center" vertical="center" wrapText="1"/>
    </xf>
    <xf numFmtId="0" fontId="19" fillId="10" borderId="82" xfId="23" applyFont="1" applyFill="1" applyBorder="1" applyAlignment="1">
      <alignment horizontal="center" vertical="center"/>
    </xf>
    <xf numFmtId="0" fontId="19" fillId="4" borderId="80" xfId="23" applyFont="1" applyFill="1" applyBorder="1" applyAlignment="1">
      <alignment horizontal="center" vertical="center" wrapText="1"/>
    </xf>
    <xf numFmtId="0" fontId="19" fillId="4" borderId="81" xfId="23" applyFont="1" applyFill="1" applyBorder="1" applyAlignment="1">
      <alignment horizontal="center" vertical="center"/>
    </xf>
    <xf numFmtId="0" fontId="19" fillId="4" borderId="82" xfId="23" applyFont="1" applyFill="1" applyBorder="1" applyAlignment="1">
      <alignment horizontal="center" vertical="center"/>
    </xf>
    <xf numFmtId="0" fontId="19" fillId="13" borderId="92" xfId="23" applyFont="1" applyFill="1" applyBorder="1" applyAlignment="1">
      <alignment horizontal="center" vertical="center" wrapText="1"/>
    </xf>
    <xf numFmtId="0" fontId="19" fillId="13" borderId="93" xfId="23" applyFont="1" applyFill="1" applyBorder="1" applyAlignment="1">
      <alignment horizontal="center" vertical="center" wrapText="1"/>
    </xf>
    <xf numFmtId="0" fontId="19" fillId="13" borderId="95" xfId="23" applyFont="1" applyFill="1" applyBorder="1" applyAlignment="1">
      <alignment horizontal="center" vertical="center" wrapText="1"/>
    </xf>
  </cellXfs>
  <cellStyles count="35">
    <cellStyle name="一般" xfId="0" builtinId="0"/>
    <cellStyle name="一般 2" xfId="1" xr:uid="{F94DDA6A-D542-493C-90FE-7FA14B40041B}"/>
    <cellStyle name="一般 2 17 2" xfId="2" xr:uid="{00000000-0005-0000-0000-000001000000}"/>
    <cellStyle name="一般 2 17 2 2" xfId="3" xr:uid="{E01C5B43-548A-48D1-B333-4387A262A509}"/>
    <cellStyle name="一般 2 17 2 3" xfId="4" xr:uid="{CC6E623B-BD55-451E-9292-CDC43CC61256}"/>
    <cellStyle name="一般 2 17 2 4" xfId="5" xr:uid="{6854FE73-1D71-4778-B8EF-E0C70D2E3F6D}"/>
    <cellStyle name="一般 2 18" xfId="6" xr:uid="{00000000-0005-0000-0000-000002000000}"/>
    <cellStyle name="一般 2 18 2" xfId="7" xr:uid="{03161FD6-4425-4262-BB2E-6D1063ACF793}"/>
    <cellStyle name="一般 2 18 3" xfId="8" xr:uid="{31F1E51B-F9BF-4F3C-A967-B8FABF2A3A2B}"/>
    <cellStyle name="一般 2 18 4" xfId="9" xr:uid="{10281749-0702-4AA1-AE50-B7A6C8557806}"/>
    <cellStyle name="一般 2 2 2 2" xfId="10" xr:uid="{00000000-0005-0000-0000-000003000000}"/>
    <cellStyle name="一般 2 2 2 2 2" xfId="11" xr:uid="{DA50E455-3E19-4382-87FF-86AEE4927DF6}"/>
    <cellStyle name="一般 2 2 2 2 3" xfId="12" xr:uid="{804AD48E-FC35-4B36-A245-ABEA8153CA9F}"/>
    <cellStyle name="一般 2 2 2 2 4" xfId="13" xr:uid="{2FBE6B92-12E4-4011-A11A-7DA9C2D263AC}"/>
    <cellStyle name="一般 2 2 4" xfId="14" xr:uid="{00000000-0005-0000-0000-000004000000}"/>
    <cellStyle name="一般 2 2 4 2" xfId="15" xr:uid="{01302544-1802-4AFB-AC12-3C2E43DC83D6}"/>
    <cellStyle name="一般 2 2 4 3" xfId="16" xr:uid="{5CF42824-9C19-40E7-B382-3C290E62F3B6}"/>
    <cellStyle name="一般 2 2 4 4" xfId="17" xr:uid="{774F93B0-8056-4358-BD47-9DF717D8B889}"/>
    <cellStyle name="一般 2 2 4 5" xfId="18" xr:uid="{21F26EBC-C5FD-4CDE-A513-5F94663C7F1A}"/>
    <cellStyle name="一般 2 4 2" xfId="19" xr:uid="{00000000-0005-0000-0000-000005000000}"/>
    <cellStyle name="一般 2 8" xfId="20" xr:uid="{00000000-0005-0000-0000-000006000000}"/>
    <cellStyle name="一般 2 8 2" xfId="21" xr:uid="{334CB01B-E727-4275-8081-33B90D63854F}"/>
    <cellStyle name="一般 2 8 3" xfId="22" xr:uid="{F9F17BE2-5138-4A5C-8014-00D35F5AE168}"/>
    <cellStyle name="一般 2 8 4" xfId="23" xr:uid="{FEBE4050-B4EC-498B-B5E8-8E21BA208504}"/>
    <cellStyle name="千分位 2 8" xfId="24" xr:uid="{00000000-0005-0000-0000-000007000000}"/>
    <cellStyle name="千分位 2 8 2" xfId="25" xr:uid="{BB0D4EC8-904D-4466-883D-5E832DE73CA2}"/>
    <cellStyle name="千分位 2 8 3" xfId="26" xr:uid="{E1A231BD-C8F7-4A2E-B3AE-D5A9B17E8DFD}"/>
    <cellStyle name="千分位 2 8 4" xfId="27" xr:uid="{5DED1BBE-0BE6-4A43-B2E8-7C83693BF067}"/>
    <cellStyle name="千分位 9 5" xfId="28" xr:uid="{00000000-0005-0000-0000-000008000000}"/>
    <cellStyle name="百分比 2 2 2 2" xfId="29" xr:uid="{00000000-0005-0000-0000-000009000000}"/>
    <cellStyle name="百分比 2 2 2 2 2" xfId="30" xr:uid="{5BC30C65-EF5D-4641-9B4F-74412295E429}"/>
    <cellStyle name="百分比 2 2 2 2 3" xfId="31" xr:uid="{A0547F8E-D90B-4D71-A6F8-84102F8BF3BC}"/>
    <cellStyle name="百分比 2 2 2 2 4" xfId="32" xr:uid="{19100027-B114-4DBB-B02D-039F214A3907}"/>
    <cellStyle name="百分比 2 5" xfId="33" xr:uid="{00000000-0005-0000-0000-00000A000000}"/>
    <cellStyle name="百分比 7" xfId="34" xr:uid="{00000000-0005-0000-0000-00000B000000}"/>
  </cellStyles>
  <dxfs count="321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75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Desktop\&#29983;&#29986;&#26085;&#22577;(&#24037;&#24288;&#23492;)\&#38263;&#23478;\114.12\&#20154;&#26178;&#24615;\&#38263;&#23478;&#29983;&#29986;&#26085;&#22577;1201-12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&#39135;&#30740;&#25152;&#25903;&#25588;&#23560;&#26696;&#32371;&#20132;&#36039;&#26009;\08&#26376;&#21322;&#25104;&#21697;&#21450;&#26085;&#22577;&#32371;&#20132;&#34389;\&#38263;&#23478;&#29983;&#29986;&#26085;&#22577;&#34920;(0801-0816).xlsx" TargetMode="External"/><Relationship Id="rId1" Type="http://schemas.openxmlformats.org/officeDocument/2006/relationships/externalLinkPath" Target="&#38263;&#23478;&#29983;&#29986;&#26085;&#22577;&#34920;(0801-08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廠價表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廠價表"/>
      <sheetName val="產線配置圖"/>
      <sheetName val="範本總"/>
      <sheetName val="範本"/>
      <sheetName val="0801總"/>
      <sheetName val="0801"/>
      <sheetName val="0802總"/>
      <sheetName val="0802"/>
      <sheetName val="0803總"/>
      <sheetName val="0803"/>
      <sheetName val="0804總"/>
      <sheetName val="0804"/>
      <sheetName val="0805總"/>
      <sheetName val="0805"/>
      <sheetName val="0806總"/>
      <sheetName val="0806"/>
      <sheetName val="0807總"/>
      <sheetName val="0807"/>
      <sheetName val="0808總"/>
      <sheetName val="0808"/>
      <sheetName val="0809總"/>
      <sheetName val="0809"/>
      <sheetName val="0810總"/>
      <sheetName val="0810"/>
      <sheetName val="0811總"/>
      <sheetName val="0811"/>
      <sheetName val="0812總"/>
      <sheetName val="0812"/>
      <sheetName val="0813總"/>
      <sheetName val="0813"/>
      <sheetName val="0814總"/>
      <sheetName val="0814"/>
      <sheetName val="0815總"/>
      <sheetName val="0815"/>
      <sheetName val="0816總"/>
      <sheetName val="0816"/>
      <sheetName val="0817總"/>
      <sheetName val="0817"/>
      <sheetName val="0819總"/>
      <sheetName val="0819"/>
      <sheetName val="0820總"/>
      <sheetName val="0820"/>
      <sheetName val="0821總"/>
      <sheetName val="0821"/>
      <sheetName val="0822總"/>
      <sheetName val="0822"/>
      <sheetName val="0823總"/>
      <sheetName val="0823"/>
      <sheetName val="0824總"/>
      <sheetName val="0824"/>
      <sheetName val="0825總"/>
      <sheetName val="0825"/>
      <sheetName val="0826總"/>
      <sheetName val="0826"/>
      <sheetName val="0827總"/>
      <sheetName val="0827"/>
      <sheetName val="0828總"/>
      <sheetName val="0828"/>
      <sheetName val="0829總"/>
      <sheetName val="0829"/>
      <sheetName val="0830總"/>
      <sheetName val="0830"/>
      <sheetName val="0831總"/>
      <sheetName val="0831"/>
    </sheetNames>
    <sheetDataSet>
      <sheetData sheetId="0" refreshError="1">
        <row r="1">
          <cell r="C1" t="str">
            <v>品名</v>
          </cell>
          <cell r="D1" t="str">
            <v>類別</v>
          </cell>
          <cell r="E1" t="str">
            <v>廠價</v>
          </cell>
        </row>
        <row r="2">
          <cell r="C2" t="str">
            <v>奶油鮮蝦明太子細扁麵</v>
          </cell>
          <cell r="D2" t="str">
            <v>義大利麵</v>
          </cell>
          <cell r="E2">
            <v>57.21</v>
          </cell>
        </row>
        <row r="3">
          <cell r="C3" t="str">
            <v>白酒清炒鮮蛤義大利麵</v>
          </cell>
          <cell r="D3" t="str">
            <v>義大利麵</v>
          </cell>
          <cell r="E3">
            <v>56.87</v>
          </cell>
        </row>
        <row r="4">
          <cell r="C4" t="str">
            <v>義式蕃茄起司義大利麵</v>
          </cell>
          <cell r="D4" t="str">
            <v>義大利麵</v>
          </cell>
          <cell r="E4">
            <v>50.39</v>
          </cell>
        </row>
        <row r="5">
          <cell r="C5" t="str">
            <v>焗烤起司雙饗筆尖麵</v>
          </cell>
          <cell r="D5" t="str">
            <v>義大利麵</v>
          </cell>
          <cell r="E5">
            <v>49.97</v>
          </cell>
        </row>
        <row r="6">
          <cell r="C6" t="str">
            <v>奶油培根義大利麵</v>
          </cell>
          <cell r="D6" t="str">
            <v>義大利麵</v>
          </cell>
          <cell r="E6">
            <v>49.14</v>
          </cell>
        </row>
        <row r="7">
          <cell r="C7" t="str">
            <v>香煎魚排佐檸檬奶油義大利麵</v>
          </cell>
          <cell r="D7" t="str">
            <v>義大利麵</v>
          </cell>
          <cell r="E7">
            <v>58.17</v>
          </cell>
        </row>
        <row r="8">
          <cell r="C8" t="str">
            <v>青醬蛤蜊義大利麵</v>
          </cell>
          <cell r="D8" t="str">
            <v>義大利麵</v>
          </cell>
          <cell r="E8">
            <v>50.67</v>
          </cell>
        </row>
        <row r="9">
          <cell r="C9" t="str">
            <v>金沙豆腐義大利麵</v>
          </cell>
          <cell r="D9" t="str">
            <v>義大利麵</v>
          </cell>
          <cell r="E9">
            <v>49.91</v>
          </cell>
        </row>
        <row r="10">
          <cell r="C10" t="str">
            <v>黑松露野菇義大利麵</v>
          </cell>
          <cell r="D10" t="str">
            <v>義大利麵</v>
          </cell>
          <cell r="E10">
            <v>50.289000000000001</v>
          </cell>
        </row>
        <row r="11">
          <cell r="C11" t="str">
            <v>蒜香奶油蝦蝦義大利麵</v>
          </cell>
          <cell r="D11" t="str">
            <v>義大利麵</v>
          </cell>
          <cell r="E11">
            <v>57.21</v>
          </cell>
        </row>
        <row r="12">
          <cell r="C12" t="str">
            <v>鱈魚粉紅青醬筆尖麵</v>
          </cell>
          <cell r="D12" t="str">
            <v>義大利麵</v>
          </cell>
          <cell r="E12">
            <v>43.89</v>
          </cell>
        </row>
        <row r="13">
          <cell r="C13" t="str">
            <v>羅馬黑胡椒起司義大利麵</v>
          </cell>
          <cell r="D13" t="str">
            <v>義大利麵</v>
          </cell>
          <cell r="E13">
            <v>50.67</v>
          </cell>
        </row>
        <row r="14">
          <cell r="C14" t="str">
            <v>義式蛋蛋青醬鮪魚冷義大利麵</v>
          </cell>
          <cell r="D14" t="str">
            <v>義大利麵</v>
          </cell>
          <cell r="E14">
            <v>45.66</v>
          </cell>
        </row>
        <row r="15">
          <cell r="C15" t="str">
            <v>蕃茄莎莎海鮮冷義大利麵</v>
          </cell>
          <cell r="D15" t="str">
            <v>義大利麵</v>
          </cell>
          <cell r="E15">
            <v>46.34</v>
          </cell>
        </row>
        <row r="16">
          <cell r="C16" t="str">
            <v>青花椒麻雞肉拌麵</v>
          </cell>
          <cell r="D16" t="str">
            <v>熱乾麵</v>
          </cell>
          <cell r="E16">
            <v>49.91</v>
          </cell>
        </row>
        <row r="17">
          <cell r="C17" t="str">
            <v>府城鹽水意麵</v>
          </cell>
          <cell r="D17" t="str">
            <v>熱乾麵</v>
          </cell>
          <cell r="E17">
            <v>44.3</v>
          </cell>
        </row>
        <row r="18">
          <cell r="C18" t="str">
            <v>沙茶豬肉炒麵</v>
          </cell>
          <cell r="D18" t="str">
            <v>熱乾麵</v>
          </cell>
          <cell r="E18">
            <v>49.52</v>
          </cell>
        </row>
        <row r="19">
          <cell r="C19" t="str">
            <v>番茄蘑菇義大利麵</v>
          </cell>
          <cell r="D19" t="str">
            <v>義大利麵</v>
          </cell>
          <cell r="E19">
            <v>43.89</v>
          </cell>
        </row>
        <row r="20">
          <cell r="D20" t="str">
            <v>義大利麵</v>
          </cell>
        </row>
        <row r="21">
          <cell r="D21" t="str">
            <v>義大利麵</v>
          </cell>
        </row>
        <row r="22">
          <cell r="D22" t="str">
            <v>義大利麵</v>
          </cell>
        </row>
        <row r="23">
          <cell r="C23" t="str">
            <v>韓式炒冬粉</v>
          </cell>
          <cell r="D23" t="str">
            <v>小吃、微波</v>
          </cell>
          <cell r="E23">
            <v>28.26</v>
          </cell>
        </row>
        <row r="24">
          <cell r="C24" t="str">
            <v>小滷青蔬</v>
          </cell>
          <cell r="D24" t="str">
            <v>小吃、微波</v>
          </cell>
          <cell r="E24">
            <v>26.99</v>
          </cell>
        </row>
        <row r="25">
          <cell r="C25" t="str">
            <v>起司馬鈴薯</v>
          </cell>
          <cell r="D25" t="str">
            <v>小吃、微波</v>
          </cell>
          <cell r="E25">
            <v>28.26</v>
          </cell>
        </row>
        <row r="26">
          <cell r="C26" t="str">
            <v>麻辣雞心</v>
          </cell>
          <cell r="D26" t="str">
            <v>小吃、微波</v>
          </cell>
          <cell r="E26">
            <v>28.26</v>
          </cell>
        </row>
      </sheetData>
      <sheetData sheetId="1" refreshError="1">
        <row r="3">
          <cell r="A3" t="str">
            <v>白酒清炒鮮蛤義大利麵</v>
          </cell>
          <cell r="B3">
            <v>15</v>
          </cell>
          <cell r="C3">
            <v>2250</v>
          </cell>
        </row>
        <row r="4">
          <cell r="A4" t="str">
            <v>白酒清炒鮮蛤義大利麵-手</v>
          </cell>
          <cell r="B4">
            <v>15</v>
          </cell>
          <cell r="C4">
            <v>1716</v>
          </cell>
        </row>
        <row r="5">
          <cell r="A5" t="str">
            <v>青醬蛤蜊義大利麵</v>
          </cell>
          <cell r="B5">
            <v>13</v>
          </cell>
          <cell r="C5">
            <v>2250</v>
          </cell>
        </row>
        <row r="6">
          <cell r="A6" t="str">
            <v>青醬蛤蜊義大利麵-手</v>
          </cell>
          <cell r="B6">
            <v>16</v>
          </cell>
          <cell r="C6">
            <v>1714</v>
          </cell>
        </row>
        <row r="7">
          <cell r="A7" t="str">
            <v>義式蕃茄起司義大利麵</v>
          </cell>
          <cell r="B7">
            <v>12</v>
          </cell>
          <cell r="C7">
            <v>2250</v>
          </cell>
        </row>
        <row r="8">
          <cell r="A8" t="str">
            <v>奶油培根義大利麵</v>
          </cell>
          <cell r="B8">
            <v>15</v>
          </cell>
          <cell r="C8">
            <v>2250</v>
          </cell>
        </row>
        <row r="9">
          <cell r="A9" t="str">
            <v>蒜香奶油蝦蝦義大利麵</v>
          </cell>
          <cell r="B9">
            <v>17</v>
          </cell>
          <cell r="C9">
            <v>2250</v>
          </cell>
        </row>
        <row r="10">
          <cell r="A10" t="str">
            <v>蒜香奶油蝦蝦義大利麵-手</v>
          </cell>
          <cell r="B10">
            <v>17</v>
          </cell>
          <cell r="C10">
            <v>1716</v>
          </cell>
        </row>
        <row r="11">
          <cell r="A11" t="str">
            <v>鱈魚粉紅青醬筆尖麵</v>
          </cell>
          <cell r="B11">
            <v>14</v>
          </cell>
          <cell r="C11">
            <v>1565</v>
          </cell>
        </row>
        <row r="12">
          <cell r="A12" t="str">
            <v>香煎魚排佐檸檬奶油義大利麵</v>
          </cell>
          <cell r="B12">
            <v>13</v>
          </cell>
          <cell r="C12">
            <v>2250</v>
          </cell>
        </row>
        <row r="13">
          <cell r="A13" t="str">
            <v>黑松露野菇義大利麵</v>
          </cell>
          <cell r="B13">
            <v>17</v>
          </cell>
          <cell r="C13">
            <v>1636</v>
          </cell>
        </row>
        <row r="14">
          <cell r="A14" t="str">
            <v>青花椒麻雞肉拌麵</v>
          </cell>
          <cell r="B14">
            <v>16</v>
          </cell>
          <cell r="C14">
            <v>1714</v>
          </cell>
        </row>
        <row r="15">
          <cell r="A15" t="str">
            <v>焗烤起司雙饗筆尖麵</v>
          </cell>
          <cell r="B15">
            <v>16</v>
          </cell>
          <cell r="C15">
            <v>1800</v>
          </cell>
        </row>
        <row r="16">
          <cell r="A16" t="str">
            <v>沙茶豬肉炒麵</v>
          </cell>
          <cell r="B16">
            <v>17</v>
          </cell>
          <cell r="C16">
            <v>1800</v>
          </cell>
        </row>
        <row r="17">
          <cell r="A17" t="str">
            <v>府城鹽水意麵</v>
          </cell>
          <cell r="B17">
            <v>18</v>
          </cell>
          <cell r="C17">
            <v>1636</v>
          </cell>
        </row>
        <row r="18">
          <cell r="A18" t="str">
            <v>羅馬黑胡椒起司義大利麵</v>
          </cell>
          <cell r="B18">
            <v>17</v>
          </cell>
          <cell r="C18">
            <v>2250</v>
          </cell>
        </row>
        <row r="19">
          <cell r="A19" t="str">
            <v>羅馬黑胡椒起司義大利麵-自動</v>
          </cell>
          <cell r="B19">
            <v>14</v>
          </cell>
          <cell r="C19">
            <v>2250</v>
          </cell>
        </row>
        <row r="20">
          <cell r="A20" t="str">
            <v>義式蛋蛋青醬鮪魚冷義大利麵</v>
          </cell>
          <cell r="B20">
            <v>17</v>
          </cell>
          <cell r="C20">
            <v>1636</v>
          </cell>
        </row>
        <row r="21">
          <cell r="A21" t="str">
            <v>蕃茄莎莎海鮮冷義大利麵</v>
          </cell>
          <cell r="B21">
            <v>16</v>
          </cell>
          <cell r="C21">
            <v>1636</v>
          </cell>
        </row>
        <row r="22">
          <cell r="A22" t="str">
            <v>金沙豆腐義大利麵</v>
          </cell>
          <cell r="B22">
            <v>18</v>
          </cell>
          <cell r="C22">
            <v>2250</v>
          </cell>
        </row>
        <row r="23">
          <cell r="A23" t="str">
            <v>奶油鮮蝦明太子細扁麵</v>
          </cell>
          <cell r="B23">
            <v>18</v>
          </cell>
          <cell r="C23">
            <v>1636</v>
          </cell>
        </row>
        <row r="24">
          <cell r="A24" t="str">
            <v>番茄蘑菇義大利麵</v>
          </cell>
          <cell r="B24">
            <v>13</v>
          </cell>
          <cell r="C24">
            <v>1565</v>
          </cell>
        </row>
        <row r="26">
          <cell r="A26" t="str">
            <v>調理包</v>
          </cell>
        </row>
        <row r="27">
          <cell r="A27" t="str">
            <v>小滷青蔬</v>
          </cell>
          <cell r="B27">
            <v>15</v>
          </cell>
          <cell r="C27">
            <v>1636</v>
          </cell>
        </row>
        <row r="28">
          <cell r="A28" t="str">
            <v>起司馬鈴薯</v>
          </cell>
          <cell r="B28">
            <v>11</v>
          </cell>
          <cell r="C28">
            <v>1636</v>
          </cell>
        </row>
        <row r="29">
          <cell r="A29" t="str">
            <v>麻辣雞心</v>
          </cell>
          <cell r="B29">
            <v>11</v>
          </cell>
          <cell r="C29">
            <v>1636</v>
          </cell>
        </row>
        <row r="30">
          <cell r="A30" t="str">
            <v>韓式炒冬粉</v>
          </cell>
          <cell r="B30">
            <v>11</v>
          </cell>
          <cell r="C30">
            <v>1636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F599-2E13-43BF-8E2B-E361608A8619}" name="表格1" displayName="表格1" ref="A1:E55" totalsRowShown="0">
  <autoFilter ref="A1:E55" xr:uid="{A3D7F599-2E13-43BF-8E2B-E361608A8619}"/>
  <tableColumns count="5">
    <tableColumn id="1" xr3:uid="{26251F6B-0C35-451C-8612-21B2F3237164}" name="check" dataDxfId="320"/>
    <tableColumn id="2" xr3:uid="{0EF7F6B4-9C0C-43CE-A51A-B1FB93D7A59A}" name="溫層"/>
    <tableColumn id="4" xr3:uid="{DA95F27F-5DFE-4BF9-8388-9DBA4A1DA9CF}" name="品名"/>
    <tableColumn id="3" xr3:uid="{ACECD0F5-20A8-4FF2-BD6D-4A5318DD557B}" name="類別"/>
    <tableColumn id="5" xr3:uid="{4B389BDA-C253-4F22-9D33-981427ED4D0C}" name="廠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E799-46E2-4819-9E19-4AC10DA14623}">
  <sheetPr codeName="工作表1"/>
  <dimension ref="A1:G55"/>
  <sheetViews>
    <sheetView workbookViewId="0">
      <selection activeCell="C19" sqref="C19"/>
    </sheetView>
  </sheetViews>
  <sheetFormatPr defaultColWidth="10.28515625" defaultRowHeight="15.75"/>
  <cols>
    <col min="1" max="1" width="7.5703125" style="347" customWidth="1"/>
    <col min="2" max="2" width="10.28515625" style="347" customWidth="1"/>
    <col min="3" max="3" width="37.140625" style="347" customWidth="1"/>
    <col min="4" max="6" width="10.28515625" style="347" customWidth="1"/>
    <col min="7" max="7" width="26" style="347" bestFit="1" customWidth="1"/>
    <col min="8" max="167" width="10.28515625" style="347" customWidth="1"/>
    <col min="168" max="16384" width="10.28515625" style="347"/>
  </cols>
  <sheetData>
    <row r="1" spans="1:7">
      <c r="A1" s="351" t="s">
        <v>203</v>
      </c>
      <c r="B1" s="352" t="s">
        <v>89</v>
      </c>
      <c r="C1" s="352" t="s">
        <v>19</v>
      </c>
      <c r="D1" s="352" t="s">
        <v>204</v>
      </c>
      <c r="E1" s="352" t="s">
        <v>20</v>
      </c>
    </row>
    <row r="2" spans="1:7">
      <c r="A2" s="353"/>
      <c r="B2" s="354" t="s">
        <v>205</v>
      </c>
      <c r="C2" s="75" t="s">
        <v>124</v>
      </c>
      <c r="D2" s="354" t="s">
        <v>81</v>
      </c>
      <c r="E2" s="75">
        <v>57.21</v>
      </c>
    </row>
    <row r="3" spans="1:7">
      <c r="A3" s="353"/>
      <c r="B3" s="354" t="s">
        <v>205</v>
      </c>
      <c r="C3" s="75" t="s">
        <v>120</v>
      </c>
      <c r="D3" s="354" t="s">
        <v>81</v>
      </c>
      <c r="E3" s="75">
        <v>56.87</v>
      </c>
    </row>
    <row r="4" spans="1:7">
      <c r="A4" s="353"/>
      <c r="B4" s="354" t="s">
        <v>205</v>
      </c>
      <c r="C4" s="75" t="s">
        <v>121</v>
      </c>
      <c r="D4" s="354" t="s">
        <v>81</v>
      </c>
      <c r="E4" s="75">
        <v>50.39</v>
      </c>
    </row>
    <row r="5" spans="1:7">
      <c r="A5" s="353"/>
      <c r="B5" s="354" t="s">
        <v>205</v>
      </c>
      <c r="C5" s="75" t="s">
        <v>129</v>
      </c>
      <c r="D5" s="354" t="s">
        <v>81</v>
      </c>
      <c r="E5" s="75">
        <v>49.97</v>
      </c>
    </row>
    <row r="6" spans="1:7">
      <c r="A6" s="353"/>
      <c r="B6" s="354" t="s">
        <v>205</v>
      </c>
      <c r="C6" s="75" t="s">
        <v>115</v>
      </c>
      <c r="D6" s="354" t="s">
        <v>81</v>
      </c>
      <c r="E6" s="75">
        <v>49.14</v>
      </c>
    </row>
    <row r="7" spans="1:7">
      <c r="A7" s="353"/>
      <c r="B7" s="354" t="s">
        <v>205</v>
      </c>
      <c r="C7" s="345" t="s">
        <v>114</v>
      </c>
      <c r="D7" s="354" t="s">
        <v>81</v>
      </c>
      <c r="E7" s="75">
        <v>58.17</v>
      </c>
    </row>
    <row r="8" spans="1:7">
      <c r="A8" s="353"/>
      <c r="B8" s="354" t="s">
        <v>205</v>
      </c>
      <c r="C8" s="75" t="s">
        <v>119</v>
      </c>
      <c r="D8" s="354" t="s">
        <v>81</v>
      </c>
      <c r="E8" s="75">
        <v>50.67</v>
      </c>
    </row>
    <row r="9" spans="1:7">
      <c r="A9" s="353"/>
      <c r="B9" s="354" t="s">
        <v>205</v>
      </c>
      <c r="C9" s="350" t="s">
        <v>123</v>
      </c>
      <c r="D9" s="354" t="s">
        <v>81</v>
      </c>
      <c r="E9" s="75">
        <v>49.91</v>
      </c>
    </row>
    <row r="10" spans="1:7">
      <c r="A10" s="353"/>
      <c r="B10" s="354" t="s">
        <v>205</v>
      </c>
      <c r="C10" s="75" t="s">
        <v>128</v>
      </c>
      <c r="D10" s="354" t="s">
        <v>81</v>
      </c>
      <c r="E10" s="75">
        <v>50.289000000000001</v>
      </c>
    </row>
    <row r="11" spans="1:7">
      <c r="A11" s="353"/>
      <c r="B11" s="354" t="s">
        <v>205</v>
      </c>
      <c r="C11" s="75" t="s">
        <v>206</v>
      </c>
      <c r="D11" s="354" t="s">
        <v>81</v>
      </c>
      <c r="E11" s="75">
        <v>57.21</v>
      </c>
    </row>
    <row r="12" spans="1:7">
      <c r="A12" s="353"/>
      <c r="B12" s="354" t="s">
        <v>205</v>
      </c>
      <c r="C12" s="350" t="s">
        <v>135</v>
      </c>
      <c r="D12" s="354" t="s">
        <v>81</v>
      </c>
      <c r="E12" s="75">
        <v>43.89</v>
      </c>
    </row>
    <row r="13" spans="1:7">
      <c r="A13" s="353"/>
      <c r="B13" s="354" t="s">
        <v>205</v>
      </c>
      <c r="C13" s="75" t="s">
        <v>113</v>
      </c>
      <c r="D13" s="354" t="s">
        <v>81</v>
      </c>
      <c r="E13" s="75">
        <v>50.67</v>
      </c>
      <c r="G13" s="349"/>
    </row>
    <row r="14" spans="1:7">
      <c r="A14" s="353"/>
      <c r="B14" s="354" t="s">
        <v>205</v>
      </c>
      <c r="C14" s="75" t="s">
        <v>125</v>
      </c>
      <c r="D14" s="354" t="s">
        <v>81</v>
      </c>
      <c r="E14" s="75">
        <v>45.66</v>
      </c>
    </row>
    <row r="15" spans="1:7">
      <c r="A15" s="353"/>
      <c r="B15" s="354" t="s">
        <v>205</v>
      </c>
      <c r="C15" s="75" t="s">
        <v>122</v>
      </c>
      <c r="D15" s="354" t="s">
        <v>81</v>
      </c>
      <c r="E15" s="75">
        <v>46.34</v>
      </c>
    </row>
    <row r="16" spans="1:7">
      <c r="A16" s="353"/>
      <c r="B16" s="354" t="s">
        <v>205</v>
      </c>
      <c r="C16" s="75" t="s">
        <v>126</v>
      </c>
      <c r="D16" s="354" t="s">
        <v>116</v>
      </c>
      <c r="E16" s="75">
        <v>49.91</v>
      </c>
    </row>
    <row r="17" spans="1:5">
      <c r="A17" s="353"/>
      <c r="B17" s="354" t="s">
        <v>205</v>
      </c>
      <c r="C17" s="75" t="s">
        <v>117</v>
      </c>
      <c r="D17" s="354" t="s">
        <v>116</v>
      </c>
      <c r="E17" s="75">
        <v>44.3</v>
      </c>
    </row>
    <row r="18" spans="1:5">
      <c r="A18" s="353"/>
      <c r="B18" s="354" t="s">
        <v>205</v>
      </c>
      <c r="C18" s="75" t="s">
        <v>127</v>
      </c>
      <c r="D18" s="354" t="s">
        <v>116</v>
      </c>
      <c r="E18" s="75">
        <v>49.52</v>
      </c>
    </row>
    <row r="19" spans="1:5">
      <c r="A19" s="353"/>
      <c r="B19" s="354" t="s">
        <v>205</v>
      </c>
      <c r="C19" s="75" t="s">
        <v>142</v>
      </c>
      <c r="D19" s="354" t="s">
        <v>81</v>
      </c>
      <c r="E19" s="75">
        <v>43.89</v>
      </c>
    </row>
    <row r="20" spans="1:5">
      <c r="A20" s="353"/>
      <c r="B20" s="354" t="s">
        <v>205</v>
      </c>
      <c r="C20" s="75"/>
      <c r="D20" s="354" t="s">
        <v>81</v>
      </c>
      <c r="E20" s="75"/>
    </row>
    <row r="21" spans="1:5">
      <c r="A21" s="353"/>
      <c r="B21" s="354" t="s">
        <v>205</v>
      </c>
      <c r="C21" s="75"/>
      <c r="D21" s="354" t="s">
        <v>81</v>
      </c>
      <c r="E21" s="75"/>
    </row>
    <row r="22" spans="1:5">
      <c r="A22" s="353"/>
      <c r="B22" s="354" t="s">
        <v>205</v>
      </c>
      <c r="C22" s="75"/>
      <c r="D22" s="354" t="s">
        <v>81</v>
      </c>
      <c r="E22" s="75"/>
    </row>
    <row r="23" spans="1:5">
      <c r="A23" s="353"/>
      <c r="B23" s="354" t="s">
        <v>205</v>
      </c>
      <c r="C23" s="75" t="s">
        <v>133</v>
      </c>
      <c r="D23" s="354" t="s">
        <v>130</v>
      </c>
      <c r="E23" s="75">
        <v>28.26</v>
      </c>
    </row>
    <row r="24" spans="1:5">
      <c r="A24" s="353"/>
      <c r="B24" s="354" t="s">
        <v>205</v>
      </c>
      <c r="C24" s="75" t="s">
        <v>131</v>
      </c>
      <c r="D24" s="354" t="s">
        <v>130</v>
      </c>
      <c r="E24" s="75">
        <v>26.99</v>
      </c>
    </row>
    <row r="25" spans="1:5">
      <c r="A25" s="353"/>
      <c r="B25" s="354" t="s">
        <v>205</v>
      </c>
      <c r="C25" s="75" t="s">
        <v>132</v>
      </c>
      <c r="D25" s="354" t="s">
        <v>130</v>
      </c>
      <c r="E25" s="75">
        <v>28.26</v>
      </c>
    </row>
    <row r="26" spans="1:5">
      <c r="A26" s="353"/>
      <c r="B26" s="354" t="s">
        <v>205</v>
      </c>
      <c r="C26" s="75" t="s">
        <v>134</v>
      </c>
      <c r="D26" s="354" t="s">
        <v>130</v>
      </c>
      <c r="E26" s="75">
        <v>28.26</v>
      </c>
    </row>
    <row r="27" spans="1:5">
      <c r="A27" s="353"/>
      <c r="B27" s="354"/>
      <c r="C27" s="75"/>
      <c r="D27" s="354"/>
      <c r="E27" s="75"/>
    </row>
    <row r="28" spans="1:5">
      <c r="A28" s="353"/>
      <c r="B28" s="354"/>
      <c r="C28" s="75"/>
      <c r="D28" s="354"/>
      <c r="E28" s="75"/>
    </row>
    <row r="29" spans="1:5">
      <c r="A29" s="353"/>
      <c r="B29" s="354"/>
      <c r="C29" s="75"/>
      <c r="D29" s="354"/>
      <c r="E29" s="75"/>
    </row>
    <row r="30" spans="1:5">
      <c r="A30" s="353"/>
      <c r="B30" s="354"/>
      <c r="C30" s="75"/>
      <c r="D30" s="354"/>
      <c r="E30" s="75"/>
    </row>
    <row r="31" spans="1:5">
      <c r="A31" s="353"/>
      <c r="B31" s="354"/>
      <c r="C31" s="75"/>
      <c r="D31" s="354"/>
      <c r="E31" s="75"/>
    </row>
    <row r="32" spans="1:5">
      <c r="A32" s="353"/>
      <c r="B32" s="354"/>
      <c r="C32" s="75"/>
      <c r="D32" s="354"/>
      <c r="E32" s="75"/>
    </row>
    <row r="33" spans="1:5">
      <c r="A33" s="351"/>
      <c r="B33" s="354"/>
      <c r="C33" s="75"/>
      <c r="D33" s="354"/>
      <c r="E33" s="75"/>
    </row>
    <row r="34" spans="1:5">
      <c r="A34" s="351"/>
      <c r="B34" s="354"/>
      <c r="C34" s="354"/>
      <c r="D34" s="354"/>
      <c r="E34" s="75"/>
    </row>
    <row r="35" spans="1:5">
      <c r="A35" s="351"/>
      <c r="B35" s="354"/>
      <c r="C35" s="354"/>
      <c r="D35" s="354"/>
      <c r="E35" s="354"/>
    </row>
    <row r="36" spans="1:5">
      <c r="A36" s="351"/>
      <c r="B36" s="354"/>
      <c r="C36" s="354"/>
      <c r="D36" s="354"/>
      <c r="E36" s="354"/>
    </row>
    <row r="37" spans="1:5">
      <c r="A37" s="351"/>
      <c r="B37" s="355"/>
      <c r="C37" s="354"/>
      <c r="D37" s="355"/>
      <c r="E37" s="354"/>
    </row>
    <row r="38" spans="1:5">
      <c r="A38" s="351"/>
      <c r="B38" s="355"/>
      <c r="C38" s="354"/>
      <c r="D38" s="355"/>
      <c r="E38" s="354"/>
    </row>
    <row r="39" spans="1:5">
      <c r="A39" s="351"/>
      <c r="B39" s="355"/>
      <c r="C39" s="75"/>
      <c r="D39" s="355"/>
      <c r="E39" s="75"/>
    </row>
    <row r="40" spans="1:5">
      <c r="A40" s="351"/>
      <c r="B40" s="355"/>
      <c r="C40" s="350"/>
      <c r="D40" s="355"/>
      <c r="E40" s="75"/>
    </row>
    <row r="41" spans="1:5">
      <c r="A41" s="351"/>
      <c r="B41" s="355"/>
      <c r="C41" s="354"/>
      <c r="D41" s="355"/>
      <c r="E41" s="354"/>
    </row>
    <row r="42" spans="1:5">
      <c r="A42" s="351"/>
      <c r="B42" s="356"/>
      <c r="C42" s="356"/>
      <c r="D42" s="356"/>
      <c r="E42" s="356"/>
    </row>
    <row r="43" spans="1:5">
      <c r="A43" s="351"/>
      <c r="B43" s="356"/>
      <c r="C43" s="356"/>
      <c r="D43" s="356"/>
      <c r="E43" s="356"/>
    </row>
    <row r="44" spans="1:5">
      <c r="A44" s="351"/>
      <c r="B44" s="356"/>
      <c r="C44" s="356"/>
      <c r="D44" s="356"/>
      <c r="E44" s="356"/>
    </row>
    <row r="45" spans="1:5">
      <c r="A45" s="351"/>
      <c r="B45" s="356"/>
      <c r="C45" s="356"/>
      <c r="D45" s="356"/>
      <c r="E45" s="356"/>
    </row>
    <row r="46" spans="1:5">
      <c r="A46" s="351"/>
      <c r="B46" s="354" t="s">
        <v>207</v>
      </c>
      <c r="C46" s="75" t="s">
        <v>119</v>
      </c>
      <c r="D46" s="354" t="s">
        <v>208</v>
      </c>
      <c r="E46" s="75">
        <v>29.38</v>
      </c>
    </row>
    <row r="47" spans="1:5">
      <c r="A47" s="351"/>
      <c r="B47" s="354" t="s">
        <v>207</v>
      </c>
      <c r="C47" s="75" t="s">
        <v>209</v>
      </c>
      <c r="D47" s="354" t="s">
        <v>208</v>
      </c>
      <c r="E47" s="75">
        <v>29.38</v>
      </c>
    </row>
    <row r="48" spans="1:5">
      <c r="A48" s="351"/>
      <c r="B48" s="354" t="s">
        <v>207</v>
      </c>
      <c r="C48" s="75" t="s">
        <v>210</v>
      </c>
      <c r="D48" s="354" t="s">
        <v>208</v>
      </c>
      <c r="E48" s="75">
        <v>29.38</v>
      </c>
    </row>
    <row r="49" spans="1:5">
      <c r="A49" s="351"/>
      <c r="B49" s="354" t="s">
        <v>207</v>
      </c>
      <c r="C49" s="75" t="s">
        <v>211</v>
      </c>
      <c r="D49" s="354" t="s">
        <v>208</v>
      </c>
      <c r="E49" s="75">
        <v>29.38</v>
      </c>
    </row>
    <row r="50" spans="1:5">
      <c r="A50" s="351"/>
      <c r="B50" s="354" t="s">
        <v>207</v>
      </c>
      <c r="C50" s="75" t="s">
        <v>212</v>
      </c>
      <c r="D50" s="354" t="s">
        <v>208</v>
      </c>
      <c r="E50" s="75">
        <v>29.38</v>
      </c>
    </row>
    <row r="51" spans="1:5">
      <c r="A51" s="351"/>
      <c r="B51" s="354" t="s">
        <v>207</v>
      </c>
      <c r="C51" s="75" t="s">
        <v>213</v>
      </c>
      <c r="D51" s="354" t="s">
        <v>208</v>
      </c>
      <c r="E51" s="75">
        <v>29.38</v>
      </c>
    </row>
    <row r="52" spans="1:5">
      <c r="A52" s="351"/>
      <c r="B52" s="354" t="s">
        <v>207</v>
      </c>
      <c r="C52" s="75"/>
      <c r="D52" s="354" t="s">
        <v>208</v>
      </c>
      <c r="E52" s="75"/>
    </row>
    <row r="53" spans="1:5">
      <c r="A53" s="351"/>
      <c r="B53" s="354" t="s">
        <v>207</v>
      </c>
      <c r="C53" s="354" t="s">
        <v>214</v>
      </c>
      <c r="D53" s="354" t="s">
        <v>208</v>
      </c>
      <c r="E53" s="75">
        <v>29.38</v>
      </c>
    </row>
    <row r="54" spans="1:5">
      <c r="A54" s="351"/>
      <c r="B54" s="354" t="s">
        <v>207</v>
      </c>
      <c r="C54" s="354"/>
      <c r="D54" s="354" t="s">
        <v>208</v>
      </c>
      <c r="E54" s="354"/>
    </row>
    <row r="55" spans="1:5">
      <c r="A55" s="351"/>
      <c r="B55" s="354" t="s">
        <v>207</v>
      </c>
      <c r="C55" s="354" t="s">
        <v>215</v>
      </c>
      <c r="D55" s="354" t="s">
        <v>208</v>
      </c>
      <c r="E55" s="354">
        <v>29.38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6A3F-805F-4122-980C-9A7A13A335F6}">
  <sheetPr codeName="工作表2"/>
  <dimension ref="A1:N34"/>
  <sheetViews>
    <sheetView zoomScale="115" zoomScaleNormal="115" workbookViewId="0">
      <selection activeCell="C25" sqref="C25"/>
    </sheetView>
  </sheetViews>
  <sheetFormatPr defaultColWidth="10.28515625" defaultRowHeight="15.75"/>
  <cols>
    <col min="1" max="1" width="40.5703125" style="347" customWidth="1"/>
    <col min="2" max="6" width="10.28515625" style="347" customWidth="1"/>
    <col min="7" max="7" width="26" style="347" bestFit="1" customWidth="1"/>
    <col min="8" max="167" width="10.28515625" style="347" customWidth="1"/>
    <col min="168" max="16384" width="10.28515625" style="347"/>
  </cols>
  <sheetData>
    <row r="1" spans="1:14">
      <c r="A1" s="345" t="s">
        <v>221</v>
      </c>
      <c r="B1" s="345" t="s">
        <v>24</v>
      </c>
      <c r="C1" s="345" t="s">
        <v>222</v>
      </c>
      <c r="D1" s="346"/>
      <c r="E1" s="347" t="s">
        <v>223</v>
      </c>
      <c r="F1" s="357"/>
      <c r="G1" s="347" t="s">
        <v>111</v>
      </c>
    </row>
    <row r="2" spans="1:14">
      <c r="A2" s="345" t="s">
        <v>81</v>
      </c>
      <c r="B2" s="345"/>
      <c r="C2" s="345"/>
      <c r="D2" s="346"/>
    </row>
    <row r="3" spans="1:14">
      <c r="A3" s="345" t="s">
        <v>120</v>
      </c>
      <c r="B3" s="345">
        <v>15</v>
      </c>
      <c r="C3" s="345">
        <v>2250</v>
      </c>
      <c r="D3" s="348" t="s">
        <v>106</v>
      </c>
      <c r="E3" s="347">
        <f>C3/B3</f>
        <v>150</v>
      </c>
      <c r="F3" s="358"/>
    </row>
    <row r="4" spans="1:14">
      <c r="A4" s="345" t="s">
        <v>224</v>
      </c>
      <c r="B4" s="345">
        <v>15</v>
      </c>
      <c r="C4" s="345">
        <v>1716</v>
      </c>
      <c r="D4" s="348" t="s">
        <v>107</v>
      </c>
      <c r="E4" s="347">
        <f t="shared" ref="E4:E22" si="0">C4/B4</f>
        <v>114.4</v>
      </c>
    </row>
    <row r="5" spans="1:14">
      <c r="A5" s="345" t="s">
        <v>119</v>
      </c>
      <c r="B5" s="345">
        <v>13</v>
      </c>
      <c r="C5" s="345">
        <v>2250</v>
      </c>
      <c r="D5" s="346"/>
      <c r="E5" s="347">
        <f t="shared" si="0"/>
        <v>173.07692307692307</v>
      </c>
      <c r="F5" s="358"/>
    </row>
    <row r="6" spans="1:14">
      <c r="A6" s="345" t="s">
        <v>225</v>
      </c>
      <c r="B6" s="345">
        <v>16</v>
      </c>
      <c r="C6" s="345">
        <v>1714</v>
      </c>
      <c r="D6" s="346"/>
      <c r="E6" s="347">
        <f t="shared" si="0"/>
        <v>107.125</v>
      </c>
      <c r="F6" s="358"/>
    </row>
    <row r="7" spans="1:14" ht="17.25" customHeight="1">
      <c r="A7" s="345" t="s">
        <v>121</v>
      </c>
      <c r="B7" s="345">
        <v>12</v>
      </c>
      <c r="C7" s="345">
        <v>2250</v>
      </c>
      <c r="D7" s="346"/>
      <c r="E7" s="347">
        <f t="shared" si="0"/>
        <v>187.5</v>
      </c>
      <c r="F7" s="358"/>
    </row>
    <row r="8" spans="1:14">
      <c r="A8" s="345" t="s">
        <v>115</v>
      </c>
      <c r="B8" s="345">
        <v>15</v>
      </c>
      <c r="C8" s="345">
        <v>2250</v>
      </c>
      <c r="D8" s="346"/>
      <c r="E8" s="347">
        <f t="shared" si="0"/>
        <v>150</v>
      </c>
    </row>
    <row r="9" spans="1:14">
      <c r="A9" s="345" t="s">
        <v>206</v>
      </c>
      <c r="B9" s="345">
        <v>17</v>
      </c>
      <c r="C9" s="345">
        <v>2250</v>
      </c>
      <c r="D9" s="346"/>
      <c r="E9" s="347">
        <f t="shared" si="0"/>
        <v>132.35294117647058</v>
      </c>
      <c r="F9" s="358"/>
    </row>
    <row r="10" spans="1:14">
      <c r="A10" s="345" t="s">
        <v>226</v>
      </c>
      <c r="B10" s="345">
        <v>17</v>
      </c>
      <c r="C10" s="345">
        <v>1716</v>
      </c>
      <c r="D10" s="346"/>
      <c r="E10" s="347">
        <f t="shared" si="0"/>
        <v>100.94117647058823</v>
      </c>
    </row>
    <row r="11" spans="1:14">
      <c r="A11" s="350" t="s">
        <v>135</v>
      </c>
      <c r="B11" s="345">
        <v>14</v>
      </c>
      <c r="C11" s="345">
        <v>1565</v>
      </c>
      <c r="D11" s="346"/>
      <c r="E11" s="347">
        <f t="shared" si="0"/>
        <v>111.78571428571429</v>
      </c>
    </row>
    <row r="12" spans="1:14">
      <c r="A12" s="345" t="s">
        <v>114</v>
      </c>
      <c r="B12" s="345">
        <v>13</v>
      </c>
      <c r="C12" s="345">
        <v>2250</v>
      </c>
      <c r="D12" s="346"/>
      <c r="E12" s="347">
        <f t="shared" si="0"/>
        <v>173.07692307692307</v>
      </c>
    </row>
    <row r="13" spans="1:14">
      <c r="A13" s="345" t="s">
        <v>128</v>
      </c>
      <c r="B13" s="345">
        <v>17</v>
      </c>
      <c r="C13" s="345">
        <v>1636</v>
      </c>
      <c r="D13" s="346"/>
      <c r="E13" s="347">
        <f t="shared" si="0"/>
        <v>96.235294117647058</v>
      </c>
      <c r="G13" s="349"/>
      <c r="J13" s="345" t="s">
        <v>128</v>
      </c>
      <c r="K13" s="345">
        <v>17</v>
      </c>
      <c r="L13" s="345">
        <v>1565</v>
      </c>
      <c r="M13" s="346"/>
      <c r="N13" s="347">
        <f t="shared" ref="N13:N19" si="1">L13/K13</f>
        <v>92.058823529411768</v>
      </c>
    </row>
    <row r="14" spans="1:14">
      <c r="A14" s="345" t="s">
        <v>126</v>
      </c>
      <c r="B14" s="345">
        <v>16</v>
      </c>
      <c r="C14" s="345">
        <v>1714</v>
      </c>
      <c r="D14" s="346"/>
      <c r="E14" s="347">
        <f t="shared" si="0"/>
        <v>107.125</v>
      </c>
      <c r="F14" s="358"/>
      <c r="J14" s="345" t="s">
        <v>126</v>
      </c>
      <c r="K14" s="345">
        <v>14</v>
      </c>
      <c r="L14" s="345">
        <v>1714</v>
      </c>
      <c r="M14" s="346"/>
      <c r="N14" s="347">
        <f t="shared" si="1"/>
        <v>122.42857142857143</v>
      </c>
    </row>
    <row r="15" spans="1:14">
      <c r="A15" s="345" t="s">
        <v>129</v>
      </c>
      <c r="B15" s="345">
        <v>16</v>
      </c>
      <c r="C15" s="345">
        <v>1800</v>
      </c>
      <c r="D15" s="346"/>
      <c r="E15" s="347">
        <f t="shared" si="0"/>
        <v>112.5</v>
      </c>
      <c r="F15" s="358"/>
      <c r="G15" s="347" t="s">
        <v>227</v>
      </c>
      <c r="J15" s="345" t="s">
        <v>129</v>
      </c>
      <c r="K15" s="345">
        <v>15</v>
      </c>
      <c r="L15" s="345">
        <v>1800</v>
      </c>
      <c r="M15" s="346"/>
      <c r="N15" s="347">
        <f t="shared" si="1"/>
        <v>120</v>
      </c>
    </row>
    <row r="16" spans="1:14">
      <c r="A16" s="345" t="s">
        <v>127</v>
      </c>
      <c r="B16" s="345">
        <v>17</v>
      </c>
      <c r="C16" s="345">
        <v>1800</v>
      </c>
      <c r="D16" s="346"/>
      <c r="E16" s="347">
        <f t="shared" si="0"/>
        <v>105.88235294117646</v>
      </c>
      <c r="J16" s="345" t="s">
        <v>127</v>
      </c>
      <c r="K16" s="345">
        <v>16</v>
      </c>
      <c r="L16" s="345">
        <v>1500</v>
      </c>
      <c r="M16" s="346"/>
      <c r="N16" s="347">
        <f t="shared" si="1"/>
        <v>93.75</v>
      </c>
    </row>
    <row r="17" spans="1:14">
      <c r="A17" s="345" t="s">
        <v>117</v>
      </c>
      <c r="B17" s="345">
        <v>18</v>
      </c>
      <c r="C17" s="345">
        <v>1636</v>
      </c>
      <c r="D17" s="346"/>
      <c r="E17" s="347">
        <f t="shared" si="0"/>
        <v>90.888888888888886</v>
      </c>
      <c r="J17" s="345" t="s">
        <v>117</v>
      </c>
      <c r="K17" s="345">
        <v>16</v>
      </c>
      <c r="L17" s="345">
        <v>1636</v>
      </c>
      <c r="M17" s="346"/>
      <c r="N17" s="347">
        <f t="shared" si="1"/>
        <v>102.25</v>
      </c>
    </row>
    <row r="18" spans="1:14">
      <c r="A18" s="350" t="s">
        <v>113</v>
      </c>
      <c r="B18" s="345">
        <v>17</v>
      </c>
      <c r="C18" s="345">
        <v>2250</v>
      </c>
      <c r="D18" s="346"/>
      <c r="E18" s="347">
        <f t="shared" si="0"/>
        <v>132.35294117647058</v>
      </c>
      <c r="J18" s="350" t="s">
        <v>228</v>
      </c>
      <c r="K18" s="345">
        <v>12</v>
      </c>
      <c r="L18" s="345">
        <v>1440</v>
      </c>
      <c r="M18" s="346"/>
      <c r="N18" s="347">
        <f t="shared" si="1"/>
        <v>120</v>
      </c>
    </row>
    <row r="19" spans="1:14">
      <c r="A19" s="350" t="s">
        <v>229</v>
      </c>
      <c r="B19" s="345">
        <v>14</v>
      </c>
      <c r="C19" s="345">
        <v>2250</v>
      </c>
      <c r="D19" s="346"/>
      <c r="E19" s="347">
        <f t="shared" si="0"/>
        <v>160.71428571428572</v>
      </c>
      <c r="G19" s="347" t="s">
        <v>230</v>
      </c>
      <c r="J19" s="350" t="s">
        <v>231</v>
      </c>
      <c r="K19" s="345">
        <v>16</v>
      </c>
      <c r="L19" s="345">
        <v>1565</v>
      </c>
      <c r="M19" s="346"/>
      <c r="N19" s="347">
        <f t="shared" si="1"/>
        <v>97.8125</v>
      </c>
    </row>
    <row r="20" spans="1:14">
      <c r="A20" s="350" t="s">
        <v>125</v>
      </c>
      <c r="B20" s="345">
        <v>17</v>
      </c>
      <c r="C20" s="345">
        <v>1636</v>
      </c>
      <c r="D20" s="346"/>
      <c r="E20" s="347">
        <f t="shared" si="0"/>
        <v>96.235294117647058</v>
      </c>
    </row>
    <row r="21" spans="1:14">
      <c r="A21" s="350" t="s">
        <v>122</v>
      </c>
      <c r="B21" s="345">
        <v>16</v>
      </c>
      <c r="C21" s="345">
        <v>1636</v>
      </c>
      <c r="D21" s="346"/>
      <c r="E21" s="347">
        <f t="shared" si="0"/>
        <v>102.25</v>
      </c>
    </row>
    <row r="22" spans="1:14">
      <c r="A22" s="350" t="s">
        <v>123</v>
      </c>
      <c r="B22" s="345">
        <v>18</v>
      </c>
      <c r="C22" s="345">
        <v>2250</v>
      </c>
      <c r="D22" s="346"/>
      <c r="E22" s="347">
        <f t="shared" si="0"/>
        <v>125</v>
      </c>
    </row>
    <row r="23" spans="1:14">
      <c r="A23" s="345" t="s">
        <v>124</v>
      </c>
      <c r="B23" s="345">
        <v>18</v>
      </c>
      <c r="C23" s="345">
        <v>1636</v>
      </c>
      <c r="D23" s="346"/>
    </row>
    <row r="24" spans="1:14">
      <c r="A24" s="350" t="s">
        <v>142</v>
      </c>
      <c r="B24" s="345">
        <v>13</v>
      </c>
      <c r="C24" s="345">
        <v>1565</v>
      </c>
      <c r="D24" s="346"/>
    </row>
    <row r="25" spans="1:14">
      <c r="A25" s="350"/>
      <c r="B25" s="345"/>
      <c r="C25" s="345"/>
      <c r="D25" s="346"/>
    </row>
    <row r="26" spans="1:14">
      <c r="A26" s="345" t="s">
        <v>232</v>
      </c>
      <c r="B26" s="345"/>
      <c r="C26" s="345"/>
      <c r="D26" s="346"/>
    </row>
    <row r="27" spans="1:14">
      <c r="A27" s="345" t="s">
        <v>131</v>
      </c>
      <c r="B27" s="345">
        <v>15</v>
      </c>
      <c r="C27" s="345">
        <v>1636</v>
      </c>
      <c r="D27" s="346"/>
      <c r="E27" s="347">
        <f>C27/B27</f>
        <v>109.06666666666666</v>
      </c>
      <c r="G27" s="347" t="s">
        <v>233</v>
      </c>
    </row>
    <row r="28" spans="1:14">
      <c r="A28" s="345" t="s">
        <v>132</v>
      </c>
      <c r="B28" s="345">
        <v>11</v>
      </c>
      <c r="C28" s="345">
        <v>1636</v>
      </c>
      <c r="D28" s="346"/>
      <c r="E28" s="347">
        <f>C28/B28</f>
        <v>148.72727272727272</v>
      </c>
    </row>
    <row r="29" spans="1:14">
      <c r="A29" s="345" t="s">
        <v>134</v>
      </c>
      <c r="B29" s="345">
        <v>11</v>
      </c>
      <c r="C29" s="345">
        <v>1636</v>
      </c>
      <c r="E29" s="347">
        <f>C29/B29</f>
        <v>148.72727272727272</v>
      </c>
    </row>
    <row r="30" spans="1:14">
      <c r="A30" s="345" t="s">
        <v>133</v>
      </c>
      <c r="B30" s="345">
        <v>11</v>
      </c>
      <c r="C30" s="345">
        <v>1636</v>
      </c>
      <c r="E30" s="347">
        <f>C30/B30</f>
        <v>148.72727272727272</v>
      </c>
    </row>
    <row r="31" spans="1:14">
      <c r="A31" s="345"/>
      <c r="B31" s="345"/>
      <c r="C31" s="345"/>
    </row>
    <row r="32" spans="1:14">
      <c r="A32" s="345"/>
      <c r="B32" s="345"/>
      <c r="C32" s="345"/>
    </row>
    <row r="33" spans="1:5">
      <c r="A33" s="345"/>
      <c r="B33" s="345"/>
      <c r="C33" s="345"/>
    </row>
    <row r="34" spans="1:5">
      <c r="E34" s="347" t="s">
        <v>234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3">
    <pageSetUpPr fitToPage="1"/>
  </sheetPr>
  <dimension ref="B1:O26"/>
  <sheetViews>
    <sheetView topLeftCell="B1" zoomScale="70" zoomScaleNormal="70" workbookViewId="0">
      <selection activeCell="G76" sqref="G7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6">
        <v>46015</v>
      </c>
      <c r="E3" s="706"/>
      <c r="F3" s="3" t="s">
        <v>72</v>
      </c>
      <c r="G3" s="707">
        <f>範本!E1</f>
        <v>43309</v>
      </c>
      <c r="H3" s="707"/>
      <c r="I3" s="3" t="s">
        <v>2</v>
      </c>
      <c r="J3" s="708" t="e">
        <f>範本!G1</f>
        <v>#N/A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 t="e">
        <f>AVERAGE(D13:J13)</f>
        <v>#N/A</v>
      </c>
      <c r="G6" s="713"/>
      <c r="H6" s="714" t="e">
        <f>AVERAGE(D13:H13)</f>
        <v>#N/A</v>
      </c>
      <c r="I6" s="714"/>
      <c r="J6" s="714" t="e">
        <f>AVERAGE(I13:J13)</f>
        <v>#N/A</v>
      </c>
      <c r="K6" s="714"/>
      <c r="L6" s="716">
        <f>範本!Z2</f>
        <v>0</v>
      </c>
      <c r="M6" s="717">
        <f>範本!AA2</f>
        <v>0</v>
      </c>
      <c r="N6" s="718">
        <f>範本!AD2</f>
        <v>0</v>
      </c>
      <c r="O6" s="717">
        <f>範本!AE2</f>
        <v>0</v>
      </c>
    </row>
    <row r="7" spans="2:15" s="6" customFormat="1" ht="39.6" customHeight="1">
      <c r="B7" s="701"/>
      <c r="C7" s="701"/>
      <c r="D7" s="709" t="s">
        <v>87</v>
      </c>
      <c r="E7" s="709"/>
      <c r="F7" s="737">
        <f>AVERAGE(D14:J14)</f>
        <v>116.11474837607263</v>
      </c>
      <c r="G7" s="737"/>
      <c r="H7" s="738">
        <f>AVERAGE(D14:H14)</f>
        <v>117.36074805627914</v>
      </c>
      <c r="I7" s="738"/>
      <c r="J7" s="738">
        <f>AVERAGE(I14:J14)</f>
        <v>112.99974917555633</v>
      </c>
      <c r="K7" s="738"/>
      <c r="L7" s="716"/>
      <c r="M7" s="717"/>
      <c r="N7" s="718"/>
      <c r="O7" s="717"/>
    </row>
    <row r="8" spans="2:15" s="6" customFormat="1" ht="39.6" customHeight="1">
      <c r="B8" s="701"/>
      <c r="C8" s="701"/>
      <c r="D8" s="709" t="s">
        <v>27</v>
      </c>
      <c r="E8" s="709"/>
      <c r="F8" s="710" t="e">
        <f>AVERAGE(D15:J15)</f>
        <v>#N/A</v>
      </c>
      <c r="G8" s="710"/>
      <c r="H8" s="710" t="e">
        <f>AVERAGE(D15:H15)</f>
        <v>#N/A</v>
      </c>
      <c r="I8" s="710"/>
      <c r="J8" s="710" t="e">
        <f>AVERAGE(I15:J15)</f>
        <v>#N/A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 t="e">
        <f>VALUE(範本!L15)</f>
        <v>#N/A</v>
      </c>
      <c r="E13" s="13" t="e">
        <f>VALUE(範本!L26)</f>
        <v>#N/A</v>
      </c>
      <c r="F13" s="13" t="e">
        <f>VALUE(範本!L37)</f>
        <v>#N/A</v>
      </c>
      <c r="G13" s="13" t="e">
        <f>VALUE(範本!L48)</f>
        <v>#N/A</v>
      </c>
      <c r="H13" s="13" t="e">
        <f>VALUE(範本!L58)</f>
        <v>#N/A</v>
      </c>
      <c r="I13" s="13" t="e">
        <f>VALUE(範本!L69)</f>
        <v>#N/A</v>
      </c>
      <c r="J13" s="13" t="e">
        <f>範本!L79</f>
        <v>#N/A</v>
      </c>
    </row>
    <row r="14" spans="2:15" ht="39.950000000000003" customHeight="1">
      <c r="B14" s="731"/>
      <c r="C14" s="12" t="s">
        <v>100</v>
      </c>
      <c r="D14" s="13">
        <f>VALUE(範本!O15)</f>
        <v>113.916365108528</v>
      </c>
      <c r="E14" s="13">
        <f>VALUE(範本!O26)</f>
        <v>132.12003238004002</v>
      </c>
      <c r="F14" s="13">
        <f>VALUE(範本!O37)</f>
        <v>126.23842229199551</v>
      </c>
      <c r="G14" s="13">
        <f>VALUE(範本!O48)</f>
        <v>112.05430077169194</v>
      </c>
      <c r="H14" s="13">
        <f>VALUE(範本!O58)</f>
        <v>102.47461972914017</v>
      </c>
      <c r="I14" s="13">
        <f>VALUE(範本!O69)</f>
        <v>155.46443341604788</v>
      </c>
      <c r="J14" s="13">
        <f>範本!O79</f>
        <v>70.535064935064796</v>
      </c>
    </row>
    <row r="15" spans="2:15" ht="39.950000000000003" customHeight="1">
      <c r="B15" s="732"/>
      <c r="C15" s="10" t="s">
        <v>26</v>
      </c>
      <c r="D15" s="14" t="e">
        <f t="shared" ref="D15:I15" si="0">D14/D13</f>
        <v>#N/A</v>
      </c>
      <c r="E15" s="14" t="e">
        <f t="shared" si="0"/>
        <v>#N/A</v>
      </c>
      <c r="F15" s="14" t="e">
        <f t="shared" si="0"/>
        <v>#N/A</v>
      </c>
      <c r="G15" s="14" t="e">
        <f t="shared" si="0"/>
        <v>#N/A</v>
      </c>
      <c r="H15" s="14" t="e">
        <f t="shared" si="0"/>
        <v>#N/A</v>
      </c>
      <c r="I15" s="14" t="e">
        <f t="shared" si="0"/>
        <v>#N/A</v>
      </c>
      <c r="J15" s="15" t="e">
        <f>範本!S70</f>
        <v>#N/A</v>
      </c>
    </row>
    <row r="16" spans="2:15" ht="17.25" customHeight="1">
      <c r="B16" s="733" t="s">
        <v>101</v>
      </c>
      <c r="C16" s="10" t="s">
        <v>34</v>
      </c>
      <c r="D16" s="16">
        <f>範本!T5</f>
        <v>0.29097222222222202</v>
      </c>
      <c r="E16" s="16">
        <f>範本!T16</f>
        <v>0.29097222222222202</v>
      </c>
      <c r="F16" s="16">
        <f>範本!T27</f>
        <v>0.29166666666666702</v>
      </c>
      <c r="G16" s="16">
        <f>範本!T38</f>
        <v>0.33333333333333298</v>
      </c>
      <c r="H16" s="16">
        <f>範本!T49</f>
        <v>0.29166666666666702</v>
      </c>
      <c r="I16" s="16">
        <f>範本!T59</f>
        <v>0.29166666666666702</v>
      </c>
      <c r="J16" s="17">
        <f>範本!T70</f>
        <v>0.34722222222222199</v>
      </c>
    </row>
    <row r="17" spans="2:10" ht="17.25" customHeight="1">
      <c r="B17" s="734"/>
      <c r="C17" s="10" t="s">
        <v>35</v>
      </c>
      <c r="D17" s="327">
        <v>0.47361111111111098</v>
      </c>
      <c r="E17" s="183">
        <v>0.48263888888888901</v>
      </c>
      <c r="F17" s="183">
        <v>0.56944444444444398</v>
      </c>
      <c r="G17" s="328">
        <v>0.60416666666666696</v>
      </c>
      <c r="H17" s="329">
        <v>0.58333333333333304</v>
      </c>
      <c r="I17" s="110">
        <v>0.48819444444444399</v>
      </c>
      <c r="J17" s="110">
        <v>0.46875</v>
      </c>
    </row>
    <row r="18" spans="2:10" ht="17.25" customHeight="1">
      <c r="B18" s="735" t="s">
        <v>102</v>
      </c>
      <c r="C18" s="330" t="s">
        <v>36</v>
      </c>
      <c r="D18" s="331"/>
      <c r="E18" s="332"/>
      <c r="F18" s="332"/>
      <c r="G18" s="333"/>
      <c r="H18" s="333"/>
      <c r="I18" s="332"/>
      <c r="J18" s="332"/>
    </row>
    <row r="19" spans="2:10" ht="17.25" customHeight="1">
      <c r="B19" s="736"/>
      <c r="C19" s="330" t="s">
        <v>37</v>
      </c>
      <c r="D19" s="331"/>
      <c r="E19" s="332"/>
      <c r="F19" s="332"/>
      <c r="G19" s="333"/>
      <c r="H19" s="333"/>
      <c r="I19" s="332"/>
      <c r="J19" s="332"/>
    </row>
    <row r="20" spans="2:10" ht="17.25" customHeight="1">
      <c r="B20" s="735" t="s">
        <v>103</v>
      </c>
      <c r="C20" s="330" t="s">
        <v>36</v>
      </c>
      <c r="D20" s="331"/>
      <c r="E20" s="332"/>
      <c r="F20" s="332"/>
      <c r="G20" s="333"/>
      <c r="H20" s="333"/>
      <c r="I20" s="332"/>
      <c r="J20" s="332"/>
    </row>
    <row r="21" spans="2:10" ht="17.25" customHeight="1">
      <c r="B21" s="736"/>
      <c r="C21" s="330" t="s">
        <v>85</v>
      </c>
      <c r="D21" s="331"/>
      <c r="E21" s="332"/>
      <c r="F21" s="332"/>
      <c r="G21" s="333"/>
      <c r="H21" s="333"/>
      <c r="I21" s="332"/>
      <c r="J21" s="332"/>
    </row>
    <row r="22" spans="2:10" ht="17.25" customHeight="1">
      <c r="B22" s="719" t="s">
        <v>104</v>
      </c>
      <c r="C22" s="720"/>
      <c r="D22" s="23">
        <f>VALUE(範本!M15)</f>
        <v>15</v>
      </c>
      <c r="E22" s="23">
        <f>VALUE(範本!M26)</f>
        <v>12.666666666666666</v>
      </c>
      <c r="F22" s="23">
        <f>VALUE(範本!M37)</f>
        <v>14.666666666666666</v>
      </c>
      <c r="G22" s="23">
        <f>VALUE(範本!M48)</f>
        <v>14</v>
      </c>
      <c r="H22" s="23">
        <f>VALUE(範本!M58)</f>
        <v>17.666666666666668</v>
      </c>
      <c r="I22" s="23">
        <f>VALUE(範本!M69)</f>
        <v>12.333333333333334</v>
      </c>
      <c r="J22" s="23">
        <f>範本!M79</f>
        <v>11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4">
    <tabColor theme="9" tint="0.79998168889431442"/>
    <pageSetUpPr fitToPage="1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G76" sqref="G7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43309</v>
      </c>
      <c r="F1" s="30" t="s">
        <v>2</v>
      </c>
      <c r="G1" s="31" t="e">
        <f>SUM(H5:H79)</f>
        <v>#N/A</v>
      </c>
      <c r="H1" s="32" t="s">
        <v>3</v>
      </c>
      <c r="I1" s="33">
        <f>M15+M26+M48+M58+M69+M79+M37</f>
        <v>97.333333333333329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13</v>
      </c>
      <c r="B2" s="739"/>
      <c r="C2" s="28"/>
      <c r="D2" s="28" t="s">
        <v>14</v>
      </c>
      <c r="E2" s="35">
        <f>AVERAGE(O15,O26,O37,O48,O58,O69,O79)</f>
        <v>116.11474837607263</v>
      </c>
      <c r="F2" s="36" t="s">
        <v>15</v>
      </c>
      <c r="G2" s="37" t="e">
        <f>G1/E1</f>
        <v>#N/A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e">
        <f>VLOOKUP(D5,廠價表!$C$1:$E$43,2,0)</f>
        <v>#N/A</v>
      </c>
      <c r="C5" s="40"/>
      <c r="D5" s="168"/>
      <c r="E5" s="41"/>
      <c r="F5" s="39" t="e">
        <f>VLOOKUP(D5,廠價表!$C$1:$E$43,3,0)</f>
        <v>#N/A</v>
      </c>
      <c r="G5" s="42">
        <v>2263</v>
      </c>
      <c r="H5" s="43" t="e">
        <f>F5*G5</f>
        <v>#N/A</v>
      </c>
      <c r="I5" s="44"/>
      <c r="J5" s="45" t="e">
        <f>VLOOKUP(D5,產線配置圖!$A$3:$C$40,2,0)</f>
        <v>#N/A</v>
      </c>
      <c r="K5" s="46" t="e">
        <f>VLOOKUP(D5,產線配置圖!$A$3:$C$40,3,0)</f>
        <v>#N/A</v>
      </c>
      <c r="L5" s="47" t="e">
        <f>K5/J5</f>
        <v>#N/A</v>
      </c>
      <c r="M5" s="48">
        <v>15</v>
      </c>
      <c r="N5" s="46">
        <f>G5/W5*60</f>
        <v>1444.4680851063781</v>
      </c>
      <c r="O5" s="47">
        <f>N5/M5</f>
        <v>96.297872340425201</v>
      </c>
      <c r="P5" s="49" t="e">
        <f>M5-J5</f>
        <v>#N/A</v>
      </c>
      <c r="Q5" s="50" t="e">
        <f>O5-L5</f>
        <v>#N/A</v>
      </c>
      <c r="R5" s="51" t="e">
        <f>O5/L5</f>
        <v>#N/A</v>
      </c>
      <c r="S5" s="748" t="e">
        <f>R15</f>
        <v>#N/A</v>
      </c>
      <c r="T5" s="319">
        <v>0.29097222222222202</v>
      </c>
      <c r="U5" s="320">
        <v>0.35625000000000001</v>
      </c>
      <c r="V5" s="53"/>
      <c r="W5" s="54">
        <f t="shared" ref="W5:W14" si="0">(U5-T5)*24*60</f>
        <v>94.000000000000313</v>
      </c>
      <c r="X5" s="55"/>
      <c r="Y5" s="290"/>
      <c r="Z5" s="169"/>
      <c r="AA5" s="169"/>
      <c r="AB5" s="791"/>
      <c r="AC5" s="791"/>
      <c r="AD5" s="135"/>
      <c r="AE5" s="135"/>
      <c r="AF5" s="229" t="e">
        <f t="shared" ref="AF5:AF11" si="1">N5-K5</f>
        <v>#N/A</v>
      </c>
      <c r="AG5" s="52" t="e">
        <f t="shared" ref="AG5:AG11" si="2">N5/K5</f>
        <v>#N/A</v>
      </c>
      <c r="AH5" s="784" t="e">
        <f>AG15</f>
        <v>#N/A</v>
      </c>
    </row>
    <row r="6" spans="1:34" ht="15" customHeight="1">
      <c r="A6" s="755"/>
      <c r="B6" s="57" t="e">
        <f>VLOOKUP(D6,廠價表!$C$1:$E$43,2,0)</f>
        <v>#N/A</v>
      </c>
      <c r="C6" s="58"/>
      <c r="D6" s="59"/>
      <c r="E6" s="60"/>
      <c r="F6" s="61" t="e">
        <f>VLOOKUP(D6,廠價表!$C$1:$E$43,3,0)</f>
        <v>#N/A</v>
      </c>
      <c r="G6" s="62">
        <v>1180</v>
      </c>
      <c r="H6" s="63" t="e">
        <f>F6*G6</f>
        <v>#N/A</v>
      </c>
      <c r="I6" s="64"/>
      <c r="J6" s="65" t="e">
        <f>VLOOKUP(D6,產線配置圖!$A$3:$C$40,2,0)</f>
        <v>#N/A</v>
      </c>
      <c r="K6" s="66" t="e">
        <f>VLOOKUP(D6,產線配置圖!$A$3:$C$40,3,0)</f>
        <v>#N/A</v>
      </c>
      <c r="L6" s="67" t="e">
        <f>K6/J6</f>
        <v>#N/A</v>
      </c>
      <c r="M6" s="68">
        <v>17</v>
      </c>
      <c r="N6" s="66">
        <f>G6/W6*60</f>
        <v>1609.0909090908858</v>
      </c>
      <c r="O6" s="67">
        <f>N6/M6</f>
        <v>94.652406417110925</v>
      </c>
      <c r="P6" s="69" t="e">
        <f>M6-J6</f>
        <v>#N/A</v>
      </c>
      <c r="Q6" s="70" t="e">
        <f>O6-L6</f>
        <v>#N/A</v>
      </c>
      <c r="R6" s="71" t="e">
        <f>O6/L6</f>
        <v>#N/A</v>
      </c>
      <c r="S6" s="749"/>
      <c r="T6" s="16">
        <v>0.36458333333333298</v>
      </c>
      <c r="U6" s="16">
        <v>0.39513888888888898</v>
      </c>
      <c r="V6" s="30">
        <f>(T6-U5)*24*60</f>
        <v>11.999999999999478</v>
      </c>
      <c r="W6" s="73">
        <f t="shared" si="0"/>
        <v>44.000000000000639</v>
      </c>
      <c r="X6" s="22"/>
      <c r="Y6" s="84"/>
      <c r="Z6" s="90"/>
      <c r="AA6" s="90"/>
      <c r="AB6" s="788"/>
      <c r="AC6" s="788"/>
      <c r="AD6" s="149"/>
      <c r="AE6" s="149"/>
      <c r="AF6" s="307" t="e">
        <f t="shared" si="1"/>
        <v>#N/A</v>
      </c>
      <c r="AG6" s="72" t="e">
        <f t="shared" si="2"/>
        <v>#N/A</v>
      </c>
      <c r="AH6" s="785"/>
    </row>
    <row r="7" spans="1:34" ht="15" customHeight="1">
      <c r="A7" s="755"/>
      <c r="B7" s="75" t="e">
        <f>VLOOKUP(D7,廠價表!$C$1:$E$43,2,0)</f>
        <v>#N/A</v>
      </c>
      <c r="C7" s="76"/>
      <c r="D7" s="59"/>
      <c r="E7" s="77"/>
      <c r="F7" s="75" t="e">
        <f>VLOOKUP(D7,廠價表!$C$1:$E$43,3,0)</f>
        <v>#N/A</v>
      </c>
      <c r="G7" s="66">
        <v>3398</v>
      </c>
      <c r="H7" s="78" t="e">
        <f>F7*G7</f>
        <v>#N/A</v>
      </c>
      <c r="I7" s="73"/>
      <c r="J7" s="79" t="e">
        <f>VLOOKUP(D7,產線配置圖!$A$3:$C$40,2,0)</f>
        <v>#N/A</v>
      </c>
      <c r="K7" s="80" t="e">
        <f>VLOOKUP(D7,產線配置圖!$A$3:$C$40,3,0)</f>
        <v>#N/A</v>
      </c>
      <c r="L7" s="81" t="e">
        <f>K7/J7</f>
        <v>#N/A</v>
      </c>
      <c r="M7" s="82">
        <v>13</v>
      </c>
      <c r="N7" s="80">
        <f>G7/W7*60</f>
        <v>1960.3846153846225</v>
      </c>
      <c r="O7" s="81">
        <f>N7/M7</f>
        <v>150.7988165680479</v>
      </c>
      <c r="P7" s="74" t="e">
        <f>M7-J7</f>
        <v>#N/A</v>
      </c>
      <c r="Q7" s="83" t="e">
        <f>O7-L7</f>
        <v>#N/A</v>
      </c>
      <c r="R7" s="72" t="e">
        <f>O7/L7</f>
        <v>#N/A</v>
      </c>
      <c r="S7" s="749"/>
      <c r="T7" s="18">
        <v>0.40138888888888902</v>
      </c>
      <c r="U7" s="18">
        <v>0.47361111111111098</v>
      </c>
      <c r="V7" s="30">
        <f>(T7-U6)*24*60</f>
        <v>9.000000000000048</v>
      </c>
      <c r="W7" s="73">
        <f t="shared" si="0"/>
        <v>103.99999999999963</v>
      </c>
      <c r="X7" s="22"/>
      <c r="Y7" s="84"/>
      <c r="Z7" s="90"/>
      <c r="AA7" s="90"/>
      <c r="AB7" s="789"/>
      <c r="AC7" s="789"/>
      <c r="AD7" s="92"/>
      <c r="AE7" s="92"/>
      <c r="AF7" s="307" t="e">
        <f t="shared" si="1"/>
        <v>#N/A</v>
      </c>
      <c r="AG7" s="72" t="e">
        <f t="shared" si="2"/>
        <v>#N/A</v>
      </c>
      <c r="AH7" s="785"/>
    </row>
    <row r="8" spans="1:34" ht="15" customHeight="1">
      <c r="A8" s="75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>
        <v>0.48611111111111099</v>
      </c>
      <c r="Y8" s="84">
        <v>0.52777777777777801</v>
      </c>
      <c r="Z8" s="90"/>
      <c r="AA8" s="90"/>
      <c r="AB8" s="788"/>
      <c r="AC8" s="788"/>
      <c r="AD8" s="149"/>
      <c r="AE8" s="149"/>
      <c r="AF8" s="307">
        <f t="shared" si="1"/>
        <v>0</v>
      </c>
      <c r="AG8" s="72" t="e">
        <f t="shared" si="2"/>
        <v>#DIV/0!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 t="e">
        <f t="shared" ref="J15:O15" si="3">AVERAGE(J5:J14)</f>
        <v>#N/A</v>
      </c>
      <c r="K15" s="120" t="e">
        <f t="shared" si="3"/>
        <v>#N/A</v>
      </c>
      <c r="L15" s="117" t="e">
        <f t="shared" si="3"/>
        <v>#N/A</v>
      </c>
      <c r="M15" s="120">
        <f t="shared" si="3"/>
        <v>15</v>
      </c>
      <c r="N15" s="120">
        <f t="shared" si="3"/>
        <v>1671.3145365272956</v>
      </c>
      <c r="O15" s="117">
        <f t="shared" si="3"/>
        <v>113.916365108528</v>
      </c>
      <c r="P15" s="121" t="e">
        <f>M15-J15</f>
        <v>#N/A</v>
      </c>
      <c r="Q15" s="122" t="e">
        <f>O15-L15</f>
        <v>#N/A</v>
      </c>
      <c r="R15" s="123" t="e">
        <f>O15/L15</f>
        <v>#N/A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 t="e">
        <f>N15-K15</f>
        <v>#N/A</v>
      </c>
      <c r="AG15" s="124" t="e">
        <f>N15/K15</f>
        <v>#N/A</v>
      </c>
      <c r="AH15" s="787"/>
    </row>
    <row r="16" spans="1:34" ht="15" customHeight="1">
      <c r="A16" s="801" t="s">
        <v>43</v>
      </c>
      <c r="B16" s="129" t="e">
        <f>VLOOKUP(D16,廠價表!$C$1:$E$43,2,0)</f>
        <v>#N/A</v>
      </c>
      <c r="C16" s="130"/>
      <c r="D16" s="131"/>
      <c r="E16" s="132"/>
      <c r="F16" s="129" t="e">
        <f>VLOOKUP(D16,廠價表!$C$1:$E$43,3,0)</f>
        <v>#N/A</v>
      </c>
      <c r="G16" s="133">
        <v>2263</v>
      </c>
      <c r="H16" s="134" t="e">
        <f>F16*G16</f>
        <v>#N/A</v>
      </c>
      <c r="I16" s="135"/>
      <c r="J16" s="136" t="e">
        <f>VLOOKUP(D16,產線配置圖!$A$3:$C$40,2,0)</f>
        <v>#N/A</v>
      </c>
      <c r="K16" s="137" t="e">
        <f>VLOOKUP(D16,產線配置圖!$A$3:$C$40,3,0)</f>
        <v>#N/A</v>
      </c>
      <c r="L16" s="138" t="e">
        <f>K16/J16</f>
        <v>#N/A</v>
      </c>
      <c r="M16" s="139">
        <v>13</v>
      </c>
      <c r="N16" s="140">
        <f>G16/W16*60</f>
        <v>2225.9016393442703</v>
      </c>
      <c r="O16" s="141">
        <f>N16/M16</f>
        <v>171.22320302648234</v>
      </c>
      <c r="P16" s="142" t="e">
        <f>M16-J16</f>
        <v>#N/A</v>
      </c>
      <c r="Q16" s="143" t="e">
        <f>O16-L16</f>
        <v>#N/A</v>
      </c>
      <c r="R16" s="144" t="e">
        <f>O16/L16</f>
        <v>#N/A</v>
      </c>
      <c r="S16" s="795" t="e">
        <f>R26</f>
        <v>#N/A</v>
      </c>
      <c r="T16" s="145">
        <v>0.29097222222222202</v>
      </c>
      <c r="U16" s="145">
        <v>0.33333333333333298</v>
      </c>
      <c r="V16" s="135"/>
      <c r="W16" s="146">
        <f t="shared" ref="W16:W78" si="4">(U16-T16)*24*60</f>
        <v>60.999999999999787</v>
      </c>
      <c r="X16" s="141"/>
      <c r="Y16" s="296"/>
      <c r="Z16" s="169"/>
      <c r="AA16" s="169"/>
      <c r="AB16" s="791"/>
      <c r="AC16" s="791"/>
      <c r="AD16" s="135"/>
      <c r="AE16" s="135"/>
      <c r="AF16" s="229" t="e">
        <f>N16-K16</f>
        <v>#N/A</v>
      </c>
      <c r="AG16" s="52" t="e">
        <f>N16/K16</f>
        <v>#N/A</v>
      </c>
      <c r="AH16" s="784" t="e">
        <f>AG26</f>
        <v>#N/A</v>
      </c>
    </row>
    <row r="17" spans="1:34" ht="15" customHeight="1">
      <c r="A17" s="802"/>
      <c r="B17" s="75" t="e">
        <f>VLOOKUP(D17,廠價表!$C$1:$E$43,2,0)</f>
        <v>#N/A</v>
      </c>
      <c r="C17" s="76"/>
      <c r="D17" s="59"/>
      <c r="E17" s="77"/>
      <c r="F17" s="75" t="e">
        <f>VLOOKUP(D17,廠價表!$C$1:$E$43,3,0)</f>
        <v>#N/A</v>
      </c>
      <c r="G17" s="147">
        <v>1180</v>
      </c>
      <c r="H17" s="78" t="e">
        <f>F17*G17</f>
        <v>#N/A</v>
      </c>
      <c r="I17" s="30"/>
      <c r="J17" s="79" t="e">
        <f>VLOOKUP(D17,產線配置圖!$A$3:$C$40,2,0)</f>
        <v>#N/A</v>
      </c>
      <c r="K17" s="80" t="e">
        <f>VLOOKUP(D17,產線配置圖!$A$3:$C$40,3,0)</f>
        <v>#N/A</v>
      </c>
      <c r="L17" s="81" t="e">
        <f>K17/J17</f>
        <v>#N/A</v>
      </c>
      <c r="M17" s="148">
        <v>13</v>
      </c>
      <c r="N17" s="95">
        <f>G17/W17*60</f>
        <v>823.25581395349127</v>
      </c>
      <c r="O17" s="96">
        <f>N17/M17</f>
        <v>63.327370304114716</v>
      </c>
      <c r="P17" s="97" t="e">
        <f>M17-J17</f>
        <v>#N/A</v>
      </c>
      <c r="Q17" s="98" t="e">
        <f>O17-L17</f>
        <v>#N/A</v>
      </c>
      <c r="R17" s="99" t="e">
        <f>O17/L17</f>
        <v>#N/A</v>
      </c>
      <c r="S17" s="796"/>
      <c r="T17" s="19">
        <v>0.34166666666666701</v>
      </c>
      <c r="U17" s="19">
        <v>0.40138888888888902</v>
      </c>
      <c r="V17" s="30">
        <f>(T17-U16)*24*60</f>
        <v>12.000000000000997</v>
      </c>
      <c r="W17" s="149">
        <f t="shared" si="4"/>
        <v>85.999999999999687</v>
      </c>
      <c r="X17" s="19"/>
      <c r="Y17" s="297"/>
      <c r="Z17" s="90"/>
      <c r="AA17" s="90"/>
      <c r="AB17" s="789"/>
      <c r="AC17" s="789"/>
      <c r="AD17" s="92"/>
      <c r="AE17" s="92"/>
      <c r="AF17" s="307" t="e">
        <f>N17-K17</f>
        <v>#N/A</v>
      </c>
      <c r="AG17" s="72" t="e">
        <f>N17/K17</f>
        <v>#N/A</v>
      </c>
      <c r="AH17" s="785"/>
    </row>
    <row r="18" spans="1:34" ht="15" customHeight="1">
      <c r="A18" s="802"/>
      <c r="B18" s="75" t="e">
        <f>VLOOKUP(D18,廠價表!$C$1:$E$43,2,0)</f>
        <v>#N/A</v>
      </c>
      <c r="C18" s="76"/>
      <c r="D18" s="59"/>
      <c r="E18" s="77"/>
      <c r="F18" s="75" t="e">
        <f>VLOOKUP(D18,廠價表!$C$1:$E$43,3,0)</f>
        <v>#N/A</v>
      </c>
      <c r="G18" s="147">
        <v>3398</v>
      </c>
      <c r="H18" s="78" t="e">
        <f>F18*G18</f>
        <v>#N/A</v>
      </c>
      <c r="I18" s="30"/>
      <c r="J18" s="79" t="e">
        <f>VLOOKUP(D18,產線配置圖!$A$3:$C$40,2,0)</f>
        <v>#N/A</v>
      </c>
      <c r="K18" s="80" t="e">
        <f>VLOOKUP(D18,產線配置圖!$A$3:$C$40,3,0)</f>
        <v>#N/A</v>
      </c>
      <c r="L18" s="81" t="e">
        <f>K18/J18</f>
        <v>#N/A</v>
      </c>
      <c r="M18" s="148">
        <v>12</v>
      </c>
      <c r="N18" s="95">
        <f>G18/W18*60</f>
        <v>1941.7142857142762</v>
      </c>
      <c r="O18" s="96">
        <f>N18/M18</f>
        <v>161.80952380952303</v>
      </c>
      <c r="P18" s="97" t="e">
        <f>M18-J18</f>
        <v>#N/A</v>
      </c>
      <c r="Q18" s="98" t="e">
        <f>O18-L18</f>
        <v>#N/A</v>
      </c>
      <c r="R18" s="99" t="e">
        <f>O18/L18</f>
        <v>#N/A</v>
      </c>
      <c r="S18" s="796"/>
      <c r="T18" s="19">
        <v>0.40972222222222199</v>
      </c>
      <c r="U18" s="19">
        <v>0.48263888888888901</v>
      </c>
      <c r="V18" s="30">
        <f>(T18-U17)*24*60</f>
        <v>11.999999999999478</v>
      </c>
      <c r="W18" s="149">
        <f t="shared" si="4"/>
        <v>105.00000000000051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 t="e">
        <f>N18-K18</f>
        <v>#N/A</v>
      </c>
      <c r="AG18" s="72" t="e">
        <f>N18/K18</f>
        <v>#N/A</v>
      </c>
      <c r="AH18" s="785"/>
    </row>
    <row r="19" spans="1:34" ht="15" customHeight="1">
      <c r="A19" s="80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96"/>
      <c r="T19" s="19"/>
      <c r="U19" s="19"/>
      <c r="V19" s="30">
        <f>(T19-U18)*24*60</f>
        <v>-695.00000000000011</v>
      </c>
      <c r="W19" s="149">
        <f t="shared" si="4"/>
        <v>0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0</v>
      </c>
      <c r="AG19" s="72" t="e">
        <f>N19/K19</f>
        <v>#DIV/0!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>
        <f>(T20-U19)*24*60</f>
        <v>0</v>
      </c>
      <c r="W20" s="149">
        <f t="shared" si="4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 t="e">
        <f t="shared" ref="J26:O26" si="5">AVERAGE(J16:J25)</f>
        <v>#N/A</v>
      </c>
      <c r="K26" s="155" t="e">
        <f t="shared" si="5"/>
        <v>#N/A</v>
      </c>
      <c r="L26" s="158" t="e">
        <f t="shared" si="5"/>
        <v>#N/A</v>
      </c>
      <c r="M26" s="155">
        <f t="shared" si="5"/>
        <v>12.666666666666666</v>
      </c>
      <c r="N26" s="155">
        <f t="shared" si="5"/>
        <v>1663.6239130040128</v>
      </c>
      <c r="O26" s="158">
        <f t="shared" si="5"/>
        <v>132.12003238004002</v>
      </c>
      <c r="P26" s="159" t="e">
        <f>M26-J26</f>
        <v>#N/A</v>
      </c>
      <c r="Q26" s="160" t="e">
        <f>O26-L26</f>
        <v>#N/A</v>
      </c>
      <c r="R26" s="161" t="e">
        <f>O26/L26</f>
        <v>#N/A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 t="e">
        <f t="shared" ref="AF26:AF31" si="6">N26-K26</f>
        <v>#N/A</v>
      </c>
      <c r="AG26" s="124" t="e">
        <f t="shared" ref="AG26:AG31" si="7">N26/K26</f>
        <v>#N/A</v>
      </c>
      <c r="AH26" s="787"/>
    </row>
    <row r="27" spans="1:34" ht="15" customHeight="1">
      <c r="A27" s="792" t="s">
        <v>45</v>
      </c>
      <c r="B27" s="167" t="e">
        <f>VLOOKUP(D27,廠價表!$C$1:$E$43,2,0)</f>
        <v>#N/A</v>
      </c>
      <c r="C27" s="130"/>
      <c r="D27" s="168"/>
      <c r="E27" s="132"/>
      <c r="F27" s="129" t="e">
        <f>VLOOKUP(D27,廠價表!$C$1:$E$43,3,0)</f>
        <v>#N/A</v>
      </c>
      <c r="G27" s="169">
        <v>2263</v>
      </c>
      <c r="H27" s="134" t="e">
        <f>F27*G27</f>
        <v>#N/A</v>
      </c>
      <c r="I27" s="135"/>
      <c r="J27" s="136" t="e">
        <f>VLOOKUP(D27,產線配置圖!$A$3:$C$40,2,0)</f>
        <v>#N/A</v>
      </c>
      <c r="K27" s="137" t="e">
        <f>VLOOKUP(D27,產線配置圖!$A$3:$C$40,3,0)</f>
        <v>#N/A</v>
      </c>
      <c r="L27" s="138" t="e">
        <f>K27/J27</f>
        <v>#N/A</v>
      </c>
      <c r="M27" s="170">
        <v>14</v>
      </c>
      <c r="N27" s="140">
        <f>G27/W27*60</f>
        <v>1212.3214285714407</v>
      </c>
      <c r="O27" s="141">
        <f>N27/M27</f>
        <v>86.594387755102915</v>
      </c>
      <c r="P27" s="142" t="e">
        <f>M27-J27</f>
        <v>#N/A</v>
      </c>
      <c r="Q27" s="143" t="e">
        <f>O27-L27</f>
        <v>#N/A</v>
      </c>
      <c r="R27" s="144" t="e">
        <f>O27/L27</f>
        <v>#N/A</v>
      </c>
      <c r="S27" s="795" t="e">
        <f>R37</f>
        <v>#N/A</v>
      </c>
      <c r="T27" s="171">
        <v>0.29166666666666702</v>
      </c>
      <c r="U27" s="171">
        <v>0.36944444444444402</v>
      </c>
      <c r="V27" s="135"/>
      <c r="W27" s="146">
        <f t="shared" si="4"/>
        <v>111.99999999999888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 t="e">
        <f t="shared" si="6"/>
        <v>#N/A</v>
      </c>
      <c r="AG27" s="172" t="e">
        <f t="shared" si="7"/>
        <v>#N/A</v>
      </c>
      <c r="AH27" s="784" t="e">
        <f>AG37</f>
        <v>#N/A</v>
      </c>
    </row>
    <row r="28" spans="1:34" ht="15" customHeight="1">
      <c r="A28" s="793"/>
      <c r="B28" s="75" t="e">
        <f>VLOOKUP(D28,廠價表!$C$1:$E$43,2,0)</f>
        <v>#N/A</v>
      </c>
      <c r="C28" s="173"/>
      <c r="D28" s="59"/>
      <c r="E28" s="104"/>
      <c r="F28" s="75" t="e">
        <f>VLOOKUP(D28,廠價表!$C$1:$E$43,3,0)</f>
        <v>#N/A</v>
      </c>
      <c r="G28" s="90">
        <v>1180</v>
      </c>
      <c r="H28" s="91" t="e">
        <f>F28*G28</f>
        <v>#N/A</v>
      </c>
      <c r="I28" s="92"/>
      <c r="J28" s="79" t="e">
        <f>VLOOKUP(D28,產線配置圖!$A$3:$C$40,2,0)</f>
        <v>#N/A</v>
      </c>
      <c r="K28" s="80" t="e">
        <f>VLOOKUP(D28,產線配置圖!$A$3:$C$40,3,0)</f>
        <v>#N/A</v>
      </c>
      <c r="L28" s="93" t="e">
        <f>K28/J28</f>
        <v>#N/A</v>
      </c>
      <c r="M28" s="94">
        <v>16</v>
      </c>
      <c r="N28" s="95">
        <f>G28/W28*60</f>
        <v>1089.2307692307663</v>
      </c>
      <c r="O28" s="96">
        <f>N28/M28</f>
        <v>68.076923076922895</v>
      </c>
      <c r="P28" s="97" t="e">
        <f>M28-J28</f>
        <v>#N/A</v>
      </c>
      <c r="Q28" s="98" t="e">
        <f>O28-L28</f>
        <v>#N/A</v>
      </c>
      <c r="R28" s="99" t="e">
        <f>O28/L28</f>
        <v>#N/A</v>
      </c>
      <c r="S28" s="796"/>
      <c r="T28" s="19">
        <v>0.375</v>
      </c>
      <c r="U28" s="19">
        <v>0.42013888888888901</v>
      </c>
      <c r="V28" s="92">
        <f>(T28-U27)*24*60</f>
        <v>8.0000000000006111</v>
      </c>
      <c r="W28" s="149">
        <f t="shared" si="4"/>
        <v>65.000000000000171</v>
      </c>
      <c r="X28" s="174"/>
      <c r="Y28" s="301"/>
      <c r="Z28" s="335"/>
      <c r="AA28" s="335"/>
      <c r="AB28" s="789"/>
      <c r="AC28" s="789"/>
      <c r="AD28" s="92"/>
      <c r="AE28" s="92"/>
      <c r="AF28" s="311" t="e">
        <f t="shared" si="6"/>
        <v>#N/A</v>
      </c>
      <c r="AG28" s="99" t="e">
        <f t="shared" si="7"/>
        <v>#N/A</v>
      </c>
      <c r="AH28" s="805"/>
    </row>
    <row r="29" spans="1:34" ht="15" customHeight="1">
      <c r="A29" s="793"/>
      <c r="B29" s="75" t="e">
        <f>VLOOKUP(D29,廠價表!$C$1:$E$43,2,0)</f>
        <v>#N/A</v>
      </c>
      <c r="C29" s="173"/>
      <c r="D29" s="59"/>
      <c r="E29" s="104"/>
      <c r="F29" s="75" t="e">
        <f>VLOOKUP(D29,廠價表!$C$1:$E$43,3,0)</f>
        <v>#N/A</v>
      </c>
      <c r="G29" s="90">
        <v>3398</v>
      </c>
      <c r="H29" s="91" t="e">
        <f>F29*G29</f>
        <v>#N/A</v>
      </c>
      <c r="I29" s="92"/>
      <c r="J29" s="79" t="e">
        <f>VLOOKUP(D29,產線配置圖!$A$3:$C$40,2,0)</f>
        <v>#N/A</v>
      </c>
      <c r="K29" s="80" t="e">
        <f>VLOOKUP(D29,產線配置圖!$A$3:$C$40,3,0)</f>
        <v>#N/A</v>
      </c>
      <c r="L29" s="93" t="e">
        <f>K29/J29</f>
        <v>#N/A</v>
      </c>
      <c r="M29" s="94">
        <v>14</v>
      </c>
      <c r="N29" s="95">
        <f>G29/W29*60</f>
        <v>3136.6153846154498</v>
      </c>
      <c r="O29" s="96">
        <f>N29/M29</f>
        <v>224.04395604396069</v>
      </c>
      <c r="P29" s="97" t="e">
        <f>M29-J29</f>
        <v>#N/A</v>
      </c>
      <c r="Q29" s="98" t="e">
        <f>O29-L29</f>
        <v>#N/A</v>
      </c>
      <c r="R29" s="99" t="e">
        <f>O29/L29</f>
        <v>#N/A</v>
      </c>
      <c r="S29" s="796"/>
      <c r="T29" s="19">
        <v>0.43055555555555602</v>
      </c>
      <c r="U29" s="19">
        <v>0.47569444444444398</v>
      </c>
      <c r="V29" s="92">
        <f>(T29-U28)*24*60</f>
        <v>15.000000000000506</v>
      </c>
      <c r="W29" s="149">
        <f t="shared" si="4"/>
        <v>64.99999999999865</v>
      </c>
      <c r="X29" s="22"/>
      <c r="Y29" s="84"/>
      <c r="Z29" s="90"/>
      <c r="AA29" s="90"/>
      <c r="AB29" s="789"/>
      <c r="AC29" s="789"/>
      <c r="AD29" s="92"/>
      <c r="AE29" s="92"/>
      <c r="AF29" s="312" t="e">
        <f t="shared" si="6"/>
        <v>#N/A</v>
      </c>
      <c r="AG29" s="99" t="e">
        <f t="shared" si="7"/>
        <v>#N/A</v>
      </c>
      <c r="AH29" s="805"/>
    </row>
    <row r="30" spans="1:34" ht="15" customHeight="1">
      <c r="A30" s="793"/>
      <c r="B30" s="75"/>
      <c r="C30" s="88"/>
      <c r="D30" s="59"/>
      <c r="E30" s="89"/>
      <c r="F30" s="75"/>
      <c r="G30" s="90"/>
      <c r="H30" s="91"/>
      <c r="I30" s="92"/>
      <c r="J30" s="79"/>
      <c r="K30" s="80"/>
      <c r="L30" s="93"/>
      <c r="M30" s="94"/>
      <c r="N30" s="95"/>
      <c r="O30" s="96"/>
      <c r="P30" s="97"/>
      <c r="Q30" s="98"/>
      <c r="R30" s="99"/>
      <c r="S30" s="796"/>
      <c r="T30" s="19">
        <v>0.53958333333333297</v>
      </c>
      <c r="U30" s="19">
        <v>0.56944444444444398</v>
      </c>
      <c r="V30" s="92">
        <f>(T30-U29)*24*60</f>
        <v>92.000000000000156</v>
      </c>
      <c r="W30" s="149">
        <f t="shared" si="4"/>
        <v>42.999999999999844</v>
      </c>
      <c r="X30" s="174">
        <v>0.49652777777777801</v>
      </c>
      <c r="Y30" s="301">
        <v>0.53819444444444398</v>
      </c>
      <c r="Z30" s="335"/>
      <c r="AA30" s="335"/>
      <c r="AB30" s="789"/>
      <c r="AC30" s="789"/>
      <c r="AD30" s="92"/>
      <c r="AE30" s="92"/>
      <c r="AF30" s="312">
        <f t="shared" si="6"/>
        <v>0</v>
      </c>
      <c r="AG30" s="99" t="e">
        <f t="shared" si="7"/>
        <v>#DIV/0!</v>
      </c>
      <c r="AH30" s="806"/>
    </row>
    <row r="31" spans="1:34" ht="15" customHeight="1">
      <c r="A31" s="793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6"/>
        <v>0</v>
      </c>
      <c r="AG31" s="99" t="e">
        <f t="shared" si="7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50"/>
      <c r="U32" s="150"/>
      <c r="V32" s="92"/>
      <c r="W32" s="149">
        <f t="shared" si="4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 t="e">
        <f t="shared" ref="J37:O37" si="8">AVERAGE(J27:J36)</f>
        <v>#N/A</v>
      </c>
      <c r="K37" s="155" t="e">
        <f t="shared" si="8"/>
        <v>#N/A</v>
      </c>
      <c r="L37" s="158" t="e">
        <f t="shared" si="8"/>
        <v>#N/A</v>
      </c>
      <c r="M37" s="155">
        <f t="shared" si="8"/>
        <v>14.666666666666666</v>
      </c>
      <c r="N37" s="155">
        <f t="shared" si="8"/>
        <v>1812.7225274725522</v>
      </c>
      <c r="O37" s="158">
        <f t="shared" si="8"/>
        <v>126.23842229199551</v>
      </c>
      <c r="P37" s="159" t="e">
        <f>M37-J37</f>
        <v>#N/A</v>
      </c>
      <c r="Q37" s="160" t="e">
        <f>N37-K37</f>
        <v>#N/A</v>
      </c>
      <c r="R37" s="161" t="e">
        <f>O37/L37</f>
        <v>#N/A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 t="e">
        <f>N37-K37</f>
        <v>#N/A</v>
      </c>
      <c r="AG37" s="124" t="e">
        <f>N37/K37</f>
        <v>#N/A</v>
      </c>
      <c r="AH37" s="787"/>
    </row>
    <row r="38" spans="1:34" s="196" customFormat="1" ht="15" customHeight="1">
      <c r="A38" s="814" t="s">
        <v>48</v>
      </c>
      <c r="B38" s="167" t="e">
        <f>VLOOKUP(D38,廠價表!$C$1:$E$43,2,0)</f>
        <v>#N/A</v>
      </c>
      <c r="C38" s="129"/>
      <c r="D38" s="184"/>
      <c r="E38" s="185"/>
      <c r="F38" s="39" t="e">
        <f>VLOOKUP(D38,廠價表!$C$1:$E$43,3,0)</f>
        <v>#N/A</v>
      </c>
      <c r="G38" s="186">
        <v>2263</v>
      </c>
      <c r="H38" s="134" t="e">
        <f>F38*G38</f>
        <v>#N/A</v>
      </c>
      <c r="I38" s="135"/>
      <c r="J38" s="187" t="e">
        <f>VLOOKUP(D38,產線配置圖!$A$3:$C$40,2,0)</f>
        <v>#N/A</v>
      </c>
      <c r="K38" s="188" t="e">
        <f>VLOOKUP(D38,產線配置圖!$A$3:$C$40,3,0)</f>
        <v>#N/A</v>
      </c>
      <c r="L38" s="189" t="e">
        <f>K38/J38</f>
        <v>#N/A</v>
      </c>
      <c r="M38" s="190">
        <v>14</v>
      </c>
      <c r="N38" s="140">
        <f>G38/W38*60</f>
        <v>1967.8260869565083</v>
      </c>
      <c r="O38" s="141">
        <f>N38/M38</f>
        <v>140.55900621117917</v>
      </c>
      <c r="P38" s="142" t="e">
        <f>M38-J38</f>
        <v>#N/A</v>
      </c>
      <c r="Q38" s="143" t="e">
        <f>O38-L38</f>
        <v>#N/A</v>
      </c>
      <c r="R38" s="144" t="e">
        <f>O38/L38</f>
        <v>#N/A</v>
      </c>
      <c r="S38" s="817" t="e">
        <f>R48</f>
        <v>#N/A</v>
      </c>
      <c r="T38" s="191">
        <v>0.33333333333333298</v>
      </c>
      <c r="U38" s="191">
        <v>0.38124999999999998</v>
      </c>
      <c r="V38" s="192"/>
      <c r="W38" s="193">
        <f t="shared" si="4"/>
        <v>69.000000000000469</v>
      </c>
      <c r="X38" s="194"/>
      <c r="Y38" s="302"/>
      <c r="Z38" s="336"/>
      <c r="AA38" s="336"/>
      <c r="AB38" s="819"/>
      <c r="AC38" s="819"/>
      <c r="AD38" s="192"/>
      <c r="AE38" s="192"/>
      <c r="AF38" s="313" t="e">
        <f>N38-K38</f>
        <v>#N/A</v>
      </c>
      <c r="AG38" s="195" t="e">
        <f>N38/K38</f>
        <v>#N/A</v>
      </c>
      <c r="AH38" s="807" t="e">
        <f>AG48</f>
        <v>#N/A</v>
      </c>
    </row>
    <row r="39" spans="1:34" s="196" customFormat="1" ht="15" customHeight="1">
      <c r="A39" s="815"/>
      <c r="B39" s="75" t="e">
        <f>VLOOKUP(D39,廠價表!$C$1:$E$43,2,0)</f>
        <v>#N/A</v>
      </c>
      <c r="C39" s="197"/>
      <c r="D39" s="198"/>
      <c r="E39" s="176"/>
      <c r="F39" s="75" t="e">
        <f>VLOOKUP(D39,廠價表!$C$1:$E$43,3,0)</f>
        <v>#N/A</v>
      </c>
      <c r="G39" s="199">
        <v>1180</v>
      </c>
      <c r="H39" s="91" t="e">
        <f>F39*G39</f>
        <v>#N/A</v>
      </c>
      <c r="I39" s="200"/>
      <c r="J39" s="148" t="e">
        <f>VLOOKUP(D39,產線配置圖!$A$3:$C$40,2,0)</f>
        <v>#N/A</v>
      </c>
      <c r="K39" s="95" t="e">
        <f>VLOOKUP(D39,產線配置圖!$A$3:$C$40,3,0)</f>
        <v>#N/A</v>
      </c>
      <c r="L39" s="96" t="e">
        <f>K39/J39</f>
        <v>#N/A</v>
      </c>
      <c r="M39" s="201">
        <v>14</v>
      </c>
      <c r="N39" s="202">
        <f>G39/W39*60</f>
        <v>885.00000000000932</v>
      </c>
      <c r="O39" s="203">
        <f>N39/M39</f>
        <v>63.214285714286383</v>
      </c>
      <c r="P39" s="97" t="e">
        <f>M39-J39</f>
        <v>#N/A</v>
      </c>
      <c r="Q39" s="98" t="e">
        <f>O39-L39</f>
        <v>#N/A</v>
      </c>
      <c r="R39" s="99" t="e">
        <f>O39/L39</f>
        <v>#N/A</v>
      </c>
      <c r="S39" s="818"/>
      <c r="T39" s="20">
        <v>0.38888888888888901</v>
      </c>
      <c r="U39" s="20">
        <v>0.44444444444444398</v>
      </c>
      <c r="V39" s="92">
        <f>(T39-U38)*24*60</f>
        <v>11.000000000000201</v>
      </c>
      <c r="W39" s="205">
        <f t="shared" si="4"/>
        <v>79.999999999999162</v>
      </c>
      <c r="X39" s="22"/>
      <c r="Y39" s="84"/>
      <c r="Z39" s="90"/>
      <c r="AA39" s="90"/>
      <c r="AB39" s="810"/>
      <c r="AC39" s="810"/>
      <c r="AD39" s="200"/>
      <c r="AE39" s="200"/>
      <c r="AF39" s="314" t="e">
        <f>N39-K39</f>
        <v>#N/A</v>
      </c>
      <c r="AG39" s="206" t="e">
        <f>N39/K39</f>
        <v>#N/A</v>
      </c>
      <c r="AH39" s="808"/>
    </row>
    <row r="40" spans="1:34" s="196" customFormat="1" ht="15" customHeight="1">
      <c r="A40" s="815"/>
      <c r="B40" s="75" t="e">
        <f>VLOOKUP(D40,廠價表!$C$1:$E$43,2,0)</f>
        <v>#N/A</v>
      </c>
      <c r="C40" s="207"/>
      <c r="D40" s="198"/>
      <c r="E40" s="178"/>
      <c r="F40" s="75" t="e">
        <f>VLOOKUP(D40,廠價表!$C$1:$E$43,3,0)</f>
        <v>#N/A</v>
      </c>
      <c r="G40" s="199">
        <v>3398</v>
      </c>
      <c r="H40" s="91" t="e">
        <f>F40*G40</f>
        <v>#N/A</v>
      </c>
      <c r="I40" s="200"/>
      <c r="J40" s="148" t="e">
        <f>VLOOKUP(D40,產線配置圖!$A$3:$C$40,2,0)</f>
        <v>#N/A</v>
      </c>
      <c r="K40" s="95" t="e">
        <f>VLOOKUP(D40,產線配置圖!$A$3:$C$40,3,0)</f>
        <v>#N/A</v>
      </c>
      <c r="L40" s="96" t="e">
        <f>K40/J40</f>
        <v>#N/A</v>
      </c>
      <c r="M40" s="201">
        <v>14</v>
      </c>
      <c r="N40" s="202">
        <f>G40/W40*60</f>
        <v>1853.4545454545439</v>
      </c>
      <c r="O40" s="203">
        <f>N40/M40</f>
        <v>132.38961038961028</v>
      </c>
      <c r="P40" s="97" t="e">
        <f>M40-J40</f>
        <v>#N/A</v>
      </c>
      <c r="Q40" s="98" t="e">
        <f>O40-L40</f>
        <v>#N/A</v>
      </c>
      <c r="R40" s="99" t="e">
        <f>O40/L40</f>
        <v>#N/A</v>
      </c>
      <c r="S40" s="749"/>
      <c r="T40" s="20">
        <v>0.52777777777777801</v>
      </c>
      <c r="U40" s="20">
        <v>0.60416666666666696</v>
      </c>
      <c r="V40" s="92">
        <f>(T40-U39)*24*60</f>
        <v>120.00000000000101</v>
      </c>
      <c r="W40" s="205">
        <f t="shared" si="4"/>
        <v>110.00000000000009</v>
      </c>
      <c r="X40" s="208"/>
      <c r="Y40" s="209"/>
      <c r="Z40" s="337"/>
      <c r="AA40" s="337"/>
      <c r="AB40" s="789"/>
      <c r="AC40" s="789"/>
      <c r="AD40" s="92"/>
      <c r="AE40" s="92"/>
      <c r="AF40" s="314" t="e">
        <f>N40-K40</f>
        <v>#N/A</v>
      </c>
      <c r="AG40" s="206" t="e">
        <f>N40/K40</f>
        <v>#N/A</v>
      </c>
      <c r="AH40" s="808"/>
    </row>
    <row r="41" spans="1:34" s="196" customFormat="1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s="196" customFormat="1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s="196" customFormat="1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s="196" customFormat="1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s="196" customFormat="1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s="196" customFormat="1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s="196" customFormat="1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 t="e">
        <f t="shared" ref="J48:O48" si="10">AVERAGE(J38:J47)</f>
        <v>#N/A</v>
      </c>
      <c r="K48" s="155" t="e">
        <f t="shared" si="10"/>
        <v>#N/A</v>
      </c>
      <c r="L48" s="158" t="e">
        <f t="shared" si="10"/>
        <v>#N/A</v>
      </c>
      <c r="M48" s="155">
        <f t="shared" si="10"/>
        <v>14</v>
      </c>
      <c r="N48" s="155">
        <f t="shared" si="10"/>
        <v>1568.7602108036872</v>
      </c>
      <c r="O48" s="158">
        <f t="shared" si="10"/>
        <v>112.05430077169194</v>
      </c>
      <c r="P48" s="221" t="e">
        <f>M48-J48</f>
        <v>#N/A</v>
      </c>
      <c r="Q48" s="222" t="e">
        <f>N48-K48</f>
        <v>#N/A</v>
      </c>
      <c r="R48" s="223" t="e">
        <f>O48/L48</f>
        <v>#N/A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 t="e">
        <f t="shared" ref="AF48:AF53" si="11">N48-K48</f>
        <v>#N/A</v>
      </c>
      <c r="AG48" s="162" t="e">
        <f t="shared" ref="AG48:AG53" si="12">N48/K48</f>
        <v>#N/A</v>
      </c>
      <c r="AH48" s="809"/>
    </row>
    <row r="49" spans="1:34" ht="15" customHeight="1">
      <c r="A49" s="811" t="s">
        <v>50</v>
      </c>
      <c r="B49" s="129" t="e">
        <f>VLOOKUP(D49,廠價表!$C$1:$E$43,2,0)</f>
        <v>#N/A</v>
      </c>
      <c r="C49" s="130"/>
      <c r="D49" s="131"/>
      <c r="E49" s="132"/>
      <c r="F49" s="129" t="e">
        <f>VLOOKUP(D49,廠價表!$C$1:$E$43,3,0)</f>
        <v>#N/A</v>
      </c>
      <c r="G49" s="228">
        <v>2263</v>
      </c>
      <c r="H49" s="134" t="e">
        <f>F49*G49</f>
        <v>#N/A</v>
      </c>
      <c r="I49" s="135"/>
      <c r="J49" s="136" t="e">
        <f>VLOOKUP(D49,產線配置圖!$A$3:$C$40,2,0)</f>
        <v>#N/A</v>
      </c>
      <c r="K49" s="137" t="e">
        <f>VLOOKUP(D49,產線配置圖!$A$3:$C$40,3,0)</f>
        <v>#N/A</v>
      </c>
      <c r="L49" s="138" t="e">
        <f>K49/J49</f>
        <v>#N/A</v>
      </c>
      <c r="M49" s="170">
        <v>18</v>
      </c>
      <c r="N49" s="140">
        <f>G49/W49*60</f>
        <v>1996.7647058823625</v>
      </c>
      <c r="O49" s="141">
        <f>N49/M49</f>
        <v>110.93137254902014</v>
      </c>
      <c r="P49" s="229" t="e">
        <f>M49-J49</f>
        <v>#N/A</v>
      </c>
      <c r="Q49" s="230" t="e">
        <f>O49-L49</f>
        <v>#N/A</v>
      </c>
      <c r="R49" s="52" t="e">
        <f>O49/L49</f>
        <v>#N/A</v>
      </c>
      <c r="S49" s="748" t="e">
        <f>R58</f>
        <v>#N/A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91"/>
      <c r="AC49" s="791"/>
      <c r="AD49" s="135"/>
      <c r="AE49" s="135"/>
      <c r="AF49" s="229" t="e">
        <f t="shared" si="11"/>
        <v>#N/A</v>
      </c>
      <c r="AG49" s="52" t="e">
        <f t="shared" si="12"/>
        <v>#N/A</v>
      </c>
      <c r="AH49" s="784" t="e">
        <f>AG58</f>
        <v>#N/A</v>
      </c>
    </row>
    <row r="50" spans="1:34" ht="15" customHeight="1">
      <c r="A50" s="812"/>
      <c r="B50" s="75" t="e">
        <f>VLOOKUP(D50,廠價表!$C$1:$E$43,2,0)</f>
        <v>#N/A</v>
      </c>
      <c r="C50" s="76"/>
      <c r="D50" s="59"/>
      <c r="E50" s="77"/>
      <c r="F50" s="75" t="e">
        <f>VLOOKUP(D50,廠價表!$C$1:$E$43,3,0)</f>
        <v>#N/A</v>
      </c>
      <c r="G50" s="202">
        <v>1180</v>
      </c>
      <c r="H50" s="231" t="e">
        <f>F50*G50</f>
        <v>#N/A</v>
      </c>
      <c r="I50" s="232"/>
      <c r="J50" s="79" t="e">
        <f>VLOOKUP(D50,產線配置圖!$A$3:$C$40,2,0)</f>
        <v>#N/A</v>
      </c>
      <c r="K50" s="80" t="e">
        <f>VLOOKUP(D50,產線配置圖!$A$3:$C$40,3,0)</f>
        <v>#N/A</v>
      </c>
      <c r="L50" s="81" t="e">
        <f>K50/J50</f>
        <v>#N/A</v>
      </c>
      <c r="M50" s="233">
        <v>18</v>
      </c>
      <c r="N50" s="234">
        <f>G50/W50*60</f>
        <v>997.18309859156068</v>
      </c>
      <c r="O50" s="235">
        <f>N50/M50</f>
        <v>55.399061032864481</v>
      </c>
      <c r="P50" s="74" t="e">
        <f>M50-J50</f>
        <v>#N/A</v>
      </c>
      <c r="Q50" s="83" t="e">
        <f>O50-L50</f>
        <v>#N/A</v>
      </c>
      <c r="R50" s="72" t="e">
        <f>O50/L50</f>
        <v>#N/A</v>
      </c>
      <c r="S50" s="749"/>
      <c r="T50" s="21">
        <v>0.34513888888888899</v>
      </c>
      <c r="U50" s="21">
        <v>0.39444444444444399</v>
      </c>
      <c r="V50" s="30">
        <f>(T50-U49)*24*60</f>
        <v>8.999999999999968</v>
      </c>
      <c r="W50" s="236">
        <f t="shared" si="4"/>
        <v>70.99999999999919</v>
      </c>
      <c r="X50" s="22"/>
      <c r="Y50" s="84"/>
      <c r="Z50" s="90"/>
      <c r="AA50" s="90"/>
      <c r="AB50" s="789"/>
      <c r="AC50" s="789"/>
      <c r="AD50" s="92"/>
      <c r="AE50" s="92"/>
      <c r="AF50" s="307" t="e">
        <f t="shared" si="11"/>
        <v>#N/A</v>
      </c>
      <c r="AG50" s="72" t="e">
        <f t="shared" si="12"/>
        <v>#N/A</v>
      </c>
      <c r="AH50" s="785"/>
    </row>
    <row r="51" spans="1:34" ht="15" customHeight="1">
      <c r="A51" s="812"/>
      <c r="B51" s="75" t="e">
        <f>VLOOKUP(D51,廠價表!$C$1:$E$43,2,0)</f>
        <v>#N/A</v>
      </c>
      <c r="C51" s="76"/>
      <c r="D51" s="59"/>
      <c r="E51" s="77"/>
      <c r="F51" s="75" t="e">
        <f>VLOOKUP(D51,廠價表!$C$1:$E$43,3,0)</f>
        <v>#N/A</v>
      </c>
      <c r="G51" s="202">
        <v>3398</v>
      </c>
      <c r="H51" s="231" t="e">
        <f>F51*G51</f>
        <v>#N/A</v>
      </c>
      <c r="I51" s="232"/>
      <c r="J51" s="79" t="e">
        <f>VLOOKUP(D51,產線配置圖!$A$3:$C$40,2,0)</f>
        <v>#N/A</v>
      </c>
      <c r="K51" s="80" t="e">
        <f>VLOOKUP(D51,產線配置圖!$A$3:$C$40,3,0)</f>
        <v>#N/A</v>
      </c>
      <c r="L51" s="81" t="e">
        <f>K51/J51</f>
        <v>#N/A</v>
      </c>
      <c r="M51" s="233">
        <v>17</v>
      </c>
      <c r="N51" s="234">
        <f>G51/W51*60</f>
        <v>2398.5882352941103</v>
      </c>
      <c r="O51" s="235">
        <f>N51/M51</f>
        <v>141.09342560553591</v>
      </c>
      <c r="P51" s="74" t="e">
        <f>M51-J51</f>
        <v>#N/A</v>
      </c>
      <c r="Q51" s="83" t="e">
        <f>O51-L51</f>
        <v>#N/A</v>
      </c>
      <c r="R51" s="72" t="e">
        <f>O51/L51</f>
        <v>#N/A</v>
      </c>
      <c r="S51" s="749"/>
      <c r="T51" s="21">
        <v>0.40138888888888902</v>
      </c>
      <c r="U51" s="19">
        <v>0.46041666666666697</v>
      </c>
      <c r="V51" s="30">
        <f>(T51-U50)*24*60</f>
        <v>10.000000000000844</v>
      </c>
      <c r="W51" s="236">
        <f t="shared" si="4"/>
        <v>85.000000000000256</v>
      </c>
      <c r="X51" s="22"/>
      <c r="Y51" s="84"/>
      <c r="Z51" s="90"/>
      <c r="AA51" s="90"/>
      <c r="AB51" s="789"/>
      <c r="AC51" s="789"/>
      <c r="AD51" s="92"/>
      <c r="AE51" s="92"/>
      <c r="AF51" s="307" t="e">
        <f t="shared" si="11"/>
        <v>#N/A</v>
      </c>
      <c r="AG51" s="72" t="e">
        <f t="shared" si="12"/>
        <v>#N/A</v>
      </c>
      <c r="AH51" s="785"/>
    </row>
    <row r="52" spans="1:34" ht="15" customHeight="1">
      <c r="A52" s="812"/>
      <c r="B52" s="75"/>
      <c r="C52" s="86"/>
      <c r="D52" s="59"/>
      <c r="E52" s="87"/>
      <c r="F52" s="75"/>
      <c r="G52" s="202"/>
      <c r="H52" s="231"/>
      <c r="I52" s="232"/>
      <c r="J52" s="79"/>
      <c r="K52" s="80"/>
      <c r="L52" s="81"/>
      <c r="M52" s="233"/>
      <c r="N52" s="234"/>
      <c r="O52" s="235"/>
      <c r="P52" s="74"/>
      <c r="Q52" s="83"/>
      <c r="R52" s="72"/>
      <c r="S52" s="749"/>
      <c r="T52" s="21">
        <v>0.52986111111111101</v>
      </c>
      <c r="U52" s="21">
        <v>0.58333333333333304</v>
      </c>
      <c r="V52" s="30">
        <f>(T52-U51)*24*60</f>
        <v>99.999999999999403</v>
      </c>
      <c r="W52" s="236">
        <f t="shared" si="4"/>
        <v>76.99999999999973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11"/>
        <v>0</v>
      </c>
      <c r="AG52" s="72" t="e">
        <f t="shared" si="12"/>
        <v>#DIV/0!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1"/>
        <v>0</v>
      </c>
      <c r="AG53" s="72" t="e">
        <f t="shared" si="12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 t="e">
        <f t="shared" ref="J58:O58" si="13">AVERAGE(J49:J57)</f>
        <v>#N/A</v>
      </c>
      <c r="K58" s="120" t="e">
        <f t="shared" si="13"/>
        <v>#N/A</v>
      </c>
      <c r="L58" s="117" t="e">
        <f t="shared" si="13"/>
        <v>#N/A</v>
      </c>
      <c r="M58" s="120">
        <f t="shared" si="13"/>
        <v>17.666666666666668</v>
      </c>
      <c r="N58" s="120">
        <f t="shared" si="13"/>
        <v>1797.5120132560112</v>
      </c>
      <c r="O58" s="117">
        <f t="shared" si="13"/>
        <v>102.47461972914017</v>
      </c>
      <c r="P58" s="121" t="e">
        <f>M58-J58</f>
        <v>#N/A</v>
      </c>
      <c r="Q58" s="122" t="e">
        <f>N58-K58</f>
        <v>#N/A</v>
      </c>
      <c r="R58" s="123" t="e">
        <f>O58/L58</f>
        <v>#N/A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 t="e">
        <f>N58-K58</f>
        <v>#N/A</v>
      </c>
      <c r="AG58" s="124" t="e">
        <f>N58/K58</f>
        <v>#N/A</v>
      </c>
      <c r="AH58" s="787"/>
    </row>
    <row r="59" spans="1:34" ht="15" customHeight="1">
      <c r="A59" s="825" t="s">
        <v>52</v>
      </c>
      <c r="B59" s="129" t="e">
        <f>VLOOKUP(D59,廠價表!$C$1:$E$43,2,0)</f>
        <v>#N/A</v>
      </c>
      <c r="C59" s="130"/>
      <c r="D59" s="131"/>
      <c r="E59" s="132"/>
      <c r="F59" s="129" t="e">
        <f>VLOOKUP(D59,廠價表!$C$1:$E$43,3,0)</f>
        <v>#N/A</v>
      </c>
      <c r="G59" s="55">
        <v>2263</v>
      </c>
      <c r="H59" s="243" t="e">
        <f>F59*G59</f>
        <v>#N/A</v>
      </c>
      <c r="I59" s="55"/>
      <c r="J59" s="136" t="e">
        <f>VLOOKUP(D59,產線配置圖!$A$3:$C$40,2,0)</f>
        <v>#N/A</v>
      </c>
      <c r="K59" s="137" t="e">
        <f>VLOOKUP(D59,產線配置圖!$A$3:$C$40,3,0)</f>
        <v>#N/A</v>
      </c>
      <c r="L59" s="138" t="e">
        <f>K59/J59</f>
        <v>#N/A</v>
      </c>
      <c r="M59" s="244">
        <v>13</v>
      </c>
      <c r="N59" s="137">
        <f>G59/W59*60</f>
        <v>1131.5000000000048</v>
      </c>
      <c r="O59" s="138">
        <f>N59/M59</f>
        <v>87.038461538461902</v>
      </c>
      <c r="P59" s="56" t="e">
        <f>M59-J59</f>
        <v>#N/A</v>
      </c>
      <c r="Q59" s="230" t="e">
        <f>O59-L59</f>
        <v>#N/A</v>
      </c>
      <c r="R59" s="52" t="e">
        <f>O59/L59</f>
        <v>#N/A</v>
      </c>
      <c r="S59" s="748" t="e">
        <f>R69</f>
        <v>#N/A</v>
      </c>
      <c r="T59" s="245">
        <v>0.29166666666666702</v>
      </c>
      <c r="U59" s="245">
        <v>0.375</v>
      </c>
      <c r="V59" s="55"/>
      <c r="W59" s="54">
        <f t="shared" si="4"/>
        <v>119.99999999999949</v>
      </c>
      <c r="X59" s="55"/>
      <c r="Y59" s="290"/>
      <c r="Z59" s="169"/>
      <c r="AA59" s="169"/>
      <c r="AB59" s="791"/>
      <c r="AC59" s="791"/>
      <c r="AD59" s="135"/>
      <c r="AE59" s="135"/>
      <c r="AF59" s="310" t="e">
        <f>N59-K59</f>
        <v>#N/A</v>
      </c>
      <c r="AG59" s="246" t="e">
        <f>N59/K59</f>
        <v>#N/A</v>
      </c>
      <c r="AH59" s="784" t="e">
        <f>AG69</f>
        <v>#N/A</v>
      </c>
    </row>
    <row r="60" spans="1:34" ht="15" customHeight="1">
      <c r="A60" s="826"/>
      <c r="B60" s="75" t="e">
        <f>VLOOKUP(D60,廠價表!$C$1:$E$43,2,0)</f>
        <v>#N/A</v>
      </c>
      <c r="C60" s="86"/>
      <c r="D60" s="175"/>
      <c r="E60" s="87"/>
      <c r="F60" s="75" t="e">
        <f>VLOOKUP(D60,廠價表!$C$1:$E$43,3,0)</f>
        <v>#N/A</v>
      </c>
      <c r="G60" s="30">
        <v>1180</v>
      </c>
      <c r="H60" s="78" t="e">
        <f>F60*G60</f>
        <v>#N/A</v>
      </c>
      <c r="I60" s="30"/>
      <c r="J60" s="79" t="e">
        <f>VLOOKUP(D60,產線配置圖!$A$3:$C$40,2,0)</f>
        <v>#N/A</v>
      </c>
      <c r="K60" s="80" t="e">
        <f>VLOOKUP(D60,產線配置圖!$A$3:$C$40,3,0)</f>
        <v>#N/A</v>
      </c>
      <c r="L60" s="81" t="e">
        <f>K60/J60</f>
        <v>#N/A</v>
      </c>
      <c r="M60" s="82">
        <v>12</v>
      </c>
      <c r="N60" s="80">
        <f>G60/W60*60</f>
        <v>2360.00000000004</v>
      </c>
      <c r="O60" s="81">
        <f>N60/M60</f>
        <v>196.66666666667001</v>
      </c>
      <c r="P60" s="74" t="e">
        <f>M60-J60</f>
        <v>#N/A</v>
      </c>
      <c r="Q60" s="83" t="e">
        <f>O60-L60</f>
        <v>#N/A</v>
      </c>
      <c r="R60" s="72" t="e">
        <f>O60/L60</f>
        <v>#N/A</v>
      </c>
      <c r="S60" s="829"/>
      <c r="T60" s="22">
        <v>0.38541666666666702</v>
      </c>
      <c r="U60" s="22">
        <v>0.40625</v>
      </c>
      <c r="V60" s="30">
        <f>(T60-U59)*24*60</f>
        <v>15.000000000000506</v>
      </c>
      <c r="W60" s="248">
        <f t="shared" si="4"/>
        <v>29.999999999999496</v>
      </c>
      <c r="X60" s="232"/>
      <c r="Y60" s="177"/>
      <c r="Z60" s="90"/>
      <c r="AA60" s="90"/>
      <c r="AB60" s="789"/>
      <c r="AC60" s="789"/>
      <c r="AD60" s="92"/>
      <c r="AE60" s="92"/>
      <c r="AF60" s="316" t="e">
        <f>N60-K60</f>
        <v>#N/A</v>
      </c>
      <c r="AG60" s="249" t="e">
        <f>N60/K60</f>
        <v>#N/A</v>
      </c>
      <c r="AH60" s="820"/>
    </row>
    <row r="61" spans="1:34" ht="15" customHeight="1">
      <c r="A61" s="827"/>
      <c r="B61" s="250" t="e">
        <f>VLOOKUP(D61,廠價表!$C$1:$E$43,2,0)</f>
        <v>#N/A</v>
      </c>
      <c r="C61" s="251"/>
      <c r="D61" s="252"/>
      <c r="E61" s="253"/>
      <c r="F61" s="250" t="e">
        <f>VLOOKUP(D61,廠價表!$C$1:$E$43,3,0)</f>
        <v>#N/A</v>
      </c>
      <c r="G61" s="38">
        <v>3398</v>
      </c>
      <c r="H61" s="254" t="e">
        <f>F61*G61</f>
        <v>#N/A</v>
      </c>
      <c r="I61" s="182"/>
      <c r="J61" s="106" t="e">
        <f>VLOOKUP(D61,產線配置圖!$A$3:$C$40,2,0)</f>
        <v>#N/A</v>
      </c>
      <c r="K61" s="107" t="e">
        <f>VLOOKUP(D61,產線配置圖!$A$3:$C$40,3,0)</f>
        <v>#N/A</v>
      </c>
      <c r="L61" s="238" t="e">
        <f>K61/J61</f>
        <v>#N/A</v>
      </c>
      <c r="M61" s="108">
        <v>12</v>
      </c>
      <c r="N61" s="107">
        <f>G61/W61*60</f>
        <v>2192.2580645161406</v>
      </c>
      <c r="O61" s="238">
        <f>N61/M61</f>
        <v>182.68817204301172</v>
      </c>
      <c r="P61" s="111" t="e">
        <f>M61-J61</f>
        <v>#N/A</v>
      </c>
      <c r="Q61" s="255" t="e">
        <f>O61-L61</f>
        <v>#N/A</v>
      </c>
      <c r="R61" s="85" t="e">
        <f>O61/L61</f>
        <v>#N/A</v>
      </c>
      <c r="S61" s="749"/>
      <c r="T61" s="22">
        <v>0.42361111111111099</v>
      </c>
      <c r="U61" s="22">
        <v>0.48819444444444399</v>
      </c>
      <c r="V61" s="30">
        <f>(T61-U60)*24*60</f>
        <v>24.999999999999829</v>
      </c>
      <c r="W61" s="256">
        <f t="shared" si="4"/>
        <v>92.999999999999517</v>
      </c>
      <c r="X61" s="22"/>
      <c r="Y61" s="84"/>
      <c r="Z61" s="90"/>
      <c r="AA61" s="90"/>
      <c r="AB61" s="789"/>
      <c r="AC61" s="789"/>
      <c r="AD61" s="92"/>
      <c r="AE61" s="92"/>
      <c r="AF61" s="317" t="e">
        <f>N61-K61</f>
        <v>#N/A</v>
      </c>
      <c r="AG61" s="247" t="e">
        <f>N61/K61</f>
        <v>#N/A</v>
      </c>
      <c r="AH61" s="785"/>
    </row>
    <row r="62" spans="1:34" ht="15" customHeight="1">
      <c r="A62" s="827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0</v>
      </c>
      <c r="AG62" s="247" t="e">
        <f>N62/K62</f>
        <v>#DIV/0!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 t="e">
        <f t="shared" ref="J69:O69" si="14">AVERAGE(J59:J68)</f>
        <v>#N/A</v>
      </c>
      <c r="K69" s="240" t="e">
        <f t="shared" si="14"/>
        <v>#N/A</v>
      </c>
      <c r="L69" s="268" t="e">
        <f t="shared" si="14"/>
        <v>#N/A</v>
      </c>
      <c r="M69" s="240">
        <f t="shared" si="14"/>
        <v>12.333333333333334</v>
      </c>
      <c r="N69" s="240">
        <f t="shared" si="14"/>
        <v>1894.5860215053951</v>
      </c>
      <c r="O69" s="268">
        <f t="shared" si="14"/>
        <v>155.46443341604788</v>
      </c>
      <c r="P69" s="269" t="e">
        <f>M69-J69</f>
        <v>#N/A</v>
      </c>
      <c r="Q69" s="222" t="e">
        <f>N69-K69</f>
        <v>#N/A</v>
      </c>
      <c r="R69" s="123" t="e">
        <f>O69/L69</f>
        <v>#N/A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 t="e">
        <f>N69-K69</f>
        <v>#N/A</v>
      </c>
      <c r="AG69" s="124" t="e">
        <f>N69/K69</f>
        <v>#N/A</v>
      </c>
      <c r="AH69" s="787"/>
    </row>
    <row r="70" spans="1:36" ht="15" customHeight="1">
      <c r="A70" s="821" t="s">
        <v>55</v>
      </c>
      <c r="B70" s="129" t="e">
        <f>VLOOKUP(D70,廠價表!$C$1:$E$43,2,0)</f>
        <v>#N/A</v>
      </c>
      <c r="C70" s="129"/>
      <c r="D70" s="131"/>
      <c r="E70" s="132"/>
      <c r="F70" s="129" t="e">
        <f>VLOOKUP(D70,廠價表!$C$1:$E$43,3,0)</f>
        <v>#N/A</v>
      </c>
      <c r="G70" s="55">
        <v>2263</v>
      </c>
      <c r="H70" s="243" t="e">
        <f>F70*G70</f>
        <v>#N/A</v>
      </c>
      <c r="I70" s="55"/>
      <c r="J70" s="136" t="e">
        <f>VLOOKUP(D70,產線配置圖!$A$3:$C$40,2,0)</f>
        <v>#N/A</v>
      </c>
      <c r="K70" s="137" t="e">
        <f>VLOOKUP(D70,產線配置圖!$A$3:$C$40,3,0)</f>
        <v>#N/A</v>
      </c>
      <c r="L70" s="138" t="e">
        <f>K70/J70</f>
        <v>#N/A</v>
      </c>
      <c r="M70" s="244">
        <v>11</v>
      </c>
      <c r="N70" s="137">
        <f>G70/W70*60</f>
        <v>775.88571428571277</v>
      </c>
      <c r="O70" s="138">
        <f>N70/M70</f>
        <v>70.535064935064796</v>
      </c>
      <c r="P70" s="56" t="e">
        <f>M70-J70</f>
        <v>#N/A</v>
      </c>
      <c r="Q70" s="230" t="e">
        <f>O70-L70</f>
        <v>#N/A</v>
      </c>
      <c r="R70" s="52" t="e">
        <f>O70/L70</f>
        <v>#N/A</v>
      </c>
      <c r="S70" s="748" t="e">
        <f>R79</f>
        <v>#N/A</v>
      </c>
      <c r="T70" s="245">
        <v>0.34722222222222199</v>
      </c>
      <c r="U70" s="245">
        <v>0.46875</v>
      </c>
      <c r="V70" s="55"/>
      <c r="W70" s="54">
        <f t="shared" si="4"/>
        <v>175.00000000000034</v>
      </c>
      <c r="X70" s="270"/>
      <c r="Y70" s="292"/>
      <c r="Z70" s="169"/>
      <c r="AA70" s="169"/>
      <c r="AB70" s="791"/>
      <c r="AC70" s="791"/>
      <c r="AD70" s="135"/>
      <c r="AE70" s="135"/>
      <c r="AF70" s="310" t="e">
        <f>N70-K70</f>
        <v>#N/A</v>
      </c>
      <c r="AG70" s="246" t="e">
        <f>N70/K70</f>
        <v>#N/A</v>
      </c>
      <c r="AH70" s="784" t="e">
        <f>AG79</f>
        <v>#N/A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 t="e">
        <f t="shared" ref="J79:O79" si="15">AVERAGE(J70:J78)</f>
        <v>#N/A</v>
      </c>
      <c r="K79" s="240" t="e">
        <f t="shared" si="15"/>
        <v>#N/A</v>
      </c>
      <c r="L79" s="268" t="e">
        <f t="shared" si="15"/>
        <v>#N/A</v>
      </c>
      <c r="M79" s="240">
        <f t="shared" si="15"/>
        <v>11</v>
      </c>
      <c r="N79" s="240">
        <f t="shared" si="15"/>
        <v>775.88571428571277</v>
      </c>
      <c r="O79" s="268">
        <f t="shared" si="15"/>
        <v>70.535064935064796</v>
      </c>
      <c r="P79" s="269" t="e">
        <f>M79-J79</f>
        <v>#N/A</v>
      </c>
      <c r="Q79" s="222" t="e">
        <f>N79-K79</f>
        <v>#N/A</v>
      </c>
      <c r="R79" s="223" t="e">
        <f>O79/L79</f>
        <v>#N/A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 t="e">
        <f>N79-K79</f>
        <v>#N/A</v>
      </c>
      <c r="AG79" s="124" t="e">
        <f>N79/K79</f>
        <v>#N/A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18" priority="1" operator="greaterThan">
      <formula>0</formula>
    </cfRule>
  </conditionalFormatting>
  <conditionalFormatting sqref="Q5:Q79 AF5:AF79">
    <cfRule type="cellIs" dxfId="317" priority="4" operator="lessThan">
      <formula>0</formula>
    </cfRule>
  </conditionalFormatting>
  <conditionalFormatting sqref="R5:R79 AG5:AG79">
    <cfRule type="cellIs" dxfId="316" priority="2" operator="greaterThan">
      <formula>1</formula>
    </cfRule>
    <cfRule type="cellIs" dxfId="315" priority="3" operator="lessThan">
      <formula>0.8</formula>
    </cfRule>
  </conditionalFormatting>
  <conditionalFormatting sqref="S5:S10 S37:S62 AH59:AH62 S69:S76 AH69:AH76">
    <cfRule type="cellIs" dxfId="314" priority="7" operator="lessThan">
      <formula>0.8</formula>
    </cfRule>
  </conditionalFormatting>
  <conditionalFormatting sqref="S19:S25 AH19:AH25">
    <cfRule type="cellIs" dxfId="313" priority="6" operator="lessThan">
      <formula>0.8</formula>
    </cfRule>
  </conditionalFormatting>
  <conditionalFormatting sqref="S79">
    <cfRule type="cellIs" dxfId="312" priority="5" operator="lessThan">
      <formula>0.8</formula>
    </cfRule>
  </conditionalFormatting>
  <conditionalFormatting sqref="AH5:AH8 S15:S16 AH15:AH16 AH49 AH79">
    <cfRule type="cellIs" dxfId="311" priority="9" operator="lessThan">
      <formula>0.8</formula>
    </cfRule>
  </conditionalFormatting>
  <conditionalFormatting sqref="AH27 S27:S28">
    <cfRule type="cellIs" dxfId="3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6565-682E-42C0-AB6C-AA9E0E997AD7}">
  <dimension ref="B1:O26"/>
  <sheetViews>
    <sheetView zoomScale="70" zoomScaleNormal="70" workbookViewId="0">
      <selection activeCell="U31" sqref="U31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76" width="8.85546875" style="360" customWidth="1"/>
    <col min="177" max="16384" width="8.85546875" style="360"/>
  </cols>
  <sheetData>
    <row r="1" spans="2:15" ht="27.75" customHeight="1">
      <c r="B1" s="830" t="s">
        <v>70</v>
      </c>
      <c r="C1" s="830"/>
      <c r="D1" s="830"/>
      <c r="E1" s="830"/>
      <c r="F1" s="830"/>
      <c r="G1" s="830"/>
      <c r="H1" s="830"/>
      <c r="I1" s="830"/>
      <c r="J1" s="830"/>
      <c r="K1" s="830"/>
      <c r="L1" s="359"/>
      <c r="M1" s="359"/>
    </row>
    <row r="2" spans="2:15" ht="27.75" customHeight="1">
      <c r="B2" s="830"/>
      <c r="C2" s="830"/>
      <c r="D2" s="830"/>
      <c r="E2" s="830"/>
      <c r="F2" s="830"/>
      <c r="G2" s="830"/>
      <c r="H2" s="830"/>
      <c r="I2" s="830"/>
      <c r="J2" s="830"/>
      <c r="K2" s="830"/>
      <c r="L2" s="359"/>
      <c r="M2" s="359"/>
    </row>
    <row r="3" spans="2:15" ht="46.5" customHeight="1">
      <c r="B3" s="831" t="s">
        <v>71</v>
      </c>
      <c r="C3" s="831"/>
      <c r="D3" s="832">
        <v>46235</v>
      </c>
      <c r="E3" s="832"/>
      <c r="F3" s="361" t="s">
        <v>72</v>
      </c>
      <c r="G3" s="707">
        <f>'0801'!E1</f>
        <v>50157</v>
      </c>
      <c r="H3" s="707"/>
      <c r="I3" s="361" t="s">
        <v>2</v>
      </c>
      <c r="J3" s="833">
        <f>'0801'!G1</f>
        <v>2315009.0209999997</v>
      </c>
      <c r="K3" s="833"/>
      <c r="L3" s="4"/>
    </row>
    <row r="4" spans="2:15" ht="24" customHeight="1">
      <c r="B4" s="831" t="s">
        <v>73</v>
      </c>
      <c r="C4" s="831"/>
      <c r="D4" s="836">
        <v>3</v>
      </c>
      <c r="E4" s="836"/>
      <c r="F4" s="838" t="s">
        <v>74</v>
      </c>
      <c r="G4" s="838"/>
      <c r="H4" s="838" t="s">
        <v>75</v>
      </c>
      <c r="I4" s="838"/>
      <c r="J4" s="836" t="s">
        <v>76</v>
      </c>
      <c r="K4" s="838"/>
      <c r="L4" s="834" t="s">
        <v>77</v>
      </c>
      <c r="M4" s="835"/>
      <c r="N4" s="835" t="s">
        <v>78</v>
      </c>
      <c r="O4" s="835"/>
    </row>
    <row r="5" spans="2:15" ht="24" customHeight="1">
      <c r="B5" s="831" t="s">
        <v>14</v>
      </c>
      <c r="C5" s="831"/>
      <c r="D5" s="836" t="s">
        <v>79</v>
      </c>
      <c r="E5" s="836"/>
      <c r="F5" s="836" t="s">
        <v>80</v>
      </c>
      <c r="G5" s="836"/>
      <c r="H5" s="711" t="s">
        <v>81</v>
      </c>
      <c r="I5" s="711"/>
      <c r="J5" s="712" t="s">
        <v>82</v>
      </c>
      <c r="K5" s="712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831"/>
      <c r="C6" s="831"/>
      <c r="D6" s="831" t="s">
        <v>86</v>
      </c>
      <c r="E6" s="831"/>
      <c r="F6" s="837">
        <f>AVERAGE(D13:J13)</f>
        <v>125.38780106448175</v>
      </c>
      <c r="G6" s="837"/>
      <c r="H6" s="714">
        <f>AVERAGE(D13:H13)</f>
        <v>122.39020864756159</v>
      </c>
      <c r="I6" s="714"/>
      <c r="J6" s="714">
        <f>AVERAGE(I13:J13)</f>
        <v>132.88178210678211</v>
      </c>
      <c r="K6" s="714"/>
      <c r="L6" s="844">
        <f>SUM(D18:J18)</f>
        <v>2</v>
      </c>
      <c r="M6" s="839">
        <f>SUM(D19:J19)</f>
        <v>32</v>
      </c>
      <c r="N6" s="846">
        <f>SUM(D20:J20)</f>
        <v>0</v>
      </c>
      <c r="O6" s="839">
        <f>SUM(D20:J20)</f>
        <v>0</v>
      </c>
    </row>
    <row r="7" spans="2:15" ht="39.6" customHeight="1">
      <c r="B7" s="831"/>
      <c r="C7" s="831"/>
      <c r="D7" s="853" t="s">
        <v>87</v>
      </c>
      <c r="E7" s="853"/>
      <c r="F7" s="854">
        <f>AVERAGE(D14:J14)</f>
        <v>112.77518366378318</v>
      </c>
      <c r="G7" s="854"/>
      <c r="H7" s="738">
        <f>AVERAGE(D14:H14)</f>
        <v>108.65321986475888</v>
      </c>
      <c r="I7" s="738"/>
      <c r="J7" s="738">
        <f>AVERAGE(I14:J14)</f>
        <v>123.08009316134392</v>
      </c>
      <c r="K7" s="738"/>
      <c r="L7" s="845" t="e">
        <f t="shared" ref="L7:O8" si="0">AVERAGE(K14:L14)</f>
        <v>#DIV/0!</v>
      </c>
      <c r="M7" s="839" t="e">
        <f t="shared" si="0"/>
        <v>#DIV/0!</v>
      </c>
      <c r="N7" s="847" t="e">
        <f t="shared" si="0"/>
        <v>#DIV/0!</v>
      </c>
      <c r="O7" s="839" t="e">
        <f t="shared" si="0"/>
        <v>#DIV/0!</v>
      </c>
    </row>
    <row r="8" spans="2:15" ht="39.6" customHeight="1">
      <c r="B8" s="831"/>
      <c r="C8" s="831"/>
      <c r="D8" s="853" t="s">
        <v>27</v>
      </c>
      <c r="E8" s="853"/>
      <c r="F8" s="710">
        <f>F7/F6</f>
        <v>0.89941112856574923</v>
      </c>
      <c r="G8" s="710"/>
      <c r="H8" s="710">
        <f>H7/H6</f>
        <v>0.88776072093838698</v>
      </c>
      <c r="I8" s="710"/>
      <c r="J8" s="710">
        <f>J7/J6</f>
        <v>0.926237526393485</v>
      </c>
      <c r="K8" s="710"/>
      <c r="L8" s="845" t="e">
        <f t="shared" si="0"/>
        <v>#DIV/0!</v>
      </c>
      <c r="M8" s="839" t="e">
        <f t="shared" si="0"/>
        <v>#DIV/0!</v>
      </c>
      <c r="N8" s="847" t="e">
        <f t="shared" si="0"/>
        <v>#DIV/0!</v>
      </c>
      <c r="O8" s="839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48" t="s">
        <v>89</v>
      </c>
      <c r="C10" s="849"/>
      <c r="D10" s="850" t="s">
        <v>90</v>
      </c>
      <c r="E10" s="851"/>
      <c r="F10" s="851"/>
      <c r="G10" s="851"/>
      <c r="H10" s="851"/>
      <c r="I10" s="851"/>
      <c r="J10" s="852"/>
    </row>
    <row r="11" spans="2:15" ht="17.25" customHeight="1">
      <c r="B11" s="840" t="s">
        <v>91</v>
      </c>
      <c r="C11" s="841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842"/>
      <c r="C12" s="843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856" t="s">
        <v>14</v>
      </c>
      <c r="C13" s="370" t="s">
        <v>99</v>
      </c>
      <c r="D13" s="371">
        <f>VALUE('0801'!L15)</f>
        <v>136.57968828557063</v>
      </c>
      <c r="E13" s="371">
        <f>VALUE('0801'!L26)</f>
        <v>174.51923076923077</v>
      </c>
      <c r="F13" s="371">
        <f>VALUE('0801'!L37)</f>
        <v>95.065767973856211</v>
      </c>
      <c r="G13" s="371">
        <f>VALUE('0801'!L48)</f>
        <v>99.006944444444443</v>
      </c>
      <c r="H13" s="371">
        <f>VALUE('0801'!L58)</f>
        <v>106.77941176470588</v>
      </c>
      <c r="I13" s="371">
        <f>VALUE('0801'!L69)</f>
        <v>135.50707070707071</v>
      </c>
      <c r="J13" s="371">
        <f>'0801'!L79</f>
        <v>130.25649350649351</v>
      </c>
    </row>
    <row r="14" spans="2:15" ht="39.950000000000003" customHeight="1">
      <c r="B14" s="857"/>
      <c r="C14" s="370" t="s">
        <v>100</v>
      </c>
      <c r="D14" s="371">
        <f>VALUE('0801'!O15)</f>
        <v>117.50436038661313</v>
      </c>
      <c r="E14" s="371">
        <f>VALUE('0801'!O26)</f>
        <v>160.65281954344522</v>
      </c>
      <c r="F14" s="371">
        <f>VALUE('0801'!O37)</f>
        <v>84.64800150829619</v>
      </c>
      <c r="G14" s="371">
        <f>VALUE('0801'!O48)</f>
        <v>85.922142857142546</v>
      </c>
      <c r="H14" s="371">
        <f>VALUE('0801'!O58)</f>
        <v>94.538775028297209</v>
      </c>
      <c r="I14" s="371">
        <f>VALUE('0801'!O69)</f>
        <v>130.03636363636403</v>
      </c>
      <c r="J14" s="371">
        <f>'0801'!O79</f>
        <v>116.12382268632382</v>
      </c>
    </row>
    <row r="15" spans="2:15" ht="39.950000000000003" customHeight="1">
      <c r="B15" s="858"/>
      <c r="C15" s="368" t="s">
        <v>26</v>
      </c>
      <c r="D15" s="372">
        <f t="shared" ref="D15:I15" si="1">D14/D13</f>
        <v>0.86033554375176613</v>
      </c>
      <c r="E15" s="372">
        <f t="shared" si="1"/>
        <v>0.92054508168144922</v>
      </c>
      <c r="F15" s="372">
        <f t="shared" si="1"/>
        <v>0.89041516533664378</v>
      </c>
      <c r="G15" s="372">
        <f t="shared" si="1"/>
        <v>0.86783955751059316</v>
      </c>
      <c r="H15" s="372">
        <f t="shared" si="1"/>
        <v>0.88536519789618651</v>
      </c>
      <c r="I15" s="372">
        <f t="shared" si="1"/>
        <v>0.95962788478740824</v>
      </c>
      <c r="J15" s="373">
        <f>'0801'!S70</f>
        <v>0.89150121855947895</v>
      </c>
    </row>
    <row r="16" spans="2:15" ht="17.25" customHeight="1">
      <c r="B16" s="859" t="s">
        <v>101</v>
      </c>
      <c r="C16" s="368" t="s">
        <v>34</v>
      </c>
      <c r="D16" s="374">
        <f>'0801'!T5</f>
        <v>0.29236111111111102</v>
      </c>
      <c r="E16" s="374">
        <f>'0801'!T16</f>
        <v>0.29166666666666702</v>
      </c>
      <c r="F16" s="374">
        <f>'0801'!T27</f>
        <v>0.28819444444444398</v>
      </c>
      <c r="G16" s="374">
        <f>'0801'!T38</f>
        <v>0.33333333333333298</v>
      </c>
      <c r="H16" s="374">
        <f>'0801'!T49</f>
        <v>0.29166666666666702</v>
      </c>
      <c r="I16" s="374">
        <f>'0801'!T59</f>
        <v>0.29166666666666702</v>
      </c>
      <c r="J16" s="374">
        <f>'0801'!T70</f>
        <v>0.29305555555555601</v>
      </c>
    </row>
    <row r="17" spans="2:10" ht="17.25" customHeight="1">
      <c r="B17" s="860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861" t="s">
        <v>102</v>
      </c>
      <c r="C18" s="378" t="s">
        <v>36</v>
      </c>
      <c r="D18" s="379">
        <f>'0801'!Z15</f>
        <v>2</v>
      </c>
      <c r="E18" s="380">
        <f>'0801'!Z26</f>
        <v>0</v>
      </c>
      <c r="F18" s="380">
        <f>'0801'!Z37</f>
        <v>0</v>
      </c>
      <c r="G18" s="381">
        <f>'0801'!Z48</f>
        <v>0</v>
      </c>
      <c r="H18" s="381">
        <f>'0801'!Z58</f>
        <v>0</v>
      </c>
      <c r="I18" s="380">
        <f>'0801'!Z69</f>
        <v>0</v>
      </c>
      <c r="J18" s="380">
        <f>'0801'!AA79</f>
        <v>0</v>
      </c>
    </row>
    <row r="19" spans="2:10" ht="17.25" customHeight="1">
      <c r="B19" s="862"/>
      <c r="C19" s="378" t="s">
        <v>37</v>
      </c>
      <c r="D19" s="379">
        <f>'0801'!AA15</f>
        <v>32</v>
      </c>
      <c r="E19" s="380">
        <f>'0801'!AA26</f>
        <v>0</v>
      </c>
      <c r="F19" s="380">
        <f>'0801'!AA37</f>
        <v>0</v>
      </c>
      <c r="G19" s="381">
        <f>'0801'!AA48</f>
        <v>0</v>
      </c>
      <c r="H19" s="381">
        <f>'0801'!AA58</f>
        <v>0</v>
      </c>
      <c r="I19" s="380">
        <f>'0801'!AA69</f>
        <v>0</v>
      </c>
      <c r="J19" s="380">
        <f>'0801'!AB79</f>
        <v>0</v>
      </c>
    </row>
    <row r="20" spans="2:10" ht="17.25" customHeight="1">
      <c r="B20" s="861" t="s">
        <v>103</v>
      </c>
      <c r="C20" s="378" t="s">
        <v>36</v>
      </c>
      <c r="D20" s="379">
        <f>'0801'!AD15</f>
        <v>0</v>
      </c>
      <c r="E20" s="380">
        <f>'0801'!AD26</f>
        <v>0</v>
      </c>
      <c r="F20" s="380">
        <f>'0801'!AD37</f>
        <v>0</v>
      </c>
      <c r="G20" s="381">
        <f>'0801'!AD48</f>
        <v>0</v>
      </c>
      <c r="H20" s="381">
        <f>'0801'!AD58</f>
        <v>0</v>
      </c>
      <c r="I20" s="380">
        <f>'0801'!AD69</f>
        <v>0</v>
      </c>
      <c r="J20" s="380">
        <f>'0801'!AD79</f>
        <v>0</v>
      </c>
    </row>
    <row r="21" spans="2:10" ht="17.25" customHeight="1">
      <c r="B21" s="862"/>
      <c r="C21" s="378" t="s">
        <v>85</v>
      </c>
      <c r="D21" s="379">
        <f>'0801'!AE15</f>
        <v>0</v>
      </c>
      <c r="E21" s="380">
        <f>'0801'!AE26</f>
        <v>0</v>
      </c>
      <c r="F21" s="380">
        <f>'0801'!AE37</f>
        <v>0</v>
      </c>
      <c r="G21" s="381">
        <f>'0801'!AE48</f>
        <v>0</v>
      </c>
      <c r="H21" s="381">
        <f>'0801'!AE58</f>
        <v>0</v>
      </c>
      <c r="I21" s="380">
        <f>'0801'!AE69</f>
        <v>0</v>
      </c>
      <c r="J21" s="380">
        <f>'0801'!AE79</f>
        <v>0</v>
      </c>
    </row>
    <row r="22" spans="2:10" ht="17.25" customHeight="1">
      <c r="B22" s="848" t="s">
        <v>104</v>
      </c>
      <c r="C22" s="849"/>
      <c r="D22" s="382">
        <f>VALUE('0801'!M15)</f>
        <v>15.75</v>
      </c>
      <c r="E22" s="382">
        <f>VALUE('0801'!M26)</f>
        <v>13</v>
      </c>
      <c r="F22" s="382">
        <f>VALUE('0801'!M37)</f>
        <v>17.25</v>
      </c>
      <c r="G22" s="382">
        <f>VALUE('0801'!M48)</f>
        <v>17</v>
      </c>
      <c r="H22" s="382">
        <f>VALUE('0801'!M58)</f>
        <v>16.25</v>
      </c>
      <c r="I22" s="382">
        <f>VALUE('0801'!M69)</f>
        <v>12.333333333333334</v>
      </c>
      <c r="J22" s="382">
        <f>'0801'!M79</f>
        <v>8.5</v>
      </c>
    </row>
    <row r="23" spans="2:10" ht="17.25" customHeight="1">
      <c r="B23" s="848" t="s">
        <v>105</v>
      </c>
      <c r="C23" s="849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48" t="s">
        <v>109</v>
      </c>
      <c r="C24" s="849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48" t="s">
        <v>111</v>
      </c>
      <c r="C25" s="849"/>
      <c r="D25" s="384"/>
      <c r="E25" s="384"/>
      <c r="F25" s="384"/>
      <c r="G25" s="384"/>
      <c r="H25" s="384"/>
      <c r="I25" s="384"/>
      <c r="J25" s="384"/>
    </row>
    <row r="26" spans="2:10">
      <c r="B26" s="855"/>
      <c r="C26" s="855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3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E2FDA-0107-441C-9CE6-25B9EECC4CD0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U31" sqref="U31"/>
      <selection pane="topRight" activeCell="U31" sqref="U31"/>
      <selection pane="bottomLeft" activeCell="U31" sqref="U31"/>
      <selection pane="bottomRight" activeCell="K29" sqref="K2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6" width="8.7109375" style="34" customWidth="1"/>
    <col min="17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50157</v>
      </c>
      <c r="F1" s="30" t="s">
        <v>2</v>
      </c>
      <c r="G1" s="31">
        <f>SUM(H5:H79)</f>
        <v>2315009.0209999997</v>
      </c>
      <c r="H1" s="32" t="s">
        <v>3</v>
      </c>
      <c r="I1" s="33">
        <f>M15+M26+M48+M58+M69+M79+M37</f>
        <v>100.08333333333333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112</v>
      </c>
      <c r="B2" s="739"/>
      <c r="C2" s="28"/>
      <c r="D2" s="28" t="s">
        <v>14</v>
      </c>
      <c r="E2" s="35">
        <f>AVERAGE(O15,O26,O37,O48,O58,O69,O79)</f>
        <v>112.77518366378318</v>
      </c>
      <c r="F2" s="36" t="s">
        <v>15</v>
      </c>
      <c r="G2" s="37">
        <f>G1/E1</f>
        <v>46.155252925812938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2</v>
      </c>
      <c r="AA2" s="339">
        <f>AA15+AA26+AA37+AA48+AA58+AA69+AA79</f>
        <v>32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1467</v>
      </c>
      <c r="H5" s="43">
        <f>F5*G5</f>
        <v>74332.89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2000.4545454545162</v>
      </c>
      <c r="O5" s="47">
        <f>N5/M5</f>
        <v>117.67379679144213</v>
      </c>
      <c r="P5" s="49">
        <f>M5-J5</f>
        <v>0</v>
      </c>
      <c r="Q5" s="50">
        <f>O5-L5</f>
        <v>-14.679144385028451</v>
      </c>
      <c r="R5" s="51">
        <f>O5/L5</f>
        <v>0.88909090909089616</v>
      </c>
      <c r="S5" s="748">
        <f>R15</f>
        <v>0.86033554375176613</v>
      </c>
      <c r="T5" s="319">
        <v>0.29236111111111102</v>
      </c>
      <c r="U5" s="320">
        <v>0.32291666666666702</v>
      </c>
      <c r="V5" s="53"/>
      <c r="W5" s="54">
        <f t="shared" ref="W5:W14" si="0">(U5-T5)*24*60</f>
        <v>44.000000000000639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-249.54545454548384</v>
      </c>
      <c r="AG5" s="52">
        <f t="shared" ref="AG5:AG11" si="2">N5/K5</f>
        <v>0.88909090909089605</v>
      </c>
      <c r="AH5" s="784">
        <f>AG15</f>
        <v>0.85727316927336183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1217</v>
      </c>
      <c r="H6" s="63">
        <f>F6*G6</f>
        <v>70792.89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1921.5789473684117</v>
      </c>
      <c r="O6" s="67">
        <f>N6/M6</f>
        <v>147.81376518218551</v>
      </c>
      <c r="P6" s="69">
        <f>M6-J6</f>
        <v>0</v>
      </c>
      <c r="Q6" s="70">
        <f>O6-L6</f>
        <v>-25.26315789473756</v>
      </c>
      <c r="R6" s="71">
        <f>O6/L6</f>
        <v>0.85403508771929404</v>
      </c>
      <c r="S6" s="749"/>
      <c r="T6" s="16">
        <v>0.33124999999999999</v>
      </c>
      <c r="U6" s="16">
        <v>0.35763888888888901</v>
      </c>
      <c r="V6" s="30">
        <f>(T6-U5)*24*60</f>
        <v>11.999999999999478</v>
      </c>
      <c r="W6" s="73">
        <f t="shared" si="0"/>
        <v>38.000000000000185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-328.42105263158828</v>
      </c>
      <c r="AG6" s="72">
        <f t="shared" si="2"/>
        <v>0.85403508771929415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5630</v>
      </c>
      <c r="H7" s="78">
        <f>F7*G7</f>
        <v>276658.2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2072.3926380368171</v>
      </c>
      <c r="O7" s="81">
        <f>N7/M7</f>
        <v>138.15950920245447</v>
      </c>
      <c r="P7" s="74">
        <f>M7-J7</f>
        <v>0</v>
      </c>
      <c r="Q7" s="83">
        <f>O7-L7</f>
        <v>-11.840490797545527</v>
      </c>
      <c r="R7" s="72">
        <f>O7/L7</f>
        <v>0.92106339468302978</v>
      </c>
      <c r="S7" s="749"/>
      <c r="T7" s="18">
        <v>0.36527777777777798</v>
      </c>
      <c r="U7" s="18">
        <v>0.47847222222222202</v>
      </c>
      <c r="V7" s="30">
        <f>(T7-U6)*24*60</f>
        <v>11.000000000000121</v>
      </c>
      <c r="W7" s="73">
        <f t="shared" si="0"/>
        <v>162.99999999999943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-177.60736196318294</v>
      </c>
      <c r="AG7" s="72">
        <f t="shared" si="2"/>
        <v>0.92106339468302978</v>
      </c>
      <c r="AH7" s="785"/>
    </row>
    <row r="8" spans="1:34" ht="15" customHeight="1">
      <c r="A8" s="755"/>
      <c r="B8" s="75" t="s">
        <v>116</v>
      </c>
      <c r="C8" s="76"/>
      <c r="D8" s="59" t="s">
        <v>117</v>
      </c>
      <c r="E8" s="77"/>
      <c r="F8" s="75">
        <f>VLOOKUP(D8,廠價表!$C$1:$E$43,3,0)</f>
        <v>44.3</v>
      </c>
      <c r="G8" s="66">
        <v>1792</v>
      </c>
      <c r="H8" s="78">
        <f>F8*G8</f>
        <v>79385.599999999991</v>
      </c>
      <c r="I8" s="73"/>
      <c r="J8" s="79">
        <f>VLOOKUP(D8,產線配置圖!$A$3:$C$40,2,0)</f>
        <v>18</v>
      </c>
      <c r="K8" s="80">
        <f>VLOOKUP(D8,產線配置圖!$A$3:$C$40,3,0)</f>
        <v>1636</v>
      </c>
      <c r="L8" s="81">
        <f>K8/J8</f>
        <v>90.888888888888886</v>
      </c>
      <c r="M8" s="82">
        <v>18</v>
      </c>
      <c r="N8" s="80">
        <f>G8/W8*60</f>
        <v>1194.6666666666667</v>
      </c>
      <c r="O8" s="81">
        <f>N8/M8</f>
        <v>66.370370370370381</v>
      </c>
      <c r="P8" s="74">
        <f>M8-J8</f>
        <v>0</v>
      </c>
      <c r="Q8" s="83">
        <f>O8-L8</f>
        <v>-24.518518518518505</v>
      </c>
      <c r="R8" s="72">
        <f>O8/L8</f>
        <v>0.73023634881825605</v>
      </c>
      <c r="S8" s="749"/>
      <c r="T8" s="16">
        <v>0.55208333333333304</v>
      </c>
      <c r="U8" s="16">
        <v>0.61458333333333304</v>
      </c>
      <c r="V8" s="30">
        <f>(T8-U7)*24*60</f>
        <v>105.99999999999986</v>
      </c>
      <c r="W8" s="73">
        <f t="shared" si="0"/>
        <v>90</v>
      </c>
      <c r="X8" s="22">
        <v>0.48611111111111099</v>
      </c>
      <c r="Y8" s="84">
        <v>0.52777777777777801</v>
      </c>
      <c r="Z8" s="90">
        <v>2</v>
      </c>
      <c r="AA8" s="90">
        <v>32</v>
      </c>
      <c r="AB8" s="788" t="s">
        <v>118</v>
      </c>
      <c r="AC8" s="788"/>
      <c r="AD8" s="149"/>
      <c r="AE8" s="149"/>
      <c r="AF8" s="307">
        <f t="shared" si="1"/>
        <v>-441.33333333333326</v>
      </c>
      <c r="AG8" s="72">
        <f t="shared" si="2"/>
        <v>0.73023634881825594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15.75</v>
      </c>
      <c r="K15" s="120">
        <f t="shared" si="3"/>
        <v>2096.5</v>
      </c>
      <c r="L15" s="117">
        <f t="shared" si="3"/>
        <v>136.57968828557063</v>
      </c>
      <c r="M15" s="120">
        <f t="shared" si="3"/>
        <v>15.75</v>
      </c>
      <c r="N15" s="120">
        <f t="shared" si="3"/>
        <v>1797.273199381603</v>
      </c>
      <c r="O15" s="117">
        <f t="shared" si="3"/>
        <v>117.50436038661313</v>
      </c>
      <c r="P15" s="121">
        <f>M15-J15</f>
        <v>0</v>
      </c>
      <c r="Q15" s="122">
        <f>O15-L15</f>
        <v>-19.075327898957497</v>
      </c>
      <c r="R15" s="123">
        <f>O15/L15</f>
        <v>0.86033554375176613</v>
      </c>
      <c r="S15" s="752"/>
      <c r="T15" s="125"/>
      <c r="U15" s="125"/>
      <c r="V15" s="126"/>
      <c r="W15" s="127"/>
      <c r="X15" s="128"/>
      <c r="Y15" s="295"/>
      <c r="Z15" s="334">
        <f>SUM(Z5:Z14)</f>
        <v>2</v>
      </c>
      <c r="AA15" s="334">
        <f>SUM(AA5:AA14)</f>
        <v>32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-299.22680061839696</v>
      </c>
      <c r="AG15" s="124">
        <f>N15/K15</f>
        <v>0.85727316927336183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3444</v>
      </c>
      <c r="H16" s="134">
        <f>F16*G16</f>
        <v>174507.48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2108.5714285714462</v>
      </c>
      <c r="O16" s="141">
        <f>N16/M16</f>
        <v>162.19780219780355</v>
      </c>
      <c r="P16" s="142">
        <f>M16-J16</f>
        <v>0</v>
      </c>
      <c r="Q16" s="143">
        <f>O16-L16</f>
        <v>-10.879120879119512</v>
      </c>
      <c r="R16" s="144">
        <f>O16/L16</f>
        <v>0.93714285714286505</v>
      </c>
      <c r="S16" s="795">
        <f>R26</f>
        <v>0.92054508168144922</v>
      </c>
      <c r="T16" s="145">
        <v>0.29166666666666702</v>
      </c>
      <c r="U16" s="145">
        <v>0.359722222222222</v>
      </c>
      <c r="V16" s="135"/>
      <c r="W16" s="146">
        <f t="shared" ref="W16:W78" si="4">(U16-T16)*24*60</f>
        <v>97.999999999999176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-141.42857142855382</v>
      </c>
      <c r="AG16" s="52">
        <f>N16/K16</f>
        <v>0.93714285714286494</v>
      </c>
      <c r="AH16" s="784">
        <f>AG26</f>
        <v>0.92026294151294497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2453</v>
      </c>
      <c r="H17" s="78">
        <f>F17*G17</f>
        <v>139502.10999999999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2044.1666666666649</v>
      </c>
      <c r="O17" s="96">
        <f>N17/M17</f>
        <v>136.27777777777766</v>
      </c>
      <c r="P17" s="97">
        <f>M17-J17</f>
        <v>0</v>
      </c>
      <c r="Q17" s="98">
        <f>O17-L17</f>
        <v>-13.722222222222342</v>
      </c>
      <c r="R17" s="99">
        <f>O17/L17</f>
        <v>0.90851851851851773</v>
      </c>
      <c r="S17" s="796"/>
      <c r="T17" s="19">
        <v>0.36597222222222198</v>
      </c>
      <c r="U17" s="19">
        <v>0.41597222222222202</v>
      </c>
      <c r="V17" s="30">
        <f>(T17-U16)*24*60</f>
        <v>8.999999999999968</v>
      </c>
      <c r="W17" s="149">
        <f t="shared" si="4"/>
        <v>72.000000000000057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-205.83333333333508</v>
      </c>
      <c r="AG17" s="72">
        <f>N17/K17</f>
        <v>0.90851851851851773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2588</v>
      </c>
      <c r="H18" s="78">
        <f>F18*G18</f>
        <v>130409.32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2098.3783783783742</v>
      </c>
      <c r="O18" s="96">
        <f>N18/M18</f>
        <v>174.86486486486453</v>
      </c>
      <c r="P18" s="97">
        <f>M18-J18</f>
        <v>0</v>
      </c>
      <c r="Q18" s="98">
        <f>O18-L18</f>
        <v>-12.635135135135471</v>
      </c>
      <c r="R18" s="99">
        <f>O18/L18</f>
        <v>0.93261261261261086</v>
      </c>
      <c r="S18" s="796"/>
      <c r="T18" s="19">
        <v>0.422222222222222</v>
      </c>
      <c r="U18" s="19">
        <v>0.47361111111111098</v>
      </c>
      <c r="V18" s="30">
        <f>(T18-U17)*24*60</f>
        <v>8.999999999999968</v>
      </c>
      <c r="W18" s="149">
        <f t="shared" si="4"/>
        <v>74.000000000000142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>
        <f>N18-K18</f>
        <v>-151.62162162162576</v>
      </c>
      <c r="AG18" s="72">
        <f>N18/K18</f>
        <v>0.93261261261261075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1625</v>
      </c>
      <c r="H19" s="78">
        <f>F19*G19</f>
        <v>81883.75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2031.2500000000207</v>
      </c>
      <c r="O19" s="96">
        <f>N19/M19</f>
        <v>169.27083333333505</v>
      </c>
      <c r="P19" s="97">
        <f>M19-J19</f>
        <v>0</v>
      </c>
      <c r="Q19" s="98">
        <f>O19-L19</f>
        <v>-18.229166666664952</v>
      </c>
      <c r="R19" s="99">
        <f>O19/L19</f>
        <v>0.90277777777778689</v>
      </c>
      <c r="S19" s="796"/>
      <c r="T19" s="19">
        <v>0.54166666666666696</v>
      </c>
      <c r="U19" s="19">
        <v>0.57499999999999996</v>
      </c>
      <c r="V19" s="30">
        <f>(T19-U18)*24*60</f>
        <v>98.000000000000611</v>
      </c>
      <c r="W19" s="149">
        <f t="shared" si="4"/>
        <v>47.99999999999951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-218.74999999997931</v>
      </c>
      <c r="AG19" s="72">
        <f>N19/K19</f>
        <v>0.902777777777787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2070.5916184041262</v>
      </c>
      <c r="O26" s="158">
        <f t="shared" si="5"/>
        <v>160.65281954344522</v>
      </c>
      <c r="P26" s="159">
        <f>M26-J26</f>
        <v>0</v>
      </c>
      <c r="Q26" s="160">
        <f>O26-L26</f>
        <v>-13.866411225785555</v>
      </c>
      <c r="R26" s="161">
        <f>O26/L26</f>
        <v>0.92054508168144922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6">N26-K26</f>
        <v>-179.40838159587383</v>
      </c>
      <c r="AG26" s="124">
        <f t="shared" ref="AG26:AG31" si="7">N26/K26</f>
        <v>0.92026294151294497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1960</v>
      </c>
      <c r="H27" s="134">
        <f>F27*G27</f>
        <v>90826.400000000009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1383.5294117647004</v>
      </c>
      <c r="O27" s="141">
        <f>N27/M27</f>
        <v>86.470588235293775</v>
      </c>
      <c r="P27" s="142">
        <f>M27-J27</f>
        <v>0</v>
      </c>
      <c r="Q27" s="143">
        <f>O27-L27</f>
        <v>-15.779411764706225</v>
      </c>
      <c r="R27" s="144">
        <f>O27/L27</f>
        <v>0.84567812455055036</v>
      </c>
      <c r="S27" s="795">
        <f>R37</f>
        <v>0.89041516533664378</v>
      </c>
      <c r="T27" s="171">
        <v>0.28819444444444398</v>
      </c>
      <c r="U27" s="171">
        <v>0.34722222222222199</v>
      </c>
      <c r="V27" s="135"/>
      <c r="W27" s="146">
        <f t="shared" si="4"/>
        <v>85.000000000000341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6"/>
        <v>-252.4705882352996</v>
      </c>
      <c r="AG27" s="172">
        <f t="shared" si="7"/>
        <v>0.84567812455055036</v>
      </c>
      <c r="AH27" s="784">
        <f>AG37</f>
        <v>0.89100466686581237</v>
      </c>
    </row>
    <row r="28" spans="1:34" ht="15" customHeight="1">
      <c r="A28" s="793"/>
      <c r="B28" s="75" t="s">
        <v>81</v>
      </c>
      <c r="C28" s="173"/>
      <c r="D28" s="59" t="s">
        <v>123</v>
      </c>
      <c r="E28" s="104"/>
      <c r="F28" s="75">
        <f>VLOOKUP(D28,廠價表!$C$1:$E$43,3,0)</f>
        <v>49.91</v>
      </c>
      <c r="G28" s="90">
        <v>2568</v>
      </c>
      <c r="H28" s="91">
        <f>F28*G28</f>
        <v>128168.87999999999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18</v>
      </c>
      <c r="N28" s="95">
        <f>G28/W28*60</f>
        <v>1481.5384615384667</v>
      </c>
      <c r="O28" s="96">
        <f>N28/M28</f>
        <v>82.307692307692591</v>
      </c>
      <c r="P28" s="97">
        <f>M28-J28</f>
        <v>0</v>
      </c>
      <c r="Q28" s="98">
        <f>O28-L28</f>
        <v>-8.5811965811962949</v>
      </c>
      <c r="R28" s="99">
        <f>O28/L28</f>
        <v>0.90558585668610436</v>
      </c>
      <c r="S28" s="796"/>
      <c r="T28" s="19">
        <v>0.35277777777777802</v>
      </c>
      <c r="U28" s="19">
        <v>0.42499999999999999</v>
      </c>
      <c r="V28" s="92">
        <f>(T28-U27)*24*60</f>
        <v>8.000000000000691</v>
      </c>
      <c r="W28" s="149">
        <f t="shared" si="4"/>
        <v>103.99999999999963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6"/>
        <v>-154.46153846153334</v>
      </c>
      <c r="AG28" s="99">
        <f t="shared" si="7"/>
        <v>0.90558585668610436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946</v>
      </c>
      <c r="H29" s="91">
        <f>F29*G29</f>
        <v>54120.66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18</v>
      </c>
      <c r="N29" s="95">
        <f>G29/W29*60</f>
        <v>1419.0000000000418</v>
      </c>
      <c r="O29" s="96">
        <f>N29/M29</f>
        <v>78.833333333335659</v>
      </c>
      <c r="P29" s="97">
        <f>M29-J29</f>
        <v>0</v>
      </c>
      <c r="Q29" s="98">
        <f>O29-L29</f>
        <v>-12.055555555553227</v>
      </c>
      <c r="R29" s="99">
        <f>O29/L29</f>
        <v>0.86735941320295962</v>
      </c>
      <c r="S29" s="796"/>
      <c r="T29" s="19">
        <v>0.43055555555555602</v>
      </c>
      <c r="U29" s="19">
        <v>0.45833333333333298</v>
      </c>
      <c r="V29" s="92">
        <f>(T29-U28)*24*60</f>
        <v>8.000000000000691</v>
      </c>
      <c r="W29" s="149">
        <f t="shared" si="4"/>
        <v>39.99999999999882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6"/>
        <v>-216.99999999995816</v>
      </c>
      <c r="AG29" s="99">
        <f t="shared" si="7"/>
        <v>0.86735941320295951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1160</v>
      </c>
      <c r="H30" s="91">
        <f>F30*G30</f>
        <v>52965.599999999999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1546.6666666666667</v>
      </c>
      <c r="O30" s="96">
        <f>N30/M30</f>
        <v>90.980392156862749</v>
      </c>
      <c r="P30" s="97">
        <f>M30-J30</f>
        <v>0</v>
      </c>
      <c r="Q30" s="98">
        <f>O30-L30</f>
        <v>-5.2549019607843093</v>
      </c>
      <c r="R30" s="99">
        <f>O30/L30</f>
        <v>0.94539527302363491</v>
      </c>
      <c r="S30" s="796"/>
      <c r="T30" s="19">
        <v>0.46875</v>
      </c>
      <c r="U30" s="19">
        <v>0.5</v>
      </c>
      <c r="V30" s="92">
        <f>(T30-U29)*24*60</f>
        <v>15.000000000000506</v>
      </c>
      <c r="W30" s="149">
        <f t="shared" si="4"/>
        <v>45</v>
      </c>
      <c r="X30" s="174">
        <v>0.49652777777777801</v>
      </c>
      <c r="Y30" s="301">
        <v>0.53819444444444398</v>
      </c>
      <c r="Z30" s="335"/>
      <c r="AA30" s="335"/>
      <c r="AB30" s="789"/>
      <c r="AC30" s="789"/>
      <c r="AD30" s="92"/>
      <c r="AE30" s="92"/>
      <c r="AF30" s="312">
        <f t="shared" si="6"/>
        <v>-89.333333333333258</v>
      </c>
      <c r="AG30" s="99">
        <f t="shared" si="7"/>
        <v>0.94539527302363491</v>
      </c>
      <c r="AH30" s="806"/>
    </row>
    <row r="31" spans="1:34" ht="15" customHeight="1">
      <c r="A31" s="793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6"/>
        <v>0</v>
      </c>
      <c r="AG31" s="99" t="e">
        <f t="shared" si="7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17.25</v>
      </c>
      <c r="N37" s="155">
        <f t="shared" si="8"/>
        <v>1457.683634992469</v>
      </c>
      <c r="O37" s="158">
        <f t="shared" si="8"/>
        <v>84.64800150829619</v>
      </c>
      <c r="P37" s="159">
        <f>M37-J37</f>
        <v>0</v>
      </c>
      <c r="Q37" s="160">
        <f>N37-K37</f>
        <v>-178.31636500753098</v>
      </c>
      <c r="R37" s="161">
        <f>O37/L37</f>
        <v>0.89041516533664378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-178.31636500753098</v>
      </c>
      <c r="AG37" s="124">
        <f>N37/K37</f>
        <v>0.89100466686581237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2172</v>
      </c>
      <c r="H38" s="134">
        <f>F38*G38</f>
        <v>108404.51999999999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1551.4285714285534</v>
      </c>
      <c r="O38" s="141">
        <f>N38/M38</f>
        <v>96.964285714284586</v>
      </c>
      <c r="P38" s="142">
        <f>M38-J38</f>
        <v>0</v>
      </c>
      <c r="Q38" s="143">
        <f>O38-L38</f>
        <v>-10.160714285715414</v>
      </c>
      <c r="R38" s="144">
        <f>O38/L38</f>
        <v>0.9051508584764022</v>
      </c>
      <c r="S38" s="817">
        <f>R48</f>
        <v>0.86783955751059316</v>
      </c>
      <c r="T38" s="191">
        <v>0.33333333333333298</v>
      </c>
      <c r="U38" s="191">
        <v>0.391666666666667</v>
      </c>
      <c r="V38" s="192"/>
      <c r="W38" s="193">
        <f t="shared" si="4"/>
        <v>84.000000000000981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-162.57142857144663</v>
      </c>
      <c r="AG38" s="195">
        <f>N38/K38</f>
        <v>0.9051508584764022</v>
      </c>
      <c r="AH38" s="807">
        <f>AG48</f>
        <v>0.86545330490404859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2808</v>
      </c>
      <c r="H39" s="91">
        <f>F39*G39</f>
        <v>124394.4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1347.840000000009</v>
      </c>
      <c r="O39" s="203">
        <f>N39/M39</f>
        <v>74.880000000000507</v>
      </c>
      <c r="P39" s="97">
        <f>M39-J39</f>
        <v>0</v>
      </c>
      <c r="Q39" s="98">
        <f>O39-L39</f>
        <v>-16.008888888888379</v>
      </c>
      <c r="R39" s="99">
        <f>O39/L39</f>
        <v>0.82386308068460223</v>
      </c>
      <c r="S39" s="818"/>
      <c r="T39" s="20">
        <v>0.40277777777777801</v>
      </c>
      <c r="U39" s="20">
        <v>0.48958333333333298</v>
      </c>
      <c r="V39" s="92">
        <f>(T39-U38)*24*60</f>
        <v>15.999999999999863</v>
      </c>
      <c r="W39" s="205">
        <f t="shared" si="4"/>
        <v>124.99999999999916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-288.15999999999099</v>
      </c>
      <c r="AG39" s="206">
        <f>N39/K39</f>
        <v>0.82386308068460212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4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9">AVERAGE(J38:J47)</f>
        <v>17</v>
      </c>
      <c r="K48" s="155">
        <f t="shared" si="9"/>
        <v>1675</v>
      </c>
      <c r="L48" s="158">
        <f t="shared" si="9"/>
        <v>99.006944444444443</v>
      </c>
      <c r="M48" s="155">
        <f t="shared" si="9"/>
        <v>17</v>
      </c>
      <c r="N48" s="155">
        <f t="shared" si="9"/>
        <v>1449.6342857142813</v>
      </c>
      <c r="O48" s="158">
        <f t="shared" si="9"/>
        <v>85.922142857142546</v>
      </c>
      <c r="P48" s="221">
        <f>M48-J48</f>
        <v>0</v>
      </c>
      <c r="Q48" s="222">
        <f>N48-K48</f>
        <v>-225.3657142857187</v>
      </c>
      <c r="R48" s="223">
        <f>O48/L48</f>
        <v>0.86783955751059316</v>
      </c>
      <c r="S48" s="75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0">N48-K48</f>
        <v>-225.3657142857187</v>
      </c>
      <c r="AG48" s="162">
        <f t="shared" ref="AG48:AG53" si="11">N48/K48</f>
        <v>0.86545330490404859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1855</v>
      </c>
      <c r="H49" s="134">
        <f>F49*G49</f>
        <v>91859.6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1636.7647058823607</v>
      </c>
      <c r="O49" s="141">
        <f>N49/M49</f>
        <v>96.280276816609444</v>
      </c>
      <c r="P49" s="229">
        <f>M49-J49</f>
        <v>0</v>
      </c>
      <c r="Q49" s="230">
        <f>O49-L49</f>
        <v>-9.6020761245670201</v>
      </c>
      <c r="R49" s="52">
        <f>O49/L49</f>
        <v>0.9093137254902004</v>
      </c>
      <c r="S49" s="748">
        <f>R58</f>
        <v>0.88536519789618651</v>
      </c>
      <c r="T49" s="191">
        <v>0.29166666666666702</v>
      </c>
      <c r="U49" s="191">
        <v>0.33888888888888902</v>
      </c>
      <c r="V49" s="55"/>
      <c r="W49" s="193">
        <f t="shared" si="4"/>
        <v>67.999999999999673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0"/>
        <v>-163.23529411763934</v>
      </c>
      <c r="AG49" s="52">
        <f t="shared" si="11"/>
        <v>0.9093137254902004</v>
      </c>
      <c r="AH49" s="784">
        <f>AG58</f>
        <v>0.87361595773559275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1909</v>
      </c>
      <c r="H50" s="231">
        <f>F50*G50</f>
        <v>96001.701000000001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1380.0000000000209</v>
      </c>
      <c r="O50" s="235">
        <f>N50/M50</f>
        <v>86.250000000001307</v>
      </c>
      <c r="P50" s="74">
        <f>M50-J50</f>
        <v>-1</v>
      </c>
      <c r="Q50" s="83">
        <f>O50-L50</f>
        <v>-9.9852941176457506</v>
      </c>
      <c r="R50" s="72">
        <f>O50/L50</f>
        <v>0.89624083129585708</v>
      </c>
      <c r="S50" s="749"/>
      <c r="T50" s="21">
        <v>0.343055555555556</v>
      </c>
      <c r="U50" s="21">
        <v>0.40069444444444402</v>
      </c>
      <c r="V50" s="30">
        <f>(T50-U49)*24*60</f>
        <v>6.0000000000004583</v>
      </c>
      <c r="W50" s="236">
        <f t="shared" si="4"/>
        <v>82.999999999998749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0"/>
        <v>-255.99999999997908</v>
      </c>
      <c r="AG50" s="72">
        <f t="shared" si="11"/>
        <v>0.84352078239610084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2015</v>
      </c>
      <c r="H51" s="231">
        <f>F51*G51</f>
        <v>100689.55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1492.5925925925919</v>
      </c>
      <c r="O51" s="235">
        <f>N51/M51</f>
        <v>93.287037037036995</v>
      </c>
      <c r="P51" s="74">
        <f>M51-J51</f>
        <v>0</v>
      </c>
      <c r="Q51" s="83">
        <f>O51-L51</f>
        <v>-19.212962962963005</v>
      </c>
      <c r="R51" s="72">
        <f>O51/L51</f>
        <v>0.82921810699588439</v>
      </c>
      <c r="S51" s="749"/>
      <c r="T51" s="21">
        <v>0.405555555555556</v>
      </c>
      <c r="U51" s="19">
        <v>0.46180555555555602</v>
      </c>
      <c r="V51" s="30">
        <f>(T51-U50)*24*60</f>
        <v>7.0000000000012541</v>
      </c>
      <c r="W51" s="236">
        <f t="shared" si="4"/>
        <v>81.000000000000028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0"/>
        <v>-307.40740740740807</v>
      </c>
      <c r="AG51" s="72">
        <f t="shared" si="11"/>
        <v>0.82921810699588439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3575</v>
      </c>
      <c r="H52" s="231">
        <f>F52*G52</f>
        <v>178642.75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1637.4045801526574</v>
      </c>
      <c r="O52" s="235">
        <f>N52/M52</f>
        <v>102.33778625954109</v>
      </c>
      <c r="P52" s="74">
        <f>M52-J52</f>
        <v>0</v>
      </c>
      <c r="Q52" s="83">
        <f>O52-L52</f>
        <v>-10.16221374045891</v>
      </c>
      <c r="R52" s="72">
        <f>O52/L52</f>
        <v>0.90966921119592081</v>
      </c>
      <c r="S52" s="749"/>
      <c r="T52" s="21">
        <v>0.52083333333333304</v>
      </c>
      <c r="U52" s="21">
        <v>0.61180555555555605</v>
      </c>
      <c r="V52" s="30">
        <f>(T52-U51)*24*60</f>
        <v>84.999999999998892</v>
      </c>
      <c r="W52" s="236">
        <f t="shared" si="4"/>
        <v>131.00000000000114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10"/>
        <v>-162.59541984734255</v>
      </c>
      <c r="AG52" s="72">
        <f t="shared" si="11"/>
        <v>0.90966921119592081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0"/>
        <v>0</v>
      </c>
      <c r="AG53" s="72" t="e">
        <f t="shared" si="11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12">AVERAGE(J49:J57)</f>
        <v>16.5</v>
      </c>
      <c r="K58" s="120">
        <f t="shared" si="12"/>
        <v>1759</v>
      </c>
      <c r="L58" s="117">
        <f t="shared" si="12"/>
        <v>106.77941176470588</v>
      </c>
      <c r="M58" s="120">
        <f t="shared" si="12"/>
        <v>16.25</v>
      </c>
      <c r="N58" s="120">
        <f t="shared" si="12"/>
        <v>1536.6904696569077</v>
      </c>
      <c r="O58" s="117">
        <f t="shared" si="12"/>
        <v>94.538775028297209</v>
      </c>
      <c r="P58" s="121">
        <f>M58-J58</f>
        <v>-0.25</v>
      </c>
      <c r="Q58" s="122">
        <f>N58-K58</f>
        <v>-222.30953034309232</v>
      </c>
      <c r="R58" s="123">
        <f>O58/L58</f>
        <v>0.88536519789618651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-222.30953034309232</v>
      </c>
      <c r="AG58" s="124">
        <f>N58/K58</f>
        <v>0.87361595773559275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2898</v>
      </c>
      <c r="H59" s="243">
        <f>F59*G59</f>
        <v>78217.01999999999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1512.0000000000023</v>
      </c>
      <c r="O59" s="138">
        <f>N59/M59</f>
        <v>100.80000000000015</v>
      </c>
      <c r="P59" s="56">
        <f>M59-J59</f>
        <v>0</v>
      </c>
      <c r="Q59" s="230">
        <f>O59-L59</f>
        <v>-8.2666666666665094</v>
      </c>
      <c r="R59" s="52">
        <f>O59/L59</f>
        <v>0.92420537897310662</v>
      </c>
      <c r="S59" s="748">
        <f>R69</f>
        <v>0.95962788478740824</v>
      </c>
      <c r="T59" s="245">
        <v>0.29166666666666702</v>
      </c>
      <c r="U59" s="245">
        <v>0.37152777777777801</v>
      </c>
      <c r="V59" s="55"/>
      <c r="W59" s="54">
        <f t="shared" si="4"/>
        <v>114.99999999999983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-123.99999999999773</v>
      </c>
      <c r="AG59" s="246">
        <f>N59/K59</f>
        <v>0.92420537897310651</v>
      </c>
      <c r="AH59" s="784">
        <f>AG69</f>
        <v>0.95647921760391474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1352</v>
      </c>
      <c r="H60" s="78">
        <f>F60*G60</f>
        <v>38207.520000000004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1622.400000000011</v>
      </c>
      <c r="O60" s="81">
        <f>N60/M60</f>
        <v>147.49090909091009</v>
      </c>
      <c r="P60" s="74">
        <f>M60-J60</f>
        <v>0</v>
      </c>
      <c r="Q60" s="83">
        <f>O60-L60</f>
        <v>-1.2363636363626256</v>
      </c>
      <c r="R60" s="72">
        <f>O60/L60</f>
        <v>0.99168704156479892</v>
      </c>
      <c r="S60" s="829"/>
      <c r="T60" s="22">
        <v>0.37847222222222199</v>
      </c>
      <c r="U60" s="22">
        <v>0.41319444444444398</v>
      </c>
      <c r="V60" s="30">
        <f>(T60-U59)*24*60</f>
        <v>9.999999999999325</v>
      </c>
      <c r="W60" s="248">
        <f t="shared" si="4"/>
        <v>49.999999999999659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-13.599999999988995</v>
      </c>
      <c r="AG60" s="249">
        <f>N60/K60</f>
        <v>0.99168704156479892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1170</v>
      </c>
      <c r="H61" s="254">
        <f>F61*G61</f>
        <v>33064.200000000004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1560</v>
      </c>
      <c r="O61" s="238">
        <f>N61/M61</f>
        <v>141.81818181818181</v>
      </c>
      <c r="P61" s="111">
        <f>M61-J61</f>
        <v>0</v>
      </c>
      <c r="Q61" s="255">
        <f>O61-L61</f>
        <v>-6.9090909090909065</v>
      </c>
      <c r="R61" s="85">
        <f>O61/L61</f>
        <v>0.95354523227383869</v>
      </c>
      <c r="S61" s="749"/>
      <c r="T61" s="22">
        <v>0.42361111111111099</v>
      </c>
      <c r="U61" s="22">
        <v>0.45486111111111099</v>
      </c>
      <c r="V61" s="30">
        <f>(T61-U60)*24*60</f>
        <v>15.000000000000506</v>
      </c>
      <c r="W61" s="256">
        <f t="shared" si="4"/>
        <v>45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-76</v>
      </c>
      <c r="AG61" s="247">
        <f>N61/K61</f>
        <v>0.95354523227383858</v>
      </c>
      <c r="AH61" s="785"/>
    </row>
    <row r="62" spans="1:34" ht="15" customHeight="1">
      <c r="A62" s="827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4"/>
        <v>0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0</v>
      </c>
      <c r="AG62" s="247" t="e">
        <f>N62/K62</f>
        <v>#DIV/0!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13">AVERAGE(J59:J68)</f>
        <v>12.333333333333334</v>
      </c>
      <c r="K69" s="240">
        <f t="shared" si="13"/>
        <v>1636</v>
      </c>
      <c r="L69" s="268">
        <f t="shared" si="13"/>
        <v>135.50707070707071</v>
      </c>
      <c r="M69" s="240">
        <f t="shared" si="13"/>
        <v>12.333333333333334</v>
      </c>
      <c r="N69" s="240">
        <f t="shared" si="13"/>
        <v>1564.8000000000045</v>
      </c>
      <c r="O69" s="268">
        <f t="shared" si="13"/>
        <v>130.03636363636403</v>
      </c>
      <c r="P69" s="269">
        <f>M69-J69</f>
        <v>0</v>
      </c>
      <c r="Q69" s="222">
        <f>N69-K69</f>
        <v>-71.199999999995498</v>
      </c>
      <c r="R69" s="123">
        <f>O69/L69</f>
        <v>0.95962788478740824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-71.199999999995498</v>
      </c>
      <c r="AG69" s="124">
        <f>N69/K69</f>
        <v>0.95647921760391474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2813</v>
      </c>
      <c r="H70" s="243">
        <f>F70*G70</f>
        <v>79495.38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1140.4054054054145</v>
      </c>
      <c r="O70" s="138">
        <f>N70/M70</f>
        <v>142.55067567567681</v>
      </c>
      <c r="P70" s="56">
        <f>M70-J70</f>
        <v>-3</v>
      </c>
      <c r="Q70" s="230">
        <f>O70-L70</f>
        <v>-6.1765970515959054</v>
      </c>
      <c r="R70" s="52">
        <f>O70/L70</f>
        <v>0.95847031322276588</v>
      </c>
      <c r="S70" s="748">
        <f>R79</f>
        <v>0.89150121855947895</v>
      </c>
      <c r="T70" s="245">
        <v>0.29305555555555601</v>
      </c>
      <c r="U70" s="245">
        <v>0.39583333333333298</v>
      </c>
      <c r="V70" s="55"/>
      <c r="W70" s="54">
        <f t="shared" si="4"/>
        <v>147.99999999999883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-495.59459459458549</v>
      </c>
      <c r="AG70" s="246">
        <f>N70/K70</f>
        <v>0.69706931870746613</v>
      </c>
      <c r="AH70" s="784">
        <f>AG79</f>
        <v>0.60845927293912894</v>
      </c>
    </row>
    <row r="71" spans="1:36" ht="15" customHeight="1">
      <c r="A71" s="822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740</v>
      </c>
      <c r="H71" s="254">
        <f>F71*G71</f>
        <v>32478.600000000002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>K71/J71</f>
        <v>111.78571428571429</v>
      </c>
      <c r="M71" s="82">
        <v>9</v>
      </c>
      <c r="N71" s="107">
        <f>G71/W71*60</f>
        <v>807.27272727273726</v>
      </c>
      <c r="O71" s="238">
        <f>N71/M71</f>
        <v>89.696969696970811</v>
      </c>
      <c r="P71" s="111">
        <f>M71-J71</f>
        <v>-5</v>
      </c>
      <c r="Q71" s="255">
        <f>O71-L71</f>
        <v>-22.088744588743481</v>
      </c>
      <c r="R71" s="85">
        <f>O71/L71</f>
        <v>0.80240100687386029</v>
      </c>
      <c r="S71" s="749"/>
      <c r="T71" s="22">
        <v>0.40277777777777801</v>
      </c>
      <c r="U71" s="22">
        <v>0.44097222222222199</v>
      </c>
      <c r="V71" s="30">
        <f>(T71-U70)*24*60</f>
        <v>10.000000000000844</v>
      </c>
      <c r="W71" s="73">
        <f t="shared" si="4"/>
        <v>54.999999999999325</v>
      </c>
      <c r="X71" s="271"/>
      <c r="Y71" s="293"/>
      <c r="Z71" s="90"/>
      <c r="AA71" s="90"/>
      <c r="AB71" s="810" t="s">
        <v>136</v>
      </c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54"/>
      <c r="I72" s="182"/>
      <c r="J72" s="106"/>
      <c r="K72" s="107"/>
      <c r="L72" s="238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14">AVERAGE(J70:J78)</f>
        <v>12.5</v>
      </c>
      <c r="K79" s="240">
        <f t="shared" si="14"/>
        <v>1600.5</v>
      </c>
      <c r="L79" s="268">
        <f t="shared" si="14"/>
        <v>130.25649350649351</v>
      </c>
      <c r="M79" s="240">
        <f t="shared" si="14"/>
        <v>8.5</v>
      </c>
      <c r="N79" s="240">
        <f t="shared" si="14"/>
        <v>973.83906633907588</v>
      </c>
      <c r="O79" s="268">
        <f t="shared" si="14"/>
        <v>116.12382268632382</v>
      </c>
      <c r="P79" s="269">
        <f>M79-J79</f>
        <v>-4</v>
      </c>
      <c r="Q79" s="222">
        <f>N79-K79</f>
        <v>-626.66093366092412</v>
      </c>
      <c r="R79" s="223">
        <f>O79/L79</f>
        <v>0.89150121855947895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-626.66093366092412</v>
      </c>
      <c r="AG79" s="124">
        <f>N79/K79</f>
        <v>0.60845927293912894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16:AH26"/>
    <mergeCell ref="AB17:AC17"/>
    <mergeCell ref="AB16:AC16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22:AC22"/>
    <mergeCell ref="AB23:AC23"/>
    <mergeCell ref="AB24:AC24"/>
    <mergeCell ref="AB25:AC25"/>
    <mergeCell ref="AB6:AC6"/>
    <mergeCell ref="A27:A37"/>
    <mergeCell ref="S27:S37"/>
    <mergeCell ref="AB27:AC27"/>
    <mergeCell ref="A38:A48"/>
    <mergeCell ref="S38:S48"/>
    <mergeCell ref="AB38:AC38"/>
    <mergeCell ref="D48:E48"/>
    <mergeCell ref="AB48:AC48"/>
    <mergeCell ref="A16:A26"/>
    <mergeCell ref="S16:S26"/>
    <mergeCell ref="A5:A15"/>
    <mergeCell ref="S5:S15"/>
    <mergeCell ref="D15:E15"/>
    <mergeCell ref="AH5:AH15"/>
    <mergeCell ref="D37:E37"/>
    <mergeCell ref="AB37:AC3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B18:AC18"/>
    <mergeCell ref="AB19:AC19"/>
    <mergeCell ref="AB20:AC20"/>
    <mergeCell ref="AB21:AC21"/>
    <mergeCell ref="AB14:AC1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S3:S4"/>
    <mergeCell ref="H3:H4"/>
    <mergeCell ref="I3:I4"/>
    <mergeCell ref="O3:O4"/>
    <mergeCell ref="P3:P4"/>
    <mergeCell ref="J3:J4"/>
    <mergeCell ref="K3:K4"/>
    <mergeCell ref="L3:L4"/>
    <mergeCell ref="M3:M4"/>
    <mergeCell ref="N3:N4"/>
    <mergeCell ref="AB15:AC15"/>
    <mergeCell ref="AB13:AC13"/>
    <mergeCell ref="AF1:AH2"/>
    <mergeCell ref="AG3:AG4"/>
    <mergeCell ref="AH3:AH4"/>
    <mergeCell ref="Q3:Q4"/>
    <mergeCell ref="R3:R4"/>
    <mergeCell ref="T3:U3"/>
    <mergeCell ref="AD3:AE3"/>
    <mergeCell ref="AF3:AF4"/>
    <mergeCell ref="V3:V4"/>
    <mergeCell ref="AB1:AC2"/>
    <mergeCell ref="W3:W4"/>
    <mergeCell ref="X3:Y3"/>
    <mergeCell ref="Z3:AA3"/>
    <mergeCell ref="T1:Y2"/>
    <mergeCell ref="AB7:AC7"/>
    <mergeCell ref="AB3:AC4"/>
    <mergeCell ref="AB8:AC8"/>
    <mergeCell ref="AB9:AC9"/>
    <mergeCell ref="AB5:AC5"/>
    <mergeCell ref="AB10:AC10"/>
    <mergeCell ref="AB11:AC11"/>
    <mergeCell ref="AB12:AC12"/>
  </mergeCells>
  <phoneticPr fontId="0" type="noConversion"/>
  <conditionalFormatting sqref="P5:P79">
    <cfRule type="cellIs" dxfId="308" priority="1" operator="greaterThan">
      <formula>0</formula>
    </cfRule>
  </conditionalFormatting>
  <conditionalFormatting sqref="Q5:Q79 AF5:AF79">
    <cfRule type="cellIs" dxfId="307" priority="4" operator="lessThan">
      <formula>0</formula>
    </cfRule>
  </conditionalFormatting>
  <conditionalFormatting sqref="R5:R79 AG5:AG79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S5:S10 S37:S62 AH59:AH62 S69:S76 AH69:AH76">
    <cfRule type="cellIs" dxfId="304" priority="7" operator="lessThan">
      <formula>0.8</formula>
    </cfRule>
  </conditionalFormatting>
  <conditionalFormatting sqref="S19:S25 AH19:AH25">
    <cfRule type="cellIs" dxfId="303" priority="6" operator="lessThan">
      <formula>0.8</formula>
    </cfRule>
  </conditionalFormatting>
  <conditionalFormatting sqref="S79">
    <cfRule type="cellIs" dxfId="302" priority="5" operator="lessThan">
      <formula>0.8</formula>
    </cfRule>
  </conditionalFormatting>
  <conditionalFormatting sqref="AH5:AH8 S15:S16 AH15:AH16 AH49 AH79">
    <cfRule type="cellIs" dxfId="301" priority="9" operator="lessThan">
      <formula>0.8</formula>
    </cfRule>
  </conditionalFormatting>
  <conditionalFormatting sqref="AH27 S27:S28">
    <cfRule type="cellIs" dxfId="3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4EC6C0-35B0-44C7-8195-A984F5B7C74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32CA-3FB2-4AC7-989E-7869F0B289AD}">
  <dimension ref="B1:O26"/>
  <sheetViews>
    <sheetView zoomScale="70" zoomScaleNormal="70" workbookViewId="0">
      <selection activeCell="E21" sqref="E21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76" width="8.85546875" style="360" customWidth="1"/>
    <col min="177" max="16384" width="8.85546875" style="360"/>
  </cols>
  <sheetData>
    <row r="1" spans="2:15" ht="27.75" customHeight="1">
      <c r="B1" s="830" t="s">
        <v>70</v>
      </c>
      <c r="C1" s="830"/>
      <c r="D1" s="830"/>
      <c r="E1" s="830"/>
      <c r="F1" s="830"/>
      <c r="G1" s="830"/>
      <c r="H1" s="830"/>
      <c r="I1" s="830"/>
      <c r="J1" s="830"/>
      <c r="K1" s="830"/>
      <c r="L1" s="359"/>
      <c r="M1" s="359"/>
    </row>
    <row r="2" spans="2:15" ht="27.75" customHeight="1">
      <c r="B2" s="830"/>
      <c r="C2" s="830"/>
      <c r="D2" s="830"/>
      <c r="E2" s="830"/>
      <c r="F2" s="830"/>
      <c r="G2" s="830"/>
      <c r="H2" s="830"/>
      <c r="I2" s="830"/>
      <c r="J2" s="830"/>
      <c r="K2" s="830"/>
      <c r="L2" s="359"/>
      <c r="M2" s="359"/>
    </row>
    <row r="3" spans="2:15" ht="46.5" customHeight="1">
      <c r="B3" s="831" t="s">
        <v>71</v>
      </c>
      <c r="C3" s="831"/>
      <c r="D3" s="832">
        <v>46236</v>
      </c>
      <c r="E3" s="832"/>
      <c r="F3" s="361" t="s">
        <v>72</v>
      </c>
      <c r="G3" s="707">
        <f>'0802'!E1</f>
        <v>65177</v>
      </c>
      <c r="H3" s="707"/>
      <c r="I3" s="361" t="s">
        <v>2</v>
      </c>
      <c r="J3" s="833">
        <f>'0802'!G1</f>
        <v>3016872.7829999994</v>
      </c>
      <c r="K3" s="833"/>
      <c r="L3" s="4"/>
    </row>
    <row r="4" spans="2:15" ht="24" customHeight="1">
      <c r="B4" s="831" t="s">
        <v>73</v>
      </c>
      <c r="C4" s="831"/>
      <c r="D4" s="836">
        <v>3</v>
      </c>
      <c r="E4" s="836"/>
      <c r="F4" s="838" t="s">
        <v>74</v>
      </c>
      <c r="G4" s="838"/>
      <c r="H4" s="838" t="s">
        <v>75</v>
      </c>
      <c r="I4" s="838"/>
      <c r="J4" s="836" t="s">
        <v>76</v>
      </c>
      <c r="K4" s="838"/>
      <c r="L4" s="834" t="s">
        <v>77</v>
      </c>
      <c r="M4" s="835"/>
      <c r="N4" s="835" t="s">
        <v>78</v>
      </c>
      <c r="O4" s="835"/>
    </row>
    <row r="5" spans="2:15" ht="24" customHeight="1">
      <c r="B5" s="831" t="s">
        <v>14</v>
      </c>
      <c r="C5" s="831"/>
      <c r="D5" s="836" t="s">
        <v>79</v>
      </c>
      <c r="E5" s="836"/>
      <c r="F5" s="836" t="s">
        <v>80</v>
      </c>
      <c r="G5" s="836"/>
      <c r="H5" s="711" t="s">
        <v>81</v>
      </c>
      <c r="I5" s="711"/>
      <c r="J5" s="712" t="s">
        <v>82</v>
      </c>
      <c r="K5" s="712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831"/>
      <c r="C6" s="831"/>
      <c r="D6" s="831" t="s">
        <v>86</v>
      </c>
      <c r="E6" s="831"/>
      <c r="F6" s="837">
        <f>AVERAGE(D13:J13)</f>
        <v>126.28366843318523</v>
      </c>
      <c r="G6" s="837"/>
      <c r="H6" s="714">
        <f>AVERAGE(D13:H13)</f>
        <v>124.65001675884028</v>
      </c>
      <c r="I6" s="714"/>
      <c r="J6" s="714">
        <f>AVERAGE(I13:J13)</f>
        <v>130.36779761904762</v>
      </c>
      <c r="K6" s="714"/>
      <c r="L6" s="844">
        <f>SUM(D18:J18)</f>
        <v>7</v>
      </c>
      <c r="M6" s="839">
        <f>SUM(D19:J19)</f>
        <v>0</v>
      </c>
      <c r="N6" s="846">
        <f>SUM(D20:J20)</f>
        <v>0</v>
      </c>
      <c r="O6" s="839">
        <f>SUM(D20:J20)</f>
        <v>0</v>
      </c>
    </row>
    <row r="7" spans="2:15" ht="39.6" customHeight="1">
      <c r="B7" s="831"/>
      <c r="C7" s="831"/>
      <c r="D7" s="853" t="s">
        <v>87</v>
      </c>
      <c r="E7" s="853"/>
      <c r="F7" s="854">
        <f>AVERAGE(D14:J14)</f>
        <v>115.23475868736344</v>
      </c>
      <c r="G7" s="854"/>
      <c r="H7" s="738">
        <f>AVERAGE(D14:H14)</f>
        <v>114.93917585374568</v>
      </c>
      <c r="I7" s="738"/>
      <c r="J7" s="738">
        <f>AVERAGE(I14:J14)</f>
        <v>115.97371577140785</v>
      </c>
      <c r="K7" s="738"/>
      <c r="L7" s="845" t="e">
        <f t="shared" ref="L7:O8" si="0">AVERAGE(K14:L14)</f>
        <v>#DIV/0!</v>
      </c>
      <c r="M7" s="839" t="e">
        <f t="shared" si="0"/>
        <v>#DIV/0!</v>
      </c>
      <c r="N7" s="847" t="e">
        <f t="shared" si="0"/>
        <v>#DIV/0!</v>
      </c>
      <c r="O7" s="839" t="e">
        <f t="shared" si="0"/>
        <v>#DIV/0!</v>
      </c>
    </row>
    <row r="8" spans="2:15" ht="39.6" customHeight="1">
      <c r="B8" s="831"/>
      <c r="C8" s="831"/>
      <c r="D8" s="853" t="s">
        <v>27</v>
      </c>
      <c r="E8" s="853"/>
      <c r="F8" s="710">
        <f>F7/F6</f>
        <v>0.91250721583474115</v>
      </c>
      <c r="G8" s="710"/>
      <c r="H8" s="710">
        <f>H7/H6</f>
        <v>0.92209514962294703</v>
      </c>
      <c r="I8" s="710"/>
      <c r="J8" s="710">
        <f>J7/J6</f>
        <v>0.88958867058795277</v>
      </c>
      <c r="K8" s="710"/>
      <c r="L8" s="845" t="e">
        <f t="shared" si="0"/>
        <v>#DIV/0!</v>
      </c>
      <c r="M8" s="839" t="e">
        <f t="shared" si="0"/>
        <v>#DIV/0!</v>
      </c>
      <c r="N8" s="847" t="e">
        <f t="shared" si="0"/>
        <v>#DIV/0!</v>
      </c>
      <c r="O8" s="839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48" t="s">
        <v>89</v>
      </c>
      <c r="C10" s="849"/>
      <c r="D10" s="850" t="s">
        <v>90</v>
      </c>
      <c r="E10" s="851"/>
      <c r="F10" s="851"/>
      <c r="G10" s="851"/>
      <c r="H10" s="851"/>
      <c r="I10" s="851"/>
      <c r="J10" s="852"/>
    </row>
    <row r="11" spans="2:15" ht="17.25" customHeight="1">
      <c r="B11" s="840" t="s">
        <v>91</v>
      </c>
      <c r="C11" s="841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842"/>
      <c r="C12" s="843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856" t="s">
        <v>14</v>
      </c>
      <c r="C13" s="370" t="s">
        <v>99</v>
      </c>
      <c r="D13" s="371">
        <f>VALUE('0802'!L15)</f>
        <v>151.08597285067873</v>
      </c>
      <c r="E13" s="371">
        <f>VALUE('0802'!L26)</f>
        <v>174.51923076923077</v>
      </c>
      <c r="F13" s="371">
        <f>VALUE('0802'!L37)</f>
        <v>94.564542483660148</v>
      </c>
      <c r="G13" s="371">
        <f>VALUE('0802'!L48)</f>
        <v>96.300925925925924</v>
      </c>
      <c r="H13" s="371">
        <f>VALUE('0802'!L58)</f>
        <v>106.77941176470588</v>
      </c>
      <c r="I13" s="371">
        <f>VALUE('0802'!L69)</f>
        <v>132.86303030303029</v>
      </c>
      <c r="J13" s="371">
        <f>'0802'!L79</f>
        <v>127.87256493506493</v>
      </c>
    </row>
    <row r="14" spans="2:15" ht="39.950000000000003" customHeight="1">
      <c r="B14" s="857"/>
      <c r="C14" s="370" t="s">
        <v>100</v>
      </c>
      <c r="D14" s="371">
        <f>VALUE('0802'!O15)</f>
        <v>141.27180535317191</v>
      </c>
      <c r="E14" s="371">
        <f>VALUE('0802'!O26)</f>
        <v>167.50300250515735</v>
      </c>
      <c r="F14" s="371">
        <f>VALUE('0802'!O37)</f>
        <v>86.92686802150422</v>
      </c>
      <c r="G14" s="371">
        <f>VALUE('0802'!O48)</f>
        <v>86.461162363495873</v>
      </c>
      <c r="H14" s="371">
        <f>VALUE('0802'!O58)</f>
        <v>92.533041025399044</v>
      </c>
      <c r="I14" s="371">
        <f>VALUE('0802'!O69)</f>
        <v>122.6736796536801</v>
      </c>
      <c r="J14" s="371">
        <f>'0802'!O79</f>
        <v>109.27375188913561</v>
      </c>
    </row>
    <row r="15" spans="2:15" ht="39.950000000000003" customHeight="1">
      <c r="B15" s="858"/>
      <c r="C15" s="368" t="s">
        <v>26</v>
      </c>
      <c r="D15" s="372">
        <f t="shared" ref="D15:I15" si="1">D14/D13</f>
        <v>0.93504249724621125</v>
      </c>
      <c r="E15" s="372">
        <f t="shared" si="1"/>
        <v>0.95979681876233414</v>
      </c>
      <c r="F15" s="372">
        <f t="shared" si="1"/>
        <v>0.91923321086785093</v>
      </c>
      <c r="G15" s="372">
        <f t="shared" si="1"/>
        <v>0.89782275229628905</v>
      </c>
      <c r="H15" s="372">
        <f t="shared" si="1"/>
        <v>0.8665812959271636</v>
      </c>
      <c r="I15" s="372">
        <f t="shared" si="1"/>
        <v>0.92330936133166164</v>
      </c>
      <c r="J15" s="373">
        <f>'0802'!S70</f>
        <v>0.85455196698858749</v>
      </c>
    </row>
    <row r="16" spans="2:15" ht="17.25" customHeight="1">
      <c r="B16" s="859" t="s">
        <v>101</v>
      </c>
      <c r="C16" s="368" t="s">
        <v>34</v>
      </c>
      <c r="D16" s="374">
        <f>'0802'!T5</f>
        <v>0.29444444444444401</v>
      </c>
      <c r="E16" s="374">
        <f>'0802'!T16</f>
        <v>0.28819444444444398</v>
      </c>
      <c r="F16" s="374">
        <f>'0802'!T27</f>
        <v>0.29166666666666702</v>
      </c>
      <c r="G16" s="374">
        <f>'0802'!T38</f>
        <v>0.33333333333333298</v>
      </c>
      <c r="H16" s="374">
        <f>'0802'!T49</f>
        <v>0.29166666666666702</v>
      </c>
      <c r="I16" s="374">
        <f>'0802'!T59</f>
        <v>0.28819444444444398</v>
      </c>
      <c r="J16" s="374">
        <f>'0802'!T70</f>
        <v>0.29444444444444401</v>
      </c>
    </row>
    <row r="17" spans="2:10" ht="17.25" customHeight="1">
      <c r="B17" s="860"/>
      <c r="C17" s="368" t="s">
        <v>35</v>
      </c>
      <c r="D17" s="16">
        <v>0.61458333333333304</v>
      </c>
      <c r="E17" s="375">
        <v>0.57499999999999996</v>
      </c>
      <c r="F17" s="19">
        <v>0.5</v>
      </c>
      <c r="G17" s="376">
        <v>0.48958333333333298</v>
      </c>
      <c r="H17" s="21">
        <v>0.61180555555555605</v>
      </c>
      <c r="I17" s="377">
        <v>0.45486111111111099</v>
      </c>
      <c r="J17" s="377">
        <v>0.44097222222222199</v>
      </c>
    </row>
    <row r="18" spans="2:10" ht="17.25" customHeight="1">
      <c r="B18" s="861" t="s">
        <v>102</v>
      </c>
      <c r="C18" s="378" t="s">
        <v>36</v>
      </c>
      <c r="D18" s="379">
        <f>'0802'!Z15</f>
        <v>0</v>
      </c>
      <c r="E18" s="380">
        <f>'0802'!Z26</f>
        <v>0</v>
      </c>
      <c r="F18" s="380">
        <f>'0802'!Z37</f>
        <v>0</v>
      </c>
      <c r="G18" s="381">
        <f>'0802'!Z48</f>
        <v>0</v>
      </c>
      <c r="H18" s="381">
        <f>'0802'!Z58</f>
        <v>0</v>
      </c>
      <c r="I18" s="380">
        <f>'0802'!Z69</f>
        <v>0</v>
      </c>
      <c r="J18" s="380">
        <f>'0802'!AA79</f>
        <v>7</v>
      </c>
    </row>
    <row r="19" spans="2:10" ht="17.25" customHeight="1">
      <c r="B19" s="862"/>
      <c r="C19" s="378" t="s">
        <v>37</v>
      </c>
      <c r="D19" s="379">
        <f>'0802'!AA15</f>
        <v>0</v>
      </c>
      <c r="E19" s="380">
        <f>'0802'!AA26</f>
        <v>0</v>
      </c>
      <c r="F19" s="380">
        <f>'0802'!AA37</f>
        <v>0</v>
      </c>
      <c r="G19" s="381">
        <f>'0802'!AA48</f>
        <v>0</v>
      </c>
      <c r="H19" s="381">
        <f>'0802'!AA58</f>
        <v>0</v>
      </c>
      <c r="I19" s="380">
        <f>'0802'!AA69</f>
        <v>0</v>
      </c>
      <c r="J19" s="380">
        <f>'0802'!AB79</f>
        <v>0</v>
      </c>
    </row>
    <row r="20" spans="2:10" ht="17.25" customHeight="1">
      <c r="B20" s="861" t="s">
        <v>103</v>
      </c>
      <c r="C20" s="378" t="s">
        <v>36</v>
      </c>
      <c r="D20" s="379">
        <f>'0802'!AD15</f>
        <v>0</v>
      </c>
      <c r="E20" s="380">
        <f>'0802'!AD26</f>
        <v>0</v>
      </c>
      <c r="F20" s="380">
        <f>'0802'!AD37</f>
        <v>0</v>
      </c>
      <c r="G20" s="381">
        <f>'0802'!AD48</f>
        <v>0</v>
      </c>
      <c r="H20" s="381">
        <f>'0802'!AD58</f>
        <v>0</v>
      </c>
      <c r="I20" s="380">
        <f>'0802'!AD69</f>
        <v>0</v>
      </c>
      <c r="J20" s="380">
        <f>'0802'!AD79</f>
        <v>0</v>
      </c>
    </row>
    <row r="21" spans="2:10" ht="17.25" customHeight="1">
      <c r="B21" s="862"/>
      <c r="C21" s="378" t="s">
        <v>85</v>
      </c>
      <c r="D21" s="379">
        <f>'0802'!AE15</f>
        <v>0</v>
      </c>
      <c r="E21" s="380">
        <f>'0802'!AE26</f>
        <v>0</v>
      </c>
      <c r="F21" s="380">
        <f>'0802'!AE37</f>
        <v>0</v>
      </c>
      <c r="G21" s="381">
        <f>'0802'!AE48</f>
        <v>0</v>
      </c>
      <c r="H21" s="381">
        <f>'0802'!AE58</f>
        <v>0</v>
      </c>
      <c r="I21" s="380">
        <f>'0802'!AE69</f>
        <v>0</v>
      </c>
      <c r="J21" s="380">
        <f>'0802'!AE79</f>
        <v>0</v>
      </c>
    </row>
    <row r="22" spans="2:10" ht="17.25" customHeight="1">
      <c r="B22" s="848" t="s">
        <v>104</v>
      </c>
      <c r="C22" s="849"/>
      <c r="D22" s="382">
        <f>VALUE('0802'!M15)</f>
        <v>15</v>
      </c>
      <c r="E22" s="382">
        <f>VALUE('0802'!M26)</f>
        <v>13</v>
      </c>
      <c r="F22" s="382">
        <f>VALUE('0802'!M37)</f>
        <v>17.166666666666668</v>
      </c>
      <c r="G22" s="382">
        <f>VALUE('0802'!M48)</f>
        <v>17.333333333333332</v>
      </c>
      <c r="H22" s="382">
        <f>VALUE('0802'!M58)</f>
        <v>16.5</v>
      </c>
      <c r="I22" s="382">
        <f>VALUE('0802'!M69)</f>
        <v>12.6</v>
      </c>
      <c r="J22" s="382">
        <f>'0802'!M79</f>
        <v>12</v>
      </c>
    </row>
    <row r="23" spans="2:10" ht="17.25" customHeight="1">
      <c r="B23" s="848" t="s">
        <v>105</v>
      </c>
      <c r="C23" s="849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48" t="s">
        <v>109</v>
      </c>
      <c r="C24" s="849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48" t="s">
        <v>111</v>
      </c>
      <c r="C25" s="849"/>
      <c r="D25" s="384"/>
      <c r="E25" s="384"/>
      <c r="F25" s="384"/>
      <c r="G25" s="384"/>
      <c r="H25" s="384"/>
      <c r="I25" s="384"/>
      <c r="J25" s="384"/>
    </row>
    <row r="26" spans="2:10">
      <c r="B26" s="855"/>
      <c r="C26" s="855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0439-AA80-42A7-A084-463586B0C906}">
  <sheetPr>
    <tabColor theme="9" tint="0.79998168889431442"/>
  </sheetPr>
  <dimension ref="A1:AJ92"/>
  <sheetViews>
    <sheetView zoomScale="75" zoomScaleNormal="75" workbookViewId="0">
      <pane xSplit="5" ySplit="4" topLeftCell="H5" activePane="bottomRight" state="frozen"/>
      <selection activeCell="E21" sqref="E21"/>
      <selection pane="topRight" activeCell="E21" sqref="E21"/>
      <selection pane="bottomLeft" activeCell="E21" sqref="E21"/>
      <selection pane="bottomRight" activeCell="K32" sqref="K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6" width="8.7109375" style="34" customWidth="1"/>
    <col min="17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65177</v>
      </c>
      <c r="F1" s="30" t="s">
        <v>2</v>
      </c>
      <c r="G1" s="31">
        <f>SUM(H5:H79)</f>
        <v>3016872.7829999994</v>
      </c>
      <c r="H1" s="32" t="s">
        <v>3</v>
      </c>
      <c r="I1" s="33">
        <f>M15+M26+M48+M58+M69+M79+M37</f>
        <v>103.6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137</v>
      </c>
      <c r="B2" s="739"/>
      <c r="C2" s="28"/>
      <c r="D2" s="28" t="s">
        <v>14</v>
      </c>
      <c r="E2" s="35">
        <f>AVERAGE(O15,O26,O37,O48,O58,O69,O79)</f>
        <v>115.23475868736344</v>
      </c>
      <c r="F2" s="36" t="s">
        <v>15</v>
      </c>
      <c r="G2" s="37">
        <f>G1/E1</f>
        <v>46.287383325406189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7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1991</v>
      </c>
      <c r="H5" s="43">
        <f>F5*G5</f>
        <v>100883.97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2024.7457627118279</v>
      </c>
      <c r="O5" s="47">
        <f>N5/M5</f>
        <v>119.10269192422517</v>
      </c>
      <c r="P5" s="49">
        <f>M5-J5</f>
        <v>0</v>
      </c>
      <c r="Q5" s="50">
        <f>O5-L5</f>
        <v>-13.250249252245411</v>
      </c>
      <c r="R5" s="51">
        <f>O5/L5</f>
        <v>0.89988700564970137</v>
      </c>
      <c r="S5" s="748">
        <f>R15</f>
        <v>0.93504249724621125</v>
      </c>
      <c r="T5" s="319">
        <v>0.29444444444444401</v>
      </c>
      <c r="U5" s="320">
        <v>0.33541666666666697</v>
      </c>
      <c r="V5" s="53"/>
      <c r="W5" s="54">
        <f t="shared" ref="W5:W14" si="0">(U5-T5)*24*60</f>
        <v>59.000000000001066</v>
      </c>
      <c r="X5" s="55"/>
      <c r="Y5" s="290"/>
      <c r="Z5" s="169"/>
      <c r="AA5" s="169"/>
      <c r="AB5" s="791" t="s">
        <v>138</v>
      </c>
      <c r="AC5" s="791"/>
      <c r="AD5" s="135"/>
      <c r="AE5" s="135"/>
      <c r="AF5" s="229">
        <f t="shared" ref="AF5:AF11" si="1">N5-K5</f>
        <v>-225.25423728817213</v>
      </c>
      <c r="AG5" s="52">
        <f t="shared" ref="AG5:AG11" si="2">N5/K5</f>
        <v>0.89988700564970125</v>
      </c>
      <c r="AH5" s="784">
        <f>AG15</f>
        <v>0.93352032051992562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1616</v>
      </c>
      <c r="H6" s="63">
        <f>F6*G6</f>
        <v>94002.72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2154.6666666666665</v>
      </c>
      <c r="O6" s="67">
        <f>N6/M6</f>
        <v>165.74358974358972</v>
      </c>
      <c r="P6" s="69">
        <f>M6-J6</f>
        <v>0</v>
      </c>
      <c r="Q6" s="70">
        <f>O6-L6</f>
        <v>-7.3333333333333428</v>
      </c>
      <c r="R6" s="71">
        <f>O6/L6</f>
        <v>0.95762962962962961</v>
      </c>
      <c r="S6" s="749"/>
      <c r="T6" s="16">
        <v>0.34375</v>
      </c>
      <c r="U6" s="16">
        <v>0.375</v>
      </c>
      <c r="V6" s="30">
        <f>(T6-U5)*24*60</f>
        <v>11.999999999999558</v>
      </c>
      <c r="W6" s="73">
        <f t="shared" si="0"/>
        <v>45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-95.333333333333485</v>
      </c>
      <c r="AG6" s="72">
        <f t="shared" si="2"/>
        <v>0.95762962962962961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4914</v>
      </c>
      <c r="H7" s="78">
        <f>F7*G7</f>
        <v>241473.96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2167.9411764705974</v>
      </c>
      <c r="O7" s="81">
        <f>N7/M7</f>
        <v>144.52941176470648</v>
      </c>
      <c r="P7" s="74">
        <f>M7-J7</f>
        <v>0</v>
      </c>
      <c r="Q7" s="83">
        <f>O7-L7</f>
        <v>-5.4705882352935191</v>
      </c>
      <c r="R7" s="72">
        <f>O7/L7</f>
        <v>0.96352941176470985</v>
      </c>
      <c r="S7" s="749"/>
      <c r="T7" s="18">
        <v>0.38263888888888897</v>
      </c>
      <c r="U7" s="18">
        <v>0.47708333333333303</v>
      </c>
      <c r="V7" s="30">
        <f>(T7-U6)*24*60</f>
        <v>11.000000000000121</v>
      </c>
      <c r="W7" s="73">
        <f t="shared" si="0"/>
        <v>135.99999999999943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-82.058823529402616</v>
      </c>
      <c r="AG7" s="72">
        <f t="shared" si="2"/>
        <v>0.96352941176470996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1657</v>
      </c>
      <c r="H8" s="78">
        <f>F8*G8</f>
        <v>81424.98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2071.2500000000141</v>
      </c>
      <c r="O8" s="81">
        <f>N8/M8</f>
        <v>138.08333333333428</v>
      </c>
      <c r="P8" s="74">
        <f>M8-J8</f>
        <v>0</v>
      </c>
      <c r="Q8" s="83">
        <f>O8-L8</f>
        <v>-11.916666666665719</v>
      </c>
      <c r="R8" s="72">
        <f>O8/L8</f>
        <v>0.9205555555555619</v>
      </c>
      <c r="S8" s="749"/>
      <c r="T8" s="16">
        <v>0.54513888888888895</v>
      </c>
      <c r="U8" s="16">
        <v>0.57847222222222205</v>
      </c>
      <c r="V8" s="30">
        <f>(T8-U7)*24*60</f>
        <v>98.000000000000526</v>
      </c>
      <c r="W8" s="73">
        <f t="shared" si="0"/>
        <v>47.999999999999673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-178.7499999999859</v>
      </c>
      <c r="AG8" s="72">
        <f t="shared" si="2"/>
        <v>0.92055555555556179</v>
      </c>
      <c r="AH8" s="785"/>
    </row>
    <row r="9" spans="1:34" ht="15" customHeight="1">
      <c r="A9" s="756"/>
      <c r="B9" s="75" t="s">
        <v>81</v>
      </c>
      <c r="C9" s="76"/>
      <c r="D9" s="59" t="s">
        <v>120</v>
      </c>
      <c r="E9" s="77"/>
      <c r="F9" s="75">
        <f>VLOOKUP(D9,廠價表!$C$1:$E$43,3,0)</f>
        <v>56.87</v>
      </c>
      <c r="G9" s="66">
        <v>1389</v>
      </c>
      <c r="H9" s="78">
        <f>F9*G9</f>
        <v>78992.429999999993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80">
        <f>G9/W9*60</f>
        <v>2083.5000000000573</v>
      </c>
      <c r="O9" s="81">
        <f>N9/M9</f>
        <v>138.90000000000381</v>
      </c>
      <c r="P9" s="74">
        <f>M9-J9</f>
        <v>0</v>
      </c>
      <c r="Q9" s="83">
        <f>O9-L9</f>
        <v>-11.099999999996186</v>
      </c>
      <c r="R9" s="72">
        <f>O9/L9</f>
        <v>0.92600000000002547</v>
      </c>
      <c r="S9" s="750"/>
      <c r="T9" s="16">
        <v>0.58541666666666703</v>
      </c>
      <c r="U9" s="16">
        <v>0.61319444444444404</v>
      </c>
      <c r="V9" s="30">
        <f>(T9-U8)*24*60</f>
        <v>10.000000000000764</v>
      </c>
      <c r="W9" s="73">
        <f t="shared" si="0"/>
        <v>39.999999999998899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-166.4999999999427</v>
      </c>
      <c r="AG9" s="72">
        <f t="shared" si="2"/>
        <v>0.92600000000002547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151.08597285067873</v>
      </c>
      <c r="M15" s="120">
        <f t="shared" si="3"/>
        <v>15</v>
      </c>
      <c r="N15" s="120">
        <f t="shared" si="3"/>
        <v>2100.4207211698326</v>
      </c>
      <c r="O15" s="117">
        <f t="shared" si="3"/>
        <v>141.27180535317191</v>
      </c>
      <c r="P15" s="121">
        <f>M15-J15</f>
        <v>0</v>
      </c>
      <c r="Q15" s="122">
        <f>O15-L15</f>
        <v>-9.8141674975068156</v>
      </c>
      <c r="R15" s="123">
        <f>O15/L15</f>
        <v>0.93504249724621125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-149.57927883016737</v>
      </c>
      <c r="AG15" s="124">
        <f>N15/K15</f>
        <v>0.93352032051992562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4037</v>
      </c>
      <c r="H16" s="134">
        <f>F16*G16</f>
        <v>204554.79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2201.9999999999968</v>
      </c>
      <c r="O16" s="141">
        <f>N16/M16</f>
        <v>169.38461538461513</v>
      </c>
      <c r="P16" s="142">
        <f>M16-J16</f>
        <v>0</v>
      </c>
      <c r="Q16" s="143">
        <f>O16-L16</f>
        <v>-3.692307692307935</v>
      </c>
      <c r="R16" s="144">
        <f>O16/L16</f>
        <v>0.97866666666666524</v>
      </c>
      <c r="S16" s="795">
        <f>R26</f>
        <v>0.95979681876233414</v>
      </c>
      <c r="T16" s="145">
        <v>0.28819444444444398</v>
      </c>
      <c r="U16" s="145">
        <v>0.36458333333333298</v>
      </c>
      <c r="V16" s="135"/>
      <c r="W16" s="146">
        <f t="shared" ref="W16:W78" si="4">(U16-T16)*24*60</f>
        <v>110.00000000000017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-48.000000000003183</v>
      </c>
      <c r="AG16" s="52">
        <f>N16/K16</f>
        <v>0.97866666666666524</v>
      </c>
      <c r="AH16" s="784">
        <f>AG26</f>
        <v>0.95957726692209289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1920</v>
      </c>
      <c r="H17" s="78">
        <f>F17*G17</f>
        <v>109190.39999999999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2133.3333333333344</v>
      </c>
      <c r="O17" s="96">
        <f>N17/M17</f>
        <v>142.22222222222229</v>
      </c>
      <c r="P17" s="97">
        <f>M17-J17</f>
        <v>0</v>
      </c>
      <c r="Q17" s="98">
        <f>O17-L17</f>
        <v>-7.7777777777777146</v>
      </c>
      <c r="R17" s="99">
        <f>O17/L17</f>
        <v>0.94814814814814852</v>
      </c>
      <c r="S17" s="796"/>
      <c r="T17" s="19">
        <v>0.37013888888888902</v>
      </c>
      <c r="U17" s="19">
        <v>0.40763888888888899</v>
      </c>
      <c r="V17" s="30">
        <f>(T17-U16)*24*60</f>
        <v>8.000000000000691</v>
      </c>
      <c r="W17" s="149">
        <f t="shared" si="4"/>
        <v>53.999999999999972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-116.66666666666561</v>
      </c>
      <c r="AG17" s="72">
        <f>N17/K17</f>
        <v>0.94814814814814863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3420</v>
      </c>
      <c r="H18" s="78">
        <f>F18*G18</f>
        <v>172333.8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2159.9999999999732</v>
      </c>
      <c r="O18" s="96">
        <f>N18/M18</f>
        <v>179.99999999999775</v>
      </c>
      <c r="P18" s="97">
        <f>M18-J18</f>
        <v>0</v>
      </c>
      <c r="Q18" s="98">
        <f>O18-L18</f>
        <v>-7.5000000000022453</v>
      </c>
      <c r="R18" s="99">
        <f>O18/L18</f>
        <v>0.95999999999998797</v>
      </c>
      <c r="S18" s="796"/>
      <c r="T18" s="19">
        <v>0.41319444444444398</v>
      </c>
      <c r="U18" s="19">
        <v>0.47916666666666702</v>
      </c>
      <c r="V18" s="30">
        <f>(T18-U17)*24*60</f>
        <v>7.9999999999991722</v>
      </c>
      <c r="W18" s="149">
        <f t="shared" si="4"/>
        <v>95.00000000000118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-90.00000000002683</v>
      </c>
      <c r="AG18" s="72">
        <f>N18/K18</f>
        <v>0.95999999999998809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4139</v>
      </c>
      <c r="H19" s="78">
        <f>F19*G19</f>
        <v>208564.21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2140.8620689655309</v>
      </c>
      <c r="O19" s="96">
        <f>N19/M19</f>
        <v>178.40517241379425</v>
      </c>
      <c r="P19" s="97">
        <f>M19-J19</f>
        <v>0</v>
      </c>
      <c r="Q19" s="98">
        <f>O19-L19</f>
        <v>-9.0948275862057528</v>
      </c>
      <c r="R19" s="99">
        <f>O19/L19</f>
        <v>0.95149425287356937</v>
      </c>
      <c r="S19" s="796"/>
      <c r="T19" s="19">
        <v>0.54166666666666696</v>
      </c>
      <c r="U19" s="19">
        <v>0.62222222222222201</v>
      </c>
      <c r="V19" s="30">
        <f>(T19-U18)*24*60</f>
        <v>89.999999999999915</v>
      </c>
      <c r="W19" s="149">
        <f t="shared" si="4"/>
        <v>115.99999999999926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-109.13793103446915</v>
      </c>
      <c r="AG19" s="72">
        <f>N19/K19</f>
        <v>0.95149425287356926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5">AVERAGE(J16:J25)</f>
        <v>13</v>
      </c>
      <c r="K26" s="155">
        <f t="shared" si="5"/>
        <v>2250</v>
      </c>
      <c r="L26" s="158">
        <f t="shared" si="5"/>
        <v>174.51923076923077</v>
      </c>
      <c r="M26" s="155">
        <f t="shared" si="5"/>
        <v>13</v>
      </c>
      <c r="N26" s="155">
        <f t="shared" si="5"/>
        <v>2159.0488505747089</v>
      </c>
      <c r="O26" s="158">
        <f t="shared" si="5"/>
        <v>167.50300250515735</v>
      </c>
      <c r="P26" s="159">
        <f t="shared" ref="P26:P32" si="6">M26-J26</f>
        <v>0</v>
      </c>
      <c r="Q26" s="160">
        <f t="shared" ref="Q26:Q32" si="7">O26-L26</f>
        <v>-7.016228264073419</v>
      </c>
      <c r="R26" s="161">
        <f t="shared" ref="R26:R32" si="8">O26/L26</f>
        <v>0.95979681876233414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9">N26-K26</f>
        <v>-90.951149425291078</v>
      </c>
      <c r="AG26" s="124">
        <f t="shared" ref="AG26:AG31" si="10">N26/K26</f>
        <v>0.95957726692209289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1327</v>
      </c>
      <c r="H27" s="134">
        <f t="shared" ref="H27:H32" si="11">F27*G27</f>
        <v>61493.180000000008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2">K27/J27</f>
        <v>102.25</v>
      </c>
      <c r="M27" s="170">
        <v>16</v>
      </c>
      <c r="N27" s="140">
        <f t="shared" ref="N27:N32" si="13">G27/W27*60</f>
        <v>1561.1764705882654</v>
      </c>
      <c r="O27" s="141">
        <f t="shared" ref="O27:O32" si="14">N27/M27</f>
        <v>97.573529411766586</v>
      </c>
      <c r="P27" s="142">
        <f t="shared" si="6"/>
        <v>0</v>
      </c>
      <c r="Q27" s="143">
        <f t="shared" si="7"/>
        <v>-4.6764705882334141</v>
      </c>
      <c r="R27" s="144">
        <f t="shared" si="8"/>
        <v>0.95426434632534562</v>
      </c>
      <c r="S27" s="795">
        <f>R37</f>
        <v>0.91923321086785093</v>
      </c>
      <c r="T27" s="171">
        <v>0.29166666666666702</v>
      </c>
      <c r="U27" s="171">
        <v>0.327083333333333</v>
      </c>
      <c r="V27" s="135"/>
      <c r="W27" s="146">
        <f t="shared" si="4"/>
        <v>50.999999999999019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9"/>
        <v>-74.823529411734626</v>
      </c>
      <c r="AG27" s="172">
        <f t="shared" si="10"/>
        <v>0.95426434632534562</v>
      </c>
      <c r="AH27" s="784">
        <f>AG37</f>
        <v>0.9101399981557069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1440</v>
      </c>
      <c r="H28" s="91">
        <f t="shared" si="11"/>
        <v>65750.399999999994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2"/>
        <v>96.235294117647058</v>
      </c>
      <c r="M28" s="94">
        <v>17</v>
      </c>
      <c r="N28" s="95">
        <f t="shared" si="13"/>
        <v>1515.789473684184</v>
      </c>
      <c r="O28" s="96">
        <f t="shared" si="14"/>
        <v>89.164086687304945</v>
      </c>
      <c r="P28" s="97">
        <f t="shared" si="6"/>
        <v>0</v>
      </c>
      <c r="Q28" s="98">
        <f t="shared" si="7"/>
        <v>-7.0712074303421133</v>
      </c>
      <c r="R28" s="99">
        <f t="shared" si="8"/>
        <v>0.92652168318104156</v>
      </c>
      <c r="S28" s="796"/>
      <c r="T28" s="19">
        <v>0.33194444444444399</v>
      </c>
      <c r="U28" s="19">
        <v>0.37152777777777801</v>
      </c>
      <c r="V28" s="92">
        <f>(T28-U27)*24*60</f>
        <v>6.9999999999998153</v>
      </c>
      <c r="W28" s="149">
        <f t="shared" si="4"/>
        <v>57.000000000000995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9"/>
        <v>-120.21052631581597</v>
      </c>
      <c r="AG28" s="99">
        <f t="shared" si="10"/>
        <v>0.92652168318104156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1323</v>
      </c>
      <c r="H29" s="91">
        <f t="shared" si="11"/>
        <v>75688.83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2"/>
        <v>90.888888888888886</v>
      </c>
      <c r="M29" s="94">
        <v>17</v>
      </c>
      <c r="N29" s="95">
        <f t="shared" si="13"/>
        <v>1443.2727272727052</v>
      </c>
      <c r="O29" s="96">
        <f t="shared" si="14"/>
        <v>84.898395721923833</v>
      </c>
      <c r="P29" s="97">
        <f t="shared" si="6"/>
        <v>-1</v>
      </c>
      <c r="Q29" s="98">
        <f t="shared" si="7"/>
        <v>-5.9904931669650523</v>
      </c>
      <c r="R29" s="99">
        <f t="shared" si="8"/>
        <v>0.93408992848082462</v>
      </c>
      <c r="S29" s="796"/>
      <c r="T29" s="19">
        <v>0.37847222222222199</v>
      </c>
      <c r="U29" s="19">
        <v>0.41666666666666702</v>
      </c>
      <c r="V29" s="92">
        <f>(T29-U28)*24*60</f>
        <v>9.999999999999325</v>
      </c>
      <c r="W29" s="149">
        <f t="shared" si="4"/>
        <v>55.000000000000846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9"/>
        <v>-192.7272727272948</v>
      </c>
      <c r="AG29" s="99">
        <f t="shared" si="10"/>
        <v>0.88219604356522319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1494</v>
      </c>
      <c r="H30" s="91">
        <f t="shared" si="11"/>
        <v>74565.539999999994</v>
      </c>
      <c r="I30" s="92"/>
      <c r="J30" s="79">
        <f>VLOOKUP(D30,產線配置圖!$A$3:$C$40,2,0)</f>
        <v>18</v>
      </c>
      <c r="K30" s="80">
        <v>1636</v>
      </c>
      <c r="L30" s="93">
        <f t="shared" si="12"/>
        <v>90.888888888888886</v>
      </c>
      <c r="M30" s="94">
        <v>18</v>
      </c>
      <c r="N30" s="95">
        <f t="shared" si="13"/>
        <v>1493.9999999999873</v>
      </c>
      <c r="O30" s="96">
        <f t="shared" si="14"/>
        <v>82.999999999999289</v>
      </c>
      <c r="P30" s="97">
        <f t="shared" si="6"/>
        <v>0</v>
      </c>
      <c r="Q30" s="98">
        <f t="shared" si="7"/>
        <v>-7.8888888888895963</v>
      </c>
      <c r="R30" s="99">
        <f t="shared" si="8"/>
        <v>0.91320293398532226</v>
      </c>
      <c r="S30" s="796"/>
      <c r="T30" s="19">
        <v>0.42361111111111099</v>
      </c>
      <c r="U30" s="19">
        <v>0.46527777777777801</v>
      </c>
      <c r="V30" s="92">
        <f>(T30-U29)*24*60</f>
        <v>9.999999999999325</v>
      </c>
      <c r="W30" s="149">
        <f t="shared" si="4"/>
        <v>60.000000000000504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9"/>
        <v>-142.00000000001273</v>
      </c>
      <c r="AG30" s="99">
        <f t="shared" si="10"/>
        <v>0.91320293398532226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1500</v>
      </c>
      <c r="H31" s="91">
        <f t="shared" si="11"/>
        <v>74865</v>
      </c>
      <c r="I31" s="92"/>
      <c r="J31" s="79">
        <f>VLOOKUP(D31,產線配置圖!$A$3:$C$40,2,0)</f>
        <v>18</v>
      </c>
      <c r="K31" s="80">
        <v>1636</v>
      </c>
      <c r="L31" s="93">
        <f t="shared" si="12"/>
        <v>90.888888888888886</v>
      </c>
      <c r="M31" s="94">
        <v>18</v>
      </c>
      <c r="N31" s="95">
        <f t="shared" si="13"/>
        <v>1475.4098360655789</v>
      </c>
      <c r="O31" s="96">
        <f t="shared" si="14"/>
        <v>81.967213114754387</v>
      </c>
      <c r="P31" s="97">
        <f t="shared" si="6"/>
        <v>0</v>
      </c>
      <c r="Q31" s="98">
        <f t="shared" si="7"/>
        <v>-8.9216757741344992</v>
      </c>
      <c r="R31" s="99">
        <f t="shared" si="8"/>
        <v>0.9018397530963197</v>
      </c>
      <c r="S31" s="796"/>
      <c r="T31" s="19">
        <v>0.52777777777777801</v>
      </c>
      <c r="U31" s="19">
        <v>0.57013888888888897</v>
      </c>
      <c r="V31" s="92">
        <f>(T31-U30)*24*60</f>
        <v>90</v>
      </c>
      <c r="W31" s="149">
        <f t="shared" si="4"/>
        <v>60.999999999999787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9"/>
        <v>-160.59016393442107</v>
      </c>
      <c r="AG31" s="99">
        <f t="shared" si="10"/>
        <v>0.90183975309631959</v>
      </c>
      <c r="AH31" s="786"/>
    </row>
    <row r="32" spans="1:34" ht="15" customHeight="1">
      <c r="A32" s="793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1011</v>
      </c>
      <c r="H32" s="91">
        <f t="shared" si="11"/>
        <v>50842.179000000004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2"/>
        <v>96.235294117647058</v>
      </c>
      <c r="M32" s="94">
        <v>17</v>
      </c>
      <c r="N32" s="95">
        <f t="shared" si="13"/>
        <v>1444.2857142856974</v>
      </c>
      <c r="O32" s="96">
        <f t="shared" si="14"/>
        <v>84.95798319327632</v>
      </c>
      <c r="P32" s="97">
        <f t="shared" si="6"/>
        <v>0</v>
      </c>
      <c r="Q32" s="98">
        <f t="shared" si="7"/>
        <v>-11.277310924370738</v>
      </c>
      <c r="R32" s="99">
        <f t="shared" si="8"/>
        <v>0.88281522878098861</v>
      </c>
      <c r="S32" s="796"/>
      <c r="T32" s="19">
        <v>0.57708333333333295</v>
      </c>
      <c r="U32" s="19">
        <v>0.60624999999999996</v>
      </c>
      <c r="V32" s="92">
        <f>(T32-U31)*24*60</f>
        <v>9.999999999999325</v>
      </c>
      <c r="W32" s="149">
        <f t="shared" si="4"/>
        <v>42.00000000000049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5">AVERAGE(J27:J36)</f>
        <v>17.333333333333332</v>
      </c>
      <c r="K37" s="155">
        <f t="shared" si="15"/>
        <v>1636</v>
      </c>
      <c r="L37" s="158">
        <f t="shared" si="15"/>
        <v>94.564542483660148</v>
      </c>
      <c r="M37" s="155">
        <f t="shared" si="15"/>
        <v>17.166666666666668</v>
      </c>
      <c r="N37" s="155">
        <f t="shared" si="15"/>
        <v>1488.9890369827365</v>
      </c>
      <c r="O37" s="158">
        <f t="shared" si="15"/>
        <v>86.92686802150422</v>
      </c>
      <c r="P37" s="159">
        <f>M37-J37</f>
        <v>-0.1666666666666643</v>
      </c>
      <c r="Q37" s="160">
        <f>N37-K37</f>
        <v>-147.01096301726352</v>
      </c>
      <c r="R37" s="161">
        <f>O37/L37</f>
        <v>0.91923321086785093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-147.01096301726352</v>
      </c>
      <c r="AG37" s="124">
        <f>N37/K37</f>
        <v>0.9101399981557069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2974</v>
      </c>
      <c r="H38" s="134">
        <f>F38*G38</f>
        <v>148432.34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1486.9999999999875</v>
      </c>
      <c r="O38" s="141">
        <f>N38/M38</f>
        <v>92.937499999999218</v>
      </c>
      <c r="P38" s="142">
        <f>M38-J38</f>
        <v>0</v>
      </c>
      <c r="Q38" s="143">
        <f>O38-L38</f>
        <v>-14.187500000000782</v>
      </c>
      <c r="R38" s="144">
        <f>O38/L38</f>
        <v>0.86756126021002766</v>
      </c>
      <c r="S38" s="817">
        <f>R48</f>
        <v>0.89782275229628905</v>
      </c>
      <c r="T38" s="191">
        <v>0.33333333333333298</v>
      </c>
      <c r="U38" s="191">
        <v>0.41666666666666702</v>
      </c>
      <c r="V38" s="192"/>
      <c r="W38" s="193">
        <f t="shared" si="4"/>
        <v>120.00000000000101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-227.00000000001251</v>
      </c>
      <c r="AG38" s="195">
        <f>N38/K38</f>
        <v>0.86756126021002766</v>
      </c>
      <c r="AH38" s="807">
        <f>AG48</f>
        <v>0.89912309820071779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2169</v>
      </c>
      <c r="H39" s="91">
        <f>F39*G39</f>
        <v>96086.7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1531.0588235294058</v>
      </c>
      <c r="O39" s="203">
        <f>N39/M39</f>
        <v>85.058823529411427</v>
      </c>
      <c r="P39" s="97">
        <f>M39-J39</f>
        <v>0</v>
      </c>
      <c r="Q39" s="98">
        <f>O39-L39</f>
        <v>-5.8300653594774587</v>
      </c>
      <c r="R39" s="99">
        <f>O39/L39</f>
        <v>0.9358550266072162</v>
      </c>
      <c r="S39" s="818"/>
      <c r="T39" s="20">
        <v>0.42708333333333298</v>
      </c>
      <c r="U39" s="20">
        <v>0.48611111111111099</v>
      </c>
      <c r="V39" s="92">
        <f>(T39-U38)*24*60</f>
        <v>14.999999999998987</v>
      </c>
      <c r="W39" s="205">
        <f t="shared" si="4"/>
        <v>85.000000000000341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-104.9411764705942</v>
      </c>
      <c r="AG39" s="206">
        <f>N39/K39</f>
        <v>0.93585502660721631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3931</v>
      </c>
      <c r="H40" s="91">
        <f>F40*G40</f>
        <v>174143.3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1464.9689440993857</v>
      </c>
      <c r="O40" s="203">
        <f>N40/M40</f>
        <v>81.387163561076989</v>
      </c>
      <c r="P40" s="97">
        <f>M40-J40</f>
        <v>0</v>
      </c>
      <c r="Q40" s="98">
        <f>O40-L40</f>
        <v>-9.5017253278118972</v>
      </c>
      <c r="R40" s="99">
        <f>O40/L40</f>
        <v>0.89545778979180068</v>
      </c>
      <c r="S40" s="749"/>
      <c r="T40" s="20">
        <v>0.54513888888888895</v>
      </c>
      <c r="U40" s="20">
        <v>0.656944444444444</v>
      </c>
      <c r="V40" s="92">
        <f>(T40-U39)*24*60</f>
        <v>85.000000000000256</v>
      </c>
      <c r="W40" s="205">
        <f t="shared" si="4"/>
        <v>160.99999999999926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-171.03105590061432</v>
      </c>
      <c r="AG40" s="206">
        <f>N40/K40</f>
        <v>0.89545778979180057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4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4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4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4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4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6">AVERAGE(J38:J47)</f>
        <v>17.333333333333332</v>
      </c>
      <c r="K48" s="155">
        <f t="shared" si="16"/>
        <v>1662</v>
      </c>
      <c r="L48" s="158">
        <f t="shared" si="16"/>
        <v>96.300925925925924</v>
      </c>
      <c r="M48" s="155">
        <f t="shared" si="16"/>
        <v>17.333333333333332</v>
      </c>
      <c r="N48" s="155">
        <f t="shared" si="16"/>
        <v>1494.3425892095929</v>
      </c>
      <c r="O48" s="158">
        <f t="shared" si="16"/>
        <v>86.461162363495873</v>
      </c>
      <c r="P48" s="221">
        <f>M48-J48</f>
        <v>0</v>
      </c>
      <c r="Q48" s="222">
        <f>N48-K48</f>
        <v>-167.65741079040708</v>
      </c>
      <c r="R48" s="223">
        <f>O48/L48</f>
        <v>0.89782275229628905</v>
      </c>
      <c r="S48" s="752"/>
      <c r="T48" s="224"/>
      <c r="U48" s="224"/>
      <c r="V48" s="225"/>
      <c r="W48" s="226">
        <f t="shared" si="4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7">N48-K48</f>
        <v>-167.65741079040708</v>
      </c>
      <c r="AG48" s="162">
        <f t="shared" ref="AG48:AG53" si="18">N48/K48</f>
        <v>0.89912309820071779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2428</v>
      </c>
      <c r="H49" s="134">
        <f>F49*G49</f>
        <v>120234.56000000001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1636.8539325842842</v>
      </c>
      <c r="O49" s="141">
        <f>N49/M49</f>
        <v>96.285525446134358</v>
      </c>
      <c r="P49" s="229">
        <f>M49-J49</f>
        <v>0</v>
      </c>
      <c r="Q49" s="230">
        <f>O49-L49</f>
        <v>-9.5968274950421062</v>
      </c>
      <c r="R49" s="52">
        <f>O49/L49</f>
        <v>0.90936329588015785</v>
      </c>
      <c r="S49" s="748">
        <f>R58</f>
        <v>0.8665812959271636</v>
      </c>
      <c r="T49" s="191">
        <v>0.29166666666666702</v>
      </c>
      <c r="U49" s="191">
        <v>0.35347222222222202</v>
      </c>
      <c r="V49" s="55"/>
      <c r="W49" s="193">
        <f t="shared" si="4"/>
        <v>88.999999999999204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7"/>
        <v>-163.14606741571583</v>
      </c>
      <c r="AG49" s="52">
        <f t="shared" si="18"/>
        <v>0.90936329588015785</v>
      </c>
      <c r="AH49" s="784">
        <f>AG58</f>
        <v>0.86688580932817183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1446</v>
      </c>
      <c r="H50" s="231">
        <f>F50*G50</f>
        <v>72717.894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1377.1428571428567</v>
      </c>
      <c r="O50" s="235">
        <f>N50/M50</f>
        <v>81.008403361344506</v>
      </c>
      <c r="P50" s="74">
        <f>M50-J50</f>
        <v>0</v>
      </c>
      <c r="Q50" s="83">
        <f>O50-L50</f>
        <v>-15.226890756302552</v>
      </c>
      <c r="R50" s="72">
        <f>O50/L50</f>
        <v>0.8417743625567583</v>
      </c>
      <c r="S50" s="749"/>
      <c r="T50" s="21">
        <v>0.360416666666667</v>
      </c>
      <c r="U50" s="21">
        <v>0.40416666666666701</v>
      </c>
      <c r="V50" s="30">
        <f>(T50-U49)*24*60</f>
        <v>10.000000000000764</v>
      </c>
      <c r="W50" s="236">
        <f t="shared" si="4"/>
        <v>63.000000000000014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7"/>
        <v>-258.85714285714334</v>
      </c>
      <c r="AG50" s="72">
        <f t="shared" si="18"/>
        <v>0.8417743625567583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1976</v>
      </c>
      <c r="H51" s="231">
        <f>F51*G51</f>
        <v>98740.72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1481.9999999999873</v>
      </c>
      <c r="O51" s="235">
        <f>N51/M51</f>
        <v>92.624999999999204</v>
      </c>
      <c r="P51" s="74">
        <f>M51-J51</f>
        <v>0</v>
      </c>
      <c r="Q51" s="83">
        <f>O51-L51</f>
        <v>-19.875000000000796</v>
      </c>
      <c r="R51" s="72">
        <f>O51/L51</f>
        <v>0.82333333333332626</v>
      </c>
      <c r="S51" s="749"/>
      <c r="T51" s="21">
        <v>0.40972222222222199</v>
      </c>
      <c r="U51" s="19">
        <v>0.46527777777777801</v>
      </c>
      <c r="V51" s="30">
        <f>(T51-U50)*24*60</f>
        <v>7.9999999999991722</v>
      </c>
      <c r="W51" s="236">
        <f t="shared" si="4"/>
        <v>80.000000000000682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7"/>
        <v>-318.00000000001273</v>
      </c>
      <c r="AG51" s="72">
        <f t="shared" si="18"/>
        <v>0.82333333333332626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4543</v>
      </c>
      <c r="H52" s="231">
        <f>F52*G52</f>
        <v>227013.71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1603.4117647058895</v>
      </c>
      <c r="O52" s="235">
        <f>N52/M52</f>
        <v>100.21323529411809</v>
      </c>
      <c r="P52" s="74">
        <f>M52-J52</f>
        <v>0</v>
      </c>
      <c r="Q52" s="83">
        <f>O52-L52</f>
        <v>-12.286764705881907</v>
      </c>
      <c r="R52" s="72">
        <f>O52/L52</f>
        <v>0.89078431372549416</v>
      </c>
      <c r="S52" s="749"/>
      <c r="T52" s="21">
        <v>0.52430555555555602</v>
      </c>
      <c r="U52" s="21">
        <v>0.64236111111111105</v>
      </c>
      <c r="V52" s="30">
        <f>(T52-U51)*24*60</f>
        <v>85.000000000000341</v>
      </c>
      <c r="W52" s="236">
        <f t="shared" si="4"/>
        <v>169.99999999999923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17"/>
        <v>-196.58823529411052</v>
      </c>
      <c r="AG52" s="72">
        <f t="shared" si="18"/>
        <v>0.89078431372549416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7"/>
        <v>0</v>
      </c>
      <c r="AG53" s="72" t="e">
        <f t="shared" si="1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16.5</v>
      </c>
      <c r="N58" s="120">
        <f t="shared" si="19"/>
        <v>1524.8521386082543</v>
      </c>
      <c r="O58" s="117">
        <f t="shared" si="19"/>
        <v>92.533041025399044</v>
      </c>
      <c r="P58" s="121">
        <f>M58-J58</f>
        <v>0</v>
      </c>
      <c r="Q58" s="122">
        <f>N58-K58</f>
        <v>-234.14786139174566</v>
      </c>
      <c r="R58" s="123">
        <f t="shared" ref="R58:R63" si="20">O58/L58</f>
        <v>0.8665812959271636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-234.14786139174566</v>
      </c>
      <c r="AG58" s="124">
        <f>N58/K58</f>
        <v>0.86688580932817183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2529</v>
      </c>
      <c r="H59" s="243">
        <f>F59*G59</f>
        <v>68257.709999999992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1517.3999999999874</v>
      </c>
      <c r="O59" s="138">
        <f>N59/M59</f>
        <v>101.15999999999916</v>
      </c>
      <c r="P59" s="56">
        <f>M59-J59</f>
        <v>0</v>
      </c>
      <c r="Q59" s="230">
        <f>O59-L59</f>
        <v>-7.9066666666675047</v>
      </c>
      <c r="R59" s="52">
        <f t="shared" si="20"/>
        <v>0.92750611246942993</v>
      </c>
      <c r="S59" s="748">
        <f>R69</f>
        <v>0.92330936133166164</v>
      </c>
      <c r="T59" s="245">
        <v>0.28819444444444398</v>
      </c>
      <c r="U59" s="245">
        <v>0.35763888888888901</v>
      </c>
      <c r="V59" s="55"/>
      <c r="W59" s="54">
        <f t="shared" si="4"/>
        <v>100.00000000000084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-118.60000000001264</v>
      </c>
      <c r="AG59" s="246">
        <f>N59/K59</f>
        <v>0.92750611246942993</v>
      </c>
      <c r="AH59" s="784">
        <f>AG69</f>
        <v>0.92389393410176091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1005</v>
      </c>
      <c r="H60" s="78">
        <f>F60*G60</f>
        <v>28401.300000000003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1507.4999999999873</v>
      </c>
      <c r="O60" s="81">
        <f>N60/M60</f>
        <v>137.0454545454534</v>
      </c>
      <c r="P60" s="74">
        <f>M60-J60</f>
        <v>0</v>
      </c>
      <c r="Q60" s="83">
        <f>O60-L60</f>
        <v>-11.681818181819324</v>
      </c>
      <c r="R60" s="72">
        <f t="shared" si="20"/>
        <v>0.92145476772615365</v>
      </c>
      <c r="S60" s="829"/>
      <c r="T60" s="22">
        <v>0.36458333333333298</v>
      </c>
      <c r="U60" s="22">
        <v>0.39236111111111099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-128.50000000001273</v>
      </c>
      <c r="AG60" s="249">
        <f>N60/K60</f>
        <v>0.92145476772615353</v>
      </c>
      <c r="AH60" s="820"/>
    </row>
    <row r="61" spans="1:34" ht="15" customHeight="1">
      <c r="A61" s="827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726</v>
      </c>
      <c r="H61" s="254">
        <f>F61*G61</f>
        <v>20516.760000000002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1555.7142857143226</v>
      </c>
      <c r="O61" s="238">
        <f>N61/M61</f>
        <v>141.42857142857477</v>
      </c>
      <c r="P61" s="111">
        <f>M61-J61</f>
        <v>0</v>
      </c>
      <c r="Q61" s="255">
        <f>O61-L61</f>
        <v>-7.2987012986979494</v>
      </c>
      <c r="R61" s="85">
        <f t="shared" si="20"/>
        <v>0.95092560251486713</v>
      </c>
      <c r="S61" s="749"/>
      <c r="T61" s="22">
        <v>0.40277777777777801</v>
      </c>
      <c r="U61" s="22">
        <v>0.422222222222222</v>
      </c>
      <c r="V61" s="30">
        <f>(T61-U60)*24*60</f>
        <v>15.000000000000506</v>
      </c>
      <c r="W61" s="256">
        <f t="shared" si="4"/>
        <v>27.999999999999339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-80.285714285677386</v>
      </c>
      <c r="AG61" s="247">
        <f>N61/K61</f>
        <v>0.95092560251486713</v>
      </c>
      <c r="AH61" s="785"/>
    </row>
    <row r="62" spans="1:34" ht="15" customHeight="1">
      <c r="A62" s="827"/>
      <c r="B62" s="250" t="s">
        <v>130</v>
      </c>
      <c r="C62" s="251"/>
      <c r="D62" s="257" t="s">
        <v>133</v>
      </c>
      <c r="E62" s="253"/>
      <c r="F62" s="250">
        <f>VLOOKUP(D62,廠價表!$C$1:$E$43,3,0)</f>
        <v>28.26</v>
      </c>
      <c r="G62" s="38">
        <v>1528</v>
      </c>
      <c r="H62" s="254">
        <f>F62*G62</f>
        <v>43181.279999999999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1455.2380952380968</v>
      </c>
      <c r="O62" s="238">
        <f>N62/M62</f>
        <v>132.29437229437244</v>
      </c>
      <c r="P62" s="111">
        <f>M62-J62</f>
        <v>0</v>
      </c>
      <c r="Q62" s="255">
        <f>O62-L62</f>
        <v>-16.432900432900283</v>
      </c>
      <c r="R62" s="85">
        <f t="shared" si="20"/>
        <v>0.88950983816509588</v>
      </c>
      <c r="S62" s="749"/>
      <c r="T62" s="22">
        <v>0.43194444444444402</v>
      </c>
      <c r="U62" s="22">
        <v>0.47569444444444398</v>
      </c>
      <c r="V62" s="30">
        <f>(T62-U61)*24*60</f>
        <v>13.99999999999971</v>
      </c>
      <c r="W62" s="248">
        <f t="shared" si="4"/>
        <v>62.999999999999936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-180.76190476190322</v>
      </c>
      <c r="AG62" s="247">
        <f>N62/K62</f>
        <v>0.88950983816509588</v>
      </c>
      <c r="AH62" s="785"/>
    </row>
    <row r="63" spans="1:34" ht="15" customHeight="1">
      <c r="A63" s="827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1268</v>
      </c>
      <c r="H63" s="254">
        <f>F63*G63</f>
        <v>34223.32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>K63/J63</f>
        <v>109.06666666666666</v>
      </c>
      <c r="M63" s="68">
        <v>15</v>
      </c>
      <c r="N63" s="107">
        <f>G63/W63*60</f>
        <v>1521.6000000000104</v>
      </c>
      <c r="O63" s="238">
        <f>N63/M63</f>
        <v>101.44000000000069</v>
      </c>
      <c r="P63" s="111">
        <f>M63-J63</f>
        <v>0</v>
      </c>
      <c r="Q63" s="255">
        <f>O63-L63</f>
        <v>-7.6266666666659688</v>
      </c>
      <c r="R63" s="85">
        <f t="shared" si="20"/>
        <v>0.93007334963325827</v>
      </c>
      <c r="S63" s="749"/>
      <c r="T63" s="22">
        <v>0.53472222222222199</v>
      </c>
      <c r="U63" s="22">
        <v>0.56944444444444398</v>
      </c>
      <c r="V63" s="30">
        <f>(T63-U62)*24*60</f>
        <v>85.000000000000341</v>
      </c>
      <c r="W63" s="248">
        <f t="shared" si="4"/>
        <v>49.999999999999659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1">AVERAGE(J59:J68)</f>
        <v>12.6</v>
      </c>
      <c r="K69" s="240">
        <f t="shared" si="21"/>
        <v>1636</v>
      </c>
      <c r="L69" s="268">
        <f t="shared" si="21"/>
        <v>132.86303030303029</v>
      </c>
      <c r="M69" s="240">
        <f t="shared" si="21"/>
        <v>12.6</v>
      </c>
      <c r="N69" s="240">
        <f t="shared" si="21"/>
        <v>1511.4904761904809</v>
      </c>
      <c r="O69" s="268">
        <f t="shared" si="21"/>
        <v>122.6736796536801</v>
      </c>
      <c r="P69" s="269">
        <f>M69-J69</f>
        <v>0</v>
      </c>
      <c r="Q69" s="222">
        <f>N69-K69</f>
        <v>-124.50952380951912</v>
      </c>
      <c r="R69" s="123">
        <f>O69/L69</f>
        <v>0.92330936133166164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-124.50952380951912</v>
      </c>
      <c r="AG69" s="124">
        <f>N69/K69</f>
        <v>0.92389393410176091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1497</v>
      </c>
      <c r="H70" s="243">
        <f>F70*G70</f>
        <v>42305.22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1283.1428571428339</v>
      </c>
      <c r="O70" s="138">
        <f>N70/M70</f>
        <v>142.571428571426</v>
      </c>
      <c r="P70" s="56">
        <f>M70-J70</f>
        <v>-2</v>
      </c>
      <c r="Q70" s="230">
        <f>O70-L70</f>
        <v>-6.1558441558467223</v>
      </c>
      <c r="R70" s="52">
        <f>O70/L70</f>
        <v>0.95860984980787656</v>
      </c>
      <c r="S70" s="748">
        <f>R79</f>
        <v>0.85455196698858749</v>
      </c>
      <c r="T70" s="245">
        <v>0.29444444444444401</v>
      </c>
      <c r="U70" s="245">
        <v>0.343055555555556</v>
      </c>
      <c r="V70" s="55"/>
      <c r="W70" s="54">
        <f t="shared" si="4"/>
        <v>70.000000000001265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-352.85714285716608</v>
      </c>
      <c r="AG70" s="246">
        <f>N70/K70</f>
        <v>0.78431714984280798</v>
      </c>
      <c r="AH70" s="784">
        <f>AG79</f>
        <v>0.77114234444683438</v>
      </c>
    </row>
    <row r="71" spans="1:36" ht="15" customHeight="1">
      <c r="A71" s="822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1048</v>
      </c>
      <c r="H71" s="254">
        <f>F71*G71</f>
        <v>45996.72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13</v>
      </c>
      <c r="N71" s="107">
        <f>G71/W71*60</f>
        <v>1209.2307692307718</v>
      </c>
      <c r="O71" s="238">
        <f>N71/M71</f>
        <v>93.017751479290141</v>
      </c>
      <c r="P71" s="111">
        <f>M71-J71</f>
        <v>-1</v>
      </c>
      <c r="Q71" s="255">
        <f>O71-L71</f>
        <v>-18.767962806424151</v>
      </c>
      <c r="R71" s="85">
        <f>O71/L71</f>
        <v>0.83210768096489574</v>
      </c>
      <c r="S71" s="749"/>
      <c r="T71" s="22">
        <v>0.36249999999999999</v>
      </c>
      <c r="U71" s="22">
        <v>0.39861111111111103</v>
      </c>
      <c r="V71" s="30">
        <f>(T71-U70)*24*60</f>
        <v>27.999999999999339</v>
      </c>
      <c r="W71" s="73">
        <f t="shared" si="4"/>
        <v>51.999999999999893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76"/>
      <c r="D72" s="59" t="s">
        <v>122</v>
      </c>
      <c r="E72" s="77"/>
      <c r="F72" s="250">
        <f>VLOOKUP(D72,廠價表!$C$1:$E$43,3,0)</f>
        <v>46.34</v>
      </c>
      <c r="G72" s="202">
        <v>1060</v>
      </c>
      <c r="H72" s="254">
        <f>F72*G72</f>
        <v>49120.4</v>
      </c>
      <c r="I72" s="232"/>
      <c r="J72" s="79">
        <f>VLOOKUP(D72,產線配置圖!$A$3:$C$40,2,0)</f>
        <v>16</v>
      </c>
      <c r="K72" s="80">
        <f>VLOOKUP(D72,產線配置圖!$A$3:$C$40,3,0)</f>
        <v>1636</v>
      </c>
      <c r="L72" s="81">
        <f>K72/J72</f>
        <v>102.25</v>
      </c>
      <c r="M72" s="82">
        <v>15</v>
      </c>
      <c r="N72" s="107">
        <f>G72/W72*60</f>
        <v>1059.9999999999911</v>
      </c>
      <c r="O72" s="238">
        <f>N72/M72</f>
        <v>70.666666666666075</v>
      </c>
      <c r="P72" s="111">
        <f>M72-J72</f>
        <v>-1</v>
      </c>
      <c r="Q72" s="255">
        <f>O72-L72</f>
        <v>-31.583333333333925</v>
      </c>
      <c r="R72" s="85">
        <f>O72/L72</f>
        <v>0.69111654441727211</v>
      </c>
      <c r="S72" s="749"/>
      <c r="T72" s="22">
        <v>0.40486111111111101</v>
      </c>
      <c r="U72" s="22">
        <v>0.44652777777777802</v>
      </c>
      <c r="V72" s="30">
        <f>(T72-U71)*24*60</f>
        <v>8.999999999999968</v>
      </c>
      <c r="W72" s="73">
        <f t="shared" si="4"/>
        <v>60.000000000000504</v>
      </c>
      <c r="X72" s="272"/>
      <c r="Y72" s="288"/>
      <c r="Z72" s="90">
        <v>1</v>
      </c>
      <c r="AA72" s="90">
        <v>7</v>
      </c>
      <c r="AB72" s="789" t="s">
        <v>139</v>
      </c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 t="s">
        <v>130</v>
      </c>
      <c r="C73" s="58"/>
      <c r="D73" s="259" t="s">
        <v>134</v>
      </c>
      <c r="E73" s="60"/>
      <c r="F73" s="250">
        <f>VLOOKUP(D73,廠價表!$C$1:$E$43,3,0)</f>
        <v>28.26</v>
      </c>
      <c r="G73" s="273">
        <v>1871</v>
      </c>
      <c r="H73" s="254">
        <f>F73*G73</f>
        <v>52874.460000000006</v>
      </c>
      <c r="I73" s="182"/>
      <c r="J73" s="79">
        <f>VLOOKUP(D73,產線配置圖!$A$3:$C$40,2,0)</f>
        <v>11</v>
      </c>
      <c r="K73" s="80">
        <f>VLOOKUP(D73,產線配置圖!$A$3:$C$40,3,0)</f>
        <v>1636</v>
      </c>
      <c r="L73" s="81">
        <f>K73/J73</f>
        <v>148.72727272727272</v>
      </c>
      <c r="M73" s="94">
        <v>11</v>
      </c>
      <c r="N73" s="107">
        <f>G73/W73*60</f>
        <v>1439.2307692307625</v>
      </c>
      <c r="O73" s="238">
        <f>N73/M73</f>
        <v>130.83916083916023</v>
      </c>
      <c r="P73" s="111">
        <f>M73-J73</f>
        <v>0</v>
      </c>
      <c r="Q73" s="255">
        <f>O73-L73</f>
        <v>-17.888111888112491</v>
      </c>
      <c r="R73" s="85">
        <f>O73/L73</f>
        <v>0.87972540906525831</v>
      </c>
      <c r="S73" s="749"/>
      <c r="T73" s="22">
        <v>0.51875000000000004</v>
      </c>
      <c r="U73" s="22">
        <v>0.57291666666666696</v>
      </c>
      <c r="V73" s="30">
        <f>(T73-U72)*24*60</f>
        <v>103.99999999999972</v>
      </c>
      <c r="W73" s="73">
        <f t="shared" si="4"/>
        <v>78.000000000000369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4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22">AVERAGE(J70:J78)</f>
        <v>13</v>
      </c>
      <c r="K79" s="240">
        <f t="shared" si="22"/>
        <v>1618.25</v>
      </c>
      <c r="L79" s="268">
        <f t="shared" si="22"/>
        <v>127.87256493506493</v>
      </c>
      <c r="M79" s="240">
        <f t="shared" si="22"/>
        <v>12</v>
      </c>
      <c r="N79" s="240">
        <f t="shared" si="22"/>
        <v>1247.9010989010897</v>
      </c>
      <c r="O79" s="268">
        <f t="shared" si="22"/>
        <v>109.27375188913561</v>
      </c>
      <c r="P79" s="269">
        <f>M79-J79</f>
        <v>-1</v>
      </c>
      <c r="Q79" s="222">
        <f>N79-K79</f>
        <v>-370.34890109891035</v>
      </c>
      <c r="R79" s="223">
        <f>O79/L79</f>
        <v>0.85455196698858749</v>
      </c>
      <c r="S79" s="752"/>
      <c r="T79" s="125"/>
      <c r="U79" s="125"/>
      <c r="V79" s="126"/>
      <c r="W79" s="242"/>
      <c r="X79" s="128"/>
      <c r="Y79" s="295"/>
      <c r="Z79" s="334">
        <f>SUM(Z70:Z78)</f>
        <v>1</v>
      </c>
      <c r="AA79" s="334">
        <f>SUM(AA70:AA78)</f>
        <v>7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-370.34890109891035</v>
      </c>
      <c r="AG79" s="124">
        <f>N79/K79</f>
        <v>0.77114234444683438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F1:AH2"/>
    <mergeCell ref="J3:J4"/>
    <mergeCell ref="K3:K4"/>
    <mergeCell ref="L3:L4"/>
    <mergeCell ref="M3:M4"/>
    <mergeCell ref="J1:L2"/>
    <mergeCell ref="M1:O2"/>
    <mergeCell ref="AD3:AE3"/>
    <mergeCell ref="AF3:AF4"/>
    <mergeCell ref="AG3:AG4"/>
    <mergeCell ref="AH3:AH4"/>
    <mergeCell ref="X3:Y3"/>
    <mergeCell ref="Z3:AA3"/>
    <mergeCell ref="A2:B2"/>
    <mergeCell ref="A3:A4"/>
    <mergeCell ref="B3:B4"/>
    <mergeCell ref="D3:E4"/>
    <mergeCell ref="F3:F4"/>
    <mergeCell ref="G3:G4"/>
    <mergeCell ref="AB3:AC4"/>
    <mergeCell ref="N3:N4"/>
    <mergeCell ref="P1:S2"/>
    <mergeCell ref="T1:Y2"/>
    <mergeCell ref="AB1:AC2"/>
    <mergeCell ref="T3:U3"/>
    <mergeCell ref="V3:V4"/>
    <mergeCell ref="W3:W4"/>
    <mergeCell ref="H3:H4"/>
    <mergeCell ref="I3:I4"/>
    <mergeCell ref="O3:O4"/>
    <mergeCell ref="P3:P4"/>
    <mergeCell ref="Q3:Q4"/>
    <mergeCell ref="R3:R4"/>
    <mergeCell ref="S3:S4"/>
    <mergeCell ref="A5:A15"/>
    <mergeCell ref="S5:S15"/>
    <mergeCell ref="AB5:AC5"/>
    <mergeCell ref="D15:E1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16:A26"/>
    <mergeCell ref="S16:S26"/>
    <mergeCell ref="AB16:AC16"/>
    <mergeCell ref="D26:E26"/>
    <mergeCell ref="AB26:AC26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AB15:AC15"/>
    <mergeCell ref="AB13:AC13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98" priority="1" operator="greaterThan">
      <formula>0</formula>
    </cfRule>
  </conditionalFormatting>
  <conditionalFormatting sqref="Q5:Q79 AF5:AF79">
    <cfRule type="cellIs" dxfId="297" priority="4" operator="lessThan">
      <formula>0</formula>
    </cfRule>
  </conditionalFormatting>
  <conditionalFormatting sqref="R5:R79 AG5:AG79">
    <cfRule type="cellIs" dxfId="296" priority="2" operator="greaterThan">
      <formula>1</formula>
    </cfRule>
    <cfRule type="cellIs" dxfId="295" priority="3" operator="lessThan">
      <formula>0.8</formula>
    </cfRule>
  </conditionalFormatting>
  <conditionalFormatting sqref="S5:S10 S37:S62 AH59:AH62 S69:S76 AH69:AH76">
    <cfRule type="cellIs" dxfId="294" priority="7" operator="lessThan">
      <formula>0.8</formula>
    </cfRule>
  </conditionalFormatting>
  <conditionalFormatting sqref="S19:S25 AH19:AH25">
    <cfRule type="cellIs" dxfId="293" priority="6" operator="lessThan">
      <formula>0.8</formula>
    </cfRule>
  </conditionalFormatting>
  <conditionalFormatting sqref="S79">
    <cfRule type="cellIs" dxfId="292" priority="5" operator="lessThan">
      <formula>0.8</formula>
    </cfRule>
  </conditionalFormatting>
  <conditionalFormatting sqref="AH5:AH8 S15:S16 AH15:AH16 AH49 AH79">
    <cfRule type="cellIs" dxfId="291" priority="9" operator="lessThan">
      <formula>0.8</formula>
    </cfRule>
  </conditionalFormatting>
  <conditionalFormatting sqref="AH27 S27:S28">
    <cfRule type="cellIs" dxfId="2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A0A24E-444F-4480-A48B-1D75C05CA1B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4635-A4AE-4C21-B391-68CE5A23D6C8}">
  <dimension ref="B1:O26"/>
  <sheetViews>
    <sheetView topLeftCell="A3" zoomScale="70" zoomScaleNormal="70" workbookViewId="0">
      <selection activeCell="H8" sqref="H8:I8"/>
    </sheetView>
  </sheetViews>
  <sheetFormatPr defaultColWidth="8.85546875" defaultRowHeight="15.75"/>
  <cols>
    <col min="1" max="1" width="8.85546875" style="360" customWidth="1"/>
    <col min="2" max="2" width="12.5703125" style="360" customWidth="1"/>
    <col min="3" max="3" width="12.5703125" style="385" customWidth="1"/>
    <col min="4" max="7" width="15.42578125" style="360" customWidth="1"/>
    <col min="8" max="8" width="16.85546875" style="360" customWidth="1"/>
    <col min="9" max="17" width="15.42578125" style="360" customWidth="1"/>
    <col min="18" max="21" width="10.5703125" style="360" customWidth="1"/>
    <col min="22" max="22" width="12.140625" style="360" customWidth="1"/>
    <col min="23" max="23" width="12.5703125" style="360" customWidth="1"/>
    <col min="24" max="176" width="8.85546875" style="360" customWidth="1"/>
    <col min="177" max="16384" width="8.85546875" style="360"/>
  </cols>
  <sheetData>
    <row r="1" spans="2:15" ht="27.75" customHeight="1">
      <c r="B1" s="830" t="s">
        <v>70</v>
      </c>
      <c r="C1" s="830"/>
      <c r="D1" s="830"/>
      <c r="E1" s="830"/>
      <c r="F1" s="830"/>
      <c r="G1" s="830"/>
      <c r="H1" s="830"/>
      <c r="I1" s="830"/>
      <c r="J1" s="830"/>
      <c r="K1" s="830"/>
      <c r="L1" s="359"/>
      <c r="M1" s="359"/>
    </row>
    <row r="2" spans="2:15" ht="27.75" customHeight="1">
      <c r="B2" s="830"/>
      <c r="C2" s="830"/>
      <c r="D2" s="830"/>
      <c r="E2" s="830"/>
      <c r="F2" s="830"/>
      <c r="G2" s="830"/>
      <c r="H2" s="830"/>
      <c r="I2" s="830"/>
      <c r="J2" s="830"/>
      <c r="K2" s="830"/>
      <c r="L2" s="359"/>
      <c r="M2" s="359"/>
    </row>
    <row r="3" spans="2:15" ht="46.5" customHeight="1">
      <c r="B3" s="831" t="s">
        <v>71</v>
      </c>
      <c r="C3" s="831"/>
      <c r="D3" s="832">
        <v>46237</v>
      </c>
      <c r="E3" s="832"/>
      <c r="F3" s="361" t="s">
        <v>72</v>
      </c>
      <c r="G3" s="707">
        <f>'0803'!E1</f>
        <v>65714</v>
      </c>
      <c r="H3" s="707"/>
      <c r="I3" s="361" t="s">
        <v>2</v>
      </c>
      <c r="J3" s="833">
        <f>'0803'!G1</f>
        <v>3028007.1529999999</v>
      </c>
      <c r="K3" s="833"/>
      <c r="L3" s="4"/>
    </row>
    <row r="4" spans="2:15" ht="24" customHeight="1">
      <c r="B4" s="831" t="s">
        <v>73</v>
      </c>
      <c r="C4" s="831"/>
      <c r="D4" s="836">
        <v>3</v>
      </c>
      <c r="E4" s="836"/>
      <c r="F4" s="838" t="s">
        <v>74</v>
      </c>
      <c r="G4" s="838"/>
      <c r="H4" s="838" t="s">
        <v>75</v>
      </c>
      <c r="I4" s="838"/>
      <c r="J4" s="836" t="s">
        <v>76</v>
      </c>
      <c r="K4" s="838"/>
      <c r="L4" s="834" t="s">
        <v>77</v>
      </c>
      <c r="M4" s="835"/>
      <c r="N4" s="835" t="s">
        <v>78</v>
      </c>
      <c r="O4" s="835"/>
    </row>
    <row r="5" spans="2:15" ht="24" customHeight="1">
      <c r="B5" s="831" t="s">
        <v>14</v>
      </c>
      <c r="C5" s="831"/>
      <c r="D5" s="836" t="s">
        <v>79</v>
      </c>
      <c r="E5" s="836"/>
      <c r="F5" s="836" t="s">
        <v>80</v>
      </c>
      <c r="G5" s="836"/>
      <c r="H5" s="711" t="s">
        <v>81</v>
      </c>
      <c r="I5" s="711"/>
      <c r="J5" s="712" t="s">
        <v>82</v>
      </c>
      <c r="K5" s="712"/>
      <c r="L5" s="362" t="s">
        <v>83</v>
      </c>
      <c r="M5" s="363" t="s">
        <v>84</v>
      </c>
      <c r="N5" s="362" t="s">
        <v>83</v>
      </c>
      <c r="O5" s="363" t="s">
        <v>85</v>
      </c>
    </row>
    <row r="6" spans="2:15" ht="39.6" customHeight="1">
      <c r="B6" s="831"/>
      <c r="C6" s="831"/>
      <c r="D6" s="831" t="s">
        <v>86</v>
      </c>
      <c r="E6" s="831"/>
      <c r="F6" s="837">
        <f>AVERAGE(D13:J13)</f>
        <v>126.99525590539245</v>
      </c>
      <c r="G6" s="837"/>
      <c r="H6" s="714">
        <f>AVERAGE(D13:H13)</f>
        <v>124.64064542483659</v>
      </c>
      <c r="I6" s="714"/>
      <c r="J6" s="714">
        <f>AVERAGE(I13:J13)</f>
        <v>132.88178210678211</v>
      </c>
      <c r="K6" s="714"/>
      <c r="L6" s="844">
        <f>SUM(D18:J18)</f>
        <v>0</v>
      </c>
      <c r="M6" s="839">
        <f>SUM(D19:J19)</f>
        <v>0</v>
      </c>
      <c r="N6" s="846">
        <f>SUM(D20:J20)</f>
        <v>0</v>
      </c>
      <c r="O6" s="839">
        <f>SUM(D20:J20)</f>
        <v>0</v>
      </c>
    </row>
    <row r="7" spans="2:15" ht="39.6" customHeight="1">
      <c r="B7" s="831"/>
      <c r="C7" s="831"/>
      <c r="D7" s="853" t="s">
        <v>87</v>
      </c>
      <c r="E7" s="853"/>
      <c r="F7" s="854">
        <f>AVERAGE(D14:J14)</f>
        <v>114.26601005277669</v>
      </c>
      <c r="G7" s="854"/>
      <c r="H7" s="738">
        <f>AVERAGE(D14:H14)</f>
        <v>113.97518358720247</v>
      </c>
      <c r="I7" s="738"/>
      <c r="J7" s="738">
        <f>AVERAGE(I14:J14)</f>
        <v>114.9930762167123</v>
      </c>
      <c r="K7" s="738"/>
      <c r="L7" s="845" t="e">
        <f t="shared" ref="L7:O8" si="0">AVERAGE(K14:L14)</f>
        <v>#DIV/0!</v>
      </c>
      <c r="M7" s="839" t="e">
        <f t="shared" si="0"/>
        <v>#DIV/0!</v>
      </c>
      <c r="N7" s="847" t="e">
        <f t="shared" si="0"/>
        <v>#DIV/0!</v>
      </c>
      <c r="O7" s="839" t="e">
        <f t="shared" si="0"/>
        <v>#DIV/0!</v>
      </c>
    </row>
    <row r="8" spans="2:15" ht="39.6" customHeight="1">
      <c r="B8" s="831"/>
      <c r="C8" s="831"/>
      <c r="D8" s="853" t="s">
        <v>27</v>
      </c>
      <c r="E8" s="853"/>
      <c r="F8" s="710">
        <f>F7/F6</f>
        <v>0.89976597344629428</v>
      </c>
      <c r="G8" s="710"/>
      <c r="H8" s="710">
        <f>H7/H6</f>
        <v>0.91443030641183709</v>
      </c>
      <c r="I8" s="710"/>
      <c r="J8" s="710">
        <f>J7/J6</f>
        <v>0.86537879304106058</v>
      </c>
      <c r="K8" s="710"/>
      <c r="L8" s="845" t="e">
        <f t="shared" si="0"/>
        <v>#DIV/0!</v>
      </c>
      <c r="M8" s="839" t="e">
        <f t="shared" si="0"/>
        <v>#DIV/0!</v>
      </c>
      <c r="N8" s="847" t="e">
        <f t="shared" si="0"/>
        <v>#DIV/0!</v>
      </c>
      <c r="O8" s="839" t="e">
        <f t="shared" si="0"/>
        <v>#DIV/0!</v>
      </c>
    </row>
    <row r="9" spans="2:15" ht="25.5" customHeight="1">
      <c r="B9" s="364"/>
      <c r="C9" s="364"/>
      <c r="D9" s="364"/>
      <c r="E9" s="364"/>
      <c r="F9" s="364"/>
      <c r="G9" s="364"/>
      <c r="H9" s="365"/>
      <c r="I9" s="366"/>
      <c r="J9" s="367" t="s">
        <v>88</v>
      </c>
      <c r="K9" s="366"/>
      <c r="L9" s="366"/>
      <c r="M9" s="366"/>
      <c r="N9" s="366"/>
      <c r="O9" s="364"/>
    </row>
    <row r="10" spans="2:15" ht="30" customHeight="1">
      <c r="B10" s="848" t="s">
        <v>89</v>
      </c>
      <c r="C10" s="849"/>
      <c r="D10" s="850" t="s">
        <v>90</v>
      </c>
      <c r="E10" s="851"/>
      <c r="F10" s="851"/>
      <c r="G10" s="851"/>
      <c r="H10" s="851"/>
      <c r="I10" s="851"/>
      <c r="J10" s="852"/>
    </row>
    <row r="11" spans="2:15" ht="17.25" customHeight="1">
      <c r="B11" s="840" t="s">
        <v>91</v>
      </c>
      <c r="C11" s="841"/>
      <c r="D11" s="368">
        <v>1</v>
      </c>
      <c r="E11" s="368">
        <v>2</v>
      </c>
      <c r="F11" s="368">
        <v>3</v>
      </c>
      <c r="G11" s="368">
        <v>4</v>
      </c>
      <c r="H11" s="368">
        <v>5</v>
      </c>
      <c r="I11" s="368">
        <v>6</v>
      </c>
      <c r="J11" s="368">
        <v>7</v>
      </c>
    </row>
    <row r="12" spans="2:15" ht="33.950000000000003" customHeight="1">
      <c r="B12" s="842"/>
      <c r="C12" s="843"/>
      <c r="D12" s="369" t="s">
        <v>92</v>
      </c>
      <c r="E12" s="369" t="s">
        <v>93</v>
      </c>
      <c r="F12" s="369" t="s">
        <v>94</v>
      </c>
      <c r="G12" s="369" t="s">
        <v>95</v>
      </c>
      <c r="H12" s="369" t="s">
        <v>96</v>
      </c>
      <c r="I12" s="369" t="s">
        <v>97</v>
      </c>
      <c r="J12" s="369" t="s">
        <v>98</v>
      </c>
    </row>
    <row r="13" spans="2:15" ht="39.950000000000003" customHeight="1">
      <c r="B13" s="856" t="s">
        <v>14</v>
      </c>
      <c r="C13" s="370" t="s">
        <v>99</v>
      </c>
      <c r="D13" s="371">
        <f>VALUE('0803'!L15)</f>
        <v>151.3574660633484</v>
      </c>
      <c r="E13" s="371">
        <f>VALUE('0803'!L26)</f>
        <v>174.23076923076923</v>
      </c>
      <c r="F13" s="371">
        <f>VALUE('0803'!L37)</f>
        <v>94.551062091503283</v>
      </c>
      <c r="G13" s="371">
        <f>VALUE('0803'!L48)</f>
        <v>96.284517973856211</v>
      </c>
      <c r="H13" s="371">
        <f>VALUE('0803'!L58)</f>
        <v>106.77941176470588</v>
      </c>
      <c r="I13" s="371">
        <f>VALUE('0803'!L69)</f>
        <v>135.50707070707071</v>
      </c>
      <c r="J13" s="371">
        <f>'0803'!L79</f>
        <v>130.25649350649351</v>
      </c>
    </row>
    <row r="14" spans="2:15" ht="39.950000000000003" customHeight="1">
      <c r="B14" s="857"/>
      <c r="C14" s="370" t="s">
        <v>100</v>
      </c>
      <c r="D14" s="371">
        <f>VALUE('0803'!O15)</f>
        <v>138.93628677845805</v>
      </c>
      <c r="E14" s="371">
        <f>VALUE('0803'!O26)</f>
        <v>163.76633655804804</v>
      </c>
      <c r="F14" s="371">
        <f>VALUE('0803'!O37)</f>
        <v>83.531620140642843</v>
      </c>
      <c r="G14" s="371">
        <f>VALUE('0803'!O48)</f>
        <v>90.009299516908214</v>
      </c>
      <c r="H14" s="371">
        <f>VALUE('0803'!O58)</f>
        <v>93.632374941955206</v>
      </c>
      <c r="I14" s="371">
        <f>VALUE('0803'!O69)</f>
        <v>121.82747474747464</v>
      </c>
      <c r="J14" s="371">
        <f>'0803'!O79</f>
        <v>108.15867768594995</v>
      </c>
    </row>
    <row r="15" spans="2:15" ht="39.950000000000003" customHeight="1">
      <c r="B15" s="858"/>
      <c r="C15" s="368" t="s">
        <v>26</v>
      </c>
      <c r="D15" s="372">
        <f t="shared" ref="D15:I15" si="1">D14/D13</f>
        <v>0.91793480950789941</v>
      </c>
      <c r="E15" s="372">
        <f t="shared" si="1"/>
        <v>0.93993923852301309</v>
      </c>
      <c r="F15" s="372">
        <f t="shared" si="1"/>
        <v>0.88345512247978553</v>
      </c>
      <c r="G15" s="372">
        <f t="shared" si="1"/>
        <v>0.93482629825646646</v>
      </c>
      <c r="H15" s="372">
        <f t="shared" si="1"/>
        <v>0.87687666933658637</v>
      </c>
      <c r="I15" s="372">
        <f t="shared" si="1"/>
        <v>0.8990488401216522</v>
      </c>
      <c r="J15" s="373">
        <f>'0803'!S70</f>
        <v>0.83035152240266663</v>
      </c>
    </row>
    <row r="16" spans="2:15" ht="17.25" customHeight="1">
      <c r="B16" s="859" t="s">
        <v>101</v>
      </c>
      <c r="C16" s="368" t="s">
        <v>34</v>
      </c>
      <c r="D16" s="374">
        <f>'0803'!T5</f>
        <v>0.29305555555555601</v>
      </c>
      <c r="E16" s="374">
        <f>'0803'!T16</f>
        <v>0.28819444444444398</v>
      </c>
      <c r="F16" s="374">
        <f>'0803'!T27</f>
        <v>0.29513888888888901</v>
      </c>
      <c r="G16" s="374">
        <f>'0803'!T38</f>
        <v>0.33333333333333298</v>
      </c>
      <c r="H16" s="374">
        <f>'0803'!T49</f>
        <v>0.29097222222222202</v>
      </c>
      <c r="I16" s="374">
        <f>'0803'!T59</f>
        <v>0.28819444444444398</v>
      </c>
      <c r="J16" s="374">
        <f>'0803'!T70</f>
        <v>0.29166666666666702</v>
      </c>
    </row>
    <row r="17" spans="2:10" ht="17.25" customHeight="1">
      <c r="B17" s="860"/>
      <c r="C17" s="368" t="s">
        <v>35</v>
      </c>
      <c r="D17" s="16">
        <v>0.57777777777777795</v>
      </c>
      <c r="E17" s="375">
        <v>0.63888888888888895</v>
      </c>
      <c r="F17" s="19">
        <v>0.65625</v>
      </c>
      <c r="G17" s="376">
        <v>0.6875</v>
      </c>
      <c r="H17" s="21">
        <v>0.64930555555555602</v>
      </c>
      <c r="I17" s="377">
        <v>0.51388888888888895</v>
      </c>
      <c r="J17" s="22">
        <v>0.46527777777777801</v>
      </c>
    </row>
    <row r="18" spans="2:10" ht="17.25" customHeight="1">
      <c r="B18" s="861" t="s">
        <v>102</v>
      </c>
      <c r="C18" s="378" t="s">
        <v>36</v>
      </c>
      <c r="D18" s="379">
        <f>'0803'!Z15</f>
        <v>0</v>
      </c>
      <c r="E18" s="380">
        <f>'0803'!Z26</f>
        <v>0</v>
      </c>
      <c r="F18" s="380">
        <f>'0803'!Z37</f>
        <v>0</v>
      </c>
      <c r="G18" s="381">
        <f>'0803'!Z48</f>
        <v>0</v>
      </c>
      <c r="H18" s="381">
        <f>'0803'!Z58</f>
        <v>0</v>
      </c>
      <c r="I18" s="380">
        <f>'0803'!Z69</f>
        <v>0</v>
      </c>
      <c r="J18" s="380">
        <f>'0803'!AA79</f>
        <v>0</v>
      </c>
    </row>
    <row r="19" spans="2:10" ht="17.25" customHeight="1">
      <c r="B19" s="862"/>
      <c r="C19" s="378" t="s">
        <v>37</v>
      </c>
      <c r="D19" s="379">
        <f>'0803'!AA15</f>
        <v>0</v>
      </c>
      <c r="E19" s="380">
        <f>'0803'!AA26</f>
        <v>0</v>
      </c>
      <c r="F19" s="380">
        <f>'0803'!AA37</f>
        <v>0</v>
      </c>
      <c r="G19" s="381">
        <f>'0803'!AA48</f>
        <v>0</v>
      </c>
      <c r="H19" s="381">
        <f>'0803'!AA58</f>
        <v>0</v>
      </c>
      <c r="I19" s="380">
        <f>'0803'!AA69</f>
        <v>0</v>
      </c>
      <c r="J19" s="380">
        <f>'0803'!AB79</f>
        <v>0</v>
      </c>
    </row>
    <row r="20" spans="2:10" ht="17.25" customHeight="1">
      <c r="B20" s="861" t="s">
        <v>103</v>
      </c>
      <c r="C20" s="378" t="s">
        <v>36</v>
      </c>
      <c r="D20" s="379">
        <f>'0803'!AD15</f>
        <v>0</v>
      </c>
      <c r="E20" s="380">
        <f>'0803'!AD26</f>
        <v>0</v>
      </c>
      <c r="F20" s="380">
        <f>'0803'!AD37</f>
        <v>0</v>
      </c>
      <c r="G20" s="381">
        <f>'0803'!AD48</f>
        <v>0</v>
      </c>
      <c r="H20" s="381">
        <f>'0803'!AD58</f>
        <v>0</v>
      </c>
      <c r="I20" s="380">
        <f>'0803'!AD69</f>
        <v>0</v>
      </c>
      <c r="J20" s="380">
        <f>'0803'!AD79</f>
        <v>0</v>
      </c>
    </row>
    <row r="21" spans="2:10" ht="17.25" customHeight="1">
      <c r="B21" s="862"/>
      <c r="C21" s="378" t="s">
        <v>85</v>
      </c>
      <c r="D21" s="379">
        <f>'0803'!AE15</f>
        <v>0</v>
      </c>
      <c r="E21" s="380">
        <f>'0803'!AE26</f>
        <v>0</v>
      </c>
      <c r="F21" s="380">
        <f>'0803'!AE37</f>
        <v>0</v>
      </c>
      <c r="G21" s="381">
        <f>'0803'!AE48</f>
        <v>0</v>
      </c>
      <c r="H21" s="381">
        <f>'0803'!AE58</f>
        <v>0</v>
      </c>
      <c r="I21" s="380">
        <f>'0803'!AE69</f>
        <v>0</v>
      </c>
      <c r="J21" s="380">
        <f>'0803'!AE79</f>
        <v>0</v>
      </c>
    </row>
    <row r="22" spans="2:10" ht="17.25" customHeight="1">
      <c r="B22" s="848" t="s">
        <v>104</v>
      </c>
      <c r="C22" s="849"/>
      <c r="D22" s="382">
        <f>VALUE('0803'!M15)</f>
        <v>15</v>
      </c>
      <c r="E22" s="382">
        <f>VALUE('0803'!M26)</f>
        <v>13</v>
      </c>
      <c r="F22" s="382">
        <f>VALUE('0803'!M37)</f>
        <v>16.875</v>
      </c>
      <c r="G22" s="382">
        <f>VALUE('0803'!M48)</f>
        <v>16</v>
      </c>
      <c r="H22" s="382">
        <f>VALUE('0803'!M58)</f>
        <v>16.5</v>
      </c>
      <c r="I22" s="382">
        <f>VALUE('0803'!M69)</f>
        <v>12.333333333333334</v>
      </c>
      <c r="J22" s="382">
        <f>'0803'!M79</f>
        <v>11</v>
      </c>
    </row>
    <row r="23" spans="2:10" ht="17.25" customHeight="1">
      <c r="B23" s="848" t="s">
        <v>105</v>
      </c>
      <c r="C23" s="849"/>
      <c r="D23" s="369" t="s">
        <v>106</v>
      </c>
      <c r="E23" s="369" t="s">
        <v>106</v>
      </c>
      <c r="F23" s="369" t="s">
        <v>107</v>
      </c>
      <c r="G23" s="369" t="s">
        <v>107</v>
      </c>
      <c r="H23" s="369" t="s">
        <v>107</v>
      </c>
      <c r="I23" s="369" t="s">
        <v>108</v>
      </c>
      <c r="J23" s="369" t="s">
        <v>108</v>
      </c>
    </row>
    <row r="24" spans="2:10" ht="17.25" customHeight="1">
      <c r="B24" s="848" t="s">
        <v>109</v>
      </c>
      <c r="C24" s="849"/>
      <c r="D24" s="369"/>
      <c r="E24" s="369"/>
      <c r="F24" s="369"/>
      <c r="G24" s="383"/>
      <c r="H24" s="369" t="s">
        <v>110</v>
      </c>
      <c r="I24" s="369"/>
      <c r="J24" s="369" t="s">
        <v>110</v>
      </c>
    </row>
    <row r="25" spans="2:10" ht="17.25" customHeight="1">
      <c r="B25" s="848" t="s">
        <v>111</v>
      </c>
      <c r="C25" s="849"/>
      <c r="D25" s="384"/>
      <c r="E25" s="384"/>
      <c r="F25" s="384"/>
      <c r="G25" s="384"/>
      <c r="H25" s="384"/>
      <c r="I25" s="384"/>
      <c r="J25" s="384"/>
    </row>
    <row r="26" spans="2:10">
      <c r="B26" s="855"/>
      <c r="C26" s="855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2318D-E146-47DD-B70A-E64EA30E1082}">
  <sheetPr>
    <tabColor theme="9" tint="0.79998168889431442"/>
  </sheetPr>
  <dimension ref="A1:AJ92"/>
  <sheetViews>
    <sheetView zoomScale="75" zoomScaleNormal="75" workbookViewId="0">
      <pane xSplit="5" ySplit="4" topLeftCell="F23" activePane="bottomRight" state="frozen"/>
      <selection activeCell="E21" sqref="E21"/>
      <selection pane="topRight" activeCell="E21" sqref="E21"/>
      <selection pane="bottomLeft" activeCell="E21" sqref="E21"/>
      <selection pane="bottomRight" activeCell="G32" sqref="G3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76" width="8.7109375" style="34" customWidth="1"/>
    <col min="177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65714</v>
      </c>
      <c r="F1" s="30" t="s">
        <v>2</v>
      </c>
      <c r="G1" s="31">
        <f>SUM(H5:H79)</f>
        <v>3028007.1529999999</v>
      </c>
      <c r="H1" s="32" t="s">
        <v>3</v>
      </c>
      <c r="I1" s="33">
        <f>M15+M26+M48+M58+M69+M79+M37</f>
        <v>100.70833333333333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140</v>
      </c>
      <c r="B2" s="739"/>
      <c r="C2" s="28"/>
      <c r="D2" s="28" t="s">
        <v>14</v>
      </c>
      <c r="E2" s="35">
        <f>AVERAGE(O15,O26,O37,O48,O58,O69,O79)</f>
        <v>114.26601005277669</v>
      </c>
      <c r="F2" s="36" t="s">
        <v>15</v>
      </c>
      <c r="G2" s="37">
        <f>G1/E1</f>
        <v>46.078570061174176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2188</v>
      </c>
      <c r="H5" s="43">
        <f>F5*G5</f>
        <v>110865.96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2051.25000000002</v>
      </c>
      <c r="O5" s="47">
        <f>N5/M5</f>
        <v>120.66176470588353</v>
      </c>
      <c r="P5" s="49">
        <f>M5-J5</f>
        <v>0</v>
      </c>
      <c r="Q5" s="50">
        <f>O5-L5</f>
        <v>-11.691176470587052</v>
      </c>
      <c r="R5" s="51">
        <f>O5/L5</f>
        <v>0.91166666666667562</v>
      </c>
      <c r="S5" s="748">
        <f>R15</f>
        <v>0.91793480950789941</v>
      </c>
      <c r="T5" s="319">
        <v>0.29305555555555601</v>
      </c>
      <c r="U5" s="320">
        <v>0.33750000000000002</v>
      </c>
      <c r="V5" s="53"/>
      <c r="W5" s="54">
        <f t="shared" ref="W5:W14" si="0">(U5-T5)*24*60</f>
        <v>63.999999999999375</v>
      </c>
      <c r="X5" s="55"/>
      <c r="Y5" s="290"/>
      <c r="Z5" s="169"/>
      <c r="AA5" s="169"/>
      <c r="AB5" s="791" t="s">
        <v>138</v>
      </c>
      <c r="AC5" s="791"/>
      <c r="AD5" s="135"/>
      <c r="AE5" s="135"/>
      <c r="AF5" s="229">
        <f t="shared" ref="AF5:AF11" si="1">N5-K5</f>
        <v>-198.74999999997999</v>
      </c>
      <c r="AG5" s="52">
        <f t="shared" ref="AG5:AG11" si="2">N5/K5</f>
        <v>0.91166666666667551</v>
      </c>
      <c r="AH5" s="784">
        <f>AG15</f>
        <v>0.91950252379346986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1832</v>
      </c>
      <c r="H6" s="63">
        <f>F6*G6</f>
        <v>106567.44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1962.8571428571356</v>
      </c>
      <c r="O6" s="67">
        <f>N6/M6</f>
        <v>150.98901098901044</v>
      </c>
      <c r="P6" s="69">
        <f>M6-J6</f>
        <v>0</v>
      </c>
      <c r="Q6" s="70">
        <f>O6-L6</f>
        <v>-22.087912087912628</v>
      </c>
      <c r="R6" s="71">
        <f>O6/L6</f>
        <v>0.87238095238094926</v>
      </c>
      <c r="S6" s="749"/>
      <c r="T6" s="16">
        <v>0.34513888888888899</v>
      </c>
      <c r="U6" s="16">
        <v>0.38402777777777802</v>
      </c>
      <c r="V6" s="30">
        <f>(T6-U5)*24*60</f>
        <v>11.000000000000121</v>
      </c>
      <c r="W6" s="73">
        <f t="shared" si="0"/>
        <v>56.000000000000199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-287.14285714286439</v>
      </c>
      <c r="AG6" s="72">
        <f t="shared" si="2"/>
        <v>0.87238095238094915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4619</v>
      </c>
      <c r="H7" s="78">
        <f>F7*G7</f>
        <v>226977.66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2148.3720930232398</v>
      </c>
      <c r="O7" s="81">
        <f>N7/M7</f>
        <v>143.22480620154931</v>
      </c>
      <c r="P7" s="74">
        <f>M7-J7</f>
        <v>0</v>
      </c>
      <c r="Q7" s="83">
        <f>O7-L7</f>
        <v>-6.7751937984506867</v>
      </c>
      <c r="R7" s="72">
        <f>O7/L7</f>
        <v>0.95483204134366206</v>
      </c>
      <c r="S7" s="749"/>
      <c r="T7" s="18">
        <v>0.389583333333333</v>
      </c>
      <c r="U7" s="18">
        <v>0.47916666666666702</v>
      </c>
      <c r="V7" s="30">
        <f>(T7-U6)*24*60</f>
        <v>7.9999999999991722</v>
      </c>
      <c r="W7" s="73">
        <f t="shared" si="0"/>
        <v>129.00000000000097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-101.62790697676019</v>
      </c>
      <c r="AG7" s="72">
        <f t="shared" si="2"/>
        <v>0.95483204134366217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1620</v>
      </c>
      <c r="H8" s="78">
        <f>F8*G8</f>
        <v>79606.8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2113.0434782608331</v>
      </c>
      <c r="O8" s="81">
        <f>N8/M8</f>
        <v>140.86956521738887</v>
      </c>
      <c r="P8" s="74">
        <f>M8-J8</f>
        <v>0</v>
      </c>
      <c r="Q8" s="83">
        <f>O8-L8</f>
        <v>-9.1304347826111325</v>
      </c>
      <c r="R8" s="72">
        <f>O8/L8</f>
        <v>0.9391304347825925</v>
      </c>
      <c r="S8" s="749"/>
      <c r="T8" s="16">
        <v>0.54583333333333295</v>
      </c>
      <c r="U8" s="16">
        <v>0.57777777777777795</v>
      </c>
      <c r="V8" s="30">
        <f>(T8-U7)*24*60</f>
        <v>95.999999999998934</v>
      </c>
      <c r="W8" s="73">
        <f t="shared" si="0"/>
        <v>46.000000000000796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-136.95652173916687</v>
      </c>
      <c r="AG8" s="72">
        <f t="shared" si="2"/>
        <v>0.9391304347825925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2068.8806785353072</v>
      </c>
      <c r="O15" s="117">
        <f t="shared" si="3"/>
        <v>138.93628677845805</v>
      </c>
      <c r="P15" s="121">
        <f t="shared" ref="P15:P20" si="4">M15-J15</f>
        <v>0</v>
      </c>
      <c r="Q15" s="122">
        <f t="shared" ref="Q15:Q20" si="5">O15-L15</f>
        <v>-12.421179284890343</v>
      </c>
      <c r="R15" s="123">
        <f t="shared" ref="R15:R20" si="6">O15/L15</f>
        <v>0.91793480950789941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-181.1193214646928</v>
      </c>
      <c r="AG15" s="124">
        <f>N15/K15</f>
        <v>0.91950252379346986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2510</v>
      </c>
      <c r="H16" s="134">
        <f>F16*G16</f>
        <v>127181.7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2151.4285714285297</v>
      </c>
      <c r="O16" s="141">
        <f>N16/M16</f>
        <v>165.49450549450228</v>
      </c>
      <c r="P16" s="142">
        <f t="shared" si="4"/>
        <v>0</v>
      </c>
      <c r="Q16" s="143">
        <f t="shared" si="5"/>
        <v>-7.5824175824207884</v>
      </c>
      <c r="R16" s="144">
        <f t="shared" si="6"/>
        <v>0.95619047619045772</v>
      </c>
      <c r="S16" s="795">
        <f>R26</f>
        <v>0.93993923852301309</v>
      </c>
      <c r="T16" s="145">
        <v>0.28819444444444398</v>
      </c>
      <c r="U16" s="145">
        <v>0.33680555555555602</v>
      </c>
      <c r="V16" s="135"/>
      <c r="W16" s="146">
        <f t="shared" ref="W16:W78" si="7">(U16-T16)*24*60</f>
        <v>70.00000000000135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-98.571428571470278</v>
      </c>
      <c r="AG16" s="52">
        <f>N16/K16</f>
        <v>0.95619047619045761</v>
      </c>
      <c r="AH16" s="784">
        <f>AG26</f>
        <v>0.94144371201946297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3400</v>
      </c>
      <c r="H17" s="78">
        <f>F17*G17</f>
        <v>193358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2170.2127659574394</v>
      </c>
      <c r="O17" s="96">
        <f>N17/M17</f>
        <v>144.68085106382929</v>
      </c>
      <c r="P17" s="97">
        <f t="shared" si="4"/>
        <v>0</v>
      </c>
      <c r="Q17" s="98">
        <f t="shared" si="5"/>
        <v>-5.3191489361707056</v>
      </c>
      <c r="R17" s="99">
        <f t="shared" si="6"/>
        <v>0.96453900709219531</v>
      </c>
      <c r="S17" s="796"/>
      <c r="T17" s="19">
        <v>0.34236111111111101</v>
      </c>
      <c r="U17" s="19">
        <v>0.40763888888888899</v>
      </c>
      <c r="V17" s="30">
        <f>(T17-U16)*24*60</f>
        <v>7.9999999999991722</v>
      </c>
      <c r="W17" s="149">
        <f t="shared" si="7"/>
        <v>94.000000000000313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-79.787234042560613</v>
      </c>
      <c r="AG17" s="72">
        <f>N17/K17</f>
        <v>0.96453900709219531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3123</v>
      </c>
      <c r="H18" s="78">
        <f>F18*G18</f>
        <v>157367.97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2082</v>
      </c>
      <c r="O18" s="96">
        <f>N18/M18</f>
        <v>173.5</v>
      </c>
      <c r="P18" s="97">
        <f t="shared" si="4"/>
        <v>0</v>
      </c>
      <c r="Q18" s="98">
        <f t="shared" si="5"/>
        <v>-14</v>
      </c>
      <c r="R18" s="99">
        <f t="shared" si="6"/>
        <v>0.92533333333333334</v>
      </c>
      <c r="S18" s="796"/>
      <c r="T18" s="19">
        <v>0.41319444444444398</v>
      </c>
      <c r="U18" s="19">
        <v>0.47569444444444398</v>
      </c>
      <c r="V18" s="30">
        <f>(T18-U17)*24*60</f>
        <v>7.9999999999991722</v>
      </c>
      <c r="W18" s="149">
        <f t="shared" si="7"/>
        <v>90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-168</v>
      </c>
      <c r="AG18" s="72">
        <f>N18/K18</f>
        <v>0.92533333333333334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2982</v>
      </c>
      <c r="H19" s="78">
        <f>F19*G19</f>
        <v>150262.98000000001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2033.1818181818219</v>
      </c>
      <c r="O19" s="96">
        <f>N19/M19</f>
        <v>169.4318181818185</v>
      </c>
      <c r="P19" s="97">
        <f t="shared" si="4"/>
        <v>0</v>
      </c>
      <c r="Q19" s="98">
        <f t="shared" si="5"/>
        <v>-18.0681818181815</v>
      </c>
      <c r="R19" s="99">
        <f t="shared" si="6"/>
        <v>0.90363636363636535</v>
      </c>
      <c r="S19" s="796"/>
      <c r="T19" s="19">
        <v>0.54166666666666696</v>
      </c>
      <c r="U19" s="19">
        <v>0.60277777777777797</v>
      </c>
      <c r="V19" s="30">
        <f>(T19-U18)*24*60</f>
        <v>95.000000000001108</v>
      </c>
      <c r="W19" s="149">
        <f t="shared" si="7"/>
        <v>87.999999999999844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-216.81818181817812</v>
      </c>
      <c r="AG19" s="72">
        <f>N19/K19</f>
        <v>0.90363636363636524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1544</v>
      </c>
      <c r="H20" s="78">
        <f>F20*G20</f>
        <v>78234.48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>G20/W20*60</f>
        <v>2154.4186046511704</v>
      </c>
      <c r="O20" s="96">
        <f>N20/M20</f>
        <v>165.72450805009004</v>
      </c>
      <c r="P20" s="97">
        <f t="shared" si="4"/>
        <v>0</v>
      </c>
      <c r="Q20" s="98">
        <f t="shared" si="5"/>
        <v>-7.3524150268330288</v>
      </c>
      <c r="R20" s="99">
        <f t="shared" si="6"/>
        <v>0.95751937984496471</v>
      </c>
      <c r="S20" s="796"/>
      <c r="T20" s="19">
        <v>0.60902777777777795</v>
      </c>
      <c r="U20" s="19">
        <v>0.63888888888888895</v>
      </c>
      <c r="V20" s="30">
        <f>(T20-U19)*24*60</f>
        <v>8.999999999999968</v>
      </c>
      <c r="W20" s="149">
        <f t="shared" si="7"/>
        <v>42.999999999999844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7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8">AVERAGE(J16:J25)</f>
        <v>13</v>
      </c>
      <c r="K26" s="155">
        <f t="shared" si="8"/>
        <v>2250</v>
      </c>
      <c r="L26" s="158">
        <f t="shared" si="8"/>
        <v>174.23076923076923</v>
      </c>
      <c r="M26" s="155">
        <f t="shared" si="8"/>
        <v>13</v>
      </c>
      <c r="N26" s="155">
        <f t="shared" si="8"/>
        <v>2118.2483520437918</v>
      </c>
      <c r="O26" s="158">
        <f t="shared" si="8"/>
        <v>163.76633655804804</v>
      </c>
      <c r="P26" s="159">
        <f t="shared" ref="P26:P32" si="9">M26-J26</f>
        <v>0</v>
      </c>
      <c r="Q26" s="160">
        <f t="shared" ref="Q26:Q32" si="10">O26-L26</f>
        <v>-10.464432672721188</v>
      </c>
      <c r="R26" s="161">
        <f t="shared" ref="R26:R32" si="11">O26/L26</f>
        <v>0.93993923852301309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2">N26-K26</f>
        <v>-131.75164795620822</v>
      </c>
      <c r="AG26" s="124">
        <f t="shared" ref="AG26:AG31" si="13">N26/K26</f>
        <v>0.94144371201946297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1531</v>
      </c>
      <c r="H27" s="134">
        <f t="shared" ref="H27:H32" si="14">F27*G27</f>
        <v>70946.540000000008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 t="shared" ref="L27:L32" si="15">K27/J27</f>
        <v>102.25</v>
      </c>
      <c r="M27" s="170">
        <v>16</v>
      </c>
      <c r="N27" s="140">
        <f t="shared" ref="N27:N32" si="16">G27/W27*60</f>
        <v>1391.8181818181918</v>
      </c>
      <c r="O27" s="141">
        <f t="shared" ref="O27:O32" si="17">N27/M27</f>
        <v>86.988636363636985</v>
      </c>
      <c r="P27" s="142">
        <f t="shared" si="9"/>
        <v>0</v>
      </c>
      <c r="Q27" s="143">
        <f t="shared" si="10"/>
        <v>-15.261363636363015</v>
      </c>
      <c r="R27" s="144">
        <f t="shared" si="11"/>
        <v>0.85074460991332013</v>
      </c>
      <c r="S27" s="795">
        <f>R37</f>
        <v>0.88345512247978553</v>
      </c>
      <c r="T27" s="171">
        <v>0.29513888888888901</v>
      </c>
      <c r="U27" s="171">
        <v>0.34097222222222201</v>
      </c>
      <c r="V27" s="135"/>
      <c r="W27" s="146">
        <f t="shared" si="7"/>
        <v>65.999999999999531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12"/>
        <v>-244.18181818180824</v>
      </c>
      <c r="AG27" s="172">
        <f t="shared" si="13"/>
        <v>0.85074460991332013</v>
      </c>
      <c r="AH27" s="784">
        <f>AG37</f>
        <v>0.86507390349777646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1308</v>
      </c>
      <c r="H28" s="91">
        <f t="shared" si="14"/>
        <v>59723.28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 t="shared" si="15"/>
        <v>96.235294117647058</v>
      </c>
      <c r="M28" s="94">
        <v>16</v>
      </c>
      <c r="N28" s="95">
        <f t="shared" si="16"/>
        <v>1376.8421052631684</v>
      </c>
      <c r="O28" s="96">
        <f t="shared" si="17"/>
        <v>86.052631578948024</v>
      </c>
      <c r="P28" s="97">
        <f t="shared" si="9"/>
        <v>-1</v>
      </c>
      <c r="Q28" s="98">
        <f t="shared" si="10"/>
        <v>-10.182662538699034</v>
      </c>
      <c r="R28" s="99">
        <f t="shared" si="11"/>
        <v>0.89418993694505888</v>
      </c>
      <c r="S28" s="796"/>
      <c r="T28" s="19">
        <v>0.34791666666666698</v>
      </c>
      <c r="U28" s="19">
        <v>0.38750000000000001</v>
      </c>
      <c r="V28" s="92">
        <f>(T28-U27)*24*60</f>
        <v>10.000000000000764</v>
      </c>
      <c r="W28" s="149">
        <f t="shared" si="7"/>
        <v>56.999999999999559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2"/>
        <v>-259.15789473683162</v>
      </c>
      <c r="AG28" s="99">
        <f t="shared" si="13"/>
        <v>0.84159052888946717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942</v>
      </c>
      <c r="H29" s="91">
        <f t="shared" si="14"/>
        <v>53891.82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 t="shared" si="15"/>
        <v>90.888888888888886</v>
      </c>
      <c r="M29" s="94">
        <v>17</v>
      </c>
      <c r="N29" s="95">
        <f t="shared" si="16"/>
        <v>1487.3684210526244</v>
      </c>
      <c r="O29" s="96">
        <f t="shared" si="17"/>
        <v>87.492260061919083</v>
      </c>
      <c r="P29" s="97">
        <f t="shared" si="9"/>
        <v>-1</v>
      </c>
      <c r="Q29" s="98">
        <f t="shared" si="10"/>
        <v>-3.3966288269698026</v>
      </c>
      <c r="R29" s="99">
        <f t="shared" si="11"/>
        <v>0.9626287781873738</v>
      </c>
      <c r="S29" s="796"/>
      <c r="T29" s="19">
        <v>0.39236111111111099</v>
      </c>
      <c r="U29" s="19">
        <v>0.41875000000000001</v>
      </c>
      <c r="V29" s="92">
        <f>(T29-U28)*24*60</f>
        <v>6.9999999999998153</v>
      </c>
      <c r="W29" s="149">
        <f t="shared" si="7"/>
        <v>38.000000000000185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2"/>
        <v>-148.6315789473756</v>
      </c>
      <c r="AG29" s="99">
        <f t="shared" si="13"/>
        <v>0.90914940162140856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1672</v>
      </c>
      <c r="H30" s="91">
        <f t="shared" si="14"/>
        <v>83449.51999999999</v>
      </c>
      <c r="I30" s="92"/>
      <c r="J30" s="79">
        <f>VLOOKUP(D30,產線配置圖!$A$3:$C$40,2,0)</f>
        <v>18</v>
      </c>
      <c r="K30" s="80">
        <v>1636</v>
      </c>
      <c r="L30" s="93">
        <f t="shared" si="15"/>
        <v>90.888888888888886</v>
      </c>
      <c r="M30" s="94">
        <v>18</v>
      </c>
      <c r="N30" s="95">
        <f t="shared" si="16"/>
        <v>1433.1428571428605</v>
      </c>
      <c r="O30" s="96">
        <f t="shared" si="17"/>
        <v>79.619047619047805</v>
      </c>
      <c r="P30" s="97">
        <f t="shared" si="9"/>
        <v>0</v>
      </c>
      <c r="Q30" s="98">
        <f t="shared" si="10"/>
        <v>-11.269841269841081</v>
      </c>
      <c r="R30" s="99">
        <f t="shared" si="11"/>
        <v>0.87600419140761643</v>
      </c>
      <c r="S30" s="796"/>
      <c r="T30" s="19">
        <v>0.42361111111111099</v>
      </c>
      <c r="U30" s="19">
        <v>0.47222222222222199</v>
      </c>
      <c r="V30" s="92">
        <f>(T30-U29)*24*60</f>
        <v>6.9999999999998153</v>
      </c>
      <c r="W30" s="149">
        <f t="shared" si="7"/>
        <v>69.999999999999829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2"/>
        <v>-202.85714285713948</v>
      </c>
      <c r="AG30" s="99">
        <f t="shared" si="13"/>
        <v>0.87600419140761643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1516</v>
      </c>
      <c r="H31" s="91">
        <f t="shared" si="14"/>
        <v>75663.56</v>
      </c>
      <c r="I31" s="92"/>
      <c r="J31" s="79">
        <f>VLOOKUP(D31,產線配置圖!$A$3:$C$40,2,0)</f>
        <v>18</v>
      </c>
      <c r="K31" s="80">
        <v>1636</v>
      </c>
      <c r="L31" s="93">
        <f t="shared" si="15"/>
        <v>90.888888888888886</v>
      </c>
      <c r="M31" s="94">
        <v>18</v>
      </c>
      <c r="N31" s="95">
        <f t="shared" si="16"/>
        <v>1467.0967741935347</v>
      </c>
      <c r="O31" s="96">
        <f t="shared" si="17"/>
        <v>81.505376344085263</v>
      </c>
      <c r="P31" s="97">
        <f t="shared" si="9"/>
        <v>0</v>
      </c>
      <c r="Q31" s="98">
        <f t="shared" si="10"/>
        <v>-9.3835125448036223</v>
      </c>
      <c r="R31" s="99">
        <f t="shared" si="11"/>
        <v>0.89675841943370094</v>
      </c>
      <c r="S31" s="796"/>
      <c r="T31" s="19">
        <v>0.53333333333333299</v>
      </c>
      <c r="U31" s="19">
        <v>0.57638888888888895</v>
      </c>
      <c r="V31" s="92">
        <f>(T31-U30)*24*60</f>
        <v>87.999999999999844</v>
      </c>
      <c r="W31" s="149">
        <f t="shared" si="7"/>
        <v>62.000000000000583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2"/>
        <v>-168.90322580646534</v>
      </c>
      <c r="AG31" s="99">
        <f t="shared" si="13"/>
        <v>0.89675841943370094</v>
      </c>
      <c r="AH31" s="786"/>
    </row>
    <row r="32" spans="1:34" ht="15" customHeight="1">
      <c r="A32" s="793"/>
      <c r="B32" s="75" t="s">
        <v>81</v>
      </c>
      <c r="C32" s="102"/>
      <c r="D32" s="175" t="s">
        <v>124</v>
      </c>
      <c r="E32" s="176"/>
      <c r="F32" s="75">
        <f>VLOOKUP(D32,廠價表!$C$1:$E$43,3,0)</f>
        <v>57.21</v>
      </c>
      <c r="G32" s="90">
        <v>623</v>
      </c>
      <c r="H32" s="91">
        <f t="shared" si="14"/>
        <v>35641.83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5"/>
        <v>90.888888888888886</v>
      </c>
      <c r="M32" s="94">
        <v>18</v>
      </c>
      <c r="N32" s="95">
        <f t="shared" si="16"/>
        <v>1437.6923076922776</v>
      </c>
      <c r="O32" s="96">
        <f t="shared" si="17"/>
        <v>79.871794871793199</v>
      </c>
      <c r="P32" s="97">
        <f t="shared" si="9"/>
        <v>0</v>
      </c>
      <c r="Q32" s="98">
        <f t="shared" si="10"/>
        <v>-11.017094017095687</v>
      </c>
      <c r="R32" s="99">
        <f t="shared" si="11"/>
        <v>0.87878502915175893</v>
      </c>
      <c r="S32" s="796"/>
      <c r="T32" s="19">
        <v>0.58125000000000004</v>
      </c>
      <c r="U32" s="19">
        <v>0.59930555555555598</v>
      </c>
      <c r="V32" s="92">
        <f>(T32-U31)*24*60</f>
        <v>6.9999999999999751</v>
      </c>
      <c r="W32" s="149">
        <f t="shared" si="7"/>
        <v>26.000000000000547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 t="s">
        <v>81</v>
      </c>
      <c r="C33" s="177"/>
      <c r="D33" s="59" t="s">
        <v>125</v>
      </c>
      <c r="E33" s="178"/>
      <c r="F33" s="75">
        <f>VLOOKUP(D33,廠價表!$C$1:$E$43,3,0)</f>
        <v>45.66</v>
      </c>
      <c r="G33" s="90">
        <v>433</v>
      </c>
      <c r="H33" s="91">
        <f t="shared" ref="H33:H34" si="18">F33*G33</f>
        <v>19770.78</v>
      </c>
      <c r="I33" s="92"/>
      <c r="J33" s="79">
        <f>VLOOKUP(D33,產線配置圖!$A$3:$C$40,2,0)</f>
        <v>17</v>
      </c>
      <c r="K33" s="80">
        <v>1566</v>
      </c>
      <c r="L33" s="93">
        <f t="shared" ref="L33:L34" si="19">K33/J33</f>
        <v>92.117647058823536</v>
      </c>
      <c r="M33" s="94">
        <v>16</v>
      </c>
      <c r="N33" s="95">
        <f t="shared" ref="N33:N34" si="20">G33/W33*60</f>
        <v>1298.9999999999839</v>
      </c>
      <c r="O33" s="96">
        <f t="shared" ref="O33:O34" si="21">N33/M33</f>
        <v>81.187499999998991</v>
      </c>
      <c r="P33" s="97">
        <f t="shared" ref="P33:P34" si="22">M33-J33</f>
        <v>-1</v>
      </c>
      <c r="Q33" s="98">
        <f t="shared" ref="Q33:Q34" si="23">O33-L33</f>
        <v>-10.930147058824545</v>
      </c>
      <c r="R33" s="99">
        <f t="shared" ref="R33:R34" si="24">O33/L33</f>
        <v>0.88134578544060205</v>
      </c>
      <c r="S33" s="796"/>
      <c r="T33" s="19">
        <v>0.60624999999999996</v>
      </c>
      <c r="U33" s="19">
        <v>0.62013888888888902</v>
      </c>
      <c r="V33" s="92">
        <f t="shared" ref="V33:V34" si="25">(T33-U32)*24*60</f>
        <v>9.999999999999325</v>
      </c>
      <c r="W33" s="149">
        <f t="shared" si="7"/>
        <v>20.000000000000249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 t="s">
        <v>81</v>
      </c>
      <c r="C34" s="173"/>
      <c r="D34" s="59" t="s">
        <v>122</v>
      </c>
      <c r="E34" s="104"/>
      <c r="F34" s="75">
        <f>VLOOKUP(D34,廠價表!$C$1:$E$43,3,0)</f>
        <v>46.34</v>
      </c>
      <c r="G34" s="90">
        <v>958</v>
      </c>
      <c r="H34" s="91">
        <f t="shared" si="18"/>
        <v>44393.72</v>
      </c>
      <c r="I34" s="92"/>
      <c r="J34" s="79">
        <f>VLOOKUP(D34,產線配置圖!$A$3:$C$40,2,0)</f>
        <v>16</v>
      </c>
      <c r="K34" s="80">
        <f>VLOOKUP(D34,產線配置圖!$A$3:$C$40,3,0)</f>
        <v>1636</v>
      </c>
      <c r="L34" s="93">
        <f t="shared" si="19"/>
        <v>102.25</v>
      </c>
      <c r="M34" s="94">
        <v>16</v>
      </c>
      <c r="N34" s="95">
        <f t="shared" si="20"/>
        <v>1368.5714285714125</v>
      </c>
      <c r="O34" s="96">
        <f t="shared" si="21"/>
        <v>85.535714285713283</v>
      </c>
      <c r="P34" s="97">
        <f t="shared" si="22"/>
        <v>0</v>
      </c>
      <c r="Q34" s="98">
        <f t="shared" si="23"/>
        <v>-16.714285714286717</v>
      </c>
      <c r="R34" s="99">
        <f t="shared" si="24"/>
        <v>0.83653510303876066</v>
      </c>
      <c r="S34" s="796"/>
      <c r="T34" s="19">
        <v>0.62708333333333299</v>
      </c>
      <c r="U34" s="19">
        <v>0.65625</v>
      </c>
      <c r="V34" s="92">
        <f t="shared" si="25"/>
        <v>9.999999999999325</v>
      </c>
      <c r="W34" s="149">
        <f t="shared" si="7"/>
        <v>42.00000000000049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6">AVERAGE(J27:J36)</f>
        <v>17.25</v>
      </c>
      <c r="K37" s="155">
        <f t="shared" si="26"/>
        <v>1627.25</v>
      </c>
      <c r="L37" s="158">
        <f t="shared" si="26"/>
        <v>94.551062091503283</v>
      </c>
      <c r="M37" s="155">
        <f t="shared" si="26"/>
        <v>16.875</v>
      </c>
      <c r="N37" s="155">
        <f t="shared" si="26"/>
        <v>1407.6915094667568</v>
      </c>
      <c r="O37" s="158">
        <f t="shared" si="26"/>
        <v>83.531620140642843</v>
      </c>
      <c r="P37" s="159">
        <f>M37-J37</f>
        <v>-0.375</v>
      </c>
      <c r="Q37" s="160">
        <f>N37-K37</f>
        <v>-219.55849053324323</v>
      </c>
      <c r="R37" s="161">
        <f>O37/L37</f>
        <v>0.88345512247978553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-219.55849053324323</v>
      </c>
      <c r="AG37" s="124">
        <f>N37/K37</f>
        <v>0.86507390349777646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3069</v>
      </c>
      <c r="H38" s="134">
        <f>F38*G38</f>
        <v>153173.78999999998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1601.2173913043503</v>
      </c>
      <c r="O38" s="141">
        <f>N38/M38</f>
        <v>100.07608695652189</v>
      </c>
      <c r="P38" s="142">
        <f>M38-J38</f>
        <v>0</v>
      </c>
      <c r="Q38" s="143">
        <f>O38-L38</f>
        <v>-7.0489130434781089</v>
      </c>
      <c r="R38" s="144">
        <f>O38/L38</f>
        <v>0.93419917812389164</v>
      </c>
      <c r="S38" s="817">
        <f>R48</f>
        <v>0.93482629825646646</v>
      </c>
      <c r="T38" s="191">
        <v>0.33333333333333298</v>
      </c>
      <c r="U38" s="191">
        <v>0.41319444444444398</v>
      </c>
      <c r="V38" s="192"/>
      <c r="W38" s="193">
        <f t="shared" si="7"/>
        <v>114.99999999999983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-112.78260869564974</v>
      </c>
      <c r="AG38" s="195">
        <f>N38/K38</f>
        <v>0.93419917812389164</v>
      </c>
      <c r="AH38" s="807">
        <f>AG48</f>
        <v>0.86991772411388191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2443</v>
      </c>
      <c r="H39" s="91">
        <f>F39*G39</f>
        <v>108224.9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16</v>
      </c>
      <c r="N39" s="202">
        <f>G39/W39*60</f>
        <v>1395.9999999999932</v>
      </c>
      <c r="O39" s="203">
        <f>N39/M39</f>
        <v>87.249999999999574</v>
      </c>
      <c r="P39" s="97">
        <f>M39-J39</f>
        <v>-2</v>
      </c>
      <c r="Q39" s="98">
        <f>O39-L39</f>
        <v>-3.6388888888893121</v>
      </c>
      <c r="R39" s="99">
        <f>O39/L39</f>
        <v>0.95996332518336946</v>
      </c>
      <c r="S39" s="818"/>
      <c r="T39" s="20">
        <v>0.42013888888888901</v>
      </c>
      <c r="U39" s="20">
        <v>0.49305555555555602</v>
      </c>
      <c r="V39" s="92">
        <f>(T39-U38)*24*60</f>
        <v>10.000000000000844</v>
      </c>
      <c r="W39" s="205">
        <f t="shared" si="7"/>
        <v>105.00000000000051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-240.00000000000682</v>
      </c>
      <c r="AG39" s="206">
        <f>N39/K39</f>
        <v>0.8533007334963284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3314</v>
      </c>
      <c r="H40" s="91">
        <f>F40*G40</f>
        <v>146810.19999999998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16</v>
      </c>
      <c r="N40" s="202">
        <f>G40/W40*60</f>
        <v>1325.600000000009</v>
      </c>
      <c r="O40" s="203">
        <f>N40/M40</f>
        <v>82.850000000000563</v>
      </c>
      <c r="P40" s="97">
        <f>M40-J40</f>
        <v>-2</v>
      </c>
      <c r="Q40" s="98">
        <f>O40-L40</f>
        <v>-8.038888888888323</v>
      </c>
      <c r="R40" s="99">
        <f>O40/L40</f>
        <v>0.91155256723717004</v>
      </c>
      <c r="S40" s="749"/>
      <c r="T40" s="20">
        <v>0.55555555555555602</v>
      </c>
      <c r="U40" s="20">
        <v>0.65972222222222199</v>
      </c>
      <c r="V40" s="92">
        <f>(T40-U39)*24*60</f>
        <v>90</v>
      </c>
      <c r="W40" s="205">
        <f t="shared" si="7"/>
        <v>149.99999999999898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-310.399999999991</v>
      </c>
      <c r="AG40" s="206">
        <f>N40/K40</f>
        <v>0.81026894865526222</v>
      </c>
      <c r="AH40" s="808"/>
    </row>
    <row r="41" spans="1:34" ht="15" customHeight="1">
      <c r="A41" s="815"/>
      <c r="B41" s="75" t="s">
        <v>81</v>
      </c>
      <c r="C41" s="207"/>
      <c r="D41" s="198" t="s">
        <v>128</v>
      </c>
      <c r="E41" s="178"/>
      <c r="F41" s="75">
        <f>VLOOKUP(D41,廠價表!$C$1:$E$43,3,0)</f>
        <v>50.289000000000001</v>
      </c>
      <c r="G41" s="199">
        <v>647</v>
      </c>
      <c r="H41" s="91">
        <f>F41*G41</f>
        <v>32536.983</v>
      </c>
      <c r="I41" s="200"/>
      <c r="J41" s="148">
        <f>VLOOKUP(D41,產線配置圖!$A$3:$C$40,2,0)</f>
        <v>17</v>
      </c>
      <c r="K41" s="95">
        <f>VLOOKUP(D41,產線配置圖!$A$3:$C$40,3,0)</f>
        <v>1636</v>
      </c>
      <c r="L41" s="96">
        <f>K41/J41</f>
        <v>96.235294117647058</v>
      </c>
      <c r="M41" s="201">
        <v>16</v>
      </c>
      <c r="N41" s="202">
        <f>G41/W41*60</f>
        <v>1437.7777777777742</v>
      </c>
      <c r="O41" s="203">
        <f>N41/M41</f>
        <v>89.861111111110887</v>
      </c>
      <c r="P41" s="97">
        <f>M41-J41</f>
        <v>-1</v>
      </c>
      <c r="Q41" s="98">
        <f>O41-L41</f>
        <v>-6.3741830065361711</v>
      </c>
      <c r="R41" s="99">
        <f>O41/L41</f>
        <v>0.93376460201032097</v>
      </c>
      <c r="S41" s="749"/>
      <c r="T41" s="20">
        <v>0.66874999999999996</v>
      </c>
      <c r="U41" s="210">
        <v>0.6875</v>
      </c>
      <c r="V41" s="92">
        <f>(T41-U40)*24*60</f>
        <v>13.000000000000274</v>
      </c>
      <c r="W41" s="205">
        <f t="shared" si="7"/>
        <v>27.000000000000064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-198.22222222222581</v>
      </c>
      <c r="AG41" s="206">
        <f>N41/K41</f>
        <v>0.87883727248030208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7">AVERAGE(J38:J47)</f>
        <v>17.25</v>
      </c>
      <c r="K48" s="155">
        <f t="shared" si="27"/>
        <v>1655.5</v>
      </c>
      <c r="L48" s="158">
        <f t="shared" si="27"/>
        <v>96.284517973856211</v>
      </c>
      <c r="M48" s="155">
        <f t="shared" si="27"/>
        <v>16</v>
      </c>
      <c r="N48" s="155">
        <f t="shared" si="27"/>
        <v>1440.1487922705314</v>
      </c>
      <c r="O48" s="158">
        <f t="shared" si="27"/>
        <v>90.009299516908214</v>
      </c>
      <c r="P48" s="221">
        <f>M48-J48</f>
        <v>-1.25</v>
      </c>
      <c r="Q48" s="222">
        <f>N48-K48</f>
        <v>-215.35120772946857</v>
      </c>
      <c r="R48" s="223">
        <f>O48/L48</f>
        <v>0.93482629825646646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8">N48-K48</f>
        <v>-215.35120772946857</v>
      </c>
      <c r="AG48" s="162">
        <f t="shared" ref="AG48:AG53" si="29">N48/K48</f>
        <v>0.86991772411388191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2631</v>
      </c>
      <c r="H49" s="134">
        <f>F49*G49</f>
        <v>130287.12000000001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1547.6470588235156</v>
      </c>
      <c r="O49" s="141">
        <f>N49/M49</f>
        <v>91.03806228373621</v>
      </c>
      <c r="P49" s="229">
        <f>M49-J49</f>
        <v>0</v>
      </c>
      <c r="Q49" s="230">
        <f>O49-L49</f>
        <v>-14.844290657440254</v>
      </c>
      <c r="R49" s="52">
        <f>O49/L49</f>
        <v>0.85980392156861984</v>
      </c>
      <c r="S49" s="748">
        <f>R58</f>
        <v>0.87687666933658637</v>
      </c>
      <c r="T49" s="191">
        <v>0.29097222222222202</v>
      </c>
      <c r="U49" s="191">
        <v>0.36180555555555599</v>
      </c>
      <c r="V49" s="55"/>
      <c r="W49" s="193">
        <f t="shared" si="7"/>
        <v>102.00000000000091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8"/>
        <v>-252.35294117648436</v>
      </c>
      <c r="AG49" s="52">
        <f t="shared" si="29"/>
        <v>0.85980392156861984</v>
      </c>
      <c r="AH49" s="784">
        <f>AG58</f>
        <v>0.87719933701942021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1930</v>
      </c>
      <c r="H50" s="231">
        <f>F50*G50</f>
        <v>97057.77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1503.8961038961108</v>
      </c>
      <c r="O50" s="235">
        <f>N50/M50</f>
        <v>88.464476699771225</v>
      </c>
      <c r="P50" s="74">
        <f>M50-J50</f>
        <v>0</v>
      </c>
      <c r="Q50" s="83">
        <f>O50-L50</f>
        <v>-7.7708174178758327</v>
      </c>
      <c r="R50" s="72">
        <f>O50/L50</f>
        <v>0.91925189724701151</v>
      </c>
      <c r="S50" s="749"/>
      <c r="T50" s="21">
        <v>0.36875000000000002</v>
      </c>
      <c r="U50" s="21">
        <v>0.422222222222222</v>
      </c>
      <c r="V50" s="30">
        <f>(T50-U49)*24*60</f>
        <v>9.9999999999994049</v>
      </c>
      <c r="W50" s="236">
        <f t="shared" si="7"/>
        <v>76.999999999999645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8"/>
        <v>-132.10389610388916</v>
      </c>
      <c r="AG50" s="72">
        <f t="shared" si="29"/>
        <v>0.91925189724701151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1856</v>
      </c>
      <c r="H51" s="231">
        <f>F51*G51</f>
        <v>92744.319999999992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1546.666666666667</v>
      </c>
      <c r="O51" s="235">
        <f>N51/M51</f>
        <v>96.666666666666686</v>
      </c>
      <c r="P51" s="74">
        <f>M51-J51</f>
        <v>0</v>
      </c>
      <c r="Q51" s="83">
        <f>O51-L51</f>
        <v>-15.833333333333314</v>
      </c>
      <c r="R51" s="72">
        <f>O51/L51</f>
        <v>0.85925925925925939</v>
      </c>
      <c r="S51" s="749"/>
      <c r="T51" s="21">
        <v>0.42638888888888898</v>
      </c>
      <c r="U51" s="19">
        <v>0.47638888888888897</v>
      </c>
      <c r="V51" s="30">
        <f>(T51-U50)*24*60</f>
        <v>6.0000000000004583</v>
      </c>
      <c r="W51" s="236">
        <f t="shared" si="7"/>
        <v>71.999999999999986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8"/>
        <v>-253.33333333333303</v>
      </c>
      <c r="AG51" s="72">
        <f t="shared" si="29"/>
        <v>0.85925925925925939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4459</v>
      </c>
      <c r="H52" s="231">
        <f>F52*G52</f>
        <v>222816.22999999998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1573.7647058823466</v>
      </c>
      <c r="O52" s="235">
        <f>N52/M52</f>
        <v>98.36029411764666</v>
      </c>
      <c r="P52" s="74">
        <f>M52-J52</f>
        <v>0</v>
      </c>
      <c r="Q52" s="83">
        <f>O52-L52</f>
        <v>-14.13970588235334</v>
      </c>
      <c r="R52" s="72">
        <f>O52/L52</f>
        <v>0.87431372549019248</v>
      </c>
      <c r="S52" s="749"/>
      <c r="T52" s="21">
        <v>0.53125</v>
      </c>
      <c r="U52" s="21">
        <v>0.64930555555555602</v>
      </c>
      <c r="V52" s="30">
        <f>(T52-U51)*24*60</f>
        <v>78.999999999999886</v>
      </c>
      <c r="W52" s="236">
        <f t="shared" si="7"/>
        <v>170.00000000000068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28"/>
        <v>-226.23529411765344</v>
      </c>
      <c r="AG52" s="72">
        <f t="shared" si="29"/>
        <v>0.87431372549019248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8"/>
        <v>0</v>
      </c>
      <c r="AG53" s="72" t="e">
        <f t="shared" si="29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0">AVERAGE(J49:J57)</f>
        <v>16.5</v>
      </c>
      <c r="K58" s="120">
        <f t="shared" si="30"/>
        <v>1759</v>
      </c>
      <c r="L58" s="117">
        <f t="shared" si="30"/>
        <v>106.77941176470588</v>
      </c>
      <c r="M58" s="120">
        <f t="shared" si="30"/>
        <v>16.5</v>
      </c>
      <c r="N58" s="120">
        <f t="shared" si="30"/>
        <v>1542.9936338171601</v>
      </c>
      <c r="O58" s="117">
        <f t="shared" si="30"/>
        <v>93.632374941955206</v>
      </c>
      <c r="P58" s="121">
        <f>M58-J58</f>
        <v>0</v>
      </c>
      <c r="Q58" s="122">
        <f>N58-K58</f>
        <v>-216.00636618283988</v>
      </c>
      <c r="R58" s="123">
        <f t="shared" ref="R58:R61" si="31">O58/L58</f>
        <v>0.87687666933658637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-216.00636618283988</v>
      </c>
      <c r="AG58" s="124">
        <f>N58/K58</f>
        <v>0.87719933701942021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3854</v>
      </c>
      <c r="H59" s="243">
        <f>F59*G59</f>
        <v>104019.45999999999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1541.5999999999947</v>
      </c>
      <c r="O59" s="138">
        <f>N59/M59</f>
        <v>102.77333333333299</v>
      </c>
      <c r="P59" s="56">
        <f>M59-J59</f>
        <v>0</v>
      </c>
      <c r="Q59" s="230">
        <f>O59-L59</f>
        <v>-6.2933333333336776</v>
      </c>
      <c r="R59" s="52">
        <f t="shared" si="31"/>
        <v>0.94229828850855435</v>
      </c>
      <c r="S59" s="748">
        <f>R69</f>
        <v>0.8990488401216522</v>
      </c>
      <c r="T59" s="245">
        <v>0.28819444444444398</v>
      </c>
      <c r="U59" s="245">
        <v>0.39236111111111099</v>
      </c>
      <c r="V59" s="55"/>
      <c r="W59" s="54">
        <f t="shared" si="7"/>
        <v>150.00000000000051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-94.400000000005321</v>
      </c>
      <c r="AG59" s="246">
        <f>N59/K59</f>
        <v>0.94229828850855424</v>
      </c>
      <c r="AH59" s="784">
        <f>AG69</f>
        <v>0.90289323553382128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1936</v>
      </c>
      <c r="H60" s="78">
        <f>F60*G60</f>
        <v>54711.360000000001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1548.8000000000106</v>
      </c>
      <c r="O60" s="81">
        <f>N60/M60</f>
        <v>140.80000000000098</v>
      </c>
      <c r="P60" s="74">
        <f>M60-J60</f>
        <v>0</v>
      </c>
      <c r="Q60" s="83">
        <f>O60-L60</f>
        <v>-7.9272727272717418</v>
      </c>
      <c r="R60" s="72">
        <f t="shared" si="31"/>
        <v>0.94669926650367409</v>
      </c>
      <c r="S60" s="829"/>
      <c r="T60" s="22">
        <v>0.39930555555555602</v>
      </c>
      <c r="U60" s="22">
        <v>0.45138888888888901</v>
      </c>
      <c r="V60" s="30">
        <f>(T60-U59)*24*60</f>
        <v>10.000000000000844</v>
      </c>
      <c r="W60" s="248">
        <f t="shared" si="7"/>
        <v>74.999999999999488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-87.199999999989359</v>
      </c>
      <c r="AG60" s="249">
        <f>N60/K60</f>
        <v>0.94669926650367398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1788</v>
      </c>
      <c r="H61" s="254">
        <f>F61*G61</f>
        <v>50528.880000000005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1340.99999999999</v>
      </c>
      <c r="O61" s="238">
        <f>N61/M61</f>
        <v>121.90909090909</v>
      </c>
      <c r="P61" s="111">
        <f>M61-J61</f>
        <v>0</v>
      </c>
      <c r="Q61" s="255">
        <f>O61-L61</f>
        <v>-26.818181818182723</v>
      </c>
      <c r="R61" s="85">
        <f t="shared" si="31"/>
        <v>0.81968215158923596</v>
      </c>
      <c r="S61" s="749"/>
      <c r="T61" s="22">
        <v>0.45833333333333298</v>
      </c>
      <c r="U61" s="22">
        <v>0.51388888888888895</v>
      </c>
      <c r="V61" s="30">
        <f>(T61-U60)*24*60</f>
        <v>9.999999999999325</v>
      </c>
      <c r="W61" s="256">
        <f t="shared" si="7"/>
        <v>80.000000000000597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-295.00000000001</v>
      </c>
      <c r="AG61" s="247">
        <f>N61/K61</f>
        <v>0.81968215158923596</v>
      </c>
      <c r="AH61" s="785"/>
    </row>
    <row r="62" spans="1:34" ht="15" customHeight="1">
      <c r="A62" s="827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7"/>
        <v>0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0</v>
      </c>
      <c r="AG62" s="247" t="e">
        <f>N62/K62</f>
        <v>#DIV/0!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7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7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2">AVERAGE(J59:J68)</f>
        <v>12.333333333333334</v>
      </c>
      <c r="K69" s="240">
        <f t="shared" si="32"/>
        <v>1636</v>
      </c>
      <c r="L69" s="268">
        <f t="shared" si="32"/>
        <v>135.50707070707071</v>
      </c>
      <c r="M69" s="240">
        <f t="shared" si="32"/>
        <v>12.333333333333334</v>
      </c>
      <c r="N69" s="240">
        <f t="shared" si="32"/>
        <v>1477.1333333333316</v>
      </c>
      <c r="O69" s="268">
        <f t="shared" si="32"/>
        <v>121.82747474747464</v>
      </c>
      <c r="P69" s="269">
        <f>M69-J69</f>
        <v>0</v>
      </c>
      <c r="Q69" s="222">
        <f>N69-K69</f>
        <v>-158.86666666666838</v>
      </c>
      <c r="R69" s="123">
        <f>O69/L69</f>
        <v>0.8990488401216522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-158.86666666666838</v>
      </c>
      <c r="AG69" s="124">
        <f>N69/K69</f>
        <v>0.90289323553382128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3688</v>
      </c>
      <c r="H70" s="243">
        <f>F70*G70</f>
        <v>104222.88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1341.0909090909131</v>
      </c>
      <c r="O70" s="138">
        <f>N70/M70</f>
        <v>121.91735537190119</v>
      </c>
      <c r="P70" s="56">
        <f>M70-J70</f>
        <v>0</v>
      </c>
      <c r="Q70" s="230">
        <f>O70-L70</f>
        <v>-26.809917355371525</v>
      </c>
      <c r="R70" s="52">
        <f>O70/L70</f>
        <v>0.81973771949322327</v>
      </c>
      <c r="S70" s="748">
        <f>R79</f>
        <v>0.83035152240266663</v>
      </c>
      <c r="T70" s="245">
        <v>0.29166666666666702</v>
      </c>
      <c r="U70" s="245">
        <v>0.40625</v>
      </c>
      <c r="V70" s="55"/>
      <c r="W70" s="54">
        <f t="shared" si="7"/>
        <v>164.99999999999949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-294.9090909090869</v>
      </c>
      <c r="AG70" s="246">
        <f>N70/K70</f>
        <v>0.81973771949322316</v>
      </c>
      <c r="AH70" s="784">
        <f>AG79</f>
        <v>0.74335860952542931</v>
      </c>
    </row>
    <row r="71" spans="1:36" ht="15" customHeight="1">
      <c r="A71" s="822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1298</v>
      </c>
      <c r="H71" s="254">
        <f>F71*G71</f>
        <v>56969.22</v>
      </c>
      <c r="I71" s="232"/>
      <c r="J71" s="79">
        <f>VLOOKUP(D71,產線配置圖!$A$3:$C$40,2,0)</f>
        <v>14</v>
      </c>
      <c r="K71" s="80">
        <f>VLOOKUP(D71,產線配置圖!$A$3:$C$40,3,0)</f>
        <v>1565</v>
      </c>
      <c r="L71" s="81">
        <f>K71/J71</f>
        <v>111.78571428571429</v>
      </c>
      <c r="M71" s="82">
        <v>11</v>
      </c>
      <c r="N71" s="107">
        <f>G71/W71*60</f>
        <v>1038.399999999986</v>
      </c>
      <c r="O71" s="238">
        <f>N71/M71</f>
        <v>94.399999999998727</v>
      </c>
      <c r="P71" s="111">
        <f>M71-J71</f>
        <v>-3</v>
      </c>
      <c r="Q71" s="255">
        <f>O71-L71</f>
        <v>-17.385714285715565</v>
      </c>
      <c r="R71" s="85">
        <f>O71/L71</f>
        <v>0.8444728434504678</v>
      </c>
      <c r="S71" s="749"/>
      <c r="T71" s="22">
        <v>0.41319444444444398</v>
      </c>
      <c r="U71" s="22">
        <v>0.46527777777777801</v>
      </c>
      <c r="V71" s="30">
        <f>(T71-U70)*24*60</f>
        <v>9.999999999999325</v>
      </c>
      <c r="W71" s="73">
        <f t="shared" si="7"/>
        <v>75.000000000001009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250"/>
      <c r="G72" s="202"/>
      <c r="H72" s="254"/>
      <c r="I72" s="232"/>
      <c r="J72" s="79"/>
      <c r="K72" s="80"/>
      <c r="L72" s="81"/>
      <c r="M72" s="82"/>
      <c r="N72" s="107"/>
      <c r="O72" s="238"/>
      <c r="P72" s="111"/>
      <c r="Q72" s="255"/>
      <c r="R72" s="85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58"/>
      <c r="D73" s="259"/>
      <c r="E73" s="60"/>
      <c r="F73" s="250"/>
      <c r="G73" s="273"/>
      <c r="H73" s="389"/>
      <c r="I73" s="182"/>
      <c r="J73" s="79"/>
      <c r="K73" s="80"/>
      <c r="L73" s="81"/>
      <c r="M73" s="94"/>
      <c r="N73" s="107"/>
      <c r="O73" s="238"/>
      <c r="P73" s="111"/>
      <c r="Q73" s="255"/>
      <c r="R73" s="85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3">AVERAGE(J70:J78)</f>
        <v>12.5</v>
      </c>
      <c r="K79" s="240">
        <f t="shared" si="33"/>
        <v>1600.5</v>
      </c>
      <c r="L79" s="268">
        <f t="shared" si="33"/>
        <v>130.25649350649351</v>
      </c>
      <c r="M79" s="240">
        <f t="shared" si="33"/>
        <v>11</v>
      </c>
      <c r="N79" s="240">
        <f t="shared" si="33"/>
        <v>1189.7454545454495</v>
      </c>
      <c r="O79" s="268">
        <f t="shared" si="33"/>
        <v>108.15867768594995</v>
      </c>
      <c r="P79" s="269">
        <f>M79-J79</f>
        <v>-1.5</v>
      </c>
      <c r="Q79" s="222">
        <f>N79-K79</f>
        <v>-410.75454545455045</v>
      </c>
      <c r="R79" s="223">
        <f>O79/L79</f>
        <v>0.83035152240266663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-410.75454545455045</v>
      </c>
      <c r="AG79" s="124">
        <f>N79/K79</f>
        <v>0.74335860952542931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2:B2"/>
    <mergeCell ref="A3:A4"/>
    <mergeCell ref="B3:B4"/>
    <mergeCell ref="D3:E4"/>
    <mergeCell ref="F3:F4"/>
    <mergeCell ref="X3:Y3"/>
    <mergeCell ref="Z3:AA3"/>
    <mergeCell ref="R3:R4"/>
    <mergeCell ref="T3:U3"/>
    <mergeCell ref="W3:W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P3:P4"/>
    <mergeCell ref="Q3:Q4"/>
    <mergeCell ref="AG3:AG4"/>
    <mergeCell ref="AH3:AH4"/>
    <mergeCell ref="N3:N4"/>
    <mergeCell ref="O3:O4"/>
    <mergeCell ref="V3:V4"/>
    <mergeCell ref="AB3:AC4"/>
    <mergeCell ref="AD3:AE3"/>
    <mergeCell ref="AF3:AF4"/>
    <mergeCell ref="A5:A15"/>
    <mergeCell ref="S5:S15"/>
    <mergeCell ref="AB5:AC5"/>
    <mergeCell ref="AH16:AH26"/>
    <mergeCell ref="AB17:AC17"/>
    <mergeCell ref="AB18:AC18"/>
    <mergeCell ref="AB19:AC19"/>
    <mergeCell ref="AH5:AH15"/>
    <mergeCell ref="AB6:AC6"/>
    <mergeCell ref="AB7:AC7"/>
    <mergeCell ref="AB8:AC8"/>
    <mergeCell ref="AB9:AC9"/>
    <mergeCell ref="AB10:AC10"/>
    <mergeCell ref="AB11:AC11"/>
    <mergeCell ref="AB12:AC12"/>
    <mergeCell ref="AB14:AC14"/>
    <mergeCell ref="D15:E15"/>
    <mergeCell ref="AB15:AC15"/>
    <mergeCell ref="S16:S26"/>
    <mergeCell ref="AB16:AC16"/>
    <mergeCell ref="D26:E26"/>
    <mergeCell ref="AB26:AC26"/>
    <mergeCell ref="AB25:AC25"/>
    <mergeCell ref="AB13:AC13"/>
    <mergeCell ref="AB21:AC21"/>
    <mergeCell ref="AB22:AC22"/>
    <mergeCell ref="AB23:AC23"/>
    <mergeCell ref="AB24:AC24"/>
    <mergeCell ref="AB20:AC20"/>
    <mergeCell ref="A16:A26"/>
    <mergeCell ref="AH38:AH48"/>
    <mergeCell ref="AB42:AC42"/>
    <mergeCell ref="AB43:AC43"/>
    <mergeCell ref="AB44:AC44"/>
    <mergeCell ref="AB45:AC45"/>
    <mergeCell ref="AB46:AC46"/>
    <mergeCell ref="A38:A48"/>
    <mergeCell ref="S38:S48"/>
    <mergeCell ref="AB38:AC38"/>
    <mergeCell ref="D48:E48"/>
    <mergeCell ref="AB48:AC48"/>
    <mergeCell ref="AB39:AC39"/>
    <mergeCell ref="AB40:AC40"/>
    <mergeCell ref="AB41:AC41"/>
    <mergeCell ref="AB47:AC47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6:AC36"/>
    <mergeCell ref="D37:E37"/>
    <mergeCell ref="AB37:AC37"/>
    <mergeCell ref="AB32:AC32"/>
    <mergeCell ref="AB33:AC33"/>
    <mergeCell ref="AB34:AC34"/>
    <mergeCell ref="AB35:AC35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60:AC60"/>
    <mergeCell ref="AB61:AC61"/>
    <mergeCell ref="AB62:AC62"/>
    <mergeCell ref="AB63:AC63"/>
    <mergeCell ref="AB64:AC64"/>
    <mergeCell ref="AB65:AC65"/>
    <mergeCell ref="D79:E79"/>
    <mergeCell ref="AB79:AC79"/>
    <mergeCell ref="A70:A79"/>
    <mergeCell ref="S70:S79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70:AH79"/>
    <mergeCell ref="AB56:AC56"/>
    <mergeCell ref="AB57:AC57"/>
    <mergeCell ref="AB51:AC51"/>
    <mergeCell ref="AB52:AC52"/>
    <mergeCell ref="AB53:AC53"/>
    <mergeCell ref="AB54:AC54"/>
    <mergeCell ref="AB55:AC55"/>
    <mergeCell ref="AH59:AH69"/>
    <mergeCell ref="AB66:AC66"/>
    <mergeCell ref="AH49:AH58"/>
    <mergeCell ref="AB50:AC50"/>
    <mergeCell ref="AB67:AC67"/>
    <mergeCell ref="AB68:AC68"/>
  </mergeCells>
  <phoneticPr fontId="0" type="noConversion"/>
  <conditionalFormatting sqref="P5:P79">
    <cfRule type="cellIs" dxfId="288" priority="1" operator="greaterThan">
      <formula>0</formula>
    </cfRule>
  </conditionalFormatting>
  <conditionalFormatting sqref="Q5:Q79 AF5:AF79">
    <cfRule type="cellIs" dxfId="287" priority="4" operator="lessThan">
      <formula>0</formula>
    </cfRule>
  </conditionalFormatting>
  <conditionalFormatting sqref="R5:R79 AG5:AG79">
    <cfRule type="cellIs" dxfId="286" priority="2" operator="greaterThan">
      <formula>1</formula>
    </cfRule>
    <cfRule type="cellIs" dxfId="285" priority="3" operator="lessThan">
      <formula>0.8</formula>
    </cfRule>
  </conditionalFormatting>
  <conditionalFormatting sqref="S5:S10 S37:S62 AH59:AH62 S69:S76 AH69:AH76">
    <cfRule type="cellIs" dxfId="284" priority="7" operator="lessThan">
      <formula>0.8</formula>
    </cfRule>
  </conditionalFormatting>
  <conditionalFormatting sqref="S19:S25 AH19:AH25">
    <cfRule type="cellIs" dxfId="283" priority="6" operator="lessThan">
      <formula>0.8</formula>
    </cfRule>
  </conditionalFormatting>
  <conditionalFormatting sqref="S79">
    <cfRule type="cellIs" dxfId="282" priority="5" operator="lessThan">
      <formula>0.8</formula>
    </cfRule>
  </conditionalFormatting>
  <conditionalFormatting sqref="AH5:AH8 S15:S16 AH15:AH16 AH49 AH79">
    <cfRule type="cellIs" dxfId="281" priority="9" operator="lessThan">
      <formula>0.8</formula>
    </cfRule>
  </conditionalFormatting>
  <conditionalFormatting sqref="AH27 S27:S28">
    <cfRule type="cellIs" dxfId="2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BC32F-64EB-429E-B439-519ADACE010D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4829-DA80-48CD-B968-BB3F9FDC113C}">
  <dimension ref="B1:O26"/>
  <sheetViews>
    <sheetView topLeftCell="B1" zoomScale="70" zoomScaleNormal="70" workbookViewId="0">
      <selection activeCell="E17" sqref="E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DATE(2026,8,4)</f>
        <v>46238</v>
      </c>
      <c r="E3" s="706"/>
      <c r="F3" s="3" t="s">
        <v>72</v>
      </c>
      <c r="G3" s="707">
        <f>'0804'!E1</f>
        <v>60136</v>
      </c>
      <c r="H3" s="707"/>
      <c r="I3" s="3" t="s">
        <v>2</v>
      </c>
      <c r="J3" s="708">
        <f>'0804'!G1</f>
        <v>2741053.6160000004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126.71880582846966</v>
      </c>
      <c r="G6" s="713"/>
      <c r="H6" s="714">
        <f>AVERAGE(D13:H13)</f>
        <v>124.57979302832241</v>
      </c>
      <c r="I6" s="714"/>
      <c r="J6" s="714">
        <f>AVERAGE(I13:J13)</f>
        <v>132.06633782883785</v>
      </c>
      <c r="K6" s="714"/>
      <c r="L6" s="716">
        <f>'0804'!Z2</f>
        <v>0</v>
      </c>
      <c r="M6" s="717">
        <f>'0804'!AA2</f>
        <v>0</v>
      </c>
      <c r="N6" s="718">
        <f>'0804'!AD2</f>
        <v>0</v>
      </c>
      <c r="O6" s="717">
        <f>'0804'!AE2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114.75742717494771</v>
      </c>
      <c r="G7" s="737"/>
      <c r="H7" s="738">
        <f>AVERAGE(D14:H14)</f>
        <v>113.1943394658097</v>
      </c>
      <c r="I7" s="738"/>
      <c r="J7" s="738">
        <f>AVERAGE(I14:J14)</f>
        <v>118.66514644779276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0.90431979583157074</v>
      </c>
      <c r="G8" s="710"/>
      <c r="H8" s="710">
        <f>AVERAGE(D15:H15)</f>
        <v>0.90678490516312882</v>
      </c>
      <c r="I8" s="710"/>
      <c r="J8" s="710">
        <f>AVERAGE(I15:J15)</f>
        <v>0.89815702250267559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VALUE('0804'!L15)</f>
        <v>151.3574660633484</v>
      </c>
      <c r="E13" s="13">
        <f>VALUE('0804'!L26)</f>
        <v>174.23076923076923</v>
      </c>
      <c r="F13" s="13">
        <f>VALUE('0804'!L37)</f>
        <v>94.230392156862735</v>
      </c>
      <c r="G13" s="13">
        <f>VALUE('0804'!L48)</f>
        <v>96.300925925925924</v>
      </c>
      <c r="H13" s="13">
        <f>VALUE('0804'!L58)</f>
        <v>106.77941176470588</v>
      </c>
      <c r="I13" s="13">
        <f>VALUE('0804'!L69)</f>
        <v>138.81212121212121</v>
      </c>
      <c r="J13" s="13">
        <f>'0804'!L79</f>
        <v>125.32055444555445</v>
      </c>
    </row>
    <row r="14" spans="2:15" ht="39.950000000000003" customHeight="1">
      <c r="B14" s="731"/>
      <c r="C14" s="12" t="s">
        <v>100</v>
      </c>
      <c r="D14" s="13">
        <f>VALUE('0804'!O15)</f>
        <v>139.38153835812264</v>
      </c>
      <c r="E14" s="13">
        <f>VALUE('0804'!O26)</f>
        <v>158.24366972249305</v>
      </c>
      <c r="F14" s="13">
        <f>VALUE('0804'!O37)</f>
        <v>86.625102446845816</v>
      </c>
      <c r="G14" s="13">
        <f>VALUE('0804'!O48)</f>
        <v>82.115106607097161</v>
      </c>
      <c r="H14" s="13">
        <f>VALUE('0804'!O58)</f>
        <v>99.606280194489841</v>
      </c>
      <c r="I14" s="13">
        <f>VALUE('0804'!O69)</f>
        <v>125.68004458228442</v>
      </c>
      <c r="J14" s="13">
        <f>'0804'!O79</f>
        <v>111.65024831330111</v>
      </c>
    </row>
    <row r="15" spans="2:15" ht="39.950000000000003" customHeight="1">
      <c r="B15" s="732"/>
      <c r="C15" s="10" t="s">
        <v>26</v>
      </c>
      <c r="D15" s="14">
        <f t="shared" ref="D15:I15" si="0">D14/D13</f>
        <v>0.92087653145426329</v>
      </c>
      <c r="E15" s="14">
        <f t="shared" si="0"/>
        <v>0.9082418129767813</v>
      </c>
      <c r="F15" s="14">
        <f t="shared" si="0"/>
        <v>0.91929048011010495</v>
      </c>
      <c r="G15" s="14">
        <f t="shared" si="0"/>
        <v>0.85269280453502172</v>
      </c>
      <c r="H15" s="14">
        <f t="shared" si="0"/>
        <v>0.93282289673947238</v>
      </c>
      <c r="I15" s="14">
        <f t="shared" si="0"/>
        <v>0.90539675847349499</v>
      </c>
      <c r="J15" s="15">
        <f>'0804'!S70</f>
        <v>0.89091728653185609</v>
      </c>
    </row>
    <row r="16" spans="2:15" ht="17.25" customHeight="1">
      <c r="B16" s="733" t="s">
        <v>101</v>
      </c>
      <c r="C16" s="10" t="s">
        <v>34</v>
      </c>
      <c r="D16" s="16">
        <f>'0804'!T5</f>
        <v>0.30138888888888898</v>
      </c>
      <c r="E16" s="16">
        <f>'0804'!T16</f>
        <v>0.29861111111111099</v>
      </c>
      <c r="F16" s="16">
        <f>'0804'!T27</f>
        <v>0.29166666666666702</v>
      </c>
      <c r="G16" s="16">
        <f>'0804'!T38</f>
        <v>0.33333333333333298</v>
      </c>
      <c r="H16" s="16">
        <f>'0804'!T49</f>
        <v>0.29166666666666702</v>
      </c>
      <c r="I16" s="16">
        <f>'0804'!T59</f>
        <v>0.29166666666666702</v>
      </c>
      <c r="J16" s="17">
        <f>'0804'!T70</f>
        <v>0.29513888888888901</v>
      </c>
    </row>
    <row r="17" spans="2:10" ht="17.25" customHeight="1">
      <c r="B17" s="734"/>
      <c r="C17" s="10" t="s">
        <v>35</v>
      </c>
      <c r="D17" s="16">
        <v>0.55902777777777801</v>
      </c>
      <c r="E17" s="183">
        <v>0.61180555555555605</v>
      </c>
      <c r="F17" s="19">
        <v>0.54513888888888895</v>
      </c>
      <c r="G17" s="328">
        <v>0.64930555555555602</v>
      </c>
      <c r="H17" s="21">
        <v>0.63194444444444398</v>
      </c>
      <c r="I17" s="110">
        <v>0.56597222222222199</v>
      </c>
      <c r="J17" s="22">
        <v>0.64236111111111105</v>
      </c>
    </row>
    <row r="18" spans="2:10" ht="17.25" customHeight="1">
      <c r="B18" s="735" t="s">
        <v>102</v>
      </c>
      <c r="C18" s="330" t="s">
        <v>36</v>
      </c>
      <c r="D18" s="386">
        <f>'0804'!Z15</f>
        <v>0</v>
      </c>
      <c r="E18" s="387">
        <f>'0804'!Z26</f>
        <v>0</v>
      </c>
      <c r="F18" s="387">
        <f>'0804'!Z37</f>
        <v>0</v>
      </c>
      <c r="G18" s="388">
        <f>'0804'!Z48</f>
        <v>0</v>
      </c>
      <c r="H18" s="388">
        <f>'0804'!Z58</f>
        <v>0</v>
      </c>
      <c r="I18" s="387">
        <f>'0804'!Z69</f>
        <v>0</v>
      </c>
      <c r="J18" s="387">
        <f>'0804'!AA79</f>
        <v>0</v>
      </c>
    </row>
    <row r="19" spans="2:10" ht="17.25" customHeight="1">
      <c r="B19" s="736"/>
      <c r="C19" s="330" t="s">
        <v>37</v>
      </c>
      <c r="D19" s="386">
        <f>'0804'!AA15</f>
        <v>0</v>
      </c>
      <c r="E19" s="387">
        <f>'0804'!AA26</f>
        <v>0</v>
      </c>
      <c r="F19" s="387">
        <f>'0804'!AA37</f>
        <v>0</v>
      </c>
      <c r="G19" s="388">
        <f>'0804'!AA48</f>
        <v>0</v>
      </c>
      <c r="H19" s="388">
        <f>'0804'!AA58</f>
        <v>0</v>
      </c>
      <c r="I19" s="387">
        <f>'0804'!AA69</f>
        <v>0</v>
      </c>
      <c r="J19" s="387">
        <f>'0804'!AB79</f>
        <v>0</v>
      </c>
    </row>
    <row r="20" spans="2:10" ht="17.25" customHeight="1">
      <c r="B20" s="735" t="s">
        <v>103</v>
      </c>
      <c r="C20" s="330" t="s">
        <v>36</v>
      </c>
      <c r="D20" s="386">
        <f>'0804'!AD15</f>
        <v>0</v>
      </c>
      <c r="E20" s="387">
        <f>'0804'!AD26</f>
        <v>0</v>
      </c>
      <c r="F20" s="387">
        <f>'0804'!AD37</f>
        <v>0</v>
      </c>
      <c r="G20" s="388">
        <f>'0804'!AD48</f>
        <v>0</v>
      </c>
      <c r="H20" s="388">
        <f>'0804'!AD58</f>
        <v>0</v>
      </c>
      <c r="I20" s="387">
        <f>'0804'!AD69</f>
        <v>0</v>
      </c>
      <c r="J20" s="387">
        <f>'0804'!AD79</f>
        <v>0</v>
      </c>
    </row>
    <row r="21" spans="2:10" ht="17.25" customHeight="1">
      <c r="B21" s="736"/>
      <c r="C21" s="330" t="s">
        <v>85</v>
      </c>
      <c r="D21" s="386">
        <f>'0804'!AE15</f>
        <v>0</v>
      </c>
      <c r="E21" s="387">
        <f>'0804'!AE26</f>
        <v>0</v>
      </c>
      <c r="F21" s="387">
        <f>'0804'!AE37</f>
        <v>0</v>
      </c>
      <c r="G21" s="388">
        <f>'0804'!AE48</f>
        <v>0</v>
      </c>
      <c r="H21" s="388">
        <f>'0804'!AE58</f>
        <v>0</v>
      </c>
      <c r="I21" s="387">
        <f>'0804'!AE69</f>
        <v>0</v>
      </c>
      <c r="J21" s="387">
        <f>'0804'!AE79</f>
        <v>0</v>
      </c>
    </row>
    <row r="22" spans="2:10" ht="17.25" customHeight="1">
      <c r="B22" s="719" t="s">
        <v>104</v>
      </c>
      <c r="C22" s="720"/>
      <c r="D22" s="23">
        <f>VALUE('0804'!M15)</f>
        <v>15</v>
      </c>
      <c r="E22" s="23">
        <f>VALUE('0804'!M26)</f>
        <v>12.8</v>
      </c>
      <c r="F22" s="23">
        <f>VALUE('0804'!M37)</f>
        <v>16.2</v>
      </c>
      <c r="G22" s="23">
        <f>VALUE('0804'!M48)</f>
        <v>17</v>
      </c>
      <c r="H22" s="23">
        <f>VALUE('0804'!M58)</f>
        <v>16</v>
      </c>
      <c r="I22" s="23">
        <f>VALUE('0804'!M69)</f>
        <v>12</v>
      </c>
      <c r="J22" s="23">
        <f>'0804'!M79</f>
        <v>10.5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5EB3-CEAB-4BFF-A902-14D50F76C356}">
  <sheetPr>
    <tabColor theme="9" tint="0.79998168889431442"/>
  </sheetPr>
  <dimension ref="A1:AJ92"/>
  <sheetViews>
    <sheetView zoomScale="69" zoomScaleNormal="69" workbookViewId="0">
      <pane xSplit="5" ySplit="4" topLeftCell="F23" activePane="bottomRight" state="frozen"/>
      <selection activeCell="G76" sqref="G76"/>
      <selection pane="topRight" activeCell="G76" sqref="G76"/>
      <selection pane="bottomLeft" activeCell="G76" sqref="G76"/>
      <selection pane="bottomRight" activeCell="U40" sqref="U4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60136</v>
      </c>
      <c r="F1" s="30" t="s">
        <v>2</v>
      </c>
      <c r="G1" s="31">
        <f>SUM(H5:H79)</f>
        <v>2741053.6160000004</v>
      </c>
      <c r="H1" s="32" t="s">
        <v>3</v>
      </c>
      <c r="I1" s="33">
        <f>M15+M26+M48+M58+M69+M79+M37</f>
        <v>99.5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141</v>
      </c>
      <c r="B2" s="739"/>
      <c r="C2" s="28"/>
      <c r="D2" s="28" t="s">
        <v>14</v>
      </c>
      <c r="E2" s="35">
        <f>AVERAGE(O15,O26,O37,O48,O58,O69,O79)</f>
        <v>114.75742717494771</v>
      </c>
      <c r="F2" s="36" t="s">
        <v>15</v>
      </c>
      <c r="G2" s="37">
        <f>G1/E1</f>
        <v>45.58091020353865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1525</v>
      </c>
      <c r="H5" s="43">
        <f>F5*G5</f>
        <v>77271.75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1989.1304347826363</v>
      </c>
      <c r="O5" s="47">
        <f>N5/M5</f>
        <v>117.00767263427272</v>
      </c>
      <c r="P5" s="49">
        <f>M5-J5</f>
        <v>0</v>
      </c>
      <c r="Q5" s="50">
        <f>O5-L5</f>
        <v>-15.345268542197857</v>
      </c>
      <c r="R5" s="51">
        <f>O5/L5</f>
        <v>0.88405797101450512</v>
      </c>
      <c r="S5" s="748">
        <f>R15</f>
        <v>0.92087653145426329</v>
      </c>
      <c r="T5" s="319">
        <v>0.30138888888888898</v>
      </c>
      <c r="U5" s="320">
        <v>0.33333333333333298</v>
      </c>
      <c r="V5" s="53"/>
      <c r="W5" s="54">
        <f t="shared" ref="W5:W14" si="0">(U5-T5)*24*60</f>
        <v>45.999999999999361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-260.86956521736374</v>
      </c>
      <c r="AG5" s="52">
        <f t="shared" ref="AG5:AG11" si="2">N5/K5</f>
        <v>0.88405797101450501</v>
      </c>
      <c r="AH5" s="784">
        <f>AG15</f>
        <v>0.91890966655362516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1345</v>
      </c>
      <c r="H6" s="63">
        <f>F6*G6</f>
        <v>78238.650000000009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2123.6842105263054</v>
      </c>
      <c r="O6" s="67">
        <f>N6/M6</f>
        <v>163.36032388663887</v>
      </c>
      <c r="P6" s="69">
        <f>M6-J6</f>
        <v>0</v>
      </c>
      <c r="Q6" s="70">
        <f>O6-L6</f>
        <v>-9.7165991902841995</v>
      </c>
      <c r="R6" s="71">
        <f>O6/L6</f>
        <v>0.9438596491228024</v>
      </c>
      <c r="S6" s="749"/>
      <c r="T6" s="16">
        <v>0.34236111111111101</v>
      </c>
      <c r="U6" s="16">
        <v>0.36875000000000002</v>
      </c>
      <c r="V6" s="30">
        <f>(T6-U5)*24*60</f>
        <v>13.000000000000353</v>
      </c>
      <c r="W6" s="73">
        <f t="shared" si="0"/>
        <v>38.000000000000185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-126.31578947369462</v>
      </c>
      <c r="AG6" s="72">
        <f t="shared" si="2"/>
        <v>0.9438596491228024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5212</v>
      </c>
      <c r="H7" s="78">
        <f>F7*G7</f>
        <v>256117.68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2141.9178082191765</v>
      </c>
      <c r="O7" s="81">
        <f>N7/M7</f>
        <v>142.7945205479451</v>
      </c>
      <c r="P7" s="74">
        <f>M7-J7</f>
        <v>0</v>
      </c>
      <c r="Q7" s="83">
        <f>O7-L7</f>
        <v>-7.2054794520549024</v>
      </c>
      <c r="R7" s="72">
        <f>O7/L7</f>
        <v>0.95196347031963402</v>
      </c>
      <c r="S7" s="749"/>
      <c r="T7" s="18">
        <v>0.375</v>
      </c>
      <c r="U7" s="18">
        <v>0.47638888888888897</v>
      </c>
      <c r="V7" s="30">
        <f t="shared" ref="V7:V8" si="3">(T7-U6)*24*60</f>
        <v>8.999999999999968</v>
      </c>
      <c r="W7" s="73">
        <f t="shared" si="0"/>
        <v>146.00000000000011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-108.08219178082345</v>
      </c>
      <c r="AG7" s="72">
        <f t="shared" si="2"/>
        <v>0.95196347031963402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739</v>
      </c>
      <c r="H8" s="63">
        <f>F8*G8</f>
        <v>36314.46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15</v>
      </c>
      <c r="N8" s="80">
        <f>G8/W8*60</f>
        <v>2015.4545454545084</v>
      </c>
      <c r="O8" s="81">
        <f>N8/M8</f>
        <v>134.3636363636339</v>
      </c>
      <c r="P8" s="74">
        <f>M8-J8</f>
        <v>0</v>
      </c>
      <c r="Q8" s="83">
        <f>O8-L8</f>
        <v>-15.636363636366099</v>
      </c>
      <c r="R8" s="72">
        <f>O8/L8</f>
        <v>0.89575757575755932</v>
      </c>
      <c r="S8" s="749"/>
      <c r="T8" s="16">
        <v>0.54374999999999996</v>
      </c>
      <c r="U8" s="16">
        <v>0.55902777777777801</v>
      </c>
      <c r="V8" s="30">
        <f t="shared" si="3"/>
        <v>96.999999999999815</v>
      </c>
      <c r="W8" s="73">
        <f t="shared" si="0"/>
        <v>22.000000000000401</v>
      </c>
      <c r="X8" s="22">
        <v>0.48611111111111099</v>
      </c>
      <c r="Y8" s="84">
        <v>0.52777777777777801</v>
      </c>
      <c r="Z8" s="90"/>
      <c r="AA8" s="90"/>
      <c r="AB8" s="788"/>
      <c r="AC8" s="788"/>
      <c r="AD8" s="149"/>
      <c r="AE8" s="149"/>
      <c r="AF8" s="307">
        <f t="shared" si="1"/>
        <v>-234.54545454549157</v>
      </c>
      <c r="AG8" s="72">
        <f t="shared" si="2"/>
        <v>0.89575757575755932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151.3574660633484</v>
      </c>
      <c r="M15" s="120">
        <f t="shared" si="4"/>
        <v>15</v>
      </c>
      <c r="N15" s="120">
        <f t="shared" si="4"/>
        <v>2067.5467497456566</v>
      </c>
      <c r="O15" s="117">
        <f t="shared" si="4"/>
        <v>139.38153835812264</v>
      </c>
      <c r="P15" s="121">
        <f>M15-J15</f>
        <v>0</v>
      </c>
      <c r="Q15" s="122">
        <f>O15-L15</f>
        <v>-11.975927705225757</v>
      </c>
      <c r="R15" s="123">
        <f>O15/L15</f>
        <v>0.92087653145426329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-182.4532502543434</v>
      </c>
      <c r="AG15" s="124">
        <f>N15/K15</f>
        <v>0.91890966655362516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1880</v>
      </c>
      <c r="H16" s="134">
        <f>F16*G16</f>
        <v>95259.6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2169.2307692307768</v>
      </c>
      <c r="O16" s="141">
        <f>N16/M16</f>
        <v>166.86390532544436</v>
      </c>
      <c r="P16" s="142">
        <f>M16-J16</f>
        <v>0</v>
      </c>
      <c r="Q16" s="143">
        <f>O16-L16</f>
        <v>-6.2130177514787022</v>
      </c>
      <c r="R16" s="144">
        <f>O16/L16</f>
        <v>0.96410256410256745</v>
      </c>
      <c r="S16" s="795">
        <f>R26</f>
        <v>0.9082418129767813</v>
      </c>
      <c r="T16" s="145">
        <v>0.29861111111111099</v>
      </c>
      <c r="U16" s="145">
        <v>0.33472222222222198</v>
      </c>
      <c r="V16" s="135"/>
      <c r="W16" s="146">
        <f t="shared" ref="W16:W78" si="5">(U16-T16)*24*60</f>
        <v>51.999999999999815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-80.769230769223213</v>
      </c>
      <c r="AG16" s="52">
        <f>N16/K16</f>
        <v>0.96410256410256745</v>
      </c>
      <c r="AH16" s="784">
        <f>AG26</f>
        <v>0.89832683730253937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2792</v>
      </c>
      <c r="H17" s="78">
        <f>F17*G17</f>
        <v>158781.03999999998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1994.285714285691</v>
      </c>
      <c r="O17" s="96">
        <f>N17/M17</f>
        <v>142.44897959183507</v>
      </c>
      <c r="P17" s="97">
        <f>M17-J17</f>
        <v>-1</v>
      </c>
      <c r="Q17" s="98">
        <f>O17-L17</f>
        <v>-7.5510204081649306</v>
      </c>
      <c r="R17" s="99">
        <f>O17/L17</f>
        <v>0.94965986394556712</v>
      </c>
      <c r="S17" s="796"/>
      <c r="T17" s="19">
        <v>0.34097222222222201</v>
      </c>
      <c r="U17" s="19">
        <v>0.39930555555555602</v>
      </c>
      <c r="V17" s="30">
        <f>(T17-U16)*24*60</f>
        <v>9.000000000000048</v>
      </c>
      <c r="W17" s="149">
        <f t="shared" si="5"/>
        <v>84.000000000000981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-255.71428571430897</v>
      </c>
      <c r="AG17" s="72">
        <f>N17/K17</f>
        <v>0.88634920634919601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3594</v>
      </c>
      <c r="H18" s="78">
        <f>F18*G18</f>
        <v>181101.66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2015.3271028037259</v>
      </c>
      <c r="O18" s="96">
        <f>N18/M18</f>
        <v>167.94392523364382</v>
      </c>
      <c r="P18" s="97">
        <f>M18-J18</f>
        <v>0</v>
      </c>
      <c r="Q18" s="98">
        <f>O18-L18</f>
        <v>-19.556074766356176</v>
      </c>
      <c r="R18" s="99">
        <f>O18/L18</f>
        <v>0.89570093457943378</v>
      </c>
      <c r="S18" s="796"/>
      <c r="T18" s="19">
        <v>0.40486111111111101</v>
      </c>
      <c r="U18" s="19">
        <v>0.47916666666666702</v>
      </c>
      <c r="V18" s="30">
        <f>(T18-U17)*24*60</f>
        <v>7.9999999999991722</v>
      </c>
      <c r="W18" s="149">
        <f t="shared" si="5"/>
        <v>107.00000000000065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>
        <f>N18-K18</f>
        <v>-234.67289719627411</v>
      </c>
      <c r="AG18" s="72">
        <f>N18/K18</f>
        <v>0.89570093457943378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1295</v>
      </c>
      <c r="H19" s="78">
        <f t="shared" ref="H19:H20" si="6">F19*G19</f>
        <v>65255.05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7">K19/J19</f>
        <v>187.5</v>
      </c>
      <c r="M19" s="148">
        <v>12</v>
      </c>
      <c r="N19" s="95">
        <f t="shared" ref="N19:N20" si="8">G19/W19*60</f>
        <v>1850.0000000000418</v>
      </c>
      <c r="O19" s="96">
        <f t="shared" ref="O19:O20" si="9">N19/M19</f>
        <v>154.16666666667015</v>
      </c>
      <c r="P19" s="97">
        <f t="shared" ref="P19:P20" si="10">M19-J19</f>
        <v>0</v>
      </c>
      <c r="Q19" s="98">
        <f t="shared" ref="Q19:Q20" si="11">O19-L19</f>
        <v>-33.333333333329847</v>
      </c>
      <c r="R19" s="99">
        <f t="shared" ref="R19:R20" si="12">O19/L19</f>
        <v>0.82222222222224084</v>
      </c>
      <c r="S19" s="796"/>
      <c r="T19" s="19">
        <v>0.54166666666666696</v>
      </c>
      <c r="U19" s="19">
        <v>0.57083333333333297</v>
      </c>
      <c r="V19" s="30">
        <f>(T19-U18)*24*60</f>
        <v>89.999999999999915</v>
      </c>
      <c r="W19" s="149">
        <f t="shared" si="5"/>
        <v>41.999999999999048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-399.99999999995816</v>
      </c>
      <c r="AG19" s="72">
        <f>N19/K19</f>
        <v>0.82222222222224084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1558</v>
      </c>
      <c r="H20" s="78">
        <f t="shared" si="6"/>
        <v>78943.86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7"/>
        <v>173.07692307692307</v>
      </c>
      <c r="M20" s="148">
        <v>13</v>
      </c>
      <c r="N20" s="95">
        <f t="shared" si="8"/>
        <v>2077.333333333333</v>
      </c>
      <c r="O20" s="96">
        <f t="shared" si="9"/>
        <v>159.79487179487177</v>
      </c>
      <c r="P20" s="97">
        <f t="shared" si="10"/>
        <v>0</v>
      </c>
      <c r="Q20" s="98">
        <f t="shared" si="11"/>
        <v>-13.282051282051299</v>
      </c>
      <c r="R20" s="99">
        <f t="shared" si="12"/>
        <v>0.92325925925925911</v>
      </c>
      <c r="S20" s="796"/>
      <c r="T20" s="19">
        <v>0.58055555555555605</v>
      </c>
      <c r="U20" s="19">
        <v>0.61180555555555605</v>
      </c>
      <c r="V20" s="30">
        <f>(T20-U19)*24*60</f>
        <v>14.000000000001229</v>
      </c>
      <c r="W20" s="149">
        <f t="shared" si="5"/>
        <v>45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5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174.23076923076923</v>
      </c>
      <c r="M26" s="155">
        <f t="shared" si="13"/>
        <v>12.8</v>
      </c>
      <c r="N26" s="155">
        <f t="shared" si="13"/>
        <v>2021.2353839307136</v>
      </c>
      <c r="O26" s="158">
        <f t="shared" si="13"/>
        <v>158.24366972249305</v>
      </c>
      <c r="P26" s="159">
        <f>M26-J26</f>
        <v>-0.19999999999999929</v>
      </c>
      <c r="Q26" s="160">
        <f>O26-L26</f>
        <v>-15.987099508276174</v>
      </c>
      <c r="R26" s="161">
        <f>O26/L26</f>
        <v>0.9082418129767813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-228.76461606928638</v>
      </c>
      <c r="AG26" s="124">
        <f t="shared" ref="AG26:AG31" si="15">N26/K26</f>
        <v>0.89832683730253937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1883</v>
      </c>
      <c r="H27" s="134">
        <f>F27*G27</f>
        <v>87258.22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1486.5789473684436</v>
      </c>
      <c r="O27" s="141">
        <f>N27/M27</f>
        <v>92.911184210527722</v>
      </c>
      <c r="P27" s="142">
        <f>M27-J27</f>
        <v>0</v>
      </c>
      <c r="Q27" s="143">
        <f>O27-L27</f>
        <v>-9.3388157894722781</v>
      </c>
      <c r="R27" s="144">
        <f>O27/L27</f>
        <v>0.9086668382447699</v>
      </c>
      <c r="S27" s="795">
        <f>R37</f>
        <v>0.91929048011010495</v>
      </c>
      <c r="T27" s="171">
        <v>0.29166666666666702</v>
      </c>
      <c r="U27" s="171">
        <v>0.344444444444444</v>
      </c>
      <c r="V27" s="135"/>
      <c r="W27" s="146">
        <f t="shared" si="5"/>
        <v>75.999999999998849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14"/>
        <v>-149.42105263155645</v>
      </c>
      <c r="AG27" s="172">
        <f t="shared" si="15"/>
        <v>0.9086668382447699</v>
      </c>
      <c r="AH27" s="784">
        <f>AG37</f>
        <v>0.85717869813384817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1065</v>
      </c>
      <c r="H28" s="91">
        <f>F28*G28</f>
        <v>60928.65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1389.1304347826256</v>
      </c>
      <c r="O28" s="96">
        <f>N28/M28</f>
        <v>81.713554987213271</v>
      </c>
      <c r="P28" s="97">
        <f>M28-J28</f>
        <v>-1</v>
      </c>
      <c r="Q28" s="98">
        <f>O28-L28</f>
        <v>-9.1753339016756144</v>
      </c>
      <c r="R28" s="99">
        <f>O28/L28</f>
        <v>0.89904889350234651</v>
      </c>
      <c r="S28" s="796"/>
      <c r="T28" s="19">
        <v>0.35138888888888897</v>
      </c>
      <c r="U28" s="19">
        <v>0.38333333333333303</v>
      </c>
      <c r="V28" s="92">
        <f>(T28-U27)*24*60</f>
        <v>10.000000000000764</v>
      </c>
      <c r="W28" s="149">
        <f t="shared" si="5"/>
        <v>45.999999999999439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-246.86956521737443</v>
      </c>
      <c r="AG28" s="99">
        <f t="shared" si="15"/>
        <v>0.84910173275221612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1248</v>
      </c>
      <c r="H29" s="91">
        <f>F29*G29</f>
        <v>62287.679999999993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1361.4545454545621</v>
      </c>
      <c r="O29" s="96">
        <f>N29/M29</f>
        <v>85.090909090910131</v>
      </c>
      <c r="P29" s="97">
        <f>M29-J29</f>
        <v>-2</v>
      </c>
      <c r="Q29" s="98">
        <f>O29-L29</f>
        <v>-5.7979797979787548</v>
      </c>
      <c r="R29" s="99">
        <f>O29/L29</f>
        <v>0.93620804623250764</v>
      </c>
      <c r="S29" s="796"/>
      <c r="T29" s="19">
        <v>0.38888888888888901</v>
      </c>
      <c r="U29" s="19">
        <v>0.42708333333333298</v>
      </c>
      <c r="V29" s="92">
        <f>(T29-U28)*24*60</f>
        <v>8.0000000000006111</v>
      </c>
      <c r="W29" s="149">
        <f t="shared" si="5"/>
        <v>54.999999999999325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-274.54545454543791</v>
      </c>
      <c r="AG29" s="99">
        <f t="shared" si="15"/>
        <v>0.83218492998445115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1177</v>
      </c>
      <c r="H30" s="91">
        <f t="shared" ref="H30:H31" si="16">F30*G30</f>
        <v>53741.819999999992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7">K30/J30</f>
        <v>96.235294117647058</v>
      </c>
      <c r="M30" s="94">
        <v>16</v>
      </c>
      <c r="N30" s="95">
        <f t="shared" ref="N30:N31" si="18">G30/W30*60</f>
        <v>1441.2244897959094</v>
      </c>
      <c r="O30" s="96">
        <f t="shared" ref="O30:O31" si="19">N30/M30</f>
        <v>90.076530612244341</v>
      </c>
      <c r="P30" s="97">
        <f t="shared" ref="P30:P31" si="20">M30-J30</f>
        <v>-1</v>
      </c>
      <c r="Q30" s="98">
        <f t="shared" ref="Q30:Q31" si="21">O30-L30</f>
        <v>-6.1587635054027174</v>
      </c>
      <c r="R30" s="99">
        <f t="shared" ref="R30:R31" si="22">O30/L30</f>
        <v>0.93600306870914052</v>
      </c>
      <c r="S30" s="796"/>
      <c r="T30" s="19">
        <v>0.43263888888888902</v>
      </c>
      <c r="U30" s="19">
        <v>0.46666666666666701</v>
      </c>
      <c r="V30" s="92">
        <f>(T30-U29)*24*60</f>
        <v>8.000000000000691</v>
      </c>
      <c r="W30" s="149">
        <f t="shared" si="5"/>
        <v>49.000000000000306</v>
      </c>
      <c r="X30" s="174">
        <v>0.49652777777777801</v>
      </c>
      <c r="Y30" s="301">
        <v>0.53819444444444398</v>
      </c>
      <c r="Z30" s="335"/>
      <c r="AA30" s="335"/>
      <c r="AB30" s="789"/>
      <c r="AC30" s="789"/>
      <c r="AD30" s="92"/>
      <c r="AE30" s="92"/>
      <c r="AF30" s="312">
        <f t="shared" si="14"/>
        <v>-194.77551020409055</v>
      </c>
      <c r="AG30" s="99">
        <f t="shared" si="15"/>
        <v>0.88094406466742636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600</v>
      </c>
      <c r="H31" s="91">
        <f t="shared" si="16"/>
        <v>29945.999999999996</v>
      </c>
      <c r="I31" s="92"/>
      <c r="J31" s="79">
        <f>VLOOKUP(D31,產線配置圖!$A$3:$C$40,2,0)</f>
        <v>18</v>
      </c>
      <c r="K31" s="80">
        <v>1636</v>
      </c>
      <c r="L31" s="93">
        <f t="shared" si="17"/>
        <v>90.888888888888886</v>
      </c>
      <c r="M31" s="94">
        <v>16</v>
      </c>
      <c r="N31" s="95">
        <f t="shared" si="18"/>
        <v>1333.333333333338</v>
      </c>
      <c r="O31" s="96">
        <f t="shared" si="19"/>
        <v>83.333333333333627</v>
      </c>
      <c r="P31" s="97">
        <f t="shared" si="20"/>
        <v>-2</v>
      </c>
      <c r="Q31" s="98">
        <f t="shared" si="21"/>
        <v>-7.5555555555552587</v>
      </c>
      <c r="R31" s="99">
        <f t="shared" si="22"/>
        <v>0.91687041564792504</v>
      </c>
      <c r="S31" s="796"/>
      <c r="T31" s="19">
        <v>0.52638888888888902</v>
      </c>
      <c r="U31" s="19">
        <v>0.54513888888888895</v>
      </c>
      <c r="V31" s="92">
        <f>(T31-U30)*24*60</f>
        <v>85.999999999999687</v>
      </c>
      <c r="W31" s="149">
        <f t="shared" si="5"/>
        <v>26.999999999999904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-302.66666666666197</v>
      </c>
      <c r="AG31" s="99">
        <f t="shared" si="15"/>
        <v>0.81499592502037776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5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3">AVERAGE(J27:J36)</f>
        <v>17.399999999999999</v>
      </c>
      <c r="K37" s="155">
        <f t="shared" si="23"/>
        <v>1636</v>
      </c>
      <c r="L37" s="158">
        <f t="shared" si="23"/>
        <v>94.230392156862735</v>
      </c>
      <c r="M37" s="155">
        <f t="shared" si="23"/>
        <v>16.2</v>
      </c>
      <c r="N37" s="155">
        <f t="shared" si="23"/>
        <v>1402.3443501469756</v>
      </c>
      <c r="O37" s="158">
        <f t="shared" si="23"/>
        <v>86.625102446845816</v>
      </c>
      <c r="P37" s="159">
        <f>M37-J37</f>
        <v>-1.1999999999999993</v>
      </c>
      <c r="Q37" s="160">
        <f>N37-K37</f>
        <v>-233.65564985302444</v>
      </c>
      <c r="R37" s="161">
        <f>O37/L37</f>
        <v>0.91929048011010495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-233.65564985302444</v>
      </c>
      <c r="AG37" s="124">
        <f>N37/K37</f>
        <v>0.85717869813384817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2720</v>
      </c>
      <c r="H38" s="134">
        <f>F38*G38</f>
        <v>135755.19999999998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1431.5789473684151</v>
      </c>
      <c r="O38" s="141">
        <f>N38/M38</f>
        <v>89.473684210525946</v>
      </c>
      <c r="P38" s="142">
        <f>M38-J38</f>
        <v>0</v>
      </c>
      <c r="Q38" s="143">
        <f>O38-L38</f>
        <v>-17.651315789474054</v>
      </c>
      <c r="R38" s="144">
        <f>O38/L38</f>
        <v>0.83522692378553975</v>
      </c>
      <c r="S38" s="817">
        <f>R48</f>
        <v>0.85269280453502172</v>
      </c>
      <c r="T38" s="191">
        <v>0.33333333333333298</v>
      </c>
      <c r="U38" s="191">
        <v>0.41249999999999998</v>
      </c>
      <c r="V38" s="192"/>
      <c r="W38" s="193">
        <f t="shared" si="5"/>
        <v>114.00000000000047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-282.42105263158487</v>
      </c>
      <c r="AG38" s="195">
        <f>N38/K38</f>
        <v>0.83522692378553975</v>
      </c>
      <c r="AH38" s="807">
        <f>AG48</f>
        <v>0.83702592168171908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2588</v>
      </c>
      <c r="H39" s="91">
        <f>F39*G39</f>
        <v>114648.4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1350.2608695652193</v>
      </c>
      <c r="O39" s="203">
        <f>N39/M39</f>
        <v>75.014492753623301</v>
      </c>
      <c r="P39" s="97">
        <f>M39-J39</f>
        <v>0</v>
      </c>
      <c r="Q39" s="98">
        <f>O39-L39</f>
        <v>-15.874396135265584</v>
      </c>
      <c r="R39" s="99">
        <f>O39/L39</f>
        <v>0.82534282980759133</v>
      </c>
      <c r="S39" s="818"/>
      <c r="T39" s="20">
        <v>0.42013888888888901</v>
      </c>
      <c r="U39" s="20">
        <v>0.5</v>
      </c>
      <c r="V39" s="92">
        <f>(T39-U38)*24*60</f>
        <v>11.000000000000201</v>
      </c>
      <c r="W39" s="205">
        <f t="shared" si="5"/>
        <v>114.99999999999983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-285.73913043478069</v>
      </c>
      <c r="AG39" s="206">
        <f>N39/K39</f>
        <v>0.82534282980759122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3247</v>
      </c>
      <c r="H40" s="91">
        <f>F40*G40</f>
        <v>143842.09999999998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1391.5714285714175</v>
      </c>
      <c r="O40" s="203">
        <f>N40/M40</f>
        <v>81.857142857142208</v>
      </c>
      <c r="P40" s="97">
        <f>M40-J40</f>
        <v>-1</v>
      </c>
      <c r="Q40" s="98">
        <f>O40-L40</f>
        <v>-9.0317460317466782</v>
      </c>
      <c r="R40" s="99">
        <f>O40/L40</f>
        <v>0.90062871114215148</v>
      </c>
      <c r="S40" s="749"/>
      <c r="T40" s="20">
        <v>0.55208333333333304</v>
      </c>
      <c r="U40" s="20">
        <v>0.64930555555555602</v>
      </c>
      <c r="V40" s="92">
        <f>(T40-U39)*24*60</f>
        <v>74.999999999999574</v>
      </c>
      <c r="W40" s="205">
        <f t="shared" si="5"/>
        <v>140.00000000000111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-244.42857142858247</v>
      </c>
      <c r="AG40" s="206">
        <f>N40/K40</f>
        <v>0.85059378274536523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</v>
      </c>
      <c r="N48" s="155">
        <f t="shared" si="25"/>
        <v>1391.1370818350172</v>
      </c>
      <c r="O48" s="158">
        <f t="shared" si="25"/>
        <v>82.115106607097161</v>
      </c>
      <c r="P48" s="221">
        <f>M48-J48</f>
        <v>-0.33333333333333215</v>
      </c>
      <c r="Q48" s="222">
        <f>N48-K48</f>
        <v>-270.86291816498283</v>
      </c>
      <c r="R48" s="223">
        <f>O48/L48</f>
        <v>0.85269280453502172</v>
      </c>
      <c r="S48" s="75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6">N48-K48</f>
        <v>-270.86291816498283</v>
      </c>
      <c r="AG48" s="162">
        <f t="shared" ref="AG48:AG53" si="27">N48/K48</f>
        <v>0.83702592168171908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2302</v>
      </c>
      <c r="H49" s="134">
        <f>F49*G49</f>
        <v>113995.04000000001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1684.3902439024534</v>
      </c>
      <c r="O49" s="141">
        <f>N49/M49</f>
        <v>99.081779053085498</v>
      </c>
      <c r="P49" s="229">
        <f>M49-J49</f>
        <v>0</v>
      </c>
      <c r="Q49" s="230">
        <f>O49-L49</f>
        <v>-6.8005738880909661</v>
      </c>
      <c r="R49" s="52">
        <f>O49/L49</f>
        <v>0.93577235772358536</v>
      </c>
      <c r="S49" s="748">
        <f>R58</f>
        <v>0.93282289673947238</v>
      </c>
      <c r="T49" s="191">
        <v>0.29166666666666702</v>
      </c>
      <c r="U49" s="191">
        <v>0.34861111111111098</v>
      </c>
      <c r="V49" s="55"/>
      <c r="W49" s="193">
        <f t="shared" si="5"/>
        <v>81.999999999999304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6"/>
        <v>-115.60975609754655</v>
      </c>
      <c r="AG49" s="52">
        <f t="shared" si="27"/>
        <v>0.93577235772358525</v>
      </c>
      <c r="AH49" s="784">
        <f>AG58</f>
        <v>0.9035213558235532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2044</v>
      </c>
      <c r="H50" s="231">
        <f>F50*G50</f>
        <v>102790.716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1552.4050632911433</v>
      </c>
      <c r="O50" s="235">
        <f>N50/M50</f>
        <v>91.317944899479016</v>
      </c>
      <c r="P50" s="74">
        <f>M50-J50</f>
        <v>0</v>
      </c>
      <c r="Q50" s="83">
        <f>O50-L50</f>
        <v>-4.9173492181680416</v>
      </c>
      <c r="R50" s="72">
        <f>O50/L50</f>
        <v>0.94890285042245925</v>
      </c>
      <c r="S50" s="749"/>
      <c r="T50" s="21">
        <v>0.35347222222222202</v>
      </c>
      <c r="U50" s="21">
        <v>0.40833333333333299</v>
      </c>
      <c r="V50" s="30">
        <f>(T50-U49)*24*60</f>
        <v>6.9999999999998952</v>
      </c>
      <c r="W50" s="236">
        <f t="shared" si="5"/>
        <v>78.999999999999801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6"/>
        <v>-83.594936708856721</v>
      </c>
      <c r="AG50" s="72">
        <f t="shared" si="27"/>
        <v>0.94890285042245925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1836</v>
      </c>
      <c r="H51" s="231">
        <f>F51*G51</f>
        <v>91744.92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1573.7142857142553</v>
      </c>
      <c r="O51" s="235">
        <f>N51/M51</f>
        <v>104.91428571428369</v>
      </c>
      <c r="P51" s="74">
        <f>M51-J51</f>
        <v>-1</v>
      </c>
      <c r="Q51" s="83">
        <f>O51-L51</f>
        <v>-7.5857142857163069</v>
      </c>
      <c r="R51" s="72">
        <f>O51/L51</f>
        <v>0.93257142857141062</v>
      </c>
      <c r="S51" s="749"/>
      <c r="T51" s="21">
        <v>0.41319444444444398</v>
      </c>
      <c r="U51" s="19">
        <v>0.46180555555555602</v>
      </c>
      <c r="V51" s="30">
        <f>(T51-U50)*24*60</f>
        <v>6.9999999999998153</v>
      </c>
      <c r="W51" s="236">
        <f t="shared" si="5"/>
        <v>70.00000000000135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6"/>
        <v>-226.28571428574469</v>
      </c>
      <c r="AG51" s="72">
        <f t="shared" si="27"/>
        <v>0.87428571428569735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4176</v>
      </c>
      <c r="H52" s="231">
        <f>F52*G52</f>
        <v>208674.72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1546.6666666666677</v>
      </c>
      <c r="O52" s="235">
        <f>N52/M52</f>
        <v>103.11111111111117</v>
      </c>
      <c r="P52" s="74">
        <f>M52-J52</f>
        <v>-1</v>
      </c>
      <c r="Q52" s="83">
        <f>O52-L52</f>
        <v>-9.3888888888888289</v>
      </c>
      <c r="R52" s="72">
        <f>O52/L52</f>
        <v>0.9165432098765437</v>
      </c>
      <c r="S52" s="749"/>
      <c r="T52" s="21">
        <v>0.51944444444444404</v>
      </c>
      <c r="U52" s="21">
        <v>0.63194444444444398</v>
      </c>
      <c r="V52" s="30">
        <f>(T52-U51)*24*60</f>
        <v>82.999999999998749</v>
      </c>
      <c r="W52" s="236">
        <f t="shared" si="5"/>
        <v>161.99999999999991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26"/>
        <v>-253.33333333333235</v>
      </c>
      <c r="AG52" s="72">
        <f t="shared" si="27"/>
        <v>0.85925925925925983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6"/>
        <v>0</v>
      </c>
      <c r="AG53" s="72" t="e">
        <f t="shared" si="27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</v>
      </c>
      <c r="N58" s="120">
        <f t="shared" si="28"/>
        <v>1589.2940648936301</v>
      </c>
      <c r="O58" s="117">
        <f t="shared" si="28"/>
        <v>99.606280194489841</v>
      </c>
      <c r="P58" s="121">
        <f>M58-J58</f>
        <v>-0.5</v>
      </c>
      <c r="Q58" s="122">
        <f>N58-K58</f>
        <v>-169.70593510636991</v>
      </c>
      <c r="R58" s="123">
        <f>O58/L58</f>
        <v>0.93282289673947238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-169.70593510636991</v>
      </c>
      <c r="AG58" s="124">
        <f>N58/K58</f>
        <v>0.9035213558235532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3616</v>
      </c>
      <c r="H59" s="243">
        <f>F59*G59</f>
        <v>97595.839999999997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1549.7142857142896</v>
      </c>
      <c r="O59" s="138">
        <f>N59/M59</f>
        <v>103.31428571428597</v>
      </c>
      <c r="P59" s="56">
        <f>M59-J59</f>
        <v>0</v>
      </c>
      <c r="Q59" s="230">
        <f>O59-L59</f>
        <v>-5.7523809523806904</v>
      </c>
      <c r="R59" s="52">
        <f>O59/L59</f>
        <v>0.94725812085225525</v>
      </c>
      <c r="S59" s="748">
        <f>R69</f>
        <v>0.90539675847349499</v>
      </c>
      <c r="T59" s="245">
        <v>0.29166666666666702</v>
      </c>
      <c r="U59" s="245">
        <v>0.38888888888888901</v>
      </c>
      <c r="V59" s="55"/>
      <c r="W59" s="54">
        <f t="shared" si="5"/>
        <v>139.99999999999966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-86.285714285710355</v>
      </c>
      <c r="AG59" s="246">
        <f>N59/K59</f>
        <v>0.94725812085225525</v>
      </c>
      <c r="AH59" s="784">
        <f>AG69</f>
        <v>0.90818751596541247</v>
      </c>
    </row>
    <row r="60" spans="1:34" ht="15" customHeight="1">
      <c r="A60" s="826"/>
      <c r="B60" s="75" t="s">
        <v>130</v>
      </c>
      <c r="C60" s="86"/>
      <c r="D60" s="175" t="s">
        <v>133</v>
      </c>
      <c r="E60" s="87"/>
      <c r="F60" s="75">
        <f>VLOOKUP(D60,廠價表!$C$1:$E$43,3,0)</f>
        <v>28.26</v>
      </c>
      <c r="G60" s="30">
        <v>1515</v>
      </c>
      <c r="H60" s="78">
        <f>F60*G60</f>
        <v>42813.9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1514.9999999999873</v>
      </c>
      <c r="O60" s="81">
        <f>N60/M60</f>
        <v>137.72727272727158</v>
      </c>
      <c r="P60" s="74">
        <f>M60-J60</f>
        <v>0</v>
      </c>
      <c r="Q60" s="83">
        <f>O60-L60</f>
        <v>-11.000000000001137</v>
      </c>
      <c r="R60" s="72">
        <f>O60/L60</f>
        <v>0.92603911980439335</v>
      </c>
      <c r="S60" s="829"/>
      <c r="T60" s="22">
        <v>0.39583333333333298</v>
      </c>
      <c r="U60" s="22">
        <v>0.4375</v>
      </c>
      <c r="V60" s="30">
        <f>(T60-U59)*24*60</f>
        <v>9.999999999999325</v>
      </c>
      <c r="W60" s="248">
        <f t="shared" si="5"/>
        <v>60.000000000000504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-121.00000000001273</v>
      </c>
      <c r="AG60" s="249">
        <f>N60/K60</f>
        <v>0.92603911980439324</v>
      </c>
      <c r="AH60" s="820"/>
    </row>
    <row r="61" spans="1:34" ht="15" customHeight="1">
      <c r="A61" s="827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1568</v>
      </c>
      <c r="H61" s="254">
        <f>F61*G61</f>
        <v>44311.68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1404.1791044776353</v>
      </c>
      <c r="O61" s="238">
        <f>N61/M61</f>
        <v>127.6526458616032</v>
      </c>
      <c r="P61" s="111">
        <f>M61-J61</f>
        <v>0</v>
      </c>
      <c r="Q61" s="255">
        <f>O61-L61</f>
        <v>-21.074626865669515</v>
      </c>
      <c r="R61" s="85">
        <f>O61/L61</f>
        <v>0.85830018611102399</v>
      </c>
      <c r="S61" s="749"/>
      <c r="T61" s="22">
        <v>0.44305555555555598</v>
      </c>
      <c r="U61" s="22">
        <v>0.48958333333333298</v>
      </c>
      <c r="V61" s="30">
        <f>(T61-U60)*24*60</f>
        <v>8.0000000000006111</v>
      </c>
      <c r="W61" s="256">
        <f t="shared" si="5"/>
        <v>66.999999999998877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-231.82089552236471</v>
      </c>
      <c r="AG61" s="247">
        <f>N61/K61</f>
        <v>0.85830018611102399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860</v>
      </c>
      <c r="H62" s="254">
        <f>F62*G62</f>
        <v>24303.600000000002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1474.2857142857465</v>
      </c>
      <c r="O62" s="238">
        <f>N62/M62</f>
        <v>134.02597402597695</v>
      </c>
      <c r="P62" s="111">
        <f>M62-J62</f>
        <v>0</v>
      </c>
      <c r="Q62" s="255">
        <f>O62-L62</f>
        <v>-14.701298701295769</v>
      </c>
      <c r="R62" s="85">
        <f>O62/L62</f>
        <v>0.90115263709397708</v>
      </c>
      <c r="S62" s="749"/>
      <c r="T62" s="22">
        <v>0.54166666666666696</v>
      </c>
      <c r="U62" s="22">
        <v>0.56597222222222199</v>
      </c>
      <c r="V62" s="30">
        <f>(T62-U61)*24*60</f>
        <v>75.000000000000938</v>
      </c>
      <c r="W62" s="248">
        <f t="shared" si="5"/>
        <v>34.999999999999233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-161.71428571425349</v>
      </c>
      <c r="AG62" s="247">
        <f>N62/K62</f>
        <v>0.90115263709397708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5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9">AVERAGE(J59:J68)</f>
        <v>12</v>
      </c>
      <c r="K69" s="240">
        <f t="shared" si="29"/>
        <v>1636</v>
      </c>
      <c r="L69" s="268">
        <f t="shared" si="29"/>
        <v>138.81212121212121</v>
      </c>
      <c r="M69" s="240">
        <f t="shared" si="29"/>
        <v>12</v>
      </c>
      <c r="N69" s="240">
        <f t="shared" si="29"/>
        <v>1485.7947761194148</v>
      </c>
      <c r="O69" s="268">
        <f t="shared" si="29"/>
        <v>125.68004458228442</v>
      </c>
      <c r="P69" s="269">
        <f>M69-J69</f>
        <v>0</v>
      </c>
      <c r="Q69" s="222">
        <f>N69-K69</f>
        <v>-150.20522388058521</v>
      </c>
      <c r="R69" s="123">
        <f>O69/L69</f>
        <v>0.90539675847349499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-150.20522388058521</v>
      </c>
      <c r="AG69" s="124">
        <f>N69/K69</f>
        <v>0.90818751596541247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250">
        <f>VLOOKUP(D70,廠價表!$C$1:$E$43,3,0)</f>
        <v>28.26</v>
      </c>
      <c r="G70" s="55">
        <v>2627</v>
      </c>
      <c r="H70" s="243">
        <f>F70*G70</f>
        <v>74239.02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1150.5109489051083</v>
      </c>
      <c r="O70" s="138">
        <f>N70/M70</f>
        <v>143.81386861313854</v>
      </c>
      <c r="P70" s="56">
        <f>M70-J70</f>
        <v>-3</v>
      </c>
      <c r="Q70" s="230">
        <f>O70-L70</f>
        <v>-4.9134041141341811</v>
      </c>
      <c r="R70" s="52">
        <f>O70/L70</f>
        <v>0.96696366426926894</v>
      </c>
      <c r="S70" s="748">
        <f>R79</f>
        <v>0.89091728653185609</v>
      </c>
      <c r="T70" s="245">
        <v>0.29513888888888901</v>
      </c>
      <c r="U70" s="245">
        <v>0.390277777777778</v>
      </c>
      <c r="V70" s="55"/>
      <c r="W70" s="54">
        <f t="shared" si="5"/>
        <v>137.00000000000014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-485.48905109489169</v>
      </c>
      <c r="AG70" s="246">
        <f>N70/K70</f>
        <v>0.70324630128674104</v>
      </c>
      <c r="AH70" s="784">
        <f>AG79</f>
        <v>0.72341685758579966</v>
      </c>
    </row>
    <row r="71" spans="1:36" ht="15" customHeight="1">
      <c r="A71" s="822"/>
      <c r="B71" s="75" t="s">
        <v>81</v>
      </c>
      <c r="C71" s="76"/>
      <c r="D71" s="59" t="s">
        <v>135</v>
      </c>
      <c r="E71" s="77"/>
      <c r="F71" s="250">
        <f>VLOOKUP(D71,廠價表!$C$1:$E$43,3,0)</f>
        <v>43.89</v>
      </c>
      <c r="G71" s="30">
        <v>711</v>
      </c>
      <c r="H71" s="254">
        <f t="shared" ref="H71:H74" si="30">F71*G71</f>
        <v>31205.79</v>
      </c>
      <c r="I71" s="182"/>
      <c r="J71" s="106">
        <f>VLOOKUP(D71,產線配置圖!$A$3:$C$40,2,0)</f>
        <v>14</v>
      </c>
      <c r="K71" s="107">
        <f>VLOOKUP(D71,產線配置圖!$A$3:$C$40,3,0)</f>
        <v>1565</v>
      </c>
      <c r="L71" s="238">
        <f t="shared" ref="L71:L73" si="31">K71/J71</f>
        <v>111.78571428571429</v>
      </c>
      <c r="M71" s="82">
        <v>11</v>
      </c>
      <c r="N71" s="107">
        <f t="shared" ref="N71:N73" si="32">G71/W71*60</f>
        <v>1066.4999999999909</v>
      </c>
      <c r="O71" s="238">
        <f t="shared" ref="O71:O73" si="33">N71/M71</f>
        <v>96.954545454544629</v>
      </c>
      <c r="P71" s="111">
        <f t="shared" ref="P71:P73" si="34">M71-J71</f>
        <v>-3</v>
      </c>
      <c r="Q71" s="255">
        <f t="shared" ref="Q71:Q73" si="35">O71-L71</f>
        <v>-14.831168831169663</v>
      </c>
      <c r="R71" s="85">
        <f t="shared" ref="R71:R73" si="36">O71/L71</f>
        <v>0.86732500726110207</v>
      </c>
      <c r="S71" s="749"/>
      <c r="T71" s="22">
        <v>0.39583333333333298</v>
      </c>
      <c r="U71" s="22">
        <v>0.42361111111111099</v>
      </c>
      <c r="V71" s="30">
        <f t="shared" ref="V71:V73" si="37">(T71-U70)*24*60</f>
        <v>7.9999999999991722</v>
      </c>
      <c r="W71" s="73">
        <f t="shared" si="5"/>
        <v>40.000000000000341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1773</v>
      </c>
      <c r="H72" s="254">
        <f t="shared" si="30"/>
        <v>77816.97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1"/>
        <v>120.38461538461539</v>
      </c>
      <c r="M72" s="82">
        <v>10</v>
      </c>
      <c r="N72" s="107">
        <f t="shared" si="32"/>
        <v>1042.9411764705935</v>
      </c>
      <c r="O72" s="238">
        <f t="shared" si="33"/>
        <v>104.29411764705935</v>
      </c>
      <c r="P72" s="111">
        <f t="shared" si="34"/>
        <v>-3</v>
      </c>
      <c r="Q72" s="255">
        <f t="shared" si="35"/>
        <v>-16.090497737556035</v>
      </c>
      <c r="R72" s="85">
        <f t="shared" si="36"/>
        <v>0.86634091336215435</v>
      </c>
      <c r="S72" s="749"/>
      <c r="T72" s="22">
        <v>0.43611111111111101</v>
      </c>
      <c r="U72" s="22">
        <v>0.50694444444444398</v>
      </c>
      <c r="V72" s="30">
        <f t="shared" si="37"/>
        <v>18.000000000000014</v>
      </c>
      <c r="W72" s="73">
        <f t="shared" si="5"/>
        <v>101.99999999999947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 t="s">
        <v>81</v>
      </c>
      <c r="C73" s="86"/>
      <c r="D73" s="59" t="s">
        <v>142</v>
      </c>
      <c r="E73" s="87"/>
      <c r="F73" s="250">
        <f>VLOOKUP(D73,廠價表!$C$1:$E$43,3,0)</f>
        <v>43.89</v>
      </c>
      <c r="G73" s="202">
        <v>2640</v>
      </c>
      <c r="H73" s="254">
        <f t="shared" si="30"/>
        <v>115869.6</v>
      </c>
      <c r="I73" s="182"/>
      <c r="J73" s="106">
        <f>VLOOKUP(D73,產線配置圖!$A$3:$C$40,2,0)</f>
        <v>13</v>
      </c>
      <c r="K73" s="107">
        <f>VLOOKUP(D73,產線配置圖!$A$3:$C$40,3,0)</f>
        <v>1565</v>
      </c>
      <c r="L73" s="238">
        <f t="shared" si="31"/>
        <v>120.38461538461539</v>
      </c>
      <c r="M73" s="82">
        <v>13</v>
      </c>
      <c r="N73" s="107">
        <f t="shared" si="32"/>
        <v>1320.0000000000048</v>
      </c>
      <c r="O73" s="238">
        <f t="shared" si="33"/>
        <v>101.5384615384619</v>
      </c>
      <c r="P73" s="111">
        <f t="shared" si="34"/>
        <v>0</v>
      </c>
      <c r="Q73" s="255">
        <f t="shared" si="35"/>
        <v>-18.846153846153484</v>
      </c>
      <c r="R73" s="85">
        <f t="shared" si="36"/>
        <v>0.8434504792332298</v>
      </c>
      <c r="S73" s="749"/>
      <c r="T73" s="22">
        <v>0.55902777777777801</v>
      </c>
      <c r="U73" s="22">
        <v>0.64236111111111105</v>
      </c>
      <c r="V73" s="30">
        <f t="shared" si="37"/>
        <v>75.000000000001009</v>
      </c>
      <c r="W73" s="73">
        <f t="shared" si="5"/>
        <v>119.99999999999957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54">
        <f t="shared" si="30"/>
        <v>0</v>
      </c>
      <c r="I74" s="182"/>
      <c r="J74" s="106"/>
      <c r="K74" s="107"/>
      <c r="L74" s="238"/>
      <c r="M74" s="82"/>
      <c r="N74" s="107"/>
      <c r="O74" s="238"/>
      <c r="P74" s="111"/>
      <c r="Q74" s="255"/>
      <c r="R74" s="85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8">AVERAGE(J70:J78)</f>
        <v>12.75</v>
      </c>
      <c r="K79" s="240">
        <f t="shared" si="38"/>
        <v>1582.75</v>
      </c>
      <c r="L79" s="268">
        <f t="shared" si="38"/>
        <v>125.32055444555445</v>
      </c>
      <c r="M79" s="240">
        <f t="shared" si="38"/>
        <v>10.5</v>
      </c>
      <c r="N79" s="240">
        <f t="shared" si="38"/>
        <v>1144.9880313439244</v>
      </c>
      <c r="O79" s="268">
        <f t="shared" si="38"/>
        <v>111.65024831330111</v>
      </c>
      <c r="P79" s="269">
        <f>M79-J79</f>
        <v>-2.25</v>
      </c>
      <c r="Q79" s="222">
        <f>N79-K79</f>
        <v>-437.76196865607562</v>
      </c>
      <c r="R79" s="223">
        <f>O79/L79</f>
        <v>0.89091728653185609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-437.76196865607562</v>
      </c>
      <c r="AG79" s="124">
        <f>N79/K79</f>
        <v>0.72341685758579966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78" priority="1" operator="greaterThan">
      <formula>0</formula>
    </cfRule>
  </conditionalFormatting>
  <conditionalFormatting sqref="Q5:Q79 AF5:AF79">
    <cfRule type="cellIs" dxfId="277" priority="4" operator="lessThan">
      <formula>0</formula>
    </cfRule>
  </conditionalFormatting>
  <conditionalFormatting sqref="R5:R79 AG5:AG79">
    <cfRule type="cellIs" dxfId="276" priority="2" operator="greaterThan">
      <formula>1</formula>
    </cfRule>
    <cfRule type="cellIs" dxfId="275" priority="3" operator="lessThan">
      <formula>0.8</formula>
    </cfRule>
  </conditionalFormatting>
  <conditionalFormatting sqref="S5:S10 S37:S62 AH59:AH62 S69:S76 AH69:AH76">
    <cfRule type="cellIs" dxfId="274" priority="7" operator="lessThan">
      <formula>0.8</formula>
    </cfRule>
  </conditionalFormatting>
  <conditionalFormatting sqref="S19:S25 AH19:AH25">
    <cfRule type="cellIs" dxfId="273" priority="6" operator="lessThan">
      <formula>0.8</formula>
    </cfRule>
  </conditionalFormatting>
  <conditionalFormatting sqref="S79">
    <cfRule type="cellIs" dxfId="272" priority="5" operator="lessThan">
      <formula>0.8</formula>
    </cfRule>
  </conditionalFormatting>
  <conditionalFormatting sqref="AH5:AH8 S15:S16 AH15:AH16 AH49 AH79">
    <cfRule type="cellIs" dxfId="271" priority="9" operator="lessThan">
      <formula>0.8</formula>
    </cfRule>
  </conditionalFormatting>
  <conditionalFormatting sqref="AH27 S27:S28">
    <cfRule type="cellIs" dxfId="2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7495-BF0B-4E25-8C3A-95E3D4974537}">
  <dimension ref="B1:O26"/>
  <sheetViews>
    <sheetView topLeftCell="B1" zoomScale="70" zoomScaleNormal="70" workbookViewId="0">
      <selection activeCell="N21" sqref="N21:N2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DATE(2026,8,5)</f>
        <v>46239</v>
      </c>
      <c r="E3" s="706"/>
      <c r="F3" s="3" t="s">
        <v>72</v>
      </c>
      <c r="G3" s="707">
        <f>'0805'!E1</f>
        <v>55976</v>
      </c>
      <c r="H3" s="707"/>
      <c r="I3" s="3" t="s">
        <v>2</v>
      </c>
      <c r="J3" s="708">
        <f>'0805'!G1</f>
        <v>2563762.3149999995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127.78985058669933</v>
      </c>
      <c r="G6" s="713"/>
      <c r="H6" s="714">
        <f>AVERAGE(D13:H13)</f>
        <v>124.670290765879</v>
      </c>
      <c r="I6" s="714"/>
      <c r="J6" s="714">
        <f>AVERAGE(I13:J13)</f>
        <v>135.58875013875013</v>
      </c>
      <c r="K6" s="714"/>
      <c r="L6" s="716">
        <f>'0805'!Z2</f>
        <v>0</v>
      </c>
      <c r="M6" s="717">
        <f>'0805'!AA2</f>
        <v>0</v>
      </c>
      <c r="N6" s="718">
        <f>'0805'!AD2</f>
        <v>0</v>
      </c>
      <c r="O6" s="717">
        <f>'0805'!AE2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116.16975737047683</v>
      </c>
      <c r="G7" s="737"/>
      <c r="H7" s="738">
        <f>AVERAGE(D14:H14)</f>
        <v>113.54605618988828</v>
      </c>
      <c r="I7" s="738"/>
      <c r="J7" s="738">
        <f>AVERAGE(I14:J14)</f>
        <v>122.72901032194818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0.907110076329529</v>
      </c>
      <c r="G8" s="710"/>
      <c r="H8" s="710">
        <f>AVERAGE(D15:H15)</f>
        <v>0.90789392337259789</v>
      </c>
      <c r="I8" s="710"/>
      <c r="J8" s="710">
        <f>AVERAGE(I15:J15)</f>
        <v>0.90515045872185684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VALUE('0805'!L15)</f>
        <v>151.80995475113122</v>
      </c>
      <c r="E13" s="13">
        <f>VALUE('0805'!L26)</f>
        <v>174.23076923076923</v>
      </c>
      <c r="F13" s="13">
        <f>VALUE('0805'!L37)</f>
        <v>94.230392156862763</v>
      </c>
      <c r="G13" s="13">
        <f>VALUE('0805'!L48)</f>
        <v>96.300925925925924</v>
      </c>
      <c r="H13" s="13">
        <f>VALUE('0805'!L58)</f>
        <v>106.77941176470588</v>
      </c>
      <c r="I13" s="13">
        <f>VALUE('0805'!L69)</f>
        <v>135.50707070707071</v>
      </c>
      <c r="J13" s="13">
        <f>'0805'!L79</f>
        <v>135.67042957042958</v>
      </c>
    </row>
    <row r="14" spans="2:15" ht="39.950000000000003" customHeight="1">
      <c r="B14" s="731"/>
      <c r="C14" s="12" t="s">
        <v>100</v>
      </c>
      <c r="D14" s="13">
        <f>VALUE('0805'!O15)</f>
        <v>140.8305223257772</v>
      </c>
      <c r="E14" s="13">
        <f>VALUE('0805'!O26)</f>
        <v>160.57524770886826</v>
      </c>
      <c r="F14" s="13">
        <f>VALUE('0805'!O37)</f>
        <v>82.727736095373501</v>
      </c>
      <c r="G14" s="13">
        <f>VALUE('0805'!O48)</f>
        <v>91.103987986947217</v>
      </c>
      <c r="H14" s="13">
        <f>VALUE('0805'!O58)</f>
        <v>92.492786832475161</v>
      </c>
      <c r="I14" s="13">
        <f>VALUE('0805'!O69)</f>
        <v>121.34211517775061</v>
      </c>
      <c r="J14" s="13">
        <f>'0805'!O79</f>
        <v>124.11590546614575</v>
      </c>
    </row>
    <row r="15" spans="2:15" ht="39.950000000000003" customHeight="1">
      <c r="B15" s="732"/>
      <c r="C15" s="10" t="s">
        <v>26</v>
      </c>
      <c r="D15" s="14">
        <f t="shared" ref="D15:I15" si="0">D14/D13</f>
        <v>0.92767646599096165</v>
      </c>
      <c r="E15" s="14">
        <f t="shared" si="0"/>
        <v>0.92162393828489508</v>
      </c>
      <c r="F15" s="14">
        <f t="shared" si="0"/>
        <v>0.87793050842512566</v>
      </c>
      <c r="G15" s="14">
        <f t="shared" si="0"/>
        <v>0.94603439282633528</v>
      </c>
      <c r="H15" s="14">
        <f t="shared" si="0"/>
        <v>0.86620431133567155</v>
      </c>
      <c r="I15" s="14">
        <f t="shared" si="0"/>
        <v>0.89546703758403234</v>
      </c>
      <c r="J15" s="15">
        <f>'0805'!S70</f>
        <v>0.91483387985968145</v>
      </c>
    </row>
    <row r="16" spans="2:15" ht="17.25" customHeight="1">
      <c r="B16" s="733" t="s">
        <v>101</v>
      </c>
      <c r="C16" s="10" t="s">
        <v>34</v>
      </c>
      <c r="D16" s="16">
        <f>'0805'!T5</f>
        <v>0.29166666666666702</v>
      </c>
      <c r="E16" s="16">
        <f>'0805'!T16</f>
        <v>0.29166666666666702</v>
      </c>
      <c r="F16" s="16">
        <f>'0805'!T27</f>
        <v>0.29166666666666702</v>
      </c>
      <c r="G16" s="16">
        <f>'0805'!T38</f>
        <v>0.32986111111111099</v>
      </c>
      <c r="H16" s="16">
        <f>'0805'!T49</f>
        <v>0.29166666666666702</v>
      </c>
      <c r="I16" s="16">
        <f>'0805'!T59</f>
        <v>0.28819444444444398</v>
      </c>
      <c r="J16" s="17">
        <f>'0805'!T70</f>
        <v>0.31458333333333299</v>
      </c>
    </row>
    <row r="17" spans="2:10" ht="17.25" customHeight="1">
      <c r="B17" s="734"/>
      <c r="C17" s="10" t="s">
        <v>35</v>
      </c>
      <c r="D17" s="327">
        <v>0.47638888888888897</v>
      </c>
      <c r="E17" s="19">
        <v>0.58402777777777803</v>
      </c>
      <c r="F17" s="19">
        <v>0.56527777777777799</v>
      </c>
      <c r="G17" s="328">
        <v>0.61111111111111105</v>
      </c>
      <c r="H17" s="21">
        <v>0.62152777777777801</v>
      </c>
      <c r="I17" s="110">
        <v>0.47083333333333299</v>
      </c>
      <c r="J17" s="22">
        <v>0.64236111111111105</v>
      </c>
    </row>
    <row r="18" spans="2:10" ht="17.25" customHeight="1">
      <c r="B18" s="735" t="s">
        <v>102</v>
      </c>
      <c r="C18" s="330" t="s">
        <v>36</v>
      </c>
      <c r="D18" s="386">
        <f>'0805'!Z15</f>
        <v>0</v>
      </c>
      <c r="E18" s="387">
        <f>'0805'!Z26</f>
        <v>0</v>
      </c>
      <c r="F18" s="387">
        <f>'0805'!Z37</f>
        <v>0</v>
      </c>
      <c r="G18" s="388">
        <f>'0805'!Z48</f>
        <v>0</v>
      </c>
      <c r="H18" s="388">
        <f>'0805'!Z58</f>
        <v>0</v>
      </c>
      <c r="I18" s="387">
        <f>'0805'!Z69</f>
        <v>0</v>
      </c>
      <c r="J18" s="387">
        <f>'0805'!AA79</f>
        <v>0</v>
      </c>
    </row>
    <row r="19" spans="2:10" ht="17.25" customHeight="1">
      <c r="B19" s="736"/>
      <c r="C19" s="330" t="s">
        <v>37</v>
      </c>
      <c r="D19" s="386">
        <f>'0805'!AA15</f>
        <v>0</v>
      </c>
      <c r="E19" s="387">
        <f>'0805'!AA26</f>
        <v>0</v>
      </c>
      <c r="F19" s="387">
        <f>'0805'!AA37</f>
        <v>0</v>
      </c>
      <c r="G19" s="388">
        <f>'0805'!AA48</f>
        <v>0</v>
      </c>
      <c r="H19" s="388">
        <f>'0805'!AA58</f>
        <v>0</v>
      </c>
      <c r="I19" s="387">
        <f>'0805'!AA69</f>
        <v>0</v>
      </c>
      <c r="J19" s="387">
        <f>'0805'!AB79</f>
        <v>0</v>
      </c>
    </row>
    <row r="20" spans="2:10" ht="17.25" customHeight="1">
      <c r="B20" s="735" t="s">
        <v>103</v>
      </c>
      <c r="C20" s="330" t="s">
        <v>36</v>
      </c>
      <c r="D20" s="386">
        <f>'0805'!AD15</f>
        <v>0</v>
      </c>
      <c r="E20" s="387">
        <f>'0805'!AD26</f>
        <v>0</v>
      </c>
      <c r="F20" s="387">
        <f>'0805'!AD37</f>
        <v>0</v>
      </c>
      <c r="G20" s="388">
        <f>'0805'!AD48</f>
        <v>0</v>
      </c>
      <c r="H20" s="388">
        <f>'0805'!AD58</f>
        <v>0</v>
      </c>
      <c r="I20" s="387">
        <f>'0805'!AD69</f>
        <v>0</v>
      </c>
      <c r="J20" s="387">
        <f>'0805'!AD79</f>
        <v>0</v>
      </c>
    </row>
    <row r="21" spans="2:10" ht="17.25" customHeight="1">
      <c r="B21" s="736"/>
      <c r="C21" s="330" t="s">
        <v>85</v>
      </c>
      <c r="D21" s="386">
        <f>'0805'!AE15</f>
        <v>0</v>
      </c>
      <c r="E21" s="387">
        <f>'0805'!AE26</f>
        <v>0</v>
      </c>
      <c r="F21" s="387">
        <f>'0805'!AE37</f>
        <v>0</v>
      </c>
      <c r="G21" s="388">
        <f>'0805'!AE48</f>
        <v>0</v>
      </c>
      <c r="H21" s="388">
        <f>'0805'!AE58</f>
        <v>0</v>
      </c>
      <c r="I21" s="387">
        <f>'0805'!AE69</f>
        <v>0</v>
      </c>
      <c r="J21" s="387">
        <f>'0805'!AE79</f>
        <v>0</v>
      </c>
    </row>
    <row r="22" spans="2:10" ht="17.25" customHeight="1">
      <c r="B22" s="719" t="s">
        <v>104</v>
      </c>
      <c r="C22" s="720"/>
      <c r="D22" s="23">
        <f>VALUE('0805'!M15)</f>
        <v>14.333333333333334</v>
      </c>
      <c r="E22" s="23">
        <f>VALUE('0805'!M26)</f>
        <v>12.8</v>
      </c>
      <c r="F22" s="23">
        <f>VALUE('0805'!M37)</f>
        <v>16.8</v>
      </c>
      <c r="G22" s="23">
        <f>VALUE('0805'!M48)</f>
        <v>16.333333333333332</v>
      </c>
      <c r="H22" s="23">
        <f>VALUE('0805'!M58)</f>
        <v>16.5</v>
      </c>
      <c r="I22" s="23">
        <f>VALUE('0805'!M69)</f>
        <v>12.333333333333334</v>
      </c>
      <c r="J22" s="23">
        <f>'0805'!M79</f>
        <v>11.2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6F022-5713-483B-B974-BD4AD0D8469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V26" sqref="V2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55976</v>
      </c>
      <c r="F1" s="30" t="s">
        <v>2</v>
      </c>
      <c r="G1" s="31">
        <f>SUM(H5:H79)</f>
        <v>2563762.3149999995</v>
      </c>
      <c r="H1" s="32" t="s">
        <v>3</v>
      </c>
      <c r="I1" s="33">
        <f>M15+M26+M48+M58+M69+M79+M37</f>
        <v>100.3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143</v>
      </c>
      <c r="B2" s="739"/>
      <c r="C2" s="28"/>
      <c r="D2" s="28" t="s">
        <v>14</v>
      </c>
      <c r="E2" s="35">
        <f>AVERAGE(O15,O26,O37,O48,O58,O69,O79)</f>
        <v>116.16975737047683</v>
      </c>
      <c r="F2" s="36" t="s">
        <v>15</v>
      </c>
      <c r="G2" s="37">
        <f>G1/E1</f>
        <v>45.801098953122761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1592</v>
      </c>
      <c r="H5" s="43">
        <f>F5*G5</f>
        <v>80666.64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16</v>
      </c>
      <c r="N5" s="46">
        <f>G5/W5*60</f>
        <v>1990.0000000000202</v>
      </c>
      <c r="O5" s="47">
        <f>N5/M5</f>
        <v>124.37500000000126</v>
      </c>
      <c r="P5" s="49">
        <f>M5-J5</f>
        <v>-1</v>
      </c>
      <c r="Q5" s="50">
        <f>O5-L5</f>
        <v>-7.9779411764693151</v>
      </c>
      <c r="R5" s="51">
        <f>O5/L5</f>
        <v>0.93972222222223178</v>
      </c>
      <c r="S5" s="748">
        <f>R15</f>
        <v>0.92767646599096165</v>
      </c>
      <c r="T5" s="319">
        <v>0.29166666666666702</v>
      </c>
      <c r="U5" s="320">
        <v>0.32500000000000001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-259.99999999997976</v>
      </c>
      <c r="AG5" s="52">
        <f t="shared" ref="AG5:AG11" si="2">N5/K5</f>
        <v>0.88444444444445347</v>
      </c>
      <c r="AH5" s="784">
        <f>AG15</f>
        <v>0.89009443439824232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1415</v>
      </c>
      <c r="H6" s="63">
        <f>F6*G6</f>
        <v>82310.55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2021.4285714286175</v>
      </c>
      <c r="O6" s="67">
        <f>N6/M6</f>
        <v>155.49450549450904</v>
      </c>
      <c r="P6" s="69">
        <f>M6-J6</f>
        <v>0</v>
      </c>
      <c r="Q6" s="70">
        <f>O6-L6</f>
        <v>-17.582417582414024</v>
      </c>
      <c r="R6" s="71">
        <f>O6/L6</f>
        <v>0.89841269841271898</v>
      </c>
      <c r="S6" s="749"/>
      <c r="T6" s="16">
        <v>0.33055555555555599</v>
      </c>
      <c r="U6" s="16">
        <v>0.359722222222222</v>
      </c>
      <c r="V6" s="30">
        <f>(T6-U5)*24*60</f>
        <v>8.0000000000006111</v>
      </c>
      <c r="W6" s="73">
        <f t="shared" si="0"/>
        <v>41.999999999999048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-228.57142857138251</v>
      </c>
      <c r="AG6" s="72">
        <f t="shared" si="2"/>
        <v>0.89841269841271887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5258</v>
      </c>
      <c r="H7" s="78">
        <f>F7*G7</f>
        <v>258378.12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14</v>
      </c>
      <c r="N7" s="80">
        <f>G7/W7*60</f>
        <v>1996.7088607594978</v>
      </c>
      <c r="O7" s="81">
        <f>N7/M7</f>
        <v>142.62206148282127</v>
      </c>
      <c r="P7" s="74">
        <f>M7-J7</f>
        <v>-1</v>
      </c>
      <c r="Q7" s="83">
        <f>O7-L7</f>
        <v>-7.3779385171787339</v>
      </c>
      <c r="R7" s="72">
        <f>O7/L7</f>
        <v>0.9508137432188084</v>
      </c>
      <c r="S7" s="749"/>
      <c r="T7" s="18">
        <v>0.36666666666666697</v>
      </c>
      <c r="U7" s="18">
        <v>0.47638888888888897</v>
      </c>
      <c r="V7" s="30">
        <f>(T7-U6)*24*60</f>
        <v>10.000000000000764</v>
      </c>
      <c r="W7" s="73">
        <f t="shared" si="0"/>
        <v>157.99999999999969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-253.29113924050216</v>
      </c>
      <c r="AG7" s="72">
        <f t="shared" si="2"/>
        <v>0.88742616033755461</v>
      </c>
      <c r="AH7" s="785"/>
    </row>
    <row r="8" spans="1:34" ht="15" customHeight="1">
      <c r="A8" s="75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0</v>
      </c>
      <c r="AG8" s="72" t="e">
        <f t="shared" si="2"/>
        <v>#DIV/0!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14.333333333333334</v>
      </c>
      <c r="N15" s="120">
        <f t="shared" si="3"/>
        <v>2002.7124773960452</v>
      </c>
      <c r="O15" s="117">
        <f t="shared" si="3"/>
        <v>140.8305223257772</v>
      </c>
      <c r="P15" s="121">
        <f>M15-J15</f>
        <v>-0.66666666666666607</v>
      </c>
      <c r="Q15" s="122">
        <f>O15-L15</f>
        <v>-10.97943242535402</v>
      </c>
      <c r="R15" s="123">
        <f>O15/L15</f>
        <v>0.92767646599096165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-247.28752260395481</v>
      </c>
      <c r="AG15" s="124">
        <f>N15/K15</f>
        <v>0.89009443439824232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2003</v>
      </c>
      <c r="H16" s="134">
        <f>F16*G16</f>
        <v>101492.01000000001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2146.0714285714239</v>
      </c>
      <c r="O16" s="141">
        <f>N16/M16</f>
        <v>165.08241758241724</v>
      </c>
      <c r="P16" s="142">
        <f>M16-J16</f>
        <v>0</v>
      </c>
      <c r="Q16" s="143">
        <f>O16-L16</f>
        <v>-7.9945054945058303</v>
      </c>
      <c r="R16" s="144">
        <f>O16/L16</f>
        <v>0.95380952380952189</v>
      </c>
      <c r="S16" s="795">
        <f>R26</f>
        <v>0.92162393828489508</v>
      </c>
      <c r="T16" s="145">
        <v>0.29166666666666702</v>
      </c>
      <c r="U16" s="145">
        <v>0.33055555555555599</v>
      </c>
      <c r="V16" s="135"/>
      <c r="W16" s="146">
        <f t="shared" ref="W16:W78" si="4">(U16-T16)*24*60</f>
        <v>56.000000000000121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-103.92857142857611</v>
      </c>
      <c r="AG16" s="52">
        <f>N16/K16</f>
        <v>0.95380952380952178</v>
      </c>
      <c r="AH16" s="784">
        <f>AG26</f>
        <v>0.91044545804698973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2722</v>
      </c>
      <c r="H17" s="78">
        <f>F17*G17</f>
        <v>154800.13999999998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14</v>
      </c>
      <c r="N17" s="95">
        <f>G17/W17*60</f>
        <v>2016.2962962962974</v>
      </c>
      <c r="O17" s="96">
        <f>N17/M17</f>
        <v>144.02116402116411</v>
      </c>
      <c r="P17" s="97">
        <f>M17-J17</f>
        <v>-1</v>
      </c>
      <c r="Q17" s="98">
        <f>O17-L17</f>
        <v>-5.9788359788358889</v>
      </c>
      <c r="R17" s="99">
        <f>O17/L17</f>
        <v>0.96014109347442744</v>
      </c>
      <c r="S17" s="796"/>
      <c r="T17" s="19">
        <v>0.33611111111111103</v>
      </c>
      <c r="U17" s="19">
        <v>0.39236111111111099</v>
      </c>
      <c r="V17" s="30">
        <f>(T17-U16)*24*60</f>
        <v>7.9999999999992522</v>
      </c>
      <c r="W17" s="149">
        <f t="shared" si="4"/>
        <v>80.999999999999957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-233.70370370370256</v>
      </c>
      <c r="AG17" s="72">
        <f>N17/K17</f>
        <v>0.8961316872427989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4107</v>
      </c>
      <c r="H18" s="78">
        <f>F18*G18</f>
        <v>206951.73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2124.3103448275747</v>
      </c>
      <c r="O18" s="96">
        <f>N18/M18</f>
        <v>177.02586206896456</v>
      </c>
      <c r="P18" s="97">
        <f>M18-J18</f>
        <v>0</v>
      </c>
      <c r="Q18" s="98">
        <f>O18-L18</f>
        <v>-10.474137931035443</v>
      </c>
      <c r="R18" s="99">
        <f>O18/L18</f>
        <v>0.94413793103447763</v>
      </c>
      <c r="S18" s="796"/>
      <c r="T18" s="19">
        <v>0.39861111111111103</v>
      </c>
      <c r="U18" s="19">
        <v>0.47916666666666702</v>
      </c>
      <c r="V18" s="30">
        <f>(T18-U17)*24*60</f>
        <v>9.000000000000048</v>
      </c>
      <c r="W18" s="149">
        <f t="shared" si="4"/>
        <v>116.00000000000063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-125.68965517242532</v>
      </c>
      <c r="AG18" s="72">
        <f>N18/K18</f>
        <v>0.94413793103447763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518</v>
      </c>
      <c r="H19" s="78">
        <f t="shared" ref="H19:H20" si="5">F19*G19</f>
        <v>26102.02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6">K19/J19</f>
        <v>187.5</v>
      </c>
      <c r="M19" s="148">
        <v>12</v>
      </c>
      <c r="N19" s="95">
        <f t="shared" ref="N19:N20" si="7">G19/W19*60</f>
        <v>1942.5000000000068</v>
      </c>
      <c r="O19" s="96">
        <f t="shared" ref="O19:O20" si="8">N19/M19</f>
        <v>161.87500000000057</v>
      </c>
      <c r="P19" s="97">
        <f t="shared" ref="P19:P20" si="9">M19-J19</f>
        <v>0</v>
      </c>
      <c r="Q19" s="98">
        <f t="shared" ref="Q19:Q20" si="10">O19-L19</f>
        <v>-25.624999999999432</v>
      </c>
      <c r="R19" s="99">
        <f t="shared" ref="R19:R20" si="11">O19/L19</f>
        <v>0.86333333333333639</v>
      </c>
      <c r="S19" s="796"/>
      <c r="T19" s="19">
        <v>0.54166666666666696</v>
      </c>
      <c r="U19" s="19">
        <v>0.55277777777777803</v>
      </c>
      <c r="V19" s="30">
        <f>(T19-U18)*24*60</f>
        <v>89.999999999999915</v>
      </c>
      <c r="W19" s="149">
        <f t="shared" si="4"/>
        <v>15.999999999999943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-307.49999999999318</v>
      </c>
      <c r="AG19" s="72">
        <f>N19/K19</f>
        <v>0.86333333333333639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1208</v>
      </c>
      <c r="H20" s="78">
        <f t="shared" si="5"/>
        <v>61209.36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6"/>
        <v>173.07692307692307</v>
      </c>
      <c r="M20" s="148">
        <v>13</v>
      </c>
      <c r="N20" s="95">
        <f t="shared" si="7"/>
        <v>2013.3333333333317</v>
      </c>
      <c r="O20" s="96">
        <f t="shared" si="8"/>
        <v>154.87179487179475</v>
      </c>
      <c r="P20" s="97">
        <f t="shared" si="9"/>
        <v>0</v>
      </c>
      <c r="Q20" s="98">
        <f t="shared" si="10"/>
        <v>-18.205128205128318</v>
      </c>
      <c r="R20" s="99">
        <f t="shared" si="11"/>
        <v>0.89481481481481417</v>
      </c>
      <c r="S20" s="796"/>
      <c r="T20" s="19">
        <v>0.55902777777777801</v>
      </c>
      <c r="U20" s="19">
        <v>0.58402777777777803</v>
      </c>
      <c r="V20" s="30">
        <f>(T20-U19)*24*60</f>
        <v>8.999999999999968</v>
      </c>
      <c r="W20" s="149">
        <f t="shared" si="4"/>
        <v>36.000000000000028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2">AVERAGE(J16:J25)</f>
        <v>13</v>
      </c>
      <c r="K26" s="155">
        <f t="shared" si="12"/>
        <v>2250</v>
      </c>
      <c r="L26" s="158">
        <f t="shared" si="12"/>
        <v>174.23076923076923</v>
      </c>
      <c r="M26" s="155">
        <f t="shared" si="12"/>
        <v>12.8</v>
      </c>
      <c r="N26" s="155">
        <f t="shared" si="12"/>
        <v>2048.5022806057268</v>
      </c>
      <c r="O26" s="158">
        <f t="shared" si="12"/>
        <v>160.57524770886826</v>
      </c>
      <c r="P26" s="159">
        <f>M26-J26</f>
        <v>-0.19999999999999929</v>
      </c>
      <c r="Q26" s="160">
        <f>O26-L26</f>
        <v>-13.655521521900965</v>
      </c>
      <c r="R26" s="161">
        <f>O26/L26</f>
        <v>0.92162393828489508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3">N26-K26</f>
        <v>-201.49771939427319</v>
      </c>
      <c r="AG26" s="124">
        <f t="shared" ref="AG26:AG31" si="14">N26/K26</f>
        <v>0.91044545804698973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1940</v>
      </c>
      <c r="H27" s="134">
        <f>F27*G27</f>
        <v>89899.6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1385.7142857142946</v>
      </c>
      <c r="O27" s="141">
        <f>N27/M27</f>
        <v>86.607142857143415</v>
      </c>
      <c r="P27" s="142">
        <f>M27-J27</f>
        <v>0</v>
      </c>
      <c r="Q27" s="143">
        <f>O27-L27</f>
        <v>-15.642857142856585</v>
      </c>
      <c r="R27" s="144">
        <f>O27/L27</f>
        <v>0.84701362207475228</v>
      </c>
      <c r="S27" s="795">
        <f>R37</f>
        <v>0.87793050842512566</v>
      </c>
      <c r="T27" s="171">
        <v>0.29166666666666702</v>
      </c>
      <c r="U27" s="171">
        <v>0.35</v>
      </c>
      <c r="V27" s="135"/>
      <c r="W27" s="146">
        <f t="shared" si="4"/>
        <v>83.99999999999946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3"/>
        <v>-250.28571428570535</v>
      </c>
      <c r="AG27" s="172">
        <f t="shared" si="14"/>
        <v>0.84701362207475228</v>
      </c>
      <c r="AH27" s="784">
        <f>AG37</f>
        <v>0.84736096649772119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1294</v>
      </c>
      <c r="H28" s="91">
        <f>F28*G28</f>
        <v>59084.039999999994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1437.7777777777785</v>
      </c>
      <c r="O28" s="96">
        <f>N28/M28</f>
        <v>89.861111111111157</v>
      </c>
      <c r="P28" s="97">
        <f>M28-J28</f>
        <v>-1</v>
      </c>
      <c r="Q28" s="98">
        <f>O28-L28</f>
        <v>-6.3741830065359011</v>
      </c>
      <c r="R28" s="99">
        <f>O28/L28</f>
        <v>0.93376460201032374</v>
      </c>
      <c r="S28" s="796"/>
      <c r="T28" s="19">
        <v>0.35486111111111102</v>
      </c>
      <c r="U28" s="19">
        <v>0.39236111111111099</v>
      </c>
      <c r="V28" s="92">
        <f>(T28-U27)*24*60</f>
        <v>6.9999999999998952</v>
      </c>
      <c r="W28" s="149">
        <f t="shared" si="4"/>
        <v>53.999999999999972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3"/>
        <v>-198.22222222222149</v>
      </c>
      <c r="AG28" s="99">
        <f t="shared" si="14"/>
        <v>0.87883727248030474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1232</v>
      </c>
      <c r="H29" s="91">
        <f>F29*G29</f>
        <v>70482.720000000001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1394.7169811320573</v>
      </c>
      <c r="O29" s="96">
        <f>N29/M29</f>
        <v>82.042175360709251</v>
      </c>
      <c r="P29" s="97">
        <f>M29-J29</f>
        <v>-1</v>
      </c>
      <c r="Q29" s="98">
        <f>O29-L29</f>
        <v>-8.8467135281796345</v>
      </c>
      <c r="R29" s="99">
        <f>O29/L29</f>
        <v>0.90266452108359818</v>
      </c>
      <c r="S29" s="796"/>
      <c r="T29" s="19">
        <v>0.39722222222222198</v>
      </c>
      <c r="U29" s="19">
        <v>0.43402777777777801</v>
      </c>
      <c r="V29" s="92">
        <f>(T29-U28)*24*60</f>
        <v>6.9999999999998153</v>
      </c>
      <c r="W29" s="149">
        <f t="shared" si="4"/>
        <v>53.000000000000689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3"/>
        <v>-241.2830188679427</v>
      </c>
      <c r="AG29" s="99">
        <f t="shared" si="14"/>
        <v>0.85251649213450931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1031</v>
      </c>
      <c r="H30" s="91">
        <f t="shared" ref="H30:H31" si="15">F30*G30</f>
        <v>51457.21</v>
      </c>
      <c r="I30" s="92"/>
      <c r="J30" s="79">
        <f>VLOOKUP(D30,產線配置圖!$A$3:$C$40,2,0)</f>
        <v>18</v>
      </c>
      <c r="K30" s="80">
        <v>1636</v>
      </c>
      <c r="L30" s="93">
        <f t="shared" ref="L30:L31" si="16">K30/J30</f>
        <v>90.888888888888886</v>
      </c>
      <c r="M30" s="94">
        <v>17</v>
      </c>
      <c r="N30" s="95">
        <f t="shared" ref="N30:N31" si="17">G30/W30*60</f>
        <v>1344.7826086956709</v>
      </c>
      <c r="O30" s="96">
        <f t="shared" ref="O30:O31" si="18">N30/M30</f>
        <v>79.104859335039464</v>
      </c>
      <c r="P30" s="97">
        <f t="shared" ref="P30:P31" si="19">M30-J30</f>
        <v>-1</v>
      </c>
      <c r="Q30" s="98">
        <f t="shared" ref="Q30:Q31" si="20">O30-L30</f>
        <v>-11.784029553849422</v>
      </c>
      <c r="R30" s="99">
        <f t="shared" ref="R30:R31" si="21">O30/L30</f>
        <v>0.87034686309945619</v>
      </c>
      <c r="S30" s="796"/>
      <c r="T30" s="19">
        <v>0.4375</v>
      </c>
      <c r="U30" s="19">
        <v>0.469444444444444</v>
      </c>
      <c r="V30" s="92">
        <f>(T30-U29)*24*60</f>
        <v>4.9999999999996625</v>
      </c>
      <c r="W30" s="149">
        <f t="shared" si="4"/>
        <v>45.999999999999361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3"/>
        <v>-291.21739130432911</v>
      </c>
      <c r="AG30" s="99">
        <f t="shared" si="14"/>
        <v>0.82199425959393091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1300</v>
      </c>
      <c r="H31" s="91">
        <f t="shared" si="15"/>
        <v>64882.999999999993</v>
      </c>
      <c r="I31" s="92"/>
      <c r="J31" s="79">
        <f>VLOOKUP(D31,產線配置圖!$A$3:$C$40,2,0)</f>
        <v>18</v>
      </c>
      <c r="K31" s="80">
        <v>1636</v>
      </c>
      <c r="L31" s="93">
        <f t="shared" si="16"/>
        <v>90.888888888888886</v>
      </c>
      <c r="M31" s="94">
        <v>18</v>
      </c>
      <c r="N31" s="95">
        <f t="shared" si="17"/>
        <v>1368.4210526315569</v>
      </c>
      <c r="O31" s="96">
        <f t="shared" si="18"/>
        <v>76.023391812864276</v>
      </c>
      <c r="P31" s="97">
        <f t="shared" si="19"/>
        <v>0</v>
      </c>
      <c r="Q31" s="98">
        <f t="shared" si="20"/>
        <v>-14.86549707602461</v>
      </c>
      <c r="R31" s="99">
        <f t="shared" si="21"/>
        <v>0.83644318620510816</v>
      </c>
      <c r="S31" s="796"/>
      <c r="T31" s="19">
        <v>0.52569444444444402</v>
      </c>
      <c r="U31" s="19">
        <v>0.56527777777777799</v>
      </c>
      <c r="V31" s="92">
        <f>(T31-U30)*24*60</f>
        <v>81.000000000000028</v>
      </c>
      <c r="W31" s="149">
        <f t="shared" si="4"/>
        <v>57.000000000000917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3"/>
        <v>-267.5789473684431</v>
      </c>
      <c r="AG31" s="99">
        <f t="shared" si="14"/>
        <v>0.83644318620510816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2">AVERAGE(J27:J36)</f>
        <v>17.399999999999999</v>
      </c>
      <c r="K37" s="155">
        <f t="shared" si="22"/>
        <v>1636</v>
      </c>
      <c r="L37" s="158">
        <f t="shared" si="22"/>
        <v>94.230392156862763</v>
      </c>
      <c r="M37" s="155">
        <f t="shared" si="22"/>
        <v>16.8</v>
      </c>
      <c r="N37" s="155">
        <f t="shared" si="22"/>
        <v>1386.2825411902718</v>
      </c>
      <c r="O37" s="158">
        <f t="shared" si="22"/>
        <v>82.727736095373501</v>
      </c>
      <c r="P37" s="159">
        <f>M37-J37</f>
        <v>-0.59999999999999787</v>
      </c>
      <c r="Q37" s="160">
        <f>N37-K37</f>
        <v>-249.71745880972821</v>
      </c>
      <c r="R37" s="161">
        <f>O37/L37</f>
        <v>0.87793050842512566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-249.71745880972821</v>
      </c>
      <c r="AG37" s="124">
        <f>N37/K37</f>
        <v>0.84736096649772119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2456</v>
      </c>
      <c r="H38" s="134">
        <f>F38*G38</f>
        <v>122578.95999999999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1519.1752577319617</v>
      </c>
      <c r="O38" s="141">
        <f>N38/M38</f>
        <v>101.27835051546411</v>
      </c>
      <c r="P38" s="142">
        <f>M38-J38</f>
        <v>-1</v>
      </c>
      <c r="Q38" s="143">
        <f>O38-L38</f>
        <v>-5.8466494845358881</v>
      </c>
      <c r="R38" s="144">
        <f>O38/L38</f>
        <v>0.94542217517352733</v>
      </c>
      <c r="S38" s="817">
        <f>R48</f>
        <v>0.94603439282633528</v>
      </c>
      <c r="T38" s="191">
        <v>0.32986111111111099</v>
      </c>
      <c r="U38" s="191">
        <v>0.39722222222222198</v>
      </c>
      <c r="V38" s="192"/>
      <c r="W38" s="193">
        <f t="shared" si="4"/>
        <v>96.999999999999815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-194.82474226803834</v>
      </c>
      <c r="AG38" s="195">
        <f>N38/K38</f>
        <v>0.88633328922518184</v>
      </c>
      <c r="AH38" s="807">
        <f>AG48</f>
        <v>0.8912448227644163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2706</v>
      </c>
      <c r="H39" s="91">
        <f>F39*G39</f>
        <v>119875.79999999999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1475.9999999999977</v>
      </c>
      <c r="O39" s="203">
        <f>N39/M39</f>
        <v>86.823529411764568</v>
      </c>
      <c r="P39" s="97">
        <f>M39-J39</f>
        <v>-1</v>
      </c>
      <c r="Q39" s="98">
        <f>O39-L39</f>
        <v>-4.0653594771243178</v>
      </c>
      <c r="R39" s="99">
        <f>O39/L39</f>
        <v>0.95527110599740972</v>
      </c>
      <c r="S39" s="818"/>
      <c r="T39" s="20">
        <v>0.40277777777777801</v>
      </c>
      <c r="U39" s="20">
        <v>0.47916666666666702</v>
      </c>
      <c r="V39" s="92">
        <f>(T39-U38)*24*60</f>
        <v>8.000000000000691</v>
      </c>
      <c r="W39" s="205">
        <f t="shared" si="4"/>
        <v>110.00000000000017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-160.00000000000227</v>
      </c>
      <c r="AG39" s="206">
        <f>N39/K39</f>
        <v>0.90220048899755367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2535</v>
      </c>
      <c r="H40" s="91">
        <f>F40*G40</f>
        <v>112300.5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1448.5714285714205</v>
      </c>
      <c r="O40" s="203">
        <f>N40/M40</f>
        <v>85.210084033612972</v>
      </c>
      <c r="P40" s="97">
        <f>M40-J40</f>
        <v>-1</v>
      </c>
      <c r="Q40" s="98">
        <f>O40-L40</f>
        <v>-5.6788048552759136</v>
      </c>
      <c r="R40" s="99">
        <f>O40/L40</f>
        <v>0.93751926198351687</v>
      </c>
      <c r="S40" s="749"/>
      <c r="T40" s="20">
        <v>0.53819444444444398</v>
      </c>
      <c r="U40" s="20">
        <v>0.61111111111111105</v>
      </c>
      <c r="V40" s="92">
        <f>(T40-U39)*24*60</f>
        <v>84.99999999999882</v>
      </c>
      <c r="W40" s="205">
        <f t="shared" si="4"/>
        <v>105.00000000000058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-187.42857142857952</v>
      </c>
      <c r="AG40" s="206">
        <f>N40/K40</f>
        <v>0.88543485853998805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4">AVERAGE(J38:J47)</f>
        <v>17.333333333333332</v>
      </c>
      <c r="K48" s="155">
        <f t="shared" si="24"/>
        <v>1662</v>
      </c>
      <c r="L48" s="158">
        <f t="shared" si="24"/>
        <v>96.300925925925924</v>
      </c>
      <c r="M48" s="155">
        <f t="shared" si="24"/>
        <v>16.333333333333332</v>
      </c>
      <c r="N48" s="155">
        <f t="shared" si="24"/>
        <v>1481.2488954344599</v>
      </c>
      <c r="O48" s="158">
        <f t="shared" si="24"/>
        <v>91.103987986947217</v>
      </c>
      <c r="P48" s="221">
        <f>M48-J48</f>
        <v>-1</v>
      </c>
      <c r="Q48" s="222">
        <f>N48-K48</f>
        <v>-180.75110456554012</v>
      </c>
      <c r="R48" s="223">
        <f>O48/L48</f>
        <v>0.94603439282633528</v>
      </c>
      <c r="S48" s="75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5">N48-K48</f>
        <v>-180.75110456554012</v>
      </c>
      <c r="AG48" s="162">
        <f t="shared" ref="AG48:AG53" si="26">N48/K48</f>
        <v>0.8912448227644163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2271</v>
      </c>
      <c r="H49" s="134">
        <f>F49*G49</f>
        <v>112459.92000000001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1703.250000000018</v>
      </c>
      <c r="O49" s="141">
        <f>N49/M49</f>
        <v>100.1911764705893</v>
      </c>
      <c r="P49" s="229">
        <f>M49-J49</f>
        <v>0</v>
      </c>
      <c r="Q49" s="230">
        <f>O49-L49</f>
        <v>-5.6911764705871661</v>
      </c>
      <c r="R49" s="52">
        <f>O49/L49</f>
        <v>0.94625000000001014</v>
      </c>
      <c r="S49" s="748">
        <f>R58</f>
        <v>0.86620431133567155</v>
      </c>
      <c r="T49" s="191">
        <v>0.29166666666666702</v>
      </c>
      <c r="U49" s="191">
        <v>0.34722222222222199</v>
      </c>
      <c r="V49" s="55"/>
      <c r="W49" s="193">
        <f t="shared" si="4"/>
        <v>79.999999999999162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5"/>
        <v>-96.749999999982037</v>
      </c>
      <c r="AG49" s="52">
        <f t="shared" si="26"/>
        <v>0.94625000000001003</v>
      </c>
      <c r="AH49" s="784">
        <f>AG58</f>
        <v>0.86680737186950774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2085</v>
      </c>
      <c r="H50" s="231">
        <f>F50*G50</f>
        <v>104852.565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1345.1612903225669</v>
      </c>
      <c r="O50" s="235">
        <f>N50/M50</f>
        <v>79.127134724856873</v>
      </c>
      <c r="P50" s="74">
        <f>M50-J50</f>
        <v>0</v>
      </c>
      <c r="Q50" s="83">
        <f>O50-L50</f>
        <v>-17.108159392790185</v>
      </c>
      <c r="R50" s="72">
        <f>O50/L50</f>
        <v>0.82222572758103107</v>
      </c>
      <c r="S50" s="749"/>
      <c r="T50" s="21">
        <v>0.35208333333333303</v>
      </c>
      <c r="U50" s="21">
        <v>0.41666666666666702</v>
      </c>
      <c r="V50" s="30">
        <f>(T50-U49)*24*60</f>
        <v>6.9999999999998952</v>
      </c>
      <c r="W50" s="236">
        <f t="shared" si="4"/>
        <v>93.000000000000952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5"/>
        <v>-290.83870967743314</v>
      </c>
      <c r="AG50" s="72">
        <f t="shared" si="26"/>
        <v>0.82222572758103107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1695</v>
      </c>
      <c r="H51" s="231">
        <f>F51*G51</f>
        <v>84699.15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1495.5882352941248</v>
      </c>
      <c r="O51" s="235">
        <f>N51/M51</f>
        <v>93.474264705882803</v>
      </c>
      <c r="P51" s="74">
        <f>M51-J51</f>
        <v>0</v>
      </c>
      <c r="Q51" s="83">
        <f>O51-L51</f>
        <v>-19.025735294117197</v>
      </c>
      <c r="R51" s="72">
        <f>O51/L51</f>
        <v>0.83088235294118051</v>
      </c>
      <c r="S51" s="749"/>
      <c r="T51" s="21">
        <v>0.421527777777778</v>
      </c>
      <c r="U51" s="19">
        <v>0.46875</v>
      </c>
      <c r="V51" s="30">
        <f>(T51-U50)*24*60</f>
        <v>6.9999999999998153</v>
      </c>
      <c r="W51" s="236">
        <f t="shared" si="4"/>
        <v>67.999999999999673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5"/>
        <v>-304.41176470587516</v>
      </c>
      <c r="AG51" s="72">
        <f t="shared" si="26"/>
        <v>0.83088235294118051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3628</v>
      </c>
      <c r="H52" s="231">
        <f>F52*G52</f>
        <v>181291.16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1554.8571428571468</v>
      </c>
      <c r="O52" s="235">
        <f>N52/M52</f>
        <v>97.178571428571672</v>
      </c>
      <c r="P52" s="74">
        <f>M52-J52</f>
        <v>0</v>
      </c>
      <c r="Q52" s="83">
        <f>O52-L52</f>
        <v>-15.321428571428328</v>
      </c>
      <c r="R52" s="72">
        <f>O52/L52</f>
        <v>0.86380952380952603</v>
      </c>
      <c r="S52" s="749"/>
      <c r="T52" s="21">
        <v>0.52430555555555602</v>
      </c>
      <c r="U52" s="21">
        <v>0.62152777777777801</v>
      </c>
      <c r="V52" s="30">
        <f>(T52-U51)*24*60</f>
        <v>80.000000000000682</v>
      </c>
      <c r="W52" s="236">
        <f t="shared" si="4"/>
        <v>139.99999999999966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5"/>
        <v>-245.14285714285325</v>
      </c>
      <c r="AG52" s="72">
        <f t="shared" si="26"/>
        <v>0.86380952380952603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5"/>
        <v>0</v>
      </c>
      <c r="AG53" s="72" t="e">
        <f t="shared" si="26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16.5</v>
      </c>
      <c r="N58" s="120">
        <f t="shared" si="27"/>
        <v>1524.714167118464</v>
      </c>
      <c r="O58" s="117">
        <f t="shared" si="27"/>
        <v>92.492786832475161</v>
      </c>
      <c r="P58" s="121">
        <f>M58-J58</f>
        <v>0</v>
      </c>
      <c r="Q58" s="122">
        <f>N58-K58</f>
        <v>-234.28583288153595</v>
      </c>
      <c r="R58" s="123">
        <f>O58/L58</f>
        <v>0.86620431133567155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-234.28583288153595</v>
      </c>
      <c r="AG58" s="124">
        <f>N58/K58</f>
        <v>0.86680737186950774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3237</v>
      </c>
      <c r="H59" s="243">
        <f>F59*G59</f>
        <v>87366.62999999999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1553.7599999999916</v>
      </c>
      <c r="O59" s="138">
        <f>N59/M59</f>
        <v>103.58399999999943</v>
      </c>
      <c r="P59" s="56">
        <f>M59-J59</f>
        <v>0</v>
      </c>
      <c r="Q59" s="230">
        <f>O59-L59</f>
        <v>-5.4826666666672281</v>
      </c>
      <c r="R59" s="52">
        <f>O59/L59</f>
        <v>0.94973105134473812</v>
      </c>
      <c r="S59" s="748">
        <f>R69</f>
        <v>0.89546703758403234</v>
      </c>
      <c r="T59" s="245">
        <v>0.28819444444444398</v>
      </c>
      <c r="U59" s="245">
        <v>0.375</v>
      </c>
      <c r="V59" s="55"/>
      <c r="W59" s="54">
        <f t="shared" si="4"/>
        <v>125.00000000000068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-82.240000000008422</v>
      </c>
      <c r="AG59" s="246">
        <f>N59/K59</f>
        <v>0.94973105134473812</v>
      </c>
      <c r="AH59" s="784">
        <f>AG69</f>
        <v>0.90029050547387279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1417</v>
      </c>
      <c r="H60" s="78">
        <f>F60*G60</f>
        <v>40044.420000000006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1545.8181818181581</v>
      </c>
      <c r="O60" s="81">
        <f>N60/M60</f>
        <v>140.52892561983256</v>
      </c>
      <c r="P60" s="74">
        <f>M60-J60</f>
        <v>0</v>
      </c>
      <c r="Q60" s="83">
        <f>O60-L60</f>
        <v>-8.1983471074401564</v>
      </c>
      <c r="R60" s="72">
        <f>O60/L60</f>
        <v>0.94487663925315302</v>
      </c>
      <c r="S60" s="829"/>
      <c r="T60" s="22">
        <v>0.38194444444444398</v>
      </c>
      <c r="U60" s="22">
        <v>0.42013888888888901</v>
      </c>
      <c r="V60" s="30">
        <f>(T60-U59)*24*60</f>
        <v>9.999999999999325</v>
      </c>
      <c r="W60" s="248">
        <f t="shared" si="4"/>
        <v>55.000000000000846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-90.181818181841891</v>
      </c>
      <c r="AG60" s="249">
        <f>N60/K60</f>
        <v>0.94487663925315291</v>
      </c>
      <c r="AH60" s="820"/>
    </row>
    <row r="61" spans="1:34" ht="15" customHeight="1">
      <c r="A61" s="827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1385</v>
      </c>
      <c r="H61" s="78">
        <f>F61*G61</f>
        <v>39140.1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>K61/J61</f>
        <v>148.72727272727272</v>
      </c>
      <c r="M61" s="108">
        <v>11</v>
      </c>
      <c r="N61" s="80">
        <f>G61/W61*60</f>
        <v>1319.0476190476188</v>
      </c>
      <c r="O61" s="81">
        <f>N61/M61</f>
        <v>119.91341991341989</v>
      </c>
      <c r="P61" s="74">
        <f>M61-J61</f>
        <v>0</v>
      </c>
      <c r="Q61" s="83">
        <f>O61-L61</f>
        <v>-28.813852813852833</v>
      </c>
      <c r="R61" s="72">
        <f>O61/L61</f>
        <v>0.80626382582372791</v>
      </c>
      <c r="S61" s="749"/>
      <c r="T61" s="22">
        <v>0.42708333333333298</v>
      </c>
      <c r="U61" s="22">
        <v>0.47083333333333299</v>
      </c>
      <c r="V61" s="30">
        <f>(T61-U60)*24*60</f>
        <v>9.999999999999325</v>
      </c>
      <c r="W61" s="256">
        <f t="shared" si="4"/>
        <v>63.000000000000014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-316.95238095238119</v>
      </c>
      <c r="AG61" s="247">
        <f>N61/K61</f>
        <v>0.80626382582372791</v>
      </c>
      <c r="AH61" s="785"/>
    </row>
    <row r="62" spans="1:34" ht="15" customHeight="1">
      <c r="A62" s="827"/>
      <c r="B62" s="250"/>
      <c r="C62" s="251"/>
      <c r="D62" s="257"/>
      <c r="E62" s="253"/>
      <c r="F62" s="75"/>
      <c r="G62" s="38"/>
      <c r="H62" s="78"/>
      <c r="I62" s="30"/>
      <c r="J62" s="79"/>
      <c r="K62" s="80"/>
      <c r="L62" s="81"/>
      <c r="M62" s="108"/>
      <c r="N62" s="80"/>
      <c r="O62" s="81"/>
      <c r="P62" s="74"/>
      <c r="Q62" s="83"/>
      <c r="R62" s="72"/>
      <c r="S62" s="749"/>
      <c r="T62" s="22"/>
      <c r="U62" s="22"/>
      <c r="V62" s="30"/>
      <c r="W62" s="248">
        <f t="shared" si="4"/>
        <v>0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0</v>
      </c>
      <c r="AG62" s="247" t="e">
        <f>N62/K62</f>
        <v>#DIV/0!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4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8">AVERAGE(J59:J68)</f>
        <v>12.333333333333334</v>
      </c>
      <c r="K69" s="240">
        <f t="shared" si="28"/>
        <v>1636</v>
      </c>
      <c r="L69" s="268">
        <f t="shared" si="28"/>
        <v>135.50707070707071</v>
      </c>
      <c r="M69" s="240">
        <f t="shared" si="28"/>
        <v>12.333333333333334</v>
      </c>
      <c r="N69" s="240">
        <f t="shared" si="28"/>
        <v>1472.8752669552559</v>
      </c>
      <c r="O69" s="268">
        <f t="shared" si="28"/>
        <v>121.34211517775061</v>
      </c>
      <c r="P69" s="269">
        <f>M69-J69</f>
        <v>0</v>
      </c>
      <c r="Q69" s="222">
        <f>N69-K69</f>
        <v>-163.12473304474406</v>
      </c>
      <c r="R69" s="123">
        <f>O69/L69</f>
        <v>0.89546703758403234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-163.12473304474406</v>
      </c>
      <c r="AG69" s="124">
        <f>N69/K69</f>
        <v>0.90029050547387279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898</v>
      </c>
      <c r="H70" s="243">
        <f>F70*G70</f>
        <v>39413.22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11</v>
      </c>
      <c r="N70" s="137">
        <f>G70/W70*60</f>
        <v>1197.3333333333333</v>
      </c>
      <c r="O70" s="138">
        <f>N70/M70</f>
        <v>108.84848484848484</v>
      </c>
      <c r="P70" s="56">
        <f>M70-J70</f>
        <v>-3</v>
      </c>
      <c r="Q70" s="230">
        <f>O70-L70</f>
        <v>-2.9372294372294476</v>
      </c>
      <c r="R70" s="52">
        <f>O70/L70</f>
        <v>0.97372446509826693</v>
      </c>
      <c r="S70" s="748">
        <f>R79</f>
        <v>0.91483387985968145</v>
      </c>
      <c r="T70" s="245">
        <v>0.31458333333333299</v>
      </c>
      <c r="U70" s="245">
        <v>0.34583333333333299</v>
      </c>
      <c r="V70" s="55"/>
      <c r="W70" s="54">
        <f t="shared" si="4"/>
        <v>45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-367.66666666666674</v>
      </c>
      <c r="AG70" s="246">
        <f>N70/K70</f>
        <v>0.76506922257720977</v>
      </c>
      <c r="AH70" s="784">
        <f>AG79</f>
        <v>0.85693256076698543</v>
      </c>
    </row>
    <row r="71" spans="1:36" ht="15" customHeight="1">
      <c r="A71" s="822"/>
      <c r="B71" s="75" t="s">
        <v>130</v>
      </c>
      <c r="C71" s="76"/>
      <c r="D71" s="59" t="s">
        <v>134</v>
      </c>
      <c r="E71" s="77"/>
      <c r="F71" s="75">
        <f>VLOOKUP(D71,廠價表!$C$1:$E$43,3,0)</f>
        <v>28.26</v>
      </c>
      <c r="G71" s="30">
        <v>417</v>
      </c>
      <c r="H71" s="254">
        <f t="shared" ref="H71:H74" si="29">F71*G71</f>
        <v>11784.42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 t="shared" ref="L71:L74" si="30">K71/J71</f>
        <v>148.72727272727272</v>
      </c>
      <c r="M71" s="82">
        <v>10</v>
      </c>
      <c r="N71" s="107">
        <f t="shared" ref="N71:N74" si="31">G71/W71*60</f>
        <v>1316.8421052632068</v>
      </c>
      <c r="O71" s="238">
        <f t="shared" ref="O71:O74" si="32">N71/M71</f>
        <v>131.68421052632067</v>
      </c>
      <c r="P71" s="111">
        <f t="shared" ref="P71:P74" si="33">M71-J71</f>
        <v>-1</v>
      </c>
      <c r="Q71" s="255">
        <f t="shared" ref="Q71:Q74" si="34">O71-L71</f>
        <v>-17.04306220095205</v>
      </c>
      <c r="R71" s="85">
        <f t="shared" ref="R71:R74" si="35">O71/L71</f>
        <v>0.88540728348993114</v>
      </c>
      <c r="S71" s="749"/>
      <c r="T71" s="22">
        <v>0.35277777777777802</v>
      </c>
      <c r="U71" s="22">
        <v>0.36597222222222198</v>
      </c>
      <c r="V71" s="30">
        <f t="shared" ref="V71:V74" si="36">(T71-U70)*24*60</f>
        <v>10.000000000000844</v>
      </c>
      <c r="W71" s="73">
        <f t="shared" si="4"/>
        <v>18.999999999999293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76"/>
      <c r="D72" s="59" t="s">
        <v>142</v>
      </c>
      <c r="E72" s="77"/>
      <c r="F72" s="75">
        <f>VLOOKUP(D72,廠價表!$C$1:$E$43,3,0)</f>
        <v>43.89</v>
      </c>
      <c r="G72" s="202">
        <v>2639</v>
      </c>
      <c r="H72" s="254">
        <f t="shared" si="29"/>
        <v>115825.71</v>
      </c>
      <c r="I72" s="182"/>
      <c r="J72" s="106">
        <f>VLOOKUP(D72,產線配置圖!$A$3:$C$40,2,0)</f>
        <v>13</v>
      </c>
      <c r="K72" s="107">
        <f>VLOOKUP(D72,產線配置圖!$A$3:$C$40,3,0)</f>
        <v>1565</v>
      </c>
      <c r="L72" s="238">
        <f t="shared" si="30"/>
        <v>120.38461538461539</v>
      </c>
      <c r="M72" s="82">
        <v>13</v>
      </c>
      <c r="N72" s="107">
        <f t="shared" si="31"/>
        <v>1256.666666666667</v>
      </c>
      <c r="O72" s="238">
        <f t="shared" si="32"/>
        <v>96.666666666666686</v>
      </c>
      <c r="P72" s="111">
        <f t="shared" si="33"/>
        <v>0</v>
      </c>
      <c r="Q72" s="255">
        <f t="shared" si="34"/>
        <v>-23.717948717948701</v>
      </c>
      <c r="R72" s="85">
        <f t="shared" si="35"/>
        <v>0.80298189563365296</v>
      </c>
      <c r="S72" s="749"/>
      <c r="T72" s="22">
        <v>0.37291666666666701</v>
      </c>
      <c r="U72" s="22">
        <v>0.46041666666666697</v>
      </c>
      <c r="V72" s="30">
        <f t="shared" si="36"/>
        <v>10.000000000000844</v>
      </c>
      <c r="W72" s="73">
        <f t="shared" si="4"/>
        <v>125.99999999999996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 t="s">
        <v>130</v>
      </c>
      <c r="C73" s="86"/>
      <c r="D73" s="59" t="s">
        <v>134</v>
      </c>
      <c r="E73" s="87"/>
      <c r="F73" s="75">
        <f>VLOOKUP(D73,廠價表!$C$1:$E$43,3,0)</f>
        <v>28.26</v>
      </c>
      <c r="G73" s="202">
        <v>1555</v>
      </c>
      <c r="H73" s="254">
        <f t="shared" si="29"/>
        <v>43944.3</v>
      </c>
      <c r="I73" s="182"/>
      <c r="J73" s="106">
        <f>VLOOKUP(D73,產線配置圖!$A$3:$C$40,2,0)</f>
        <v>11</v>
      </c>
      <c r="K73" s="107">
        <f>VLOOKUP(D73,產線配置圖!$A$3:$C$40,3,0)</f>
        <v>1636</v>
      </c>
      <c r="L73" s="238">
        <f t="shared" si="30"/>
        <v>148.72727272727272</v>
      </c>
      <c r="M73" s="82">
        <v>11</v>
      </c>
      <c r="N73" s="107">
        <f t="shared" si="31"/>
        <v>1554.9999999999891</v>
      </c>
      <c r="O73" s="238">
        <f t="shared" si="32"/>
        <v>141.36363636363538</v>
      </c>
      <c r="P73" s="111">
        <f t="shared" si="33"/>
        <v>0</v>
      </c>
      <c r="Q73" s="255">
        <f t="shared" si="34"/>
        <v>-7.3636363636373403</v>
      </c>
      <c r="R73" s="85">
        <f t="shared" si="35"/>
        <v>0.95048899755500571</v>
      </c>
      <c r="S73" s="749"/>
      <c r="T73" s="22">
        <v>0.53472222222222199</v>
      </c>
      <c r="U73" s="22">
        <v>0.57638888888888895</v>
      </c>
      <c r="V73" s="30">
        <f t="shared" si="36"/>
        <v>106.99999999999922</v>
      </c>
      <c r="W73" s="73">
        <f t="shared" si="4"/>
        <v>60.000000000000426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 t="s">
        <v>130</v>
      </c>
      <c r="C74" s="58"/>
      <c r="D74" s="259" t="s">
        <v>134</v>
      </c>
      <c r="E74" s="60"/>
      <c r="F74" s="75">
        <f>VLOOKUP(D74,廠價表!$C$1:$E$43,3,0)</f>
        <v>28.26</v>
      </c>
      <c r="G74" s="273">
        <v>1432</v>
      </c>
      <c r="H74" s="254">
        <f t="shared" si="29"/>
        <v>40468.32</v>
      </c>
      <c r="I74" s="182"/>
      <c r="J74" s="106">
        <f>VLOOKUP(D74,產線配置圖!$A$3:$C$40,2,0)</f>
        <v>11</v>
      </c>
      <c r="K74" s="107">
        <f>VLOOKUP(D74,產線配置圖!$A$3:$C$40,3,0)</f>
        <v>1636</v>
      </c>
      <c r="L74" s="238">
        <f t="shared" si="30"/>
        <v>148.72727272727272</v>
      </c>
      <c r="M74" s="94">
        <v>11</v>
      </c>
      <c r="N74" s="107">
        <f t="shared" si="31"/>
        <v>1562.1818181818326</v>
      </c>
      <c r="O74" s="238">
        <f t="shared" si="32"/>
        <v>142.01652892562115</v>
      </c>
      <c r="P74" s="111">
        <f t="shared" si="33"/>
        <v>0</v>
      </c>
      <c r="Q74" s="255">
        <f t="shared" si="34"/>
        <v>-6.7107438016515744</v>
      </c>
      <c r="R74" s="85">
        <f t="shared" si="35"/>
        <v>0.95487886196933536</v>
      </c>
      <c r="S74" s="749"/>
      <c r="T74" s="22">
        <v>0.60416666666666696</v>
      </c>
      <c r="U74" s="22">
        <v>0.64236111111111105</v>
      </c>
      <c r="V74" s="30">
        <f t="shared" si="36"/>
        <v>40.000000000000341</v>
      </c>
      <c r="W74" s="73">
        <f t="shared" si="4"/>
        <v>54.999999999999488</v>
      </c>
      <c r="X74" s="22"/>
      <c r="Y74" s="84"/>
      <c r="Z74" s="90"/>
      <c r="AA74" s="90"/>
      <c r="AB74" s="789" t="s">
        <v>144</v>
      </c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7">AVERAGE(J70:J78)</f>
        <v>12</v>
      </c>
      <c r="K79" s="240">
        <f t="shared" si="37"/>
        <v>1607.6</v>
      </c>
      <c r="L79" s="268">
        <f t="shared" si="37"/>
        <v>135.67042957042958</v>
      </c>
      <c r="M79" s="240">
        <f t="shared" si="37"/>
        <v>11.2</v>
      </c>
      <c r="N79" s="240">
        <f t="shared" si="37"/>
        <v>1377.6047846890058</v>
      </c>
      <c r="O79" s="268">
        <f t="shared" si="37"/>
        <v>124.11590546614575</v>
      </c>
      <c r="P79" s="269">
        <f>M79-J79</f>
        <v>-0.80000000000000071</v>
      </c>
      <c r="Q79" s="222">
        <f>N79-K79</f>
        <v>-229.99521531099413</v>
      </c>
      <c r="R79" s="223">
        <f>O79/L79</f>
        <v>0.91483387985968145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-229.99521531099413</v>
      </c>
      <c r="AG79" s="124">
        <f>N79/K79</f>
        <v>0.85693256076698543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68" priority="1" operator="greaterThan">
      <formula>0</formula>
    </cfRule>
  </conditionalFormatting>
  <conditionalFormatting sqref="Q5:Q79 AF5:AF79">
    <cfRule type="cellIs" dxfId="267" priority="4" operator="lessThan">
      <formula>0</formula>
    </cfRule>
  </conditionalFormatting>
  <conditionalFormatting sqref="R5:R79 AG5:AG79">
    <cfRule type="cellIs" dxfId="266" priority="2" operator="greaterThan">
      <formula>1</formula>
    </cfRule>
    <cfRule type="cellIs" dxfId="265" priority="3" operator="lessThan">
      <formula>0.8</formula>
    </cfRule>
  </conditionalFormatting>
  <conditionalFormatting sqref="S5:S10 S37:S62 AH59:AH62 S69:S76 AH69:AH76">
    <cfRule type="cellIs" dxfId="264" priority="7" operator="lessThan">
      <formula>0.8</formula>
    </cfRule>
  </conditionalFormatting>
  <conditionalFormatting sqref="S19:S25 AH19:AH25">
    <cfRule type="cellIs" dxfId="263" priority="6" operator="lessThan">
      <formula>0.8</formula>
    </cfRule>
  </conditionalFormatting>
  <conditionalFormatting sqref="S79">
    <cfRule type="cellIs" dxfId="262" priority="5" operator="lessThan">
      <formula>0.8</formula>
    </cfRule>
  </conditionalFormatting>
  <conditionalFormatting sqref="AH5:AH8 S15:S16 AH15:AH16 AH49 AH79">
    <cfRule type="cellIs" dxfId="261" priority="9" operator="lessThan">
      <formula>0.8</formula>
    </cfRule>
  </conditionalFormatting>
  <conditionalFormatting sqref="AH27 S27:S28">
    <cfRule type="cellIs" dxfId="2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6A3B-769C-4F66-BCFB-E40816F7DDF6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DATE(2026,8,6)</f>
        <v>46240</v>
      </c>
      <c r="E3" s="706"/>
      <c r="F3" s="3" t="s">
        <v>72</v>
      </c>
      <c r="G3" s="707">
        <f>'0806'!E1</f>
        <v>54231</v>
      </c>
      <c r="H3" s="707"/>
      <c r="I3" s="3" t="s">
        <v>2</v>
      </c>
      <c r="J3" s="708">
        <f>'0806'!G1</f>
        <v>2525631.3490000004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125.85086020266694</v>
      </c>
      <c r="G6" s="713"/>
      <c r="H6" s="714">
        <f>AVERAGE(D13:H13)</f>
        <v>124.57979302832243</v>
      </c>
      <c r="I6" s="714"/>
      <c r="J6" s="714">
        <f>AVERAGE(I13:J13)</f>
        <v>129.02852813852815</v>
      </c>
      <c r="K6" s="714"/>
      <c r="L6" s="716">
        <f>'0806'!Z2</f>
        <v>0</v>
      </c>
      <c r="M6" s="717">
        <f>'0806'!AA2</f>
        <v>0</v>
      </c>
      <c r="N6" s="718">
        <f>'0806'!AD2</f>
        <v>0</v>
      </c>
      <c r="O6" s="717">
        <f>'0806'!AE2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113.41223383190233</v>
      </c>
      <c r="G7" s="737"/>
      <c r="H7" s="738">
        <f>AVERAGE(D14:H14)</f>
        <v>112.83138986983495</v>
      </c>
      <c r="I7" s="738"/>
      <c r="J7" s="738">
        <f>AVERAGE(I14:J14)</f>
        <v>114.86434373707078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0.9003945418945446</v>
      </c>
      <c r="G8" s="710"/>
      <c r="H8" s="710">
        <f>AVERAGE(D15:H15)</f>
        <v>0.90563860824226405</v>
      </c>
      <c r="I8" s="710"/>
      <c r="J8" s="710">
        <f>AVERAGE(I15:J15)</f>
        <v>0.88728437602524568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VALUE('0806'!L15)</f>
        <v>151.3574660633484</v>
      </c>
      <c r="E13" s="13">
        <f>VALUE('0806'!L26)</f>
        <v>174.23076923076923</v>
      </c>
      <c r="F13" s="13">
        <f>VALUE('0806'!L37)</f>
        <v>94.230392156862763</v>
      </c>
      <c r="G13" s="13">
        <f>VALUE('0806'!L48)</f>
        <v>96.300925925925924</v>
      </c>
      <c r="H13" s="13">
        <f>VALUE('0806'!L58)</f>
        <v>106.77941176470588</v>
      </c>
      <c r="I13" s="13">
        <f>VALUE('0806'!L69)</f>
        <v>140.79515151515153</v>
      </c>
      <c r="J13" s="13">
        <f>'0806'!L79</f>
        <v>117.26190476190476</v>
      </c>
    </row>
    <row r="14" spans="2:15" ht="39.950000000000003" customHeight="1">
      <c r="B14" s="731"/>
      <c r="C14" s="12" t="s">
        <v>100</v>
      </c>
      <c r="D14" s="13">
        <f>VALUE('0806'!O15)</f>
        <v>141.08330921814238</v>
      </c>
      <c r="E14" s="13">
        <f>VALUE('0806'!O26)</f>
        <v>154.10813171813129</v>
      </c>
      <c r="F14" s="13">
        <f>VALUE('0806'!O37)</f>
        <v>83.946805645335331</v>
      </c>
      <c r="G14" s="13">
        <f>VALUE('0806'!O48)</f>
        <v>86.339052287581453</v>
      </c>
      <c r="H14" s="13">
        <f>VALUE('0806'!O58)</f>
        <v>98.679650479984275</v>
      </c>
      <c r="I14" s="13">
        <f>VALUE('0806'!O69)</f>
        <v>129.46446280991685</v>
      </c>
      <c r="J14" s="13">
        <f>'0806'!O79</f>
        <v>100.2642246642247</v>
      </c>
    </row>
    <row r="15" spans="2:15" ht="39.950000000000003" customHeight="1">
      <c r="B15" s="732"/>
      <c r="C15" s="10" t="s">
        <v>26</v>
      </c>
      <c r="D15" s="14">
        <f t="shared" ref="D15:I15" si="0">D14/D13</f>
        <v>0.93211992039490188</v>
      </c>
      <c r="E15" s="14">
        <f t="shared" si="0"/>
        <v>0.88450583326079768</v>
      </c>
      <c r="F15" s="14">
        <f t="shared" si="0"/>
        <v>0.89086762480613868</v>
      </c>
      <c r="G15" s="14">
        <f t="shared" si="0"/>
        <v>0.89655474708512062</v>
      </c>
      <c r="H15" s="14">
        <f t="shared" si="0"/>
        <v>0.92414491566436174</v>
      </c>
      <c r="I15" s="14">
        <f t="shared" si="0"/>
        <v>0.9195235874012655</v>
      </c>
      <c r="J15" s="15">
        <f>'0806'!S70</f>
        <v>0.85504516464922586</v>
      </c>
    </row>
    <row r="16" spans="2:15" ht="17.25" customHeight="1">
      <c r="B16" s="733" t="s">
        <v>101</v>
      </c>
      <c r="C16" s="10" t="s">
        <v>34</v>
      </c>
      <c r="D16" s="16">
        <f>'0806'!T5</f>
        <v>0.29305555555555601</v>
      </c>
      <c r="E16" s="16">
        <f>'0806'!T16</f>
        <v>0.29166666666666702</v>
      </c>
      <c r="F16" s="16">
        <f>'0806'!T27</f>
        <v>0.29166666666666702</v>
      </c>
      <c r="G16" s="16">
        <f>'0806'!T38</f>
        <v>0.33333333333333298</v>
      </c>
      <c r="H16" s="16">
        <f>'0806'!T49</f>
        <v>0.29166666666666702</v>
      </c>
      <c r="I16" s="16">
        <f>'0806'!T59</f>
        <v>0.29861111111111099</v>
      </c>
      <c r="J16" s="17">
        <f>'0806'!T70</f>
        <v>0.38194444444444398</v>
      </c>
    </row>
    <row r="17" spans="2:10" ht="17.25" customHeight="1">
      <c r="B17" s="734"/>
      <c r="C17" s="10" t="s">
        <v>35</v>
      </c>
      <c r="D17" s="327">
        <v>0.57361111111111096</v>
      </c>
      <c r="E17" s="19">
        <v>0.59375</v>
      </c>
      <c r="F17" s="183">
        <v>0.59722222222222199</v>
      </c>
      <c r="G17" s="20">
        <v>0.58541666666666703</v>
      </c>
      <c r="H17" s="329">
        <v>0.56944444444444398</v>
      </c>
      <c r="I17" s="22">
        <v>0.62152777777777801</v>
      </c>
      <c r="J17" s="22">
        <v>0.59375</v>
      </c>
    </row>
    <row r="18" spans="2:10" ht="17.25" customHeight="1">
      <c r="B18" s="735" t="s">
        <v>102</v>
      </c>
      <c r="C18" s="330" t="s">
        <v>36</v>
      </c>
      <c r="D18" s="386">
        <f>'0806'!Z15</f>
        <v>0</v>
      </c>
      <c r="E18" s="387">
        <f>'0806'!Z26</f>
        <v>0</v>
      </c>
      <c r="F18" s="387">
        <f>'0806'!Z37</f>
        <v>0</v>
      </c>
      <c r="G18" s="388">
        <f>'0806'!Z48</f>
        <v>0</v>
      </c>
      <c r="H18" s="388">
        <f>'0806'!Z58</f>
        <v>0</v>
      </c>
      <c r="I18" s="387">
        <f>'0806'!Z69</f>
        <v>0</v>
      </c>
      <c r="J18" s="387">
        <f>'0806'!AA79</f>
        <v>0</v>
      </c>
    </row>
    <row r="19" spans="2:10" ht="17.25" customHeight="1">
      <c r="B19" s="736"/>
      <c r="C19" s="330" t="s">
        <v>37</v>
      </c>
      <c r="D19" s="386">
        <f>'0806'!AA15</f>
        <v>0</v>
      </c>
      <c r="E19" s="387">
        <f>'0806'!AA26</f>
        <v>0</v>
      </c>
      <c r="F19" s="387">
        <f>'0806'!AA37</f>
        <v>0</v>
      </c>
      <c r="G19" s="388">
        <f>'0806'!AA48</f>
        <v>0</v>
      </c>
      <c r="H19" s="388">
        <f>'0806'!AA58</f>
        <v>0</v>
      </c>
      <c r="I19" s="387">
        <f>'0806'!AA69</f>
        <v>0</v>
      </c>
      <c r="J19" s="387">
        <f>'0806'!AB79</f>
        <v>0</v>
      </c>
    </row>
    <row r="20" spans="2:10" ht="17.25" customHeight="1">
      <c r="B20" s="735" t="s">
        <v>103</v>
      </c>
      <c r="C20" s="330" t="s">
        <v>36</v>
      </c>
      <c r="D20" s="386">
        <f>'0806'!AD15</f>
        <v>0</v>
      </c>
      <c r="E20" s="387">
        <f>'0806'!AD26</f>
        <v>0</v>
      </c>
      <c r="F20" s="387">
        <f>'0806'!AD37</f>
        <v>0</v>
      </c>
      <c r="G20" s="388">
        <f>'0806'!AD48</f>
        <v>0</v>
      </c>
      <c r="H20" s="388">
        <f>'0806'!AD58</f>
        <v>0</v>
      </c>
      <c r="I20" s="387">
        <f>'0806'!AD69</f>
        <v>0</v>
      </c>
      <c r="J20" s="387">
        <f>'0806'!AD79</f>
        <v>0</v>
      </c>
    </row>
    <row r="21" spans="2:10" ht="17.25" customHeight="1">
      <c r="B21" s="736"/>
      <c r="C21" s="330" t="s">
        <v>85</v>
      </c>
      <c r="D21" s="386">
        <f>'0806'!AE15</f>
        <v>0</v>
      </c>
      <c r="E21" s="387">
        <f>'0806'!AE26</f>
        <v>0</v>
      </c>
      <c r="F21" s="387">
        <f>'0806'!AE37</f>
        <v>0</v>
      </c>
      <c r="G21" s="388">
        <f>'0806'!AE48</f>
        <v>0</v>
      </c>
      <c r="H21" s="388">
        <f>'0806'!AE58</f>
        <v>0</v>
      </c>
      <c r="I21" s="387">
        <f>'0806'!AE69</f>
        <v>0</v>
      </c>
      <c r="J21" s="387">
        <f>'0806'!AE79</f>
        <v>0</v>
      </c>
    </row>
    <row r="22" spans="2:10" ht="17.25" customHeight="1">
      <c r="B22" s="719" t="s">
        <v>104</v>
      </c>
      <c r="C22" s="720"/>
      <c r="D22" s="23">
        <f>VALUE('0806'!M15)</f>
        <v>15</v>
      </c>
      <c r="E22" s="23">
        <f>VALUE('0806'!M26)</f>
        <v>13</v>
      </c>
      <c r="F22" s="23">
        <f>VALUE('0806'!M37)</f>
        <v>16.399999999999999</v>
      </c>
      <c r="G22" s="23">
        <f>VALUE('0806'!M48)</f>
        <v>16.666666666666668</v>
      </c>
      <c r="H22" s="23">
        <f>VALUE('0806'!M58)</f>
        <v>16.5</v>
      </c>
      <c r="I22" s="23">
        <f>VALUE('0806'!M69)</f>
        <v>11.8</v>
      </c>
      <c r="J22" s="23">
        <f>'0806'!M79</f>
        <v>9.6666666666666661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C49E-B5EA-4520-AE46-56D645947906}">
  <sheetPr>
    <tabColor theme="9" tint="0.79998168889431442"/>
  </sheetPr>
  <dimension ref="A1:AJ92"/>
  <sheetViews>
    <sheetView zoomScale="69" zoomScaleNormal="69" workbookViewId="0">
      <pane xSplit="5" ySplit="4" topLeftCell="Q5" activePane="bottomRight" state="frozen"/>
      <selection activeCell="D18" sqref="D18"/>
      <selection pane="topRight" activeCell="D18" sqref="D18"/>
      <selection pane="bottomLeft" activeCell="D18" sqref="D18"/>
      <selection pane="bottomRight" activeCell="D18" sqref="D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54231</v>
      </c>
      <c r="F1" s="30" t="s">
        <v>2</v>
      </c>
      <c r="G1" s="31">
        <f>SUM(H5:H79)</f>
        <v>2525631.3490000004</v>
      </c>
      <c r="H1" s="32" t="s">
        <v>3</v>
      </c>
      <c r="I1" s="33">
        <f>M15+M26+M48+M58+M69+M79+M37</f>
        <v>99.033333333333331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145</v>
      </c>
      <c r="B2" s="739"/>
      <c r="C2" s="28"/>
      <c r="D2" s="28" t="s">
        <v>14</v>
      </c>
      <c r="E2" s="35">
        <f>AVERAGE(O15,O26,O37,O48,O58,O69,O79)</f>
        <v>113.41223383190233</v>
      </c>
      <c r="F2" s="36" t="s">
        <v>15</v>
      </c>
      <c r="G2" s="37">
        <f>G1/E1</f>
        <v>46.571727406833737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1613</v>
      </c>
      <c r="H5" s="43">
        <f>F5*G5</f>
        <v>81730.710000000006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2016.2500000000207</v>
      </c>
      <c r="O5" s="47">
        <f>N5/M5</f>
        <v>118.6029411764718</v>
      </c>
      <c r="P5" s="49">
        <f>M5-J5</f>
        <v>0</v>
      </c>
      <c r="Q5" s="50">
        <f>O5-L5</f>
        <v>-13.749999999998778</v>
      </c>
      <c r="R5" s="51">
        <f>O5/L5</f>
        <v>0.8961111111111203</v>
      </c>
      <c r="S5" s="748">
        <f>R15</f>
        <v>0.93211992039490188</v>
      </c>
      <c r="T5" s="319">
        <v>0.29305555555555601</v>
      </c>
      <c r="U5" s="320">
        <v>0.32638888888888901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-233.74999999997931</v>
      </c>
      <c r="AG5" s="52">
        <f t="shared" ref="AG5:AG11" si="2">N5/K5</f>
        <v>0.8961111111111203</v>
      </c>
      <c r="AH5" s="784">
        <f>AG15</f>
        <v>0.92971025231798654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4679</v>
      </c>
      <c r="H6" s="63">
        <f>F6*G6</f>
        <v>272177.43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2176.2790697674495</v>
      </c>
      <c r="O6" s="67">
        <f>N6/M6</f>
        <v>167.40608228980381</v>
      </c>
      <c r="P6" s="69">
        <f>M6-J6</f>
        <v>0</v>
      </c>
      <c r="Q6" s="70">
        <f>O6-L6</f>
        <v>-5.6708407871192605</v>
      </c>
      <c r="R6" s="71">
        <f>O6/L6</f>
        <v>0.96723514211886652</v>
      </c>
      <c r="S6" s="749"/>
      <c r="T6" s="16">
        <v>0.33402777777777798</v>
      </c>
      <c r="U6" s="16">
        <v>0.42361111111111099</v>
      </c>
      <c r="V6" s="30">
        <f>(T6-U5)*24*60</f>
        <v>11.000000000000121</v>
      </c>
      <c r="W6" s="73">
        <f t="shared" si="0"/>
        <v>128.99999999999955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-73.720930232550472</v>
      </c>
      <c r="AG6" s="72">
        <f t="shared" si="2"/>
        <v>0.96723514211886641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2361</v>
      </c>
      <c r="H7" s="78">
        <f>F7*G7</f>
        <v>116019.54000000001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2083.2352941176573</v>
      </c>
      <c r="O7" s="81">
        <f>N7/M7</f>
        <v>138.88235294117715</v>
      </c>
      <c r="P7" s="74">
        <f>M7-J7</f>
        <v>0</v>
      </c>
      <c r="Q7" s="83">
        <f>O7-L7</f>
        <v>-11.117647058822854</v>
      </c>
      <c r="R7" s="72">
        <f>O7/L7</f>
        <v>0.92588235294118093</v>
      </c>
      <c r="S7" s="749"/>
      <c r="T7" s="18">
        <v>0.42986111111111103</v>
      </c>
      <c r="U7" s="18">
        <v>0.47708333333333303</v>
      </c>
      <c r="V7" s="30">
        <f>(T7-U6)*24*60</f>
        <v>9.000000000000048</v>
      </c>
      <c r="W7" s="73">
        <f t="shared" si="0"/>
        <v>67.999999999999673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-166.7647058823427</v>
      </c>
      <c r="AG7" s="72">
        <f t="shared" si="2"/>
        <v>0.92588235294118104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1499</v>
      </c>
      <c r="H8" s="78">
        <f>F8*G8</f>
        <v>73660.86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80">
        <f>G8/W8*60</f>
        <v>2091.6279069767515</v>
      </c>
      <c r="O8" s="81">
        <f>N8/M8</f>
        <v>139.44186046511678</v>
      </c>
      <c r="P8" s="74">
        <f>M8-J8</f>
        <v>0</v>
      </c>
      <c r="Q8" s="83">
        <f>O8-L8</f>
        <v>-10.558139534883225</v>
      </c>
      <c r="R8" s="72">
        <f>O8/L8</f>
        <v>0.92961240310077853</v>
      </c>
      <c r="S8" s="749"/>
      <c r="T8" s="16">
        <v>0.54374999999999996</v>
      </c>
      <c r="U8" s="16">
        <v>0.57361111111111096</v>
      </c>
      <c r="V8" s="30">
        <f>(T8-U7)*24*60</f>
        <v>96.000000000000384</v>
      </c>
      <c r="W8" s="73">
        <f t="shared" si="0"/>
        <v>42.999999999999844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-158.37209302324845</v>
      </c>
      <c r="AG8" s="72">
        <f t="shared" si="2"/>
        <v>0.92961240310077842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</v>
      </c>
      <c r="M15" s="120">
        <f t="shared" si="3"/>
        <v>15</v>
      </c>
      <c r="N15" s="120">
        <f t="shared" si="3"/>
        <v>2091.8480677154698</v>
      </c>
      <c r="O15" s="117">
        <f t="shared" si="3"/>
        <v>141.08330921814238</v>
      </c>
      <c r="P15" s="121">
        <f t="shared" ref="P15:P20" si="4">M15-J15</f>
        <v>0</v>
      </c>
      <c r="Q15" s="122">
        <f t="shared" ref="Q15:Q20" si="5">O15-L15</f>
        <v>-10.274156845206022</v>
      </c>
      <c r="R15" s="123">
        <f t="shared" ref="R15:R20" si="6">O15/L15</f>
        <v>0.93211992039490188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-158.15193228453018</v>
      </c>
      <c r="AG15" s="124">
        <f>N15/K15</f>
        <v>0.92971025231798654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2441</v>
      </c>
      <c r="H16" s="134">
        <f>F16*G16</f>
        <v>123685.47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2092.2857142857197</v>
      </c>
      <c r="O16" s="141">
        <f>N16/M16</f>
        <v>160.94505494505535</v>
      </c>
      <c r="P16" s="142">
        <f t="shared" si="4"/>
        <v>0</v>
      </c>
      <c r="Q16" s="143">
        <f t="shared" si="5"/>
        <v>-12.131868131867719</v>
      </c>
      <c r="R16" s="144">
        <f t="shared" si="6"/>
        <v>0.92990476190476423</v>
      </c>
      <c r="S16" s="795">
        <f>R26</f>
        <v>0.88450583326079768</v>
      </c>
      <c r="T16" s="145">
        <v>0.29166666666666702</v>
      </c>
      <c r="U16" s="145">
        <v>0.34027777777777801</v>
      </c>
      <c r="V16" s="135"/>
      <c r="W16" s="146">
        <f t="shared" ref="W16:W78" si="7">(U16-T16)*24*60</f>
        <v>69.999999999999829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-157.71428571428032</v>
      </c>
      <c r="AG16" s="52">
        <f>N16/K16</f>
        <v>0.92990476190476434</v>
      </c>
      <c r="AH16" s="784">
        <f>AG26</f>
        <v>0.88539267319267045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2719</v>
      </c>
      <c r="H17" s="78">
        <f>F17*G17</f>
        <v>154629.53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2039.2499999999827</v>
      </c>
      <c r="O17" s="96">
        <f>N17/M17</f>
        <v>135.94999999999885</v>
      </c>
      <c r="P17" s="97">
        <f t="shared" si="4"/>
        <v>0</v>
      </c>
      <c r="Q17" s="98">
        <f t="shared" si="5"/>
        <v>-14.050000000001148</v>
      </c>
      <c r="R17" s="99">
        <f t="shared" si="6"/>
        <v>0.90633333333332566</v>
      </c>
      <c r="S17" s="796"/>
      <c r="T17" s="19">
        <v>0.34583333333333299</v>
      </c>
      <c r="U17" s="19">
        <v>0.40138888888888902</v>
      </c>
      <c r="V17" s="30">
        <f>(T17-U16)*24*60</f>
        <v>7.9999999999991722</v>
      </c>
      <c r="W17" s="149">
        <f t="shared" si="7"/>
        <v>80.000000000000682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-210.75000000001728</v>
      </c>
      <c r="AG17" s="72">
        <f>N17/K17</f>
        <v>0.90633333333332566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3460</v>
      </c>
      <c r="H18" s="78">
        <f>F18*G18</f>
        <v>174349.4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2096.9696969696979</v>
      </c>
      <c r="O18" s="96">
        <f>N18/M18</f>
        <v>174.74747474747483</v>
      </c>
      <c r="P18" s="97">
        <f t="shared" si="4"/>
        <v>0</v>
      </c>
      <c r="Q18" s="98">
        <f t="shared" si="5"/>
        <v>-12.752525252525174</v>
      </c>
      <c r="R18" s="99">
        <f t="shared" si="6"/>
        <v>0.93198653198653236</v>
      </c>
      <c r="S18" s="796"/>
      <c r="T18" s="19">
        <v>0.40763888888888899</v>
      </c>
      <c r="U18" s="19">
        <v>0.47638888888888897</v>
      </c>
      <c r="V18" s="30">
        <f>(T18-U17)*24*60</f>
        <v>8.999999999999968</v>
      </c>
      <c r="W18" s="149">
        <f t="shared" si="7"/>
        <v>98.999999999999972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-153.03030303030209</v>
      </c>
      <c r="AG18" s="72">
        <f>N18/K18</f>
        <v>0.93198653198653236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1136</v>
      </c>
      <c r="H19" s="78">
        <f t="shared" ref="H19:H20" si="8">F19*G19</f>
        <v>57243.040000000001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9">K19/J19</f>
        <v>187.5</v>
      </c>
      <c r="M19" s="148">
        <v>12</v>
      </c>
      <c r="N19" s="95">
        <f>G19/W19*60</f>
        <v>1842.1621621621925</v>
      </c>
      <c r="O19" s="96">
        <f>N19/M19</f>
        <v>153.51351351351605</v>
      </c>
      <c r="P19" s="97">
        <f t="shared" si="4"/>
        <v>0</v>
      </c>
      <c r="Q19" s="98">
        <f t="shared" si="5"/>
        <v>-33.986486486483955</v>
      </c>
      <c r="R19" s="99">
        <f t="shared" si="6"/>
        <v>0.81873873873875225</v>
      </c>
      <c r="S19" s="796"/>
      <c r="T19" s="19">
        <v>0.54166666666666696</v>
      </c>
      <c r="U19" s="19">
        <v>0.56736111111111098</v>
      </c>
      <c r="V19" s="30">
        <f>(T19-U18)*24*60</f>
        <v>94.000000000000313</v>
      </c>
      <c r="W19" s="149">
        <f t="shared" si="7"/>
        <v>36.999999999999389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-407.83783783780746</v>
      </c>
      <c r="AG19" s="72">
        <f>N19/K19</f>
        <v>0.81873873873875225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819</v>
      </c>
      <c r="H20" s="78">
        <f t="shared" si="8"/>
        <v>41498.730000000003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9"/>
        <v>173.07692307692307</v>
      </c>
      <c r="M20" s="148">
        <v>13</v>
      </c>
      <c r="N20" s="95">
        <f>G20/W20*60</f>
        <v>1889.9999999999486</v>
      </c>
      <c r="O20" s="96">
        <f>N20/M20</f>
        <v>145.38461538461144</v>
      </c>
      <c r="P20" s="97">
        <f t="shared" si="4"/>
        <v>0</v>
      </c>
      <c r="Q20" s="98">
        <f t="shared" si="5"/>
        <v>-27.69230769231163</v>
      </c>
      <c r="R20" s="99">
        <f t="shared" si="6"/>
        <v>0.83999999999997721</v>
      </c>
      <c r="S20" s="796"/>
      <c r="T20" s="19">
        <v>0.57569444444444395</v>
      </c>
      <c r="U20" s="19">
        <v>0.59375</v>
      </c>
      <c r="V20" s="30">
        <f>(T20-U19)*24*60</f>
        <v>11.999999999999478</v>
      </c>
      <c r="W20" s="149">
        <f t="shared" si="7"/>
        <v>26.000000000000707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7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0">AVERAGE(J16:J25)</f>
        <v>13</v>
      </c>
      <c r="K26" s="155">
        <f t="shared" si="10"/>
        <v>2250</v>
      </c>
      <c r="L26" s="158">
        <f t="shared" si="10"/>
        <v>174.23076923076923</v>
      </c>
      <c r="M26" s="155">
        <f t="shared" si="10"/>
        <v>13</v>
      </c>
      <c r="N26" s="155">
        <f t="shared" si="10"/>
        <v>1992.1335146835086</v>
      </c>
      <c r="O26" s="158">
        <f t="shared" si="10"/>
        <v>154.10813171813129</v>
      </c>
      <c r="P26" s="159">
        <f t="shared" ref="P26:P31" si="11">M26-J26</f>
        <v>0</v>
      </c>
      <c r="Q26" s="160">
        <f t="shared" ref="Q26:Q31" si="12">O26-L26</f>
        <v>-20.122637512637937</v>
      </c>
      <c r="R26" s="161">
        <f t="shared" ref="R26:R31" si="13">O26/L26</f>
        <v>0.88450583326079768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-257.86648531649143</v>
      </c>
      <c r="AG26" s="124">
        <f t="shared" ref="AG26:AG31" si="15">N26/K26</f>
        <v>0.88539267319267045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1897</v>
      </c>
      <c r="H27" s="134">
        <f>F27*G27</f>
        <v>87906.98000000001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1459.2307692307877</v>
      </c>
      <c r="O27" s="141">
        <f>N27/M27</f>
        <v>91.201923076924231</v>
      </c>
      <c r="P27" s="142">
        <f t="shared" si="11"/>
        <v>0</v>
      </c>
      <c r="Q27" s="143">
        <f t="shared" si="12"/>
        <v>-11.048076923075769</v>
      </c>
      <c r="R27" s="144">
        <f t="shared" si="13"/>
        <v>0.89195034794057926</v>
      </c>
      <c r="S27" s="795">
        <f>R37</f>
        <v>0.89086762480613868</v>
      </c>
      <c r="T27" s="171">
        <v>0.29166666666666702</v>
      </c>
      <c r="U27" s="171">
        <v>0.34583333333333299</v>
      </c>
      <c r="V27" s="135"/>
      <c r="W27" s="146">
        <f t="shared" si="7"/>
        <v>77.999999999999005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-176.7692307692123</v>
      </c>
      <c r="AG27" s="172">
        <f t="shared" si="15"/>
        <v>0.89195034794057926</v>
      </c>
      <c r="AH27" s="784">
        <f>AG37</f>
        <v>0.84113356081571522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1485</v>
      </c>
      <c r="H28" s="91">
        <f>F28*G28</f>
        <v>67805.099999999991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15</v>
      </c>
      <c r="N28" s="95">
        <f>G28/W28*60</f>
        <v>1272.8571428571458</v>
      </c>
      <c r="O28" s="96">
        <f>N28/M28</f>
        <v>84.85714285714306</v>
      </c>
      <c r="P28" s="97">
        <f t="shared" si="11"/>
        <v>-2</v>
      </c>
      <c r="Q28" s="98">
        <f t="shared" si="12"/>
        <v>-11.378151260503998</v>
      </c>
      <c r="R28" s="99">
        <f t="shared" si="13"/>
        <v>0.88176737687740347</v>
      </c>
      <c r="S28" s="796"/>
      <c r="T28" s="19">
        <v>0.35416666666666702</v>
      </c>
      <c r="U28" s="19">
        <v>0.40277777777777801</v>
      </c>
      <c r="V28" s="92">
        <f>(T28-U27)*24*60</f>
        <v>12.000000000000997</v>
      </c>
      <c r="W28" s="149">
        <f t="shared" si="7"/>
        <v>69.999999999999829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-363.14285714285415</v>
      </c>
      <c r="AG28" s="99">
        <f t="shared" si="15"/>
        <v>0.7780300384212383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1288</v>
      </c>
      <c r="H29" s="91">
        <f>F29*G29</f>
        <v>73686.48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16</v>
      </c>
      <c r="N29" s="95">
        <f>G29/W29*60</f>
        <v>1287.9999999999893</v>
      </c>
      <c r="O29" s="96">
        <f>N29/M29</f>
        <v>80.499999999999332</v>
      </c>
      <c r="P29" s="97">
        <f t="shared" si="11"/>
        <v>-2</v>
      </c>
      <c r="Q29" s="98">
        <f t="shared" si="12"/>
        <v>-10.388888888889554</v>
      </c>
      <c r="R29" s="99">
        <f t="shared" si="13"/>
        <v>0.88569682151588514</v>
      </c>
      <c r="S29" s="796"/>
      <c r="T29" s="19">
        <v>0.40972222222222199</v>
      </c>
      <c r="U29" s="19">
        <v>0.45138888888888901</v>
      </c>
      <c r="V29" s="92">
        <f>(T29-U28)*24*60</f>
        <v>9.999999999999325</v>
      </c>
      <c r="W29" s="149">
        <f t="shared" si="7"/>
        <v>60.000000000000504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-348.00000000001069</v>
      </c>
      <c r="AG29" s="99">
        <f t="shared" si="15"/>
        <v>0.78728606356967556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696</v>
      </c>
      <c r="H30" s="91">
        <f>F30*G30</f>
        <v>34737.360000000001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17</v>
      </c>
      <c r="N30" s="95">
        <f>G30/W30*60</f>
        <v>1305.0000000000146</v>
      </c>
      <c r="O30" s="96">
        <f>N30/M30</f>
        <v>76.764705882353795</v>
      </c>
      <c r="P30" s="97">
        <f t="shared" si="11"/>
        <v>-1</v>
      </c>
      <c r="Q30" s="98">
        <f t="shared" si="12"/>
        <v>-14.124183006535091</v>
      </c>
      <c r="R30" s="99">
        <f t="shared" si="13"/>
        <v>0.84459945347333032</v>
      </c>
      <c r="S30" s="796"/>
      <c r="T30" s="19">
        <v>0.46250000000000002</v>
      </c>
      <c r="U30" s="19">
        <v>0.484722222222222</v>
      </c>
      <c r="V30" s="92">
        <f>(T30-U29)*24*60</f>
        <v>15.999999999999863</v>
      </c>
      <c r="W30" s="149">
        <f t="shared" si="7"/>
        <v>31.999999999999645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-330.99999999998545</v>
      </c>
      <c r="AG30" s="99">
        <f t="shared" si="15"/>
        <v>0.79767726161370078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1685</v>
      </c>
      <c r="H31" s="91">
        <f>F31*G31</f>
        <v>84098.349999999991</v>
      </c>
      <c r="I31" s="92"/>
      <c r="J31" s="79">
        <f>VLOOKUP(D31,產線配置圖!$A$3:$C$40,2,0)</f>
        <v>18</v>
      </c>
      <c r="K31" s="80">
        <v>1636</v>
      </c>
      <c r="L31" s="93">
        <f>K31/J31</f>
        <v>90.888888888888886</v>
      </c>
      <c r="M31" s="94">
        <v>18</v>
      </c>
      <c r="N31" s="95">
        <f>G31/W31*60</f>
        <v>1555.3846153846132</v>
      </c>
      <c r="O31" s="96">
        <f>N31/M31</f>
        <v>86.410256410256295</v>
      </c>
      <c r="P31" s="97">
        <f t="shared" si="11"/>
        <v>0</v>
      </c>
      <c r="Q31" s="98">
        <f t="shared" si="12"/>
        <v>-4.4786324786325906</v>
      </c>
      <c r="R31" s="99">
        <f t="shared" si="13"/>
        <v>0.9507240925333823</v>
      </c>
      <c r="S31" s="796"/>
      <c r="T31" s="19">
        <v>0.55208333333333304</v>
      </c>
      <c r="U31" s="19">
        <v>0.59722222222222199</v>
      </c>
      <c r="V31" s="92">
        <f>(T31-U30)*24*60</f>
        <v>96.999999999999901</v>
      </c>
      <c r="W31" s="149">
        <f t="shared" si="7"/>
        <v>65.000000000000085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-80.615384615386802</v>
      </c>
      <c r="AG31" s="99">
        <f t="shared" si="15"/>
        <v>0.95072409253338219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6">AVERAGE(J27:J36)</f>
        <v>17.399999999999999</v>
      </c>
      <c r="K37" s="155">
        <f t="shared" si="16"/>
        <v>1636</v>
      </c>
      <c r="L37" s="158">
        <f t="shared" si="16"/>
        <v>94.230392156862763</v>
      </c>
      <c r="M37" s="155">
        <f t="shared" si="16"/>
        <v>16.399999999999999</v>
      </c>
      <c r="N37" s="155">
        <f t="shared" si="16"/>
        <v>1376.09450549451</v>
      </c>
      <c r="O37" s="158">
        <f t="shared" si="16"/>
        <v>83.946805645335331</v>
      </c>
      <c r="P37" s="159">
        <f>M37-J37</f>
        <v>-1</v>
      </c>
      <c r="Q37" s="160">
        <f>N37-K37</f>
        <v>-259.90549450548997</v>
      </c>
      <c r="R37" s="161">
        <f>O37/L37</f>
        <v>0.89086762480613868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-259.90549450548997</v>
      </c>
      <c r="AG37" s="124">
        <f>N37/K37</f>
        <v>0.84113356081571522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2447</v>
      </c>
      <c r="H38" s="134">
        <f>F38*G38</f>
        <v>122129.76999999999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1631.3333333333335</v>
      </c>
      <c r="O38" s="141">
        <f>N38/M38</f>
        <v>101.95833333333334</v>
      </c>
      <c r="P38" s="142">
        <f>M38-J38</f>
        <v>0</v>
      </c>
      <c r="Q38" s="143">
        <f>O38-L38</f>
        <v>-5.1666666666666572</v>
      </c>
      <c r="R38" s="144">
        <f>O38/L38</f>
        <v>0.95176973940101139</v>
      </c>
      <c r="S38" s="817">
        <f>R48</f>
        <v>0.89655474708512062</v>
      </c>
      <c r="T38" s="191">
        <v>0.33333333333333298</v>
      </c>
      <c r="U38" s="191">
        <v>0.39583333333333298</v>
      </c>
      <c r="V38" s="192"/>
      <c r="W38" s="193">
        <f t="shared" si="7"/>
        <v>90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-82.666666666666515</v>
      </c>
      <c r="AG38" s="195">
        <f>N38/K38</f>
        <v>0.95176973940101139</v>
      </c>
      <c r="AH38" s="807">
        <f>AG48</f>
        <v>0.86268217676159653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2300</v>
      </c>
      <c r="H39" s="91">
        <f>F39*G39</f>
        <v>101890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1380.0000000000093</v>
      </c>
      <c r="O39" s="203">
        <f>N39/M39</f>
        <v>81.176470588235844</v>
      </c>
      <c r="P39" s="97">
        <f>M39-J39</f>
        <v>-1</v>
      </c>
      <c r="Q39" s="98">
        <f>O39-L39</f>
        <v>-9.7124183006530416</v>
      </c>
      <c r="R39" s="99">
        <f>O39/L39</f>
        <v>0.89313965194880518</v>
      </c>
      <c r="S39" s="818"/>
      <c r="T39" s="20">
        <v>0.40625</v>
      </c>
      <c r="U39" s="20">
        <v>0.47569444444444398</v>
      </c>
      <c r="V39" s="92">
        <f>(T39-U38)*24*60</f>
        <v>15.000000000000506</v>
      </c>
      <c r="W39" s="205">
        <f t="shared" si="7"/>
        <v>99.999999999999318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-255.99999999999068</v>
      </c>
      <c r="AG39" s="206">
        <f>N39/K39</f>
        <v>0.84352078239609374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1462</v>
      </c>
      <c r="H40" s="91">
        <f>F40*G40</f>
        <v>64766.6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1289.9999999999775</v>
      </c>
      <c r="O40" s="203">
        <f>N40/M40</f>
        <v>75.882352941175142</v>
      </c>
      <c r="P40" s="97">
        <f>M40-J40</f>
        <v>-1</v>
      </c>
      <c r="Q40" s="98">
        <f>O40-L40</f>
        <v>-15.006535947713743</v>
      </c>
      <c r="R40" s="99">
        <f>O40/L40</f>
        <v>0.83489141377821063</v>
      </c>
      <c r="S40" s="749"/>
      <c r="T40" s="20">
        <v>0.53819444444444398</v>
      </c>
      <c r="U40" s="20">
        <v>0.58541666666666703</v>
      </c>
      <c r="V40" s="92">
        <f>(T40-U39)*24*60</f>
        <v>90</v>
      </c>
      <c r="W40" s="205">
        <f t="shared" si="7"/>
        <v>68.000000000001194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-346.00000000002251</v>
      </c>
      <c r="AG40" s="206">
        <f>N40/K40</f>
        <v>0.78850855745719894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16.666666666666668</v>
      </c>
      <c r="N48" s="155">
        <f t="shared" si="18"/>
        <v>1433.7777777777735</v>
      </c>
      <c r="O48" s="158">
        <f t="shared" si="18"/>
        <v>86.339052287581453</v>
      </c>
      <c r="P48" s="221">
        <f>M48-J48</f>
        <v>-0.6666666666666643</v>
      </c>
      <c r="Q48" s="222">
        <f>N48-K48</f>
        <v>-228.22222222222649</v>
      </c>
      <c r="R48" s="223">
        <f>O48/L48</f>
        <v>0.89655474708512062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9">N48-K48</f>
        <v>-228.22222222222649</v>
      </c>
      <c r="AG48" s="162">
        <f t="shared" ref="AG48:AG53" si="20">N48/K48</f>
        <v>0.86268217676159653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2136</v>
      </c>
      <c r="H49" s="134">
        <f>F49*G49</f>
        <v>105774.72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1708.8000000000118</v>
      </c>
      <c r="O49" s="141">
        <f>N49/M49</f>
        <v>100.51764705882422</v>
      </c>
      <c r="P49" s="229">
        <f>M49-J49</f>
        <v>0</v>
      </c>
      <c r="Q49" s="230">
        <f>O49-L49</f>
        <v>-5.36470588235224</v>
      </c>
      <c r="R49" s="52">
        <f>O49/L49</f>
        <v>0.94933333333333991</v>
      </c>
      <c r="S49" s="748">
        <f>R58</f>
        <v>0.92414491566436174</v>
      </c>
      <c r="T49" s="191">
        <v>0.29166666666666702</v>
      </c>
      <c r="U49" s="191">
        <v>0.34375</v>
      </c>
      <c r="V49" s="55"/>
      <c r="W49" s="193">
        <f t="shared" si="7"/>
        <v>74.999999999999488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9"/>
        <v>-91.199999999988222</v>
      </c>
      <c r="AG49" s="52">
        <f t="shared" si="20"/>
        <v>0.94933333333333991</v>
      </c>
      <c r="AH49" s="784">
        <f>AG58</f>
        <v>0.9248331991030313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2091</v>
      </c>
      <c r="H50" s="231">
        <f>F50*G50</f>
        <v>105154.299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1548.8888888888885</v>
      </c>
      <c r="O50" s="235">
        <f>N50/M50</f>
        <v>91.111111111111086</v>
      </c>
      <c r="P50" s="74">
        <f>M50-J50</f>
        <v>0</v>
      </c>
      <c r="Q50" s="83">
        <f>O50-L50</f>
        <v>-5.1241830065359721</v>
      </c>
      <c r="R50" s="72">
        <f>O50/L50</f>
        <v>0.94675359956533522</v>
      </c>
      <c r="S50" s="749"/>
      <c r="T50" s="21">
        <v>0.35069444444444398</v>
      </c>
      <c r="U50" s="21">
        <v>0.406944444444444</v>
      </c>
      <c r="V50" s="30">
        <f>(T50-U49)*24*60</f>
        <v>9.999999999999325</v>
      </c>
      <c r="W50" s="236">
        <f t="shared" si="7"/>
        <v>81.000000000000028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9"/>
        <v>-87.111111111111541</v>
      </c>
      <c r="AG50" s="72">
        <f t="shared" si="20"/>
        <v>0.94675359956533522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1657</v>
      </c>
      <c r="H51" s="231">
        <f>F51*G51</f>
        <v>82800.289999999994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1553.4375000000152</v>
      </c>
      <c r="O51" s="235">
        <f>N51/M51</f>
        <v>97.089843750000952</v>
      </c>
      <c r="P51" s="74">
        <f>M51-J51</f>
        <v>0</v>
      </c>
      <c r="Q51" s="83">
        <f>O51-L51</f>
        <v>-15.410156249999048</v>
      </c>
      <c r="R51" s="72">
        <f>O51/L51</f>
        <v>0.86302083333334179</v>
      </c>
      <c r="S51" s="749"/>
      <c r="T51" s="21">
        <v>0.41388888888888897</v>
      </c>
      <c r="U51" s="19">
        <v>0.45833333333333298</v>
      </c>
      <c r="V51" s="30">
        <f>(T51-U50)*24*60</f>
        <v>10.000000000000764</v>
      </c>
      <c r="W51" s="236">
        <f t="shared" si="7"/>
        <v>63.999999999999375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9"/>
        <v>-246.56249999998477</v>
      </c>
      <c r="AG51" s="72">
        <f t="shared" si="20"/>
        <v>0.86302083333334179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2120</v>
      </c>
      <c r="H52" s="231">
        <f>F52*G52</f>
        <v>105936.4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1696.0000000000132</v>
      </c>
      <c r="O52" s="235">
        <f>N52/M52</f>
        <v>106.00000000000082</v>
      </c>
      <c r="P52" s="74">
        <f>M52-J52</f>
        <v>0</v>
      </c>
      <c r="Q52" s="83">
        <f>O52-L52</f>
        <v>-6.4999999999991758</v>
      </c>
      <c r="R52" s="72">
        <f>O52/L52</f>
        <v>0.94222222222222951</v>
      </c>
      <c r="S52" s="749"/>
      <c r="T52" s="21">
        <v>0.51736111111111105</v>
      </c>
      <c r="U52" s="21">
        <v>0.56944444444444398</v>
      </c>
      <c r="V52" s="30">
        <f>(T52-U51)*24*60</f>
        <v>85.000000000000412</v>
      </c>
      <c r="W52" s="236">
        <f t="shared" si="7"/>
        <v>74.999999999999417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9"/>
        <v>-103.99999999998681</v>
      </c>
      <c r="AG52" s="72">
        <f t="shared" si="20"/>
        <v>0.94222222222222951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9"/>
        <v>0</v>
      </c>
      <c r="AG53" s="72" t="e">
        <f t="shared" si="20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1626.781597222232</v>
      </c>
      <c r="O58" s="117">
        <f t="shared" si="21"/>
        <v>98.679650479984275</v>
      </c>
      <c r="P58" s="121">
        <f>M58-J58</f>
        <v>0</v>
      </c>
      <c r="Q58" s="122">
        <f>N58-K58</f>
        <v>-132.21840277776801</v>
      </c>
      <c r="R58" s="123">
        <f>O58/L58</f>
        <v>0.92414491566436174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-132.21840277776801</v>
      </c>
      <c r="AG58" s="124">
        <f>N58/K58</f>
        <v>0.9248331991030313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3125</v>
      </c>
      <c r="H59" s="243">
        <f>F59*G59</f>
        <v>84343.75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1499.9999999999918</v>
      </c>
      <c r="O59" s="138">
        <f>N59/M59</f>
        <v>99.99999999999946</v>
      </c>
      <c r="P59" s="56">
        <f>M59-J59</f>
        <v>0</v>
      </c>
      <c r="Q59" s="230">
        <f>O59-L59</f>
        <v>-9.0666666666672029</v>
      </c>
      <c r="R59" s="52">
        <f>O59/L59</f>
        <v>0.91687041564791683</v>
      </c>
      <c r="S59" s="748">
        <f>R69</f>
        <v>0.9195235874012655</v>
      </c>
      <c r="T59" s="245">
        <v>0.29861111111111099</v>
      </c>
      <c r="U59" s="245">
        <v>0.38541666666666702</v>
      </c>
      <c r="V59" s="55"/>
      <c r="W59" s="54">
        <f t="shared" si="7"/>
        <v>125.00000000000068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-136.00000000000819</v>
      </c>
      <c r="AG59" s="246">
        <f>N59/K59</f>
        <v>0.91687041564791671</v>
      </c>
      <c r="AH59" s="784">
        <f>AG69</f>
        <v>0.91938208490775364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1403</v>
      </c>
      <c r="H60" s="78">
        <f>F60*G60</f>
        <v>39648.78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1530.5454545454311</v>
      </c>
      <c r="O60" s="81">
        <f>N60/M60</f>
        <v>139.14049586776648</v>
      </c>
      <c r="P60" s="74">
        <f>M60-J60</f>
        <v>0</v>
      </c>
      <c r="Q60" s="83">
        <f>O60-L60</f>
        <v>-9.5867768595062444</v>
      </c>
      <c r="R60" s="72">
        <f>O60/L60</f>
        <v>0.93554123138473799</v>
      </c>
      <c r="S60" s="829"/>
      <c r="T60" s="22">
        <v>0.39236111111111099</v>
      </c>
      <c r="U60" s="22">
        <v>0.43055555555555602</v>
      </c>
      <c r="V60" s="30">
        <f>(T60-U59)*24*60</f>
        <v>9.999999999999325</v>
      </c>
      <c r="W60" s="248">
        <f t="shared" si="7"/>
        <v>55.000000000000846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-105.45454545456892</v>
      </c>
      <c r="AG60" s="249">
        <f>N60/K60</f>
        <v>0.93554123138473788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1251</v>
      </c>
      <c r="H61" s="254">
        <f>F61*G61</f>
        <v>35353.26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1501.2000000000103</v>
      </c>
      <c r="O61" s="238">
        <f>N61/M61</f>
        <v>136.47272727272821</v>
      </c>
      <c r="P61" s="111">
        <f>M61-J61</f>
        <v>0</v>
      </c>
      <c r="Q61" s="255">
        <f>O61-L61</f>
        <v>-12.254545454544512</v>
      </c>
      <c r="R61" s="85">
        <f>O61/L61</f>
        <v>0.91760391198044644</v>
      </c>
      <c r="S61" s="749"/>
      <c r="T61" s="22">
        <v>0.4375</v>
      </c>
      <c r="U61" s="22">
        <v>0.47222222222222199</v>
      </c>
      <c r="V61" s="30">
        <f>(T61-U60)*24*60</f>
        <v>9.999999999999325</v>
      </c>
      <c r="W61" s="256">
        <f t="shared" si="7"/>
        <v>49.999999999999659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-134.79999999998972</v>
      </c>
      <c r="AG61" s="247">
        <f>N61/K61</f>
        <v>0.91760391198044633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1206</v>
      </c>
      <c r="H62" s="254">
        <f t="shared" ref="H62:H63" si="22">F62*G62</f>
        <v>34081.560000000005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3">K62/J62</f>
        <v>148.72727272727272</v>
      </c>
      <c r="M62" s="108">
        <v>11</v>
      </c>
      <c r="N62" s="107">
        <f t="shared" ref="N62:N63" si="24">G62/W62*60</f>
        <v>1447.2000000000121</v>
      </c>
      <c r="O62" s="238">
        <f t="shared" ref="O62:O63" si="25">N62/M62</f>
        <v>131.56363636363747</v>
      </c>
      <c r="P62" s="111">
        <f t="shared" ref="P62:P63" si="26">M62-J62</f>
        <v>0</v>
      </c>
      <c r="Q62" s="255">
        <f t="shared" ref="Q62:Q63" si="27">O62-L62</f>
        <v>-17.163636363635248</v>
      </c>
      <c r="R62" s="85">
        <f t="shared" ref="R62:R63" si="28">O62/L62</f>
        <v>0.88459657701712235</v>
      </c>
      <c r="S62" s="749"/>
      <c r="T62" s="22">
        <v>0.47916666666666702</v>
      </c>
      <c r="U62" s="22">
        <v>0.51388888888888895</v>
      </c>
      <c r="V62" s="30">
        <f>(T62-U61)*24*60</f>
        <v>10.000000000000844</v>
      </c>
      <c r="W62" s="248">
        <f t="shared" si="7"/>
        <v>49.999999999999581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-188.7999999999879</v>
      </c>
      <c r="AG62" s="247">
        <f>N62/K62</f>
        <v>0.88459657701712235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1927</v>
      </c>
      <c r="H63" s="254">
        <f t="shared" si="22"/>
        <v>54457.020000000004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3"/>
        <v>148.72727272727272</v>
      </c>
      <c r="M63" s="68">
        <v>11</v>
      </c>
      <c r="N63" s="107">
        <f t="shared" si="24"/>
        <v>1541.5999999999792</v>
      </c>
      <c r="O63" s="238">
        <f t="shared" si="25"/>
        <v>140.14545454545265</v>
      </c>
      <c r="P63" s="111">
        <f t="shared" si="26"/>
        <v>0</v>
      </c>
      <c r="Q63" s="255">
        <f t="shared" si="27"/>
        <v>-8.5818181818200685</v>
      </c>
      <c r="R63" s="85">
        <f t="shared" si="28"/>
        <v>0.9422982885085448</v>
      </c>
      <c r="S63" s="749"/>
      <c r="T63" s="22">
        <v>0.56944444444444398</v>
      </c>
      <c r="U63" s="22">
        <v>0.62152777777777801</v>
      </c>
      <c r="V63" s="30">
        <f>(T63-U62)*24*60</f>
        <v>79.999999999999233</v>
      </c>
      <c r="W63" s="248">
        <f t="shared" si="7"/>
        <v>75.000000000001009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9">AVERAGE(J59:J68)</f>
        <v>11.8</v>
      </c>
      <c r="K69" s="240">
        <f t="shared" si="29"/>
        <v>1636</v>
      </c>
      <c r="L69" s="268">
        <f t="shared" si="29"/>
        <v>140.79515151515153</v>
      </c>
      <c r="M69" s="240">
        <f t="shared" si="29"/>
        <v>11.8</v>
      </c>
      <c r="N69" s="240">
        <f t="shared" si="29"/>
        <v>1504.1090909090849</v>
      </c>
      <c r="O69" s="268">
        <f t="shared" si="29"/>
        <v>129.46446280991685</v>
      </c>
      <c r="P69" s="269">
        <f>M69-J69</f>
        <v>0</v>
      </c>
      <c r="Q69" s="222">
        <f>N69-K69</f>
        <v>-131.8909090909151</v>
      </c>
      <c r="R69" s="123">
        <f>O69/L69</f>
        <v>0.9195235874012655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-131.8909090909151</v>
      </c>
      <c r="AG69" s="124">
        <f>N69/K69</f>
        <v>0.91938208490775364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922</v>
      </c>
      <c r="H70" s="243">
        <f>F70*G70</f>
        <v>40466.58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9</v>
      </c>
      <c r="N70" s="137">
        <f>G70/W70*60</f>
        <v>851.07692307692082</v>
      </c>
      <c r="O70" s="138">
        <f>N70/M70</f>
        <v>94.564102564102313</v>
      </c>
      <c r="P70" s="56">
        <f>M70-J70</f>
        <v>-5</v>
      </c>
      <c r="Q70" s="230">
        <f>O70-L70</f>
        <v>-17.221611721611978</v>
      </c>
      <c r="R70" s="52">
        <f>O70/L70</f>
        <v>0.84594085360858295</v>
      </c>
      <c r="S70" s="748">
        <f>R79</f>
        <v>0.85504516464922586</v>
      </c>
      <c r="T70" s="245">
        <v>0.38194444444444398</v>
      </c>
      <c r="U70" s="245">
        <v>0.42708333333333298</v>
      </c>
      <c r="V70" s="55"/>
      <c r="W70" s="54">
        <f t="shared" si="7"/>
        <v>65.000000000000171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-713.92307692307918</v>
      </c>
      <c r="AG70" s="246">
        <f>N70/K70</f>
        <v>0.54381912017694622</v>
      </c>
      <c r="AH70" s="784">
        <f>AG79</f>
        <v>0.7347698959300476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1187</v>
      </c>
      <c r="H71" s="254">
        <f t="shared" ref="H71:H72" si="30">F71*G71</f>
        <v>52097.43</v>
      </c>
      <c r="I71" s="182"/>
      <c r="J71" s="106">
        <v>10</v>
      </c>
      <c r="K71" s="107">
        <v>1200</v>
      </c>
      <c r="L71" s="238">
        <f t="shared" ref="L71:L72" si="31">K71/J71</f>
        <v>120</v>
      </c>
      <c r="M71" s="82">
        <v>10</v>
      </c>
      <c r="N71" s="107">
        <f t="shared" ref="N71:N72" si="32">G71/W71*60</f>
        <v>1017.4285714285738</v>
      </c>
      <c r="O71" s="238">
        <f t="shared" ref="O71:O72" si="33">N71/M71</f>
        <v>101.74285714285739</v>
      </c>
      <c r="P71" s="111">
        <f t="shared" ref="P71:P72" si="34">M71-J71</f>
        <v>0</v>
      </c>
      <c r="Q71" s="255">
        <f t="shared" ref="Q71:Q72" si="35">O71-L71</f>
        <v>-18.257142857142611</v>
      </c>
      <c r="R71" s="85">
        <f t="shared" ref="R71:R72" si="36">O71/L71</f>
        <v>0.84785714285714486</v>
      </c>
      <c r="S71" s="749"/>
      <c r="T71" s="22">
        <v>0.43402777777777801</v>
      </c>
      <c r="U71" s="22">
        <v>0.48263888888888901</v>
      </c>
      <c r="V71" s="30">
        <f>(T71-U70)*24*60</f>
        <v>10.000000000000844</v>
      </c>
      <c r="W71" s="73">
        <f t="shared" si="7"/>
        <v>69.999999999999829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76"/>
      <c r="D72" s="59" t="s">
        <v>142</v>
      </c>
      <c r="E72" s="77"/>
      <c r="F72" s="250">
        <f>VLOOKUP(D72,廠價表!$C$1:$E$43,3,0)</f>
        <v>43.89</v>
      </c>
      <c r="G72" s="202">
        <v>1219</v>
      </c>
      <c r="H72" s="254">
        <f t="shared" si="30"/>
        <v>53501.91</v>
      </c>
      <c r="I72" s="182"/>
      <c r="J72" s="106">
        <v>10</v>
      </c>
      <c r="K72" s="107">
        <v>1200</v>
      </c>
      <c r="L72" s="238">
        <f t="shared" si="31"/>
        <v>120</v>
      </c>
      <c r="M72" s="82">
        <v>10</v>
      </c>
      <c r="N72" s="107">
        <f t="shared" si="32"/>
        <v>1044.8571428571443</v>
      </c>
      <c r="O72" s="238">
        <f t="shared" si="33"/>
        <v>104.48571428571442</v>
      </c>
      <c r="P72" s="111">
        <f t="shared" si="34"/>
        <v>0</v>
      </c>
      <c r="Q72" s="255">
        <f t="shared" si="35"/>
        <v>-15.514285714285577</v>
      </c>
      <c r="R72" s="85">
        <f t="shared" si="36"/>
        <v>0.87071428571428688</v>
      </c>
      <c r="S72" s="749"/>
      <c r="T72" s="22">
        <v>0.54513888888888895</v>
      </c>
      <c r="U72" s="22">
        <v>0.59375</v>
      </c>
      <c r="V72" s="30">
        <f>(T72-U71)*24*60</f>
        <v>89.999999999999915</v>
      </c>
      <c r="W72" s="73">
        <f t="shared" si="7"/>
        <v>69.999999999999915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7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7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7">AVERAGE(J70:J78)</f>
        <v>11.333333333333334</v>
      </c>
      <c r="K79" s="240">
        <f t="shared" si="37"/>
        <v>1321.6666666666667</v>
      </c>
      <c r="L79" s="268">
        <f t="shared" si="37"/>
        <v>117.26190476190476</v>
      </c>
      <c r="M79" s="240">
        <f t="shared" si="37"/>
        <v>9.6666666666666661</v>
      </c>
      <c r="N79" s="240">
        <f t="shared" si="37"/>
        <v>971.12087912087964</v>
      </c>
      <c r="O79" s="268">
        <f t="shared" si="37"/>
        <v>100.2642246642247</v>
      </c>
      <c r="P79" s="269">
        <f>M79-J79</f>
        <v>-1.6666666666666679</v>
      </c>
      <c r="Q79" s="222">
        <f>N79-K79</f>
        <v>-350.54578754578711</v>
      </c>
      <c r="R79" s="223">
        <f>O79/L79</f>
        <v>0.85504516464922586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-350.54578754578711</v>
      </c>
      <c r="AG79" s="124">
        <f>N79/K79</f>
        <v>0.7347698959300476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58" priority="1" operator="greaterThan">
      <formula>0</formula>
    </cfRule>
  </conditionalFormatting>
  <conditionalFormatting sqref="Q5:Q79 AF5:AF79">
    <cfRule type="cellIs" dxfId="257" priority="4" operator="lessThan">
      <formula>0</formula>
    </cfRule>
  </conditionalFormatting>
  <conditionalFormatting sqref="R5:R79 AG5:AG79">
    <cfRule type="cellIs" dxfId="256" priority="2" operator="greaterThan">
      <formula>1</formula>
    </cfRule>
    <cfRule type="cellIs" dxfId="255" priority="3" operator="lessThan">
      <formula>0.8</formula>
    </cfRule>
  </conditionalFormatting>
  <conditionalFormatting sqref="S5:S10 S37:S62 AH59:AH62 S69:S76 AH69:AH76">
    <cfRule type="cellIs" dxfId="254" priority="7" operator="lessThan">
      <formula>0.8</formula>
    </cfRule>
  </conditionalFormatting>
  <conditionalFormatting sqref="S19:S25 AH19:AH25">
    <cfRule type="cellIs" dxfId="253" priority="6" operator="lessThan">
      <formula>0.8</formula>
    </cfRule>
  </conditionalFormatting>
  <conditionalFormatting sqref="S79">
    <cfRule type="cellIs" dxfId="252" priority="5" operator="lessThan">
      <formula>0.8</formula>
    </cfRule>
  </conditionalFormatting>
  <conditionalFormatting sqref="AH5:AH8 S15:S16 AH15:AH16 AH49 AH79">
    <cfRule type="cellIs" dxfId="251" priority="9" operator="lessThan">
      <formula>0.8</formula>
    </cfRule>
  </conditionalFormatting>
  <conditionalFormatting sqref="AH27 S27:S28">
    <cfRule type="cellIs" dxfId="2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2918-F34A-44D5-9F3D-C11B42F14DB6}">
  <dimension ref="B1:O26"/>
  <sheetViews>
    <sheetView topLeftCell="B1" zoomScale="70" zoomScaleNormal="70" workbookViewId="0">
      <selection activeCell="P19" sqref="P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DATE(2026,8,7)</f>
        <v>46241</v>
      </c>
      <c r="E3" s="706"/>
      <c r="F3" s="3" t="s">
        <v>72</v>
      </c>
      <c r="G3" s="707">
        <f>'0807'!E1</f>
        <v>43046</v>
      </c>
      <c r="H3" s="707"/>
      <c r="I3" s="3" t="s">
        <v>2</v>
      </c>
      <c r="J3" s="708">
        <f>'0807'!G1</f>
        <v>1975061.3920000002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125.24760941517242</v>
      </c>
      <c r="G6" s="713"/>
      <c r="H6" s="714">
        <f>AVERAGE(D13:H13)</f>
        <v>124.00905144963967</v>
      </c>
      <c r="I6" s="714"/>
      <c r="J6" s="714">
        <f>AVERAGE(I13:J13)</f>
        <v>128.34400432900435</v>
      </c>
      <c r="K6" s="714"/>
      <c r="L6" s="716">
        <f>'0807'!Z2</f>
        <v>1</v>
      </c>
      <c r="M6" s="717">
        <f>'0807'!AA2</f>
        <v>35</v>
      </c>
      <c r="N6" s="718">
        <f>'0807'!AD2</f>
        <v>0</v>
      </c>
      <c r="O6" s="717">
        <f>'0807'!AE2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111.84743449332498</v>
      </c>
      <c r="G7" s="737"/>
      <c r="H7" s="738">
        <f>AVERAGE(D14:H14)</f>
        <v>112.02989259403905</v>
      </c>
      <c r="I7" s="738"/>
      <c r="J7" s="738">
        <f>AVERAGE(I14:J14)</f>
        <v>111.39128924153982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0.89038138684346146</v>
      </c>
      <c r="G8" s="710"/>
      <c r="H8" s="710">
        <f>AVERAGE(D15:H15)</f>
        <v>0.90093888196146188</v>
      </c>
      <c r="I8" s="710"/>
      <c r="J8" s="710">
        <f>AVERAGE(I15:J15)</f>
        <v>0.86398764904846026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VALUE('0807'!L15)</f>
        <v>151.80995475113122</v>
      </c>
      <c r="E13" s="13">
        <f>VALUE('0807'!L26)</f>
        <v>170.91346153846155</v>
      </c>
      <c r="F13" s="13">
        <f>VALUE('0807'!L37)</f>
        <v>94.241503267973869</v>
      </c>
      <c r="G13" s="13">
        <f>VALUE('0807'!L48)</f>
        <v>96.300925925925924</v>
      </c>
      <c r="H13" s="13">
        <f>VALUE('0807'!L58)</f>
        <v>106.77941176470588</v>
      </c>
      <c r="I13" s="13">
        <f>VALUE('0807'!L69)</f>
        <v>140.79515151515153</v>
      </c>
      <c r="J13" s="13">
        <f>'0807'!L79</f>
        <v>115.89285714285714</v>
      </c>
    </row>
    <row r="14" spans="2:15" ht="39.950000000000003" customHeight="1">
      <c r="B14" s="731"/>
      <c r="C14" s="12" t="s">
        <v>100</v>
      </c>
      <c r="D14" s="13">
        <f>VALUE('0807'!O15)</f>
        <v>137.47299432593425</v>
      </c>
      <c r="E14" s="13">
        <f>VALUE('0807'!O26)</f>
        <v>156.39862921859225</v>
      </c>
      <c r="F14" s="13">
        <f>VALUE('0807'!O37)</f>
        <v>76.396618168544165</v>
      </c>
      <c r="G14" s="13">
        <f>VALUE('0807'!O48)</f>
        <v>93.379886831274447</v>
      </c>
      <c r="H14" s="13">
        <f>VALUE('0807'!O58)</f>
        <v>96.50133442585016</v>
      </c>
      <c r="I14" s="13">
        <f>VALUE('0807'!O69)</f>
        <v>127.34050105922431</v>
      </c>
      <c r="J14" s="13">
        <f>'0807'!O79</f>
        <v>95.442077423855352</v>
      </c>
    </row>
    <row r="15" spans="2:15" ht="39.950000000000003" customHeight="1">
      <c r="B15" s="732"/>
      <c r="C15" s="10" t="s">
        <v>26</v>
      </c>
      <c r="D15" s="14">
        <f t="shared" ref="D15:I15" si="0">D14/D13</f>
        <v>0.9055598135925923</v>
      </c>
      <c r="E15" s="14">
        <f t="shared" si="0"/>
        <v>0.91507496139148203</v>
      </c>
      <c r="F15" s="14">
        <f t="shared" si="0"/>
        <v>0.8106472787399398</v>
      </c>
      <c r="G15" s="14">
        <f t="shared" si="0"/>
        <v>0.96966759076752473</v>
      </c>
      <c r="H15" s="14">
        <f t="shared" si="0"/>
        <v>0.90374476531577064</v>
      </c>
      <c r="I15" s="14">
        <f t="shared" si="0"/>
        <v>0.90443811231326876</v>
      </c>
      <c r="J15" s="15">
        <f>'0807'!S70</f>
        <v>0.82353718578365176</v>
      </c>
    </row>
    <row r="16" spans="2:15" ht="17.25" customHeight="1">
      <c r="B16" s="733" t="s">
        <v>101</v>
      </c>
      <c r="C16" s="10" t="s">
        <v>34</v>
      </c>
      <c r="D16" s="16">
        <f>'0807'!T5</f>
        <v>0.29375000000000001</v>
      </c>
      <c r="E16" s="16">
        <f>'0807'!T16</f>
        <v>0.29166666666666702</v>
      </c>
      <c r="F16" s="16">
        <f>'0807'!T27</f>
        <v>0.29166666666666702</v>
      </c>
      <c r="G16" s="16">
        <f>'0807'!T38</f>
        <v>0.33333333333333298</v>
      </c>
      <c r="H16" s="16">
        <f>'0807'!T49</f>
        <v>0.29166666666666702</v>
      </c>
      <c r="I16" s="16">
        <f>'0807'!T59</f>
        <v>0.29166666666666702</v>
      </c>
      <c r="J16" s="17">
        <f>'0807'!T70</f>
        <v>0.30555555555555602</v>
      </c>
    </row>
    <row r="17" spans="2:10" ht="17.25" customHeight="1">
      <c r="B17" s="734"/>
      <c r="C17" s="10" t="s">
        <v>35</v>
      </c>
      <c r="D17" s="18">
        <v>0.43055555555555602</v>
      </c>
      <c r="E17" s="19">
        <v>0.56388888888888899</v>
      </c>
      <c r="F17" s="19">
        <v>0.55625000000000002</v>
      </c>
      <c r="G17" s="20">
        <v>0.55902777777777801</v>
      </c>
      <c r="H17" s="21">
        <v>0.55833333333333302</v>
      </c>
      <c r="I17" s="22">
        <v>0.58333333333333304</v>
      </c>
      <c r="J17" s="22">
        <v>0.40277777777777801</v>
      </c>
    </row>
    <row r="18" spans="2:10" ht="17.25" customHeight="1">
      <c r="B18" s="735" t="s">
        <v>102</v>
      </c>
      <c r="C18" s="330" t="s">
        <v>36</v>
      </c>
      <c r="D18" s="386">
        <f>'0807'!Z15</f>
        <v>0</v>
      </c>
      <c r="E18" s="387">
        <f>'0807'!Z26</f>
        <v>0</v>
      </c>
      <c r="F18" s="387">
        <f>'0807'!Z37</f>
        <v>1</v>
      </c>
      <c r="G18" s="388">
        <f>'0807'!Z48</f>
        <v>0</v>
      </c>
      <c r="H18" s="388">
        <f>'0807'!Z58</f>
        <v>0</v>
      </c>
      <c r="I18" s="387">
        <f>'0807'!Z69</f>
        <v>0</v>
      </c>
      <c r="J18" s="387">
        <f>'0807'!AA79</f>
        <v>0</v>
      </c>
    </row>
    <row r="19" spans="2:10" ht="17.25" customHeight="1">
      <c r="B19" s="736"/>
      <c r="C19" s="330" t="s">
        <v>37</v>
      </c>
      <c r="D19" s="386">
        <f>'0807'!AA15</f>
        <v>0</v>
      </c>
      <c r="E19" s="387">
        <f>'0807'!AA26</f>
        <v>0</v>
      </c>
      <c r="F19" s="387">
        <f>'0807'!AA37</f>
        <v>35</v>
      </c>
      <c r="G19" s="388">
        <f>'0807'!AA48</f>
        <v>0</v>
      </c>
      <c r="H19" s="388">
        <f>'0807'!AA58</f>
        <v>0</v>
      </c>
      <c r="I19" s="387">
        <f>'0807'!AA69</f>
        <v>0</v>
      </c>
      <c r="J19" s="387">
        <f>'0807'!AB79</f>
        <v>0</v>
      </c>
    </row>
    <row r="20" spans="2:10" ht="17.25" customHeight="1">
      <c r="B20" s="735" t="s">
        <v>103</v>
      </c>
      <c r="C20" s="330" t="s">
        <v>36</v>
      </c>
      <c r="D20" s="386">
        <f>'0807'!AD15</f>
        <v>0</v>
      </c>
      <c r="E20" s="387">
        <f>'0807'!AD26</f>
        <v>0</v>
      </c>
      <c r="F20" s="387">
        <f>'0807'!AD37</f>
        <v>0</v>
      </c>
      <c r="G20" s="388">
        <f>'0807'!AD48</f>
        <v>0</v>
      </c>
      <c r="H20" s="388">
        <f>'0807'!AD58</f>
        <v>0</v>
      </c>
      <c r="I20" s="387">
        <f>'0807'!AD69</f>
        <v>0</v>
      </c>
      <c r="J20" s="387">
        <f>'0807'!AD79</f>
        <v>0</v>
      </c>
    </row>
    <row r="21" spans="2:10" ht="17.25" customHeight="1">
      <c r="B21" s="736"/>
      <c r="C21" s="330" t="s">
        <v>85</v>
      </c>
      <c r="D21" s="386">
        <f>'0807'!AE15</f>
        <v>0</v>
      </c>
      <c r="E21" s="387">
        <f>'0807'!AE26</f>
        <v>0</v>
      </c>
      <c r="F21" s="387">
        <f>'0807'!AE37</f>
        <v>0</v>
      </c>
      <c r="G21" s="388">
        <f>'0807'!AE48</f>
        <v>0</v>
      </c>
      <c r="H21" s="388">
        <f>'0807'!AE58</f>
        <v>0</v>
      </c>
      <c r="I21" s="387">
        <f>'0807'!AE69</f>
        <v>0</v>
      </c>
      <c r="J21" s="387">
        <f>'0807'!AE79</f>
        <v>0</v>
      </c>
    </row>
    <row r="22" spans="2:10" ht="17.25" customHeight="1">
      <c r="B22" s="719" t="s">
        <v>104</v>
      </c>
      <c r="C22" s="720"/>
      <c r="D22" s="23">
        <f>VALUE('0807'!M15)</f>
        <v>15</v>
      </c>
      <c r="E22" s="23">
        <f>VALUE('0807'!M26)</f>
        <v>13.25</v>
      </c>
      <c r="F22" s="23">
        <f>VALUE('0807'!M37)</f>
        <v>16.2</v>
      </c>
      <c r="G22" s="23">
        <f>VALUE('0807'!M48)</f>
        <v>17.333333333333332</v>
      </c>
      <c r="H22" s="23">
        <f>VALUE('0807'!M58)</f>
        <v>16.5</v>
      </c>
      <c r="I22" s="23">
        <f>VALUE('0807'!M69)</f>
        <v>11.8</v>
      </c>
      <c r="J22" s="23">
        <f>'0807'!M79</f>
        <v>9.5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809E-D369-42D4-BB37-06965FC1C630}">
  <sheetPr>
    <tabColor theme="9" tint="0.79998168889431442"/>
  </sheetPr>
  <dimension ref="A1:AJ92"/>
  <sheetViews>
    <sheetView zoomScale="69" zoomScaleNormal="69" workbookViewId="0">
      <pane xSplit="5" ySplit="4" topLeftCell="F38" activePane="bottomRight" state="frozen"/>
      <selection activeCell="P19" sqref="P19"/>
      <selection pane="topRight" activeCell="P19" sqref="P19"/>
      <selection pane="bottomLeft" activeCell="P19" sqref="P19"/>
      <selection pane="bottomRight" activeCell="E1" sqref="E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43046</v>
      </c>
      <c r="F1" s="30" t="s">
        <v>2</v>
      </c>
      <c r="G1" s="31">
        <f>SUM(H5:H79)</f>
        <v>1975061.3920000002</v>
      </c>
      <c r="H1" s="32" t="s">
        <v>3</v>
      </c>
      <c r="I1" s="33">
        <f>M15+M26+M48+M58+M69+M79+M37</f>
        <v>99.583333333333329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146</v>
      </c>
      <c r="B2" s="739"/>
      <c r="C2" s="28"/>
      <c r="D2" s="28" t="s">
        <v>14</v>
      </c>
      <c r="E2" s="35">
        <f>AVERAGE(O15,O26,O37,O48,O58,O69,O79)</f>
        <v>111.84743449332498</v>
      </c>
      <c r="F2" s="36" t="s">
        <v>15</v>
      </c>
      <c r="G2" s="37">
        <f>G1/E1</f>
        <v>45.882576592482465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35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1118</v>
      </c>
      <c r="H5" s="43">
        <f>F5*G5</f>
        <v>56649.060000000005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1916.5714285713959</v>
      </c>
      <c r="O5" s="47">
        <f>N5/M5</f>
        <v>112.73949579831741</v>
      </c>
      <c r="P5" s="49">
        <f>M5-J5</f>
        <v>0</v>
      </c>
      <c r="Q5" s="50">
        <f>O5-L5</f>
        <v>-19.613445378153173</v>
      </c>
      <c r="R5" s="51">
        <f>O5/L5</f>
        <v>0.85180952380950936</v>
      </c>
      <c r="S5" s="748">
        <f>R15</f>
        <v>0.9055598135925923</v>
      </c>
      <c r="T5" s="319">
        <v>0.29375000000000001</v>
      </c>
      <c r="U5" s="320">
        <v>0.31805555555555598</v>
      </c>
      <c r="V5" s="53"/>
      <c r="W5" s="54">
        <f t="shared" ref="W5:W14" si="0">(U5-T5)*24*60</f>
        <v>35.000000000000597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-333.42857142860407</v>
      </c>
      <c r="AG5" s="52">
        <f t="shared" ref="AG5:AG11" si="2">N5/K5</f>
        <v>0.85180952380950925</v>
      </c>
      <c r="AH5" s="784">
        <f>AG15</f>
        <v>0.90480070546736346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1187</v>
      </c>
      <c r="H6" s="63">
        <f>F6*G6</f>
        <v>69047.790000000008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1978.3333333333317</v>
      </c>
      <c r="O6" s="67">
        <f>N6/M6</f>
        <v>152.17948717948704</v>
      </c>
      <c r="P6" s="69">
        <f>M6-J6</f>
        <v>0</v>
      </c>
      <c r="Q6" s="70">
        <f>O6-L6</f>
        <v>-20.897435897436026</v>
      </c>
      <c r="R6" s="71">
        <f>O6/L6</f>
        <v>0.87925925925925852</v>
      </c>
      <c r="S6" s="749"/>
      <c r="T6" s="16">
        <v>0.327083333333333</v>
      </c>
      <c r="U6" s="16">
        <v>0.35208333333333303</v>
      </c>
      <c r="V6" s="30">
        <f>(T6-U5)*24*60</f>
        <v>12.999999999998915</v>
      </c>
      <c r="W6" s="73">
        <f t="shared" si="0"/>
        <v>36.000000000000028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-271.66666666666833</v>
      </c>
      <c r="AG6" s="72">
        <f t="shared" si="2"/>
        <v>0.87925925925925852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v>3835</v>
      </c>
      <c r="H7" s="78">
        <f>F7*G7</f>
        <v>188451.9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2212.4999999999759</v>
      </c>
      <c r="O7" s="81">
        <f>N7/M7</f>
        <v>147.49999999999838</v>
      </c>
      <c r="P7" s="74">
        <f>M7-J7</f>
        <v>0</v>
      </c>
      <c r="Q7" s="83">
        <f>O7-L7</f>
        <v>-2.50000000000162</v>
      </c>
      <c r="R7" s="72">
        <f>O7/L7</f>
        <v>0.98333333333332251</v>
      </c>
      <c r="S7" s="749"/>
      <c r="T7" s="18">
        <v>0.358333333333333</v>
      </c>
      <c r="U7" s="18">
        <v>0.43055555555555602</v>
      </c>
      <c r="V7" s="30">
        <f>(T7-U6)*24*60</f>
        <v>8.999999999999968</v>
      </c>
      <c r="W7" s="73">
        <f t="shared" si="0"/>
        <v>104.00000000000115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-37.500000000024102</v>
      </c>
      <c r="AG7" s="72">
        <f t="shared" si="2"/>
        <v>0.98333333333332262</v>
      </c>
      <c r="AH7" s="785"/>
    </row>
    <row r="8" spans="1:34" ht="15" customHeight="1">
      <c r="A8" s="75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0</v>
      </c>
      <c r="AG8" s="72" t="e">
        <f t="shared" si="2"/>
        <v>#DIV/0!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15</v>
      </c>
      <c r="N15" s="120">
        <f t="shared" si="3"/>
        <v>2035.8015873015677</v>
      </c>
      <c r="O15" s="117">
        <f t="shared" si="3"/>
        <v>137.47299432593425</v>
      </c>
      <c r="P15" s="121">
        <f t="shared" ref="P15:P19" si="4">M15-J15</f>
        <v>0</v>
      </c>
      <c r="Q15" s="122">
        <f t="shared" ref="Q15:Q19" si="5">O15-L15</f>
        <v>-14.336960425196963</v>
      </c>
      <c r="R15" s="123">
        <f t="shared" ref="R15:R19" si="6">O15/L15</f>
        <v>0.9055598135925923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-214.19841269843232</v>
      </c>
      <c r="AG15" s="124">
        <f>N15/K15</f>
        <v>0.90480070546736346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1773</v>
      </c>
      <c r="H16" s="134">
        <f>F16*G16</f>
        <v>89837.91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2007.1698113207858</v>
      </c>
      <c r="O16" s="141">
        <f>N16/M16</f>
        <v>154.39767779390661</v>
      </c>
      <c r="P16" s="142">
        <f t="shared" si="4"/>
        <v>0</v>
      </c>
      <c r="Q16" s="143">
        <f t="shared" si="5"/>
        <v>-18.679245283016456</v>
      </c>
      <c r="R16" s="144">
        <f t="shared" si="6"/>
        <v>0.89207547169812718</v>
      </c>
      <c r="S16" s="795">
        <f>R26</f>
        <v>0.91507496139148203</v>
      </c>
      <c r="T16" s="145">
        <v>0.29166666666666702</v>
      </c>
      <c r="U16" s="145">
        <v>0.328472222222222</v>
      </c>
      <c r="V16" s="135"/>
      <c r="W16" s="146">
        <f t="shared" ref="W16:W78" si="7">(U16-T16)*24*60</f>
        <v>52.999999999999176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-242.83018867921419</v>
      </c>
      <c r="AG16" s="52">
        <f>N16/K16</f>
        <v>0.89207547169812706</v>
      </c>
      <c r="AH16" s="784">
        <f>AG26</f>
        <v>0.91346187558737069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2121</v>
      </c>
      <c r="H17" s="78">
        <f>F17*G17</f>
        <v>120621.26999999999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2019.9999999999995</v>
      </c>
      <c r="O17" s="96">
        <f>N17/M17</f>
        <v>134.66666666666663</v>
      </c>
      <c r="P17" s="97">
        <f t="shared" si="4"/>
        <v>0</v>
      </c>
      <c r="Q17" s="98">
        <f t="shared" si="5"/>
        <v>-15.333333333333371</v>
      </c>
      <c r="R17" s="99">
        <f t="shared" si="6"/>
        <v>0.89777777777777756</v>
      </c>
      <c r="S17" s="796"/>
      <c r="T17" s="19">
        <v>0.33541666666666697</v>
      </c>
      <c r="U17" s="19">
        <v>0.37916666666666698</v>
      </c>
      <c r="V17" s="30">
        <f>(T17-U16)*24*60</f>
        <v>10.000000000000764</v>
      </c>
      <c r="W17" s="149">
        <f t="shared" si="7"/>
        <v>63.000000000000014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-230.00000000000045</v>
      </c>
      <c r="AG17" s="72">
        <f>N17/K17</f>
        <v>0.89777777777777756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4197</v>
      </c>
      <c r="H18" s="78">
        <f>F18*G18</f>
        <v>211486.83000000002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2170.8620689655327</v>
      </c>
      <c r="O18" s="96">
        <f>N18/M18</f>
        <v>180.90517241379439</v>
      </c>
      <c r="P18" s="97">
        <f t="shared" si="4"/>
        <v>0</v>
      </c>
      <c r="Q18" s="98">
        <f t="shared" si="5"/>
        <v>-6.5948275862056107</v>
      </c>
      <c r="R18" s="99">
        <f t="shared" si="6"/>
        <v>0.96482758620690345</v>
      </c>
      <c r="S18" s="796"/>
      <c r="T18" s="19">
        <v>0.38888888888888901</v>
      </c>
      <c r="U18" s="19">
        <v>0.469444444444444</v>
      </c>
      <c r="V18" s="30">
        <f>(T18-U17)*24*60</f>
        <v>13.99999999999971</v>
      </c>
      <c r="W18" s="149">
        <f t="shared" si="7"/>
        <v>115.99999999999919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-79.137931034467329</v>
      </c>
      <c r="AG18" s="72">
        <f>N18/K18</f>
        <v>0.96482758620690345</v>
      </c>
      <c r="AH18" s="785"/>
    </row>
    <row r="19" spans="1:34" ht="15" customHeight="1">
      <c r="A19" s="802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v>1079</v>
      </c>
      <c r="H19" s="78">
        <f>F19*G19</f>
        <v>54672.93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2023.1250000000175</v>
      </c>
      <c r="O19" s="96">
        <f>N19/M19</f>
        <v>155.62500000000134</v>
      </c>
      <c r="P19" s="97">
        <f t="shared" si="4"/>
        <v>0</v>
      </c>
      <c r="Q19" s="98">
        <f t="shared" si="5"/>
        <v>-17.45192307692173</v>
      </c>
      <c r="R19" s="99">
        <f t="shared" si="6"/>
        <v>0.89916666666667444</v>
      </c>
      <c r="S19" s="796"/>
      <c r="T19" s="19">
        <v>0.54166666666666696</v>
      </c>
      <c r="U19" s="19">
        <v>0.56388888888888899</v>
      </c>
      <c r="V19" s="30">
        <f>(T19-U18)*24*60</f>
        <v>104.00000000000107</v>
      </c>
      <c r="W19" s="149">
        <f t="shared" si="7"/>
        <v>31.999999999999726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-226.87499999998249</v>
      </c>
      <c r="AG19" s="72">
        <f>N19/K19</f>
        <v>0.89916666666667444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7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7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8">AVERAGE(J16:J25)</f>
        <v>13.25</v>
      </c>
      <c r="K26" s="155">
        <f t="shared" si="8"/>
        <v>2250</v>
      </c>
      <c r="L26" s="158">
        <f t="shared" si="8"/>
        <v>170.91346153846155</v>
      </c>
      <c r="M26" s="155">
        <f t="shared" si="8"/>
        <v>13.25</v>
      </c>
      <c r="N26" s="155">
        <f t="shared" si="8"/>
        <v>2055.2892200715842</v>
      </c>
      <c r="O26" s="158">
        <f t="shared" si="8"/>
        <v>156.39862921859225</v>
      </c>
      <c r="P26" s="159">
        <f t="shared" ref="P26:P27" si="9">M26-J26</f>
        <v>0</v>
      </c>
      <c r="Q26" s="160">
        <f t="shared" ref="Q26:Q27" si="10">O26-L26</f>
        <v>-14.514832319869299</v>
      </c>
      <c r="R26" s="161">
        <f t="shared" ref="R26:R27" si="11">O26/L26</f>
        <v>0.91507496139148203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2">N26-K26</f>
        <v>-194.71077992841583</v>
      </c>
      <c r="AG26" s="124">
        <f t="shared" ref="AG26:AG31" si="13">N26/K26</f>
        <v>0.91346187558737069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1146+343</f>
        <v>1489</v>
      </c>
      <c r="H27" s="134">
        <f>F27*G27</f>
        <v>69000.260000000009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950.42553191490515</v>
      </c>
      <c r="O27" s="141">
        <f>N27/M27</f>
        <v>59.401595744681572</v>
      </c>
      <c r="P27" s="142">
        <f t="shared" si="9"/>
        <v>0</v>
      </c>
      <c r="Q27" s="143">
        <f t="shared" si="10"/>
        <v>-42.848404255318428</v>
      </c>
      <c r="R27" s="144">
        <f t="shared" si="11"/>
        <v>0.58094470165947742</v>
      </c>
      <c r="S27" s="795">
        <f>R37</f>
        <v>0.8106472787399398</v>
      </c>
      <c r="T27" s="171">
        <v>0.29166666666666702</v>
      </c>
      <c r="U27" s="19">
        <v>0.35694444444444401</v>
      </c>
      <c r="V27" s="135"/>
      <c r="W27" s="146">
        <f t="shared" si="7"/>
        <v>93.999999999998863</v>
      </c>
      <c r="X27" s="135"/>
      <c r="Y27" s="300"/>
      <c r="Z27" s="169">
        <v>1</v>
      </c>
      <c r="AA27" s="169">
        <v>35</v>
      </c>
      <c r="AB27" s="863" t="s">
        <v>147</v>
      </c>
      <c r="AC27" s="864"/>
      <c r="AD27" s="135"/>
      <c r="AE27" s="135"/>
      <c r="AF27" s="310">
        <f t="shared" si="12"/>
        <v>-685.57446808509485</v>
      </c>
      <c r="AG27" s="172">
        <f t="shared" si="13"/>
        <v>0.58094470165947742</v>
      </c>
      <c r="AH27" s="784">
        <f>AG37</f>
        <v>0.75605168869921024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893</v>
      </c>
      <c r="H28" s="91">
        <f>F28*G28</f>
        <v>40774.379999999997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1488.3333333333321</v>
      </c>
      <c r="O28" s="96">
        <f>N28/M28</f>
        <v>93.020833333333258</v>
      </c>
      <c r="P28" s="97">
        <f t="shared" ref="P28:P31" si="14">M28-J28</f>
        <v>-1</v>
      </c>
      <c r="Q28" s="98">
        <f t="shared" ref="Q28:Q31" si="15">O28-L28</f>
        <v>-3.2144607843138004</v>
      </c>
      <c r="R28" s="99">
        <f t="shared" ref="R28:R31" si="16">O28/L28</f>
        <v>0.96659790138549229</v>
      </c>
      <c r="S28" s="796"/>
      <c r="T28" s="19">
        <v>0.36249999999999999</v>
      </c>
      <c r="U28" s="19">
        <v>0.38750000000000001</v>
      </c>
      <c r="V28" s="92">
        <f>(T28-U27)*24*60</f>
        <v>8.0000000000006111</v>
      </c>
      <c r="W28" s="149">
        <f t="shared" si="7"/>
        <v>36.000000000000028</v>
      </c>
      <c r="X28" s="174"/>
      <c r="Y28" s="301"/>
      <c r="Z28" s="335"/>
      <c r="AA28" s="335"/>
      <c r="AB28" s="865"/>
      <c r="AC28" s="866"/>
      <c r="AD28" s="92"/>
      <c r="AE28" s="92"/>
      <c r="AF28" s="311">
        <f t="shared" si="12"/>
        <v>-147.66666666666788</v>
      </c>
      <c r="AG28" s="99">
        <f t="shared" si="13"/>
        <v>0.90973920130399277</v>
      </c>
      <c r="AH28" s="805"/>
    </row>
    <row r="29" spans="1:34" ht="15" customHeight="1">
      <c r="A29" s="793"/>
      <c r="B29" s="75" t="s">
        <v>81</v>
      </c>
      <c r="C29" s="88"/>
      <c r="D29" s="59" t="s">
        <v>124</v>
      </c>
      <c r="E29" s="89"/>
      <c r="F29" s="75">
        <f>VLOOKUP(D29,廠價表!$C$1:$E$43,3,0)</f>
        <v>57.21</v>
      </c>
      <c r="G29" s="90">
        <v>851</v>
      </c>
      <c r="H29" s="91">
        <f>F29*G29</f>
        <v>48685.71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1276.4999999999891</v>
      </c>
      <c r="O29" s="96">
        <f>N29/M29</f>
        <v>79.781249999999318</v>
      </c>
      <c r="P29" s="97">
        <f t="shared" si="14"/>
        <v>-2</v>
      </c>
      <c r="Q29" s="98">
        <f t="shared" si="15"/>
        <v>-11.107638888889568</v>
      </c>
      <c r="R29" s="99">
        <f t="shared" si="16"/>
        <v>0.87778881418092158</v>
      </c>
      <c r="S29" s="796"/>
      <c r="T29" s="19">
        <v>0.39722222222222198</v>
      </c>
      <c r="U29" s="19">
        <v>0.42499999999999999</v>
      </c>
      <c r="V29" s="92">
        <f>(T29-U28)*24*60</f>
        <v>13.999999999999631</v>
      </c>
      <c r="W29" s="149">
        <f t="shared" si="7"/>
        <v>40.000000000000341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2"/>
        <v>-359.50000000001091</v>
      </c>
      <c r="AG29" s="99">
        <f t="shared" si="13"/>
        <v>0.78025672371637478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915</v>
      </c>
      <c r="H30" s="91">
        <f>F30*G30</f>
        <v>45667.649999999994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16</v>
      </c>
      <c r="N30" s="95">
        <f>G30/W30*60</f>
        <v>1220</v>
      </c>
      <c r="O30" s="96">
        <f>N30/M30</f>
        <v>76.25</v>
      </c>
      <c r="P30" s="97">
        <f t="shared" si="14"/>
        <v>-2</v>
      </c>
      <c r="Q30" s="98">
        <f t="shared" si="15"/>
        <v>-14.638888888888886</v>
      </c>
      <c r="R30" s="99">
        <f t="shared" si="16"/>
        <v>0.83893643031784848</v>
      </c>
      <c r="S30" s="796"/>
      <c r="T30" s="19">
        <v>0.43055555555555602</v>
      </c>
      <c r="U30" s="19">
        <v>0.46180555555555602</v>
      </c>
      <c r="V30" s="92">
        <f>(T30-U29)*24*60</f>
        <v>8.000000000000691</v>
      </c>
      <c r="W30" s="149">
        <f t="shared" si="7"/>
        <v>45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2"/>
        <v>-416</v>
      </c>
      <c r="AG30" s="99">
        <f t="shared" si="13"/>
        <v>0.74572127139364308</v>
      </c>
      <c r="AH30" s="806"/>
    </row>
    <row r="31" spans="1:34" ht="15" customHeight="1">
      <c r="A31" s="793"/>
      <c r="B31" s="75" t="s">
        <v>81</v>
      </c>
      <c r="C31" s="102"/>
      <c r="D31" s="175" t="s">
        <v>123</v>
      </c>
      <c r="E31" s="176"/>
      <c r="F31" s="75">
        <f>VLOOKUP(D31,廠價表!$C$1:$E$43,3,0)</f>
        <v>49.91</v>
      </c>
      <c r="G31" s="90">
        <v>1000</v>
      </c>
      <c r="H31" s="91">
        <f>F31*G31</f>
        <v>49910</v>
      </c>
      <c r="I31" s="92"/>
      <c r="J31" s="79">
        <f>VLOOKUP(D31,產線配置圖!$A$3:$C$40,2,0)</f>
        <v>18</v>
      </c>
      <c r="K31" s="80">
        <v>1637</v>
      </c>
      <c r="L31" s="93">
        <f>K31/J31</f>
        <v>90.944444444444443</v>
      </c>
      <c r="M31" s="94">
        <v>17</v>
      </c>
      <c r="N31" s="95">
        <f>G31/W31*60</f>
        <v>1250.0000000000127</v>
      </c>
      <c r="O31" s="96">
        <f>N31/M31</f>
        <v>73.529411764706637</v>
      </c>
      <c r="P31" s="97">
        <f t="shared" si="14"/>
        <v>-1</v>
      </c>
      <c r="Q31" s="98">
        <f t="shared" si="15"/>
        <v>-17.415032679737806</v>
      </c>
      <c r="R31" s="99">
        <f t="shared" si="16"/>
        <v>0.80850910920263863</v>
      </c>
      <c r="S31" s="796"/>
      <c r="T31" s="19">
        <v>0.52291666666666703</v>
      </c>
      <c r="U31" s="19">
        <v>0.55625000000000002</v>
      </c>
      <c r="V31" s="92">
        <f>(T31-U30)*24*60</f>
        <v>87.999999999999844</v>
      </c>
      <c r="W31" s="149">
        <f t="shared" si="7"/>
        <v>47.99999999999951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2"/>
        <v>-386.99999999998727</v>
      </c>
      <c r="AG31" s="99">
        <f t="shared" si="13"/>
        <v>0.76359193646915868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7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7">AVERAGE(J27:J36)</f>
        <v>17.399999999999999</v>
      </c>
      <c r="K37" s="155">
        <f t="shared" si="17"/>
        <v>1636.2</v>
      </c>
      <c r="L37" s="158">
        <f t="shared" si="17"/>
        <v>94.241503267973869</v>
      </c>
      <c r="M37" s="155">
        <f t="shared" si="17"/>
        <v>16.2</v>
      </c>
      <c r="N37" s="155">
        <f t="shared" si="17"/>
        <v>1237.0517730496479</v>
      </c>
      <c r="O37" s="158">
        <f t="shared" si="17"/>
        <v>76.396618168544165</v>
      </c>
      <c r="P37" s="159">
        <f>M37-J37</f>
        <v>-1.1999999999999993</v>
      </c>
      <c r="Q37" s="160">
        <f>N37-K37</f>
        <v>-399.14822695035218</v>
      </c>
      <c r="R37" s="161">
        <f>O37/L37</f>
        <v>0.8106472787399398</v>
      </c>
      <c r="S37" s="797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35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-399.14822695035218</v>
      </c>
      <c r="AG37" s="124">
        <f>N37/K37</f>
        <v>0.75605168869921024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2140</v>
      </c>
      <c r="H38" s="134">
        <f>F38*G38</f>
        <v>106807.4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1604.9999999999864</v>
      </c>
      <c r="O38" s="141">
        <f>N38/M38</f>
        <v>100.31249999999915</v>
      </c>
      <c r="P38" s="142">
        <f>M38-J38</f>
        <v>0</v>
      </c>
      <c r="Q38" s="143">
        <f>O38-L38</f>
        <v>-6.8125000000008527</v>
      </c>
      <c r="R38" s="144">
        <f>O38/L38</f>
        <v>0.93640606767793833</v>
      </c>
      <c r="S38" s="817">
        <f>R48</f>
        <v>0.96966759076752473</v>
      </c>
      <c r="T38" s="191">
        <v>0.33333333333333298</v>
      </c>
      <c r="U38" s="191">
        <v>0.38888888888888901</v>
      </c>
      <c r="V38" s="192"/>
      <c r="W38" s="193">
        <f t="shared" si="7"/>
        <v>80.000000000000682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-109.00000000001364</v>
      </c>
      <c r="AG38" s="195">
        <f>N38/K38</f>
        <v>0.93640606767793833</v>
      </c>
      <c r="AH38" s="807">
        <f>AG48</f>
        <v>0.97109684895483783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f>2632+300</f>
        <v>2932</v>
      </c>
      <c r="H39" s="91">
        <f>F39*G39</f>
        <v>129887.59999999999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1628.8888888888898</v>
      </c>
      <c r="O39" s="203">
        <f>N39/M39</f>
        <v>90.493827160493879</v>
      </c>
      <c r="P39" s="97">
        <f>M39-J39</f>
        <v>0</v>
      </c>
      <c r="Q39" s="98">
        <f>O39-L39</f>
        <v>-0.39506172839500664</v>
      </c>
      <c r="R39" s="99">
        <f>O39/L39</f>
        <v>0.99565335506655861</v>
      </c>
      <c r="S39" s="818"/>
      <c r="T39" s="20">
        <v>0.39861111111111103</v>
      </c>
      <c r="U39" s="20">
        <v>0.47361111111111098</v>
      </c>
      <c r="V39" s="92">
        <f>(T39-U38)*24*60</f>
        <v>13.99999999999971</v>
      </c>
      <c r="W39" s="205">
        <f t="shared" si="7"/>
        <v>107.99999999999994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-7.1111111111101764</v>
      </c>
      <c r="AG39" s="206">
        <f>N39/K39</f>
        <v>0.99565335506655861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744+60</f>
        <v>804</v>
      </c>
      <c r="H40" s="91">
        <f>F40*G40</f>
        <v>35617.199999999997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1607.9999999999457</v>
      </c>
      <c r="O40" s="203">
        <f>N40/M40</f>
        <v>89.333333333330316</v>
      </c>
      <c r="P40" s="97">
        <f>M40-J40</f>
        <v>0</v>
      </c>
      <c r="Q40" s="98">
        <f>O40-L40</f>
        <v>-1.5555555555585698</v>
      </c>
      <c r="R40" s="99">
        <f>O40/L40</f>
        <v>0.98288508557453891</v>
      </c>
      <c r="S40" s="749"/>
      <c r="T40" s="20">
        <v>0.53819444444444398</v>
      </c>
      <c r="U40" s="20">
        <v>0.55902777777777801</v>
      </c>
      <c r="V40" s="92">
        <f>(T40-U39)*24*60</f>
        <v>92.999999999999517</v>
      </c>
      <c r="W40" s="205">
        <f t="shared" si="7"/>
        <v>30.000000000001013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-28.000000000054342</v>
      </c>
      <c r="AG40" s="206">
        <f>N40/K40</f>
        <v>0.98288508557453891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89"/>
      <c r="AC41" s="789"/>
      <c r="AD41" s="92"/>
      <c r="AE41" s="92"/>
      <c r="AF41" s="314"/>
      <c r="AG41" s="206"/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8">AVERAGE(J38:J47)</f>
        <v>17.333333333333332</v>
      </c>
      <c r="K48" s="155">
        <f t="shared" si="18"/>
        <v>1662</v>
      </c>
      <c r="L48" s="158">
        <f t="shared" si="18"/>
        <v>96.300925925925924</v>
      </c>
      <c r="M48" s="155">
        <f t="shared" si="18"/>
        <v>17.333333333333332</v>
      </c>
      <c r="N48" s="155">
        <f t="shared" si="18"/>
        <v>1613.9629629629405</v>
      </c>
      <c r="O48" s="158">
        <f t="shared" si="18"/>
        <v>93.379886831274447</v>
      </c>
      <c r="P48" s="221">
        <f>M48-J48</f>
        <v>0</v>
      </c>
      <c r="Q48" s="222">
        <f>N48-K48</f>
        <v>-48.037037037059463</v>
      </c>
      <c r="R48" s="223">
        <f>O48/L48</f>
        <v>0.96966759076752473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19">N48-K48</f>
        <v>-48.037037037059463</v>
      </c>
      <c r="AG48" s="162">
        <f t="shared" ref="AG48:AG52" si="20">N48/K48</f>
        <v>0.97109684895483783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1754+121</f>
        <v>1875</v>
      </c>
      <c r="H49" s="134">
        <f>F49*G49</f>
        <v>92850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1730.7692307692264</v>
      </c>
      <c r="O49" s="141">
        <f>N49/M49</f>
        <v>101.80995475113096</v>
      </c>
      <c r="P49" s="229">
        <f>M49-J49</f>
        <v>0</v>
      </c>
      <c r="Q49" s="230">
        <f>O49-L49</f>
        <v>-4.0723981900455044</v>
      </c>
      <c r="R49" s="52">
        <f>O49/L49</f>
        <v>0.96153846153845912</v>
      </c>
      <c r="S49" s="748">
        <f>R58</f>
        <v>0.90374476531577064</v>
      </c>
      <c r="T49" s="191">
        <v>0.29166666666666702</v>
      </c>
      <c r="U49" s="191">
        <v>0.33680555555555602</v>
      </c>
      <c r="V49" s="55"/>
      <c r="W49" s="193">
        <f t="shared" si="7"/>
        <v>65.000000000000171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9"/>
        <v>-69.230769230773603</v>
      </c>
      <c r="AG49" s="52">
        <f t="shared" si="20"/>
        <v>0.96153846153845912</v>
      </c>
      <c r="AH49" s="784">
        <f>AG58</f>
        <v>0.90527891086257417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1558</v>
      </c>
      <c r="H50" s="231">
        <f>F50*G50</f>
        <v>78350.262000000002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1558.0000000000241</v>
      </c>
      <c r="O50" s="235">
        <f>N50/M50</f>
        <v>91.647058823530827</v>
      </c>
      <c r="P50" s="74">
        <f>M50-J50</f>
        <v>0</v>
      </c>
      <c r="Q50" s="83">
        <f>O50-L50</f>
        <v>-4.588235294116231</v>
      </c>
      <c r="R50" s="72">
        <f>O50/L50</f>
        <v>0.95232273838632275</v>
      </c>
      <c r="S50" s="749"/>
      <c r="T50" s="21">
        <v>0.34930555555555598</v>
      </c>
      <c r="U50" s="21">
        <v>0.390972222222222</v>
      </c>
      <c r="V50" s="30">
        <f>(T50-U49)*24*60</f>
        <v>17.999999999999936</v>
      </c>
      <c r="W50" s="236">
        <f t="shared" si="7"/>
        <v>59.999999999999069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9"/>
        <v>-77.999999999975898</v>
      </c>
      <c r="AG50" s="72">
        <f t="shared" si="20"/>
        <v>0.95232273838632275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2200</v>
      </c>
      <c r="H51" s="231">
        <f>F51*G51</f>
        <v>109934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1483.1460674157436</v>
      </c>
      <c r="O51" s="235">
        <f>N51/M51</f>
        <v>92.696629213483973</v>
      </c>
      <c r="P51" s="74">
        <f>M51-J51</f>
        <v>0</v>
      </c>
      <c r="Q51" s="83">
        <f>O51-L51</f>
        <v>-19.803370786516027</v>
      </c>
      <c r="R51" s="72">
        <f>O51/L51</f>
        <v>0.82397003745319086</v>
      </c>
      <c r="S51" s="749"/>
      <c r="T51" s="21">
        <v>0.39652777777777798</v>
      </c>
      <c r="U51" s="19">
        <v>0.45833333333333298</v>
      </c>
      <c r="V51" s="30">
        <f>(T51-U50)*24*60</f>
        <v>8.0000000000006111</v>
      </c>
      <c r="W51" s="236">
        <f t="shared" si="7"/>
        <v>88.999999999999204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9"/>
        <v>-316.85393258425643</v>
      </c>
      <c r="AG51" s="72">
        <f t="shared" si="20"/>
        <v>0.82397003745319086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f>1461+110</f>
        <v>1571</v>
      </c>
      <c r="H52" s="231">
        <f>F52*G52</f>
        <v>78502.87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1597.6271186440777</v>
      </c>
      <c r="O52" s="235">
        <f>N52/M52</f>
        <v>99.851694915254853</v>
      </c>
      <c r="P52" s="74">
        <f>M52-J52</f>
        <v>0</v>
      </c>
      <c r="Q52" s="83">
        <f>O52-L52</f>
        <v>-12.648305084745147</v>
      </c>
      <c r="R52" s="72">
        <f>O52/L52</f>
        <v>0.88757062146893206</v>
      </c>
      <c r="S52" s="749"/>
      <c r="T52" s="21">
        <v>0.51736111111111105</v>
      </c>
      <c r="U52" s="21">
        <v>0.55833333333333302</v>
      </c>
      <c r="V52" s="30">
        <f>(T52-U51)*24*60</f>
        <v>85.000000000000412</v>
      </c>
      <c r="W52" s="236">
        <f t="shared" si="7"/>
        <v>58.999999999999631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9"/>
        <v>-202.37288135592235</v>
      </c>
      <c r="AG52" s="72">
        <f t="shared" si="20"/>
        <v>0.88757062146893206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89"/>
      <c r="AC53" s="789"/>
      <c r="AD53" s="92"/>
      <c r="AE53" s="92"/>
      <c r="AF53" s="307"/>
      <c r="AG53" s="72"/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1592.385604207268</v>
      </c>
      <c r="O58" s="117">
        <f t="shared" si="21"/>
        <v>96.50133442585016</v>
      </c>
      <c r="P58" s="121">
        <f>M58-J58</f>
        <v>0</v>
      </c>
      <c r="Q58" s="122">
        <f>N58-K58</f>
        <v>-166.61439579273201</v>
      </c>
      <c r="R58" s="123">
        <f>O58/L58</f>
        <v>0.90374476531577064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3" si="22">N58-K58</f>
        <v>-166.61439579273201</v>
      </c>
      <c r="AG58" s="124">
        <f t="shared" ref="AG58:AG63" si="23">N58/K58</f>
        <v>0.90527891086257417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2542</v>
      </c>
      <c r="H59" s="243">
        <f>F59*G59</f>
        <v>68608.58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1452.5714285714425</v>
      </c>
      <c r="O59" s="138">
        <f>N59/M59</f>
        <v>96.838095238096173</v>
      </c>
      <c r="P59" s="56">
        <f>M59-J59</f>
        <v>0</v>
      </c>
      <c r="Q59" s="230">
        <f>O59-L59</f>
        <v>-12.22857142857049</v>
      </c>
      <c r="R59" s="52">
        <f>O59/L59</f>
        <v>0.88787984631506278</v>
      </c>
      <c r="S59" s="748">
        <f>R69</f>
        <v>0.90443811231326876</v>
      </c>
      <c r="T59" s="245">
        <v>0.29166666666666702</v>
      </c>
      <c r="U59" s="245">
        <v>0.36458333333333298</v>
      </c>
      <c r="V59" s="55"/>
      <c r="W59" s="54">
        <f t="shared" si="7"/>
        <v>104.99999999999899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22"/>
        <v>-183.42857142855746</v>
      </c>
      <c r="AG59" s="246">
        <f t="shared" si="23"/>
        <v>0.88787984631506267</v>
      </c>
      <c r="AH59" s="784">
        <f>AG69</f>
        <v>0.90355500479336448</v>
      </c>
    </row>
    <row r="60" spans="1:34" ht="15" customHeight="1">
      <c r="A60" s="826"/>
      <c r="B60" s="75" t="s">
        <v>130</v>
      </c>
      <c r="C60" s="86"/>
      <c r="D60" s="175" t="s">
        <v>133</v>
      </c>
      <c r="E60" s="87"/>
      <c r="F60" s="75">
        <f>VLOOKUP(D60,廠價表!$C$1:$E$43,3,0)</f>
        <v>28.26</v>
      </c>
      <c r="G60" s="30">
        <f>833+100</f>
        <v>933</v>
      </c>
      <c r="H60" s="78">
        <f>F60*G60</f>
        <v>26366.58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1399.4999999999879</v>
      </c>
      <c r="O60" s="81">
        <f>N60/M60</f>
        <v>127.22727272727163</v>
      </c>
      <c r="P60" s="74">
        <f>M60-J60</f>
        <v>0</v>
      </c>
      <c r="Q60" s="83">
        <f>O60-L60</f>
        <v>-21.500000000001094</v>
      </c>
      <c r="R60" s="72">
        <f>O60/L60</f>
        <v>0.85544009779950358</v>
      </c>
      <c r="S60" s="829"/>
      <c r="T60" s="22">
        <v>0.37847222222222199</v>
      </c>
      <c r="U60" s="22">
        <v>0.40625</v>
      </c>
      <c r="V60" s="30">
        <f>(T60-U59)*24*60</f>
        <v>20.000000000000171</v>
      </c>
      <c r="W60" s="248">
        <f t="shared" si="7"/>
        <v>40.000000000000341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22"/>
        <v>-236.50000000001205</v>
      </c>
      <c r="AG60" s="249">
        <f t="shared" si="23"/>
        <v>0.85544009779950358</v>
      </c>
      <c r="AH60" s="820"/>
    </row>
    <row r="61" spans="1:34" ht="15" customHeight="1">
      <c r="A61" s="827"/>
      <c r="B61" s="250" t="s">
        <v>130</v>
      </c>
      <c r="C61" s="251"/>
      <c r="D61" s="252" t="s">
        <v>132</v>
      </c>
      <c r="E61" s="253"/>
      <c r="F61" s="250">
        <f>VLOOKUP(D61,廠價表!$C$1:$E$43,3,0)</f>
        <v>28.26</v>
      </c>
      <c r="G61" s="38">
        <v>1243</v>
      </c>
      <c r="H61" s="254">
        <f>F61*G61</f>
        <v>35127.18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1586.8085106382925</v>
      </c>
      <c r="O61" s="238">
        <f>N61/M61</f>
        <v>144.25531914893568</v>
      </c>
      <c r="P61" s="111">
        <f>M61-J61</f>
        <v>0</v>
      </c>
      <c r="Q61" s="255">
        <f>O61-L61</f>
        <v>-4.4719535783370361</v>
      </c>
      <c r="R61" s="85">
        <f>O61/L61</f>
        <v>0.96993185246839397</v>
      </c>
      <c r="S61" s="749"/>
      <c r="T61" s="22">
        <v>0.41527777777777802</v>
      </c>
      <c r="U61" s="22">
        <v>0.44791666666666702</v>
      </c>
      <c r="V61" s="30">
        <f>(T61-U60)*24*60</f>
        <v>13.000000000000353</v>
      </c>
      <c r="W61" s="256">
        <f t="shared" si="7"/>
        <v>47.000000000000156</v>
      </c>
      <c r="X61" s="22"/>
      <c r="Y61" s="84"/>
      <c r="Z61" s="90"/>
      <c r="AA61" s="90"/>
      <c r="AB61" s="789"/>
      <c r="AC61" s="789"/>
      <c r="AD61" s="92"/>
      <c r="AE61" s="92"/>
      <c r="AF61" s="317">
        <f t="shared" si="22"/>
        <v>-49.191489361707454</v>
      </c>
      <c r="AG61" s="247">
        <f t="shared" si="23"/>
        <v>0.96993185246839397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1373</v>
      </c>
      <c r="H62" s="254">
        <f t="shared" ref="H62:H63" si="24">F62*G62</f>
        <v>38800.980000000003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5">K62/J62</f>
        <v>148.72727272727272</v>
      </c>
      <c r="M62" s="108">
        <v>11</v>
      </c>
      <c r="N62" s="107">
        <f t="shared" ref="N62:N63" si="26">G62/W62*60</f>
        <v>1372.9999999999884</v>
      </c>
      <c r="O62" s="238">
        <f t="shared" ref="O62:O63" si="27">N62/M62</f>
        <v>124.81818181818076</v>
      </c>
      <c r="P62" s="111">
        <f t="shared" ref="P62:P63" si="28">M62-J62</f>
        <v>0</v>
      </c>
      <c r="Q62" s="255">
        <f t="shared" ref="Q62:Q63" si="29">O62-L62</f>
        <v>-23.909090909091958</v>
      </c>
      <c r="R62" s="85">
        <f t="shared" ref="R62:R63" si="30">O62/L62</f>
        <v>0.83924205378972394</v>
      </c>
      <c r="S62" s="749"/>
      <c r="T62" s="22">
        <v>0.45486111111111099</v>
      </c>
      <c r="U62" s="22">
        <v>0.49652777777777801</v>
      </c>
      <c r="V62" s="30">
        <f>(T62-U61)*24*60</f>
        <v>9.999999999999325</v>
      </c>
      <c r="W62" s="248">
        <f t="shared" si="7"/>
        <v>60.000000000000504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22"/>
        <v>-263.0000000000116</v>
      </c>
      <c r="AG62" s="247">
        <f t="shared" si="23"/>
        <v>0.83924205378972394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f>1286+30</f>
        <v>1316</v>
      </c>
      <c r="H63" s="254">
        <f t="shared" si="24"/>
        <v>37190.160000000003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5"/>
        <v>148.72727272727272</v>
      </c>
      <c r="M63" s="68">
        <v>11</v>
      </c>
      <c r="N63" s="107">
        <f t="shared" si="26"/>
        <v>1579.2000000000107</v>
      </c>
      <c r="O63" s="238">
        <f t="shared" si="27"/>
        <v>143.56363636363733</v>
      </c>
      <c r="P63" s="111">
        <f t="shared" si="28"/>
        <v>0</v>
      </c>
      <c r="Q63" s="255">
        <f t="shared" si="29"/>
        <v>-5.1636363636353906</v>
      </c>
      <c r="R63" s="85">
        <f t="shared" si="30"/>
        <v>0.96528117359413856</v>
      </c>
      <c r="S63" s="749"/>
      <c r="T63" s="22">
        <v>0.54861111111111105</v>
      </c>
      <c r="U63" s="22">
        <v>0.58333333333333304</v>
      </c>
      <c r="V63" s="30">
        <f>(T63-U62)*24*60</f>
        <v>74.999999999999574</v>
      </c>
      <c r="W63" s="248">
        <f t="shared" si="7"/>
        <v>49.999999999999659</v>
      </c>
      <c r="X63" s="261"/>
      <c r="Y63" s="291"/>
      <c r="Z63" s="335"/>
      <c r="AA63" s="335"/>
      <c r="AB63" s="789"/>
      <c r="AC63" s="789"/>
      <c r="AD63" s="92"/>
      <c r="AE63" s="92"/>
      <c r="AF63" s="317">
        <f t="shared" si="22"/>
        <v>-56.799999999989268</v>
      </c>
      <c r="AG63" s="247">
        <f t="shared" si="23"/>
        <v>0.96528117359413856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1">AVERAGE(J59:J68)</f>
        <v>11.8</v>
      </c>
      <c r="K69" s="240">
        <f t="shared" si="31"/>
        <v>1636</v>
      </c>
      <c r="L69" s="268">
        <f t="shared" si="31"/>
        <v>140.79515151515153</v>
      </c>
      <c r="M69" s="240">
        <f t="shared" si="31"/>
        <v>11.8</v>
      </c>
      <c r="N69" s="240">
        <f t="shared" si="31"/>
        <v>1478.2159878419443</v>
      </c>
      <c r="O69" s="268">
        <f t="shared" si="31"/>
        <v>127.34050105922431</v>
      </c>
      <c r="P69" s="269">
        <f>M69-J69</f>
        <v>0</v>
      </c>
      <c r="Q69" s="222">
        <f>N69-K69</f>
        <v>-157.7840121580557</v>
      </c>
      <c r="R69" s="123">
        <f>O69/L69</f>
        <v>0.90443811231326876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-157.7840121580557</v>
      </c>
      <c r="AG69" s="124">
        <f>N69/K69</f>
        <v>0.90355500479336448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567</v>
      </c>
      <c r="H70" s="243">
        <f>F70*G70</f>
        <v>24885.63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8</v>
      </c>
      <c r="N70" s="137">
        <f>G70/W70*60</f>
        <v>739.5652173913146</v>
      </c>
      <c r="O70" s="138">
        <f>N70/M70</f>
        <v>92.445652173914326</v>
      </c>
      <c r="P70" s="56">
        <f>M70-J70</f>
        <v>-6</v>
      </c>
      <c r="Q70" s="230">
        <f>O70-L70</f>
        <v>-19.340062111799966</v>
      </c>
      <c r="R70" s="52">
        <f>O70/L70</f>
        <v>0.82698985970274796</v>
      </c>
      <c r="S70" s="748">
        <f>R79</f>
        <v>0.82353718578365176</v>
      </c>
      <c r="T70" s="245">
        <v>0.30555555555555602</v>
      </c>
      <c r="U70" s="245">
        <v>0.33750000000000002</v>
      </c>
      <c r="V70" s="55"/>
      <c r="W70" s="54">
        <f t="shared" si="7"/>
        <v>45.999999999999361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-825.4347826086854</v>
      </c>
      <c r="AG70" s="246">
        <f>N70/K70</f>
        <v>0.472565634115856</v>
      </c>
      <c r="AH70" s="784">
        <f>AG79</f>
        <v>0.65909177099568705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202">
        <v>1534</v>
      </c>
      <c r="H71" s="254">
        <f>F71*G71</f>
        <v>67327.259999999995</v>
      </c>
      <c r="I71" s="182"/>
      <c r="J71" s="106">
        <v>10</v>
      </c>
      <c r="K71" s="107">
        <v>1200</v>
      </c>
      <c r="L71" s="238">
        <f>K71/J71</f>
        <v>120</v>
      </c>
      <c r="M71" s="82">
        <v>11</v>
      </c>
      <c r="N71" s="107">
        <f>G71/W71*60</f>
        <v>1082.8235294117603</v>
      </c>
      <c r="O71" s="238">
        <f>N71/M71</f>
        <v>98.438502673796393</v>
      </c>
      <c r="P71" s="111">
        <f>M71-J71</f>
        <v>1</v>
      </c>
      <c r="Q71" s="255">
        <f>O71-L71</f>
        <v>-21.561497326203607</v>
      </c>
      <c r="R71" s="85">
        <f>O71/L71</f>
        <v>0.82032085561496992</v>
      </c>
      <c r="S71" s="749"/>
      <c r="T71" s="22">
        <v>0.34375</v>
      </c>
      <c r="U71" s="22">
        <v>0.40277777777777801</v>
      </c>
      <c r="V71" s="30">
        <f>(T71-U70)*24*60</f>
        <v>8.999999999999968</v>
      </c>
      <c r="W71" s="73">
        <f t="shared" si="7"/>
        <v>85.000000000000341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250"/>
      <c r="G72" s="202"/>
      <c r="H72" s="254"/>
      <c r="I72" s="182"/>
      <c r="J72" s="106"/>
      <c r="K72" s="107"/>
      <c r="L72" s="238"/>
      <c r="M72" s="82"/>
      <c r="N72" s="107"/>
      <c r="O72" s="238"/>
      <c r="P72" s="111"/>
      <c r="Q72" s="255"/>
      <c r="R72" s="85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7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7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7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2">AVERAGE(J70:J78)</f>
        <v>12</v>
      </c>
      <c r="K79" s="240">
        <f t="shared" si="32"/>
        <v>1382.5</v>
      </c>
      <c r="L79" s="268">
        <f t="shared" si="32"/>
        <v>115.89285714285714</v>
      </c>
      <c r="M79" s="240">
        <f t="shared" si="32"/>
        <v>9.5</v>
      </c>
      <c r="N79" s="240">
        <f t="shared" si="32"/>
        <v>911.1943734015374</v>
      </c>
      <c r="O79" s="268">
        <f t="shared" si="32"/>
        <v>95.442077423855352</v>
      </c>
      <c r="P79" s="269">
        <f>M79-J79</f>
        <v>-2.5</v>
      </c>
      <c r="Q79" s="222">
        <f>N79-K79</f>
        <v>-471.3056265984626</v>
      </c>
      <c r="R79" s="223">
        <f>O79/L79</f>
        <v>0.82353718578365176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-471.3056265984626</v>
      </c>
      <c r="AG79" s="124">
        <f>N79/K79</f>
        <v>0.65909177099568705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A2:B2"/>
    <mergeCell ref="A3:A4"/>
    <mergeCell ref="B3:B4"/>
    <mergeCell ref="D3:E4"/>
    <mergeCell ref="F3:F4"/>
    <mergeCell ref="AH5:AH15"/>
    <mergeCell ref="AB6:AC6"/>
    <mergeCell ref="AB7:AC7"/>
    <mergeCell ref="AB3:AC4"/>
    <mergeCell ref="AB8:AC8"/>
    <mergeCell ref="AB9:AC9"/>
    <mergeCell ref="AB10:AC10"/>
    <mergeCell ref="AB13:AC13"/>
    <mergeCell ref="AB5:AC5"/>
    <mergeCell ref="AB11:AC11"/>
    <mergeCell ref="AB12:AC12"/>
    <mergeCell ref="AB14:AC14"/>
    <mergeCell ref="AB15:AC15"/>
    <mergeCell ref="AB1:AC2"/>
    <mergeCell ref="AF1:AH2"/>
    <mergeCell ref="AG3:AG4"/>
    <mergeCell ref="AH3:AH4"/>
    <mergeCell ref="J1:L2"/>
    <mergeCell ref="M1:O2"/>
    <mergeCell ref="P1:S2"/>
    <mergeCell ref="T1:Y2"/>
    <mergeCell ref="S3:S4"/>
    <mergeCell ref="J3:J4"/>
    <mergeCell ref="K3:K4"/>
    <mergeCell ref="L3:L4"/>
    <mergeCell ref="M3:M4"/>
    <mergeCell ref="Z3:AA3"/>
    <mergeCell ref="AD3:AE3"/>
    <mergeCell ref="AF3:AF4"/>
    <mergeCell ref="T3:U3"/>
    <mergeCell ref="V3:V4"/>
    <mergeCell ref="W3:W4"/>
    <mergeCell ref="X3:Y3"/>
    <mergeCell ref="A5:A15"/>
    <mergeCell ref="S5:S15"/>
    <mergeCell ref="G3:G4"/>
    <mergeCell ref="H3:H4"/>
    <mergeCell ref="I3:I4"/>
    <mergeCell ref="N3:N4"/>
    <mergeCell ref="O3:O4"/>
    <mergeCell ref="P3:P4"/>
    <mergeCell ref="Q3:Q4"/>
    <mergeCell ref="R3:R4"/>
    <mergeCell ref="D15:E15"/>
    <mergeCell ref="A16:A26"/>
    <mergeCell ref="S16:S26"/>
    <mergeCell ref="AB16:AC16"/>
    <mergeCell ref="D26:E26"/>
    <mergeCell ref="AB26:AC2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38:A48"/>
    <mergeCell ref="AB52:AC52"/>
    <mergeCell ref="AB53:AC53"/>
    <mergeCell ref="AB54:AC54"/>
    <mergeCell ref="AB55:AC55"/>
    <mergeCell ref="AB48:AC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49:A58"/>
    <mergeCell ref="A27:A37"/>
    <mergeCell ref="S27:S3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B27:AC28"/>
    <mergeCell ref="AH59:AH69"/>
    <mergeCell ref="AH38:AH48"/>
    <mergeCell ref="D58:E58"/>
    <mergeCell ref="AB58:AC58"/>
    <mergeCell ref="S38:S48"/>
    <mergeCell ref="AB38:AC38"/>
    <mergeCell ref="D48:E48"/>
    <mergeCell ref="AB57:AC57"/>
    <mergeCell ref="AB56:AC56"/>
    <mergeCell ref="S49:S58"/>
    <mergeCell ref="AB49:AC49"/>
    <mergeCell ref="AH49:AH58"/>
    <mergeCell ref="AB50:AC50"/>
    <mergeCell ref="AB51:AC51"/>
    <mergeCell ref="D79:E79"/>
    <mergeCell ref="AB79:AC79"/>
    <mergeCell ref="A70:A79"/>
    <mergeCell ref="S70:S79"/>
    <mergeCell ref="AB70:AC70"/>
    <mergeCell ref="A59:A69"/>
    <mergeCell ref="S59:S69"/>
    <mergeCell ref="AB59:AC59"/>
    <mergeCell ref="D69:E69"/>
    <mergeCell ref="AB69:AC69"/>
    <mergeCell ref="AB60:AC60"/>
    <mergeCell ref="AB61:AC61"/>
    <mergeCell ref="AB62:AC62"/>
    <mergeCell ref="AB63:AC63"/>
    <mergeCell ref="AB68:AC68"/>
    <mergeCell ref="AB66:AC66"/>
    <mergeCell ref="AB67:AC67"/>
    <mergeCell ref="AB64:AC64"/>
    <mergeCell ref="AB65:AC65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48" priority="1" operator="greaterThan">
      <formula>0</formula>
    </cfRule>
  </conditionalFormatting>
  <conditionalFormatting sqref="Q5:Q79 AF5:AF79">
    <cfRule type="cellIs" dxfId="247" priority="4" operator="lessThan">
      <formula>0</formula>
    </cfRule>
  </conditionalFormatting>
  <conditionalFormatting sqref="R5:R79 AG5:AG79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S5:S10 S37:S62 AH59:AH62 S69:S76 AH69:AH76">
    <cfRule type="cellIs" dxfId="244" priority="7" operator="lessThan">
      <formula>0.8</formula>
    </cfRule>
  </conditionalFormatting>
  <conditionalFormatting sqref="S19:S25 AH19:AH25">
    <cfRule type="cellIs" dxfId="243" priority="6" operator="lessThan">
      <formula>0.8</formula>
    </cfRule>
  </conditionalFormatting>
  <conditionalFormatting sqref="S79">
    <cfRule type="cellIs" dxfId="242" priority="5" operator="lessThan">
      <formula>0.8</formula>
    </cfRule>
  </conditionalFormatting>
  <conditionalFormatting sqref="AH5:AH8 S15:S16 AH15:AH16 AH49 AH79">
    <cfRule type="cellIs" dxfId="241" priority="9" operator="lessThan">
      <formula>0.8</formula>
    </cfRule>
  </conditionalFormatting>
  <conditionalFormatting sqref="AH27 S27:S28">
    <cfRule type="cellIs" dxfId="2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2FD3FD-6268-4FA4-B6CC-9942E4909413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A436-148E-426F-A231-3794EE53269C}">
  <dimension ref="B1:O26"/>
  <sheetViews>
    <sheetView topLeftCell="B1" zoomScale="70" zoomScaleNormal="70" workbookViewId="0">
      <selection activeCell="J17" sqref="J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DATE(2026,8,8)</f>
        <v>46242</v>
      </c>
      <c r="E3" s="706"/>
      <c r="F3" s="3" t="s">
        <v>72</v>
      </c>
      <c r="G3" s="707">
        <f>'0808'!E1</f>
        <v>46671</v>
      </c>
      <c r="H3" s="707"/>
      <c r="I3" s="3" t="s">
        <v>2</v>
      </c>
      <c r="J3" s="708">
        <f>'0808'!G1</f>
        <v>2141485.7819999997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125.66492399057525</v>
      </c>
      <c r="G6" s="713"/>
      <c r="H6" s="714">
        <f>AVERAGE(D13:H13)</f>
        <v>124.55483031674207</v>
      </c>
      <c r="I6" s="714"/>
      <c r="J6" s="714">
        <f>AVERAGE(I13:J13)</f>
        <v>128.44015817515819</v>
      </c>
      <c r="K6" s="714"/>
      <c r="L6" s="716">
        <f>'0808'!Z2</f>
        <v>0</v>
      </c>
      <c r="M6" s="717">
        <f>'0808'!AA2</f>
        <v>0</v>
      </c>
      <c r="N6" s="718">
        <f>'0808'!AD2</f>
        <v>0</v>
      </c>
      <c r="O6" s="717">
        <f>'0808'!AE2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115.75673497453538</v>
      </c>
      <c r="G7" s="737"/>
      <c r="H7" s="738">
        <f>AVERAGE(D14:H14)</f>
        <v>114.94922339867662</v>
      </c>
      <c r="I7" s="738"/>
      <c r="J7" s="738">
        <f>AVERAGE(I14:J14)</f>
        <v>117.77551391418234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0.91724551963563539</v>
      </c>
      <c r="G8" s="710"/>
      <c r="H8" s="710">
        <f>AVERAGE(D15:H15)</f>
        <v>0.92005893584954135</v>
      </c>
      <c r="I8" s="710"/>
      <c r="J8" s="710">
        <f>AVERAGE(I15:J15)</f>
        <v>0.91021197910087026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VALUE('0808'!L15)</f>
        <v>151.80995475113122</v>
      </c>
      <c r="E13" s="13">
        <f>VALUE('0808'!L26)</f>
        <v>170.91346153846155</v>
      </c>
      <c r="F13" s="13">
        <f>VALUE('0808'!L37)</f>
        <v>94.264379084967317</v>
      </c>
      <c r="G13" s="13">
        <f>VALUE('0808'!L48)</f>
        <v>99.006944444444443</v>
      </c>
      <c r="H13" s="13">
        <f>VALUE('0808'!L58)</f>
        <v>106.77941176470588</v>
      </c>
      <c r="I13" s="13">
        <f>VALUE('0808'!L69)</f>
        <v>140.79515151515153</v>
      </c>
      <c r="J13" s="13">
        <f>'0808'!L79</f>
        <v>116.08516483516485</v>
      </c>
    </row>
    <row r="14" spans="2:15" ht="39.950000000000003" customHeight="1">
      <c r="B14" s="731"/>
      <c r="C14" s="12" t="s">
        <v>100</v>
      </c>
      <c r="D14" s="13">
        <f>VALUE('0808'!O15)</f>
        <v>139.90986843888209</v>
      </c>
      <c r="E14" s="13">
        <f>VALUE('0808'!O26)</f>
        <v>161.27899877899969</v>
      </c>
      <c r="F14" s="13">
        <f>VALUE('0808'!O37)</f>
        <v>83.697274727276664</v>
      </c>
      <c r="G14" s="13">
        <f>VALUE('0808'!O48)</f>
        <v>93.9825068870515</v>
      </c>
      <c r="H14" s="13">
        <f>VALUE('0808'!O58)</f>
        <v>95.877468161173141</v>
      </c>
      <c r="I14" s="13">
        <f>VALUE('0808'!O69)</f>
        <v>138.04207144207186</v>
      </c>
      <c r="J14" s="13">
        <f>'0808'!O79</f>
        <v>97.508956386292823</v>
      </c>
    </row>
    <row r="15" spans="2:15" ht="39.950000000000003" customHeight="1">
      <c r="B15" s="732"/>
      <c r="C15" s="10" t="s">
        <v>26</v>
      </c>
      <c r="D15" s="14">
        <f t="shared" ref="D15:I15" si="0">D14/D13</f>
        <v>0.9216119500743053</v>
      </c>
      <c r="E15" s="14">
        <f t="shared" si="0"/>
        <v>0.94362958497980121</v>
      </c>
      <c r="F15" s="14">
        <f t="shared" si="0"/>
        <v>0.88789928432917642</v>
      </c>
      <c r="G15" s="14">
        <f t="shared" si="0"/>
        <v>0.94925166526866911</v>
      </c>
      <c r="H15" s="14">
        <f t="shared" si="0"/>
        <v>0.89790219459575449</v>
      </c>
      <c r="I15" s="14">
        <f t="shared" si="0"/>
        <v>0.98044620114078718</v>
      </c>
      <c r="J15" s="15">
        <f>'0808'!S70</f>
        <v>0.83997775706095335</v>
      </c>
    </row>
    <row r="16" spans="2:15" ht="17.25" customHeight="1">
      <c r="B16" s="733" t="s">
        <v>101</v>
      </c>
      <c r="C16" s="10" t="s">
        <v>34</v>
      </c>
      <c r="D16" s="16">
        <f>'0808'!T5</f>
        <v>0.29236111111111102</v>
      </c>
      <c r="E16" s="16">
        <f>'0808'!T16</f>
        <v>0.29166666666666702</v>
      </c>
      <c r="F16" s="16">
        <f>'0808'!T27</f>
        <v>0.29166666666666702</v>
      </c>
      <c r="G16" s="16">
        <f>'0808'!T38</f>
        <v>0.33333333333333298</v>
      </c>
      <c r="H16" s="16">
        <f>'0808'!T49</f>
        <v>0.29166666666666702</v>
      </c>
      <c r="I16" s="16">
        <f>'0808'!T59</f>
        <v>0.29027777777777802</v>
      </c>
      <c r="J16" s="17">
        <f>'0808'!T70</f>
        <v>0.29861111111111099</v>
      </c>
    </row>
    <row r="17" spans="2:10" ht="17.25" customHeight="1">
      <c r="B17" s="734"/>
      <c r="C17" s="10" t="s">
        <v>35</v>
      </c>
      <c r="D17" s="18">
        <v>0.44444444444444398</v>
      </c>
      <c r="E17" s="19">
        <v>0.58472222222222203</v>
      </c>
      <c r="F17" s="19">
        <v>0.56388888888888899</v>
      </c>
      <c r="G17" s="20">
        <v>0.48055555555555601</v>
      </c>
      <c r="H17" s="21">
        <v>0.57499999999999996</v>
      </c>
      <c r="I17" s="22">
        <v>0.57638888888888895</v>
      </c>
      <c r="J17" s="22">
        <v>0.40625</v>
      </c>
    </row>
    <row r="18" spans="2:10" ht="17.25" customHeight="1">
      <c r="B18" s="735" t="s">
        <v>102</v>
      </c>
      <c r="C18" s="330" t="s">
        <v>36</v>
      </c>
      <c r="D18" s="386">
        <f>'0808'!Z15</f>
        <v>0</v>
      </c>
      <c r="E18" s="387">
        <f>'0808'!Z26</f>
        <v>0</v>
      </c>
      <c r="F18" s="387">
        <f>'0808'!Z37</f>
        <v>0</v>
      </c>
      <c r="G18" s="388">
        <f>'0808'!Z48</f>
        <v>0</v>
      </c>
      <c r="H18" s="388">
        <f>'0808'!Z58</f>
        <v>0</v>
      </c>
      <c r="I18" s="387">
        <f>'0808'!Z69</f>
        <v>0</v>
      </c>
      <c r="J18" s="387">
        <f>'0808'!AA79</f>
        <v>0</v>
      </c>
    </row>
    <row r="19" spans="2:10" ht="17.25" customHeight="1">
      <c r="B19" s="736"/>
      <c r="C19" s="330" t="s">
        <v>37</v>
      </c>
      <c r="D19" s="386">
        <f>'0808'!AA15</f>
        <v>0</v>
      </c>
      <c r="E19" s="387">
        <f>'0808'!AA26</f>
        <v>0</v>
      </c>
      <c r="F19" s="387">
        <f>'0808'!AA37</f>
        <v>0</v>
      </c>
      <c r="G19" s="388">
        <f>'0808'!AA48</f>
        <v>0</v>
      </c>
      <c r="H19" s="388">
        <f>'0808'!AA58</f>
        <v>0</v>
      </c>
      <c r="I19" s="387">
        <f>'0808'!AA69</f>
        <v>0</v>
      </c>
      <c r="J19" s="387">
        <f>'0808'!AB79</f>
        <v>0</v>
      </c>
    </row>
    <row r="20" spans="2:10" ht="17.25" customHeight="1">
      <c r="B20" s="735" t="s">
        <v>103</v>
      </c>
      <c r="C20" s="330" t="s">
        <v>36</v>
      </c>
      <c r="D20" s="386">
        <f>'0808'!AD15</f>
        <v>0</v>
      </c>
      <c r="E20" s="387">
        <f>'0808'!AD26</f>
        <v>0</v>
      </c>
      <c r="F20" s="387">
        <f>'0808'!AD37</f>
        <v>0</v>
      </c>
      <c r="G20" s="388">
        <f>'0808'!AD48</f>
        <v>0</v>
      </c>
      <c r="H20" s="388">
        <f>'0808'!AD58</f>
        <v>0</v>
      </c>
      <c r="I20" s="387">
        <f>'0808'!AD69</f>
        <v>0</v>
      </c>
      <c r="J20" s="387">
        <f>'0808'!AD79</f>
        <v>0</v>
      </c>
    </row>
    <row r="21" spans="2:10" ht="17.25" customHeight="1">
      <c r="B21" s="736"/>
      <c r="C21" s="330" t="s">
        <v>85</v>
      </c>
      <c r="D21" s="386">
        <f>'0808'!AE15</f>
        <v>0</v>
      </c>
      <c r="E21" s="387">
        <f>'0808'!AE26</f>
        <v>0</v>
      </c>
      <c r="F21" s="387">
        <f>'0808'!AE37</f>
        <v>0</v>
      </c>
      <c r="G21" s="388">
        <f>'0808'!AE48</f>
        <v>0</v>
      </c>
      <c r="H21" s="388">
        <f>'0808'!AE58</f>
        <v>0</v>
      </c>
      <c r="I21" s="387">
        <f>'0808'!AE69</f>
        <v>0</v>
      </c>
      <c r="J21" s="387">
        <f>'0808'!AE79</f>
        <v>0</v>
      </c>
    </row>
    <row r="22" spans="2:10" ht="17.25" customHeight="1">
      <c r="B22" s="719" t="s">
        <v>104</v>
      </c>
      <c r="C22" s="720"/>
      <c r="D22" s="23">
        <f>VALUE('0808'!M15)</f>
        <v>15</v>
      </c>
      <c r="E22" s="23">
        <f>VALUE('0808'!M26)</f>
        <v>13.25</v>
      </c>
      <c r="F22" s="23">
        <f>VALUE('0808'!M37)</f>
        <v>16.600000000000001</v>
      </c>
      <c r="G22" s="23">
        <f>VALUE('0808'!M48)</f>
        <v>17</v>
      </c>
      <c r="H22" s="23">
        <f>VALUE('0808'!M58)</f>
        <v>16.75</v>
      </c>
      <c r="I22" s="23">
        <f>VALUE('0808'!M69)</f>
        <v>11.8</v>
      </c>
      <c r="J22" s="23">
        <f>'0808'!M79</f>
        <v>9.5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1:K2"/>
    <mergeCell ref="B3:C3"/>
    <mergeCell ref="D3:E3"/>
    <mergeCell ref="G3:H3"/>
    <mergeCell ref="J3:K3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</mergeCells>
  <phoneticPr fontId="0" type="noConversion"/>
  <conditionalFormatting sqref="D15:J15">
    <cfRule type="cellIs" dxfId="2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6C51-7573-4531-AD0A-CBC7A2716335}">
  <sheetPr>
    <tabColor theme="9" tint="0.79998168889431442"/>
  </sheetPr>
  <dimension ref="A1:AJ92"/>
  <sheetViews>
    <sheetView zoomScale="69" zoomScaleNormal="69" workbookViewId="0">
      <pane xSplit="5" ySplit="4" topLeftCell="F41" activePane="bottomRight" state="frozen"/>
      <selection activeCell="J17" sqref="J17"/>
      <selection pane="topRight" activeCell="J17" sqref="J17"/>
      <selection pane="bottomLeft" activeCell="J17" sqref="J17"/>
      <selection pane="bottomRight" activeCell="J17" sqref="J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46671</v>
      </c>
      <c r="F1" s="30" t="s">
        <v>2</v>
      </c>
      <c r="G1" s="31">
        <f>SUM(H5:H79)</f>
        <v>2141485.7819999997</v>
      </c>
      <c r="H1" s="32" t="s">
        <v>3</v>
      </c>
      <c r="I1" s="33">
        <f>M15+M26+M48+M58+M69+M79+M37</f>
        <v>99.9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148</v>
      </c>
      <c r="B2" s="739"/>
      <c r="C2" s="28"/>
      <c r="D2" s="28" t="s">
        <v>14</v>
      </c>
      <c r="E2" s="35">
        <f>AVERAGE(O15,O26,O37,O48,O58,O69,O79)</f>
        <v>115.75673497453538</v>
      </c>
      <c r="F2" s="36" t="s">
        <v>15</v>
      </c>
      <c r="G2" s="37">
        <f>G1/E1</f>
        <v>45.884720318827533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f>1127+19</f>
        <v>1146</v>
      </c>
      <c r="H5" s="43">
        <f>F5*G5</f>
        <v>58067.82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1964.5714285713952</v>
      </c>
      <c r="O5" s="47">
        <f>N5/M5</f>
        <v>115.56302521008207</v>
      </c>
      <c r="P5" s="49">
        <f>M5-J5</f>
        <v>0</v>
      </c>
      <c r="Q5" s="50">
        <f>O5-L5</f>
        <v>-16.789915966388506</v>
      </c>
      <c r="R5" s="51">
        <f>O5/L5</f>
        <v>0.87314285714284234</v>
      </c>
      <c r="S5" s="748">
        <f>R15</f>
        <v>0.9216119500743053</v>
      </c>
      <c r="T5" s="319">
        <v>0.29236111111111102</v>
      </c>
      <c r="U5" s="320">
        <v>0.31666666666666698</v>
      </c>
      <c r="V5" s="53"/>
      <c r="W5" s="54">
        <f t="shared" ref="W5:W14" si="0">(U5-T5)*24*60</f>
        <v>35.000000000000597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-285.42857142860476</v>
      </c>
      <c r="AG5" s="52">
        <f t="shared" ref="AG5:AG11" si="2">N5/K5</f>
        <v>0.87314285714284234</v>
      </c>
      <c r="AH5" s="784">
        <f>AG15</f>
        <v>0.92038939893702931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1056</v>
      </c>
      <c r="H6" s="63">
        <f>F6*G6</f>
        <v>61427.520000000004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2043.8709677419163</v>
      </c>
      <c r="O6" s="67">
        <f>N6/M6</f>
        <v>157.22084367245509</v>
      </c>
      <c r="P6" s="69">
        <f>M6-J6</f>
        <v>0</v>
      </c>
      <c r="Q6" s="70">
        <f>O6-L6</f>
        <v>-15.856079404467977</v>
      </c>
      <c r="R6" s="71">
        <f>O6/L6</f>
        <v>0.90838709677418505</v>
      </c>
      <c r="S6" s="749"/>
      <c r="T6" s="16">
        <v>0.32500000000000001</v>
      </c>
      <c r="U6" s="16">
        <v>0.34652777777777799</v>
      </c>
      <c r="V6" s="30">
        <f>(T6-U5)*24*60</f>
        <v>11.999999999999558</v>
      </c>
      <c r="W6" s="73">
        <f t="shared" si="0"/>
        <v>31.000000000000291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-206.12903225808373</v>
      </c>
      <c r="AG6" s="72">
        <f t="shared" si="2"/>
        <v>0.90838709677418505</v>
      </c>
      <c r="AH6" s="785"/>
    </row>
    <row r="7" spans="1:34" ht="15" customHeight="1">
      <c r="A7" s="755"/>
      <c r="B7" s="75" t="s">
        <v>81</v>
      </c>
      <c r="C7" s="76"/>
      <c r="D7" s="59" t="s">
        <v>115</v>
      </c>
      <c r="E7" s="77"/>
      <c r="F7" s="75">
        <f>VLOOKUP(D7,廠價表!$C$1:$E$43,3,0)</f>
        <v>49.14</v>
      </c>
      <c r="G7" s="66">
        <f>4593+146</f>
        <v>4739</v>
      </c>
      <c r="H7" s="78">
        <f>F7*G7</f>
        <v>232874.46</v>
      </c>
      <c r="I7" s="73"/>
      <c r="J7" s="79">
        <f>VLOOKUP(D7,產線配置圖!$A$3:$C$40,2,0)</f>
        <v>15</v>
      </c>
      <c r="K7" s="80">
        <f>VLOOKUP(D7,產線配置圖!$A$3:$C$40,3,0)</f>
        <v>2250</v>
      </c>
      <c r="L7" s="81">
        <f>K7/J7</f>
        <v>150</v>
      </c>
      <c r="M7" s="82">
        <v>15</v>
      </c>
      <c r="N7" s="80">
        <f>G7/W7*60</f>
        <v>2204.186046511637</v>
      </c>
      <c r="O7" s="81">
        <f>N7/M7</f>
        <v>146.94573643410914</v>
      </c>
      <c r="P7" s="74">
        <f>M7-J7</f>
        <v>0</v>
      </c>
      <c r="Q7" s="83">
        <f>O7-L7</f>
        <v>-3.0542635658908637</v>
      </c>
      <c r="R7" s="72">
        <f>O7/L7</f>
        <v>0.97963824289406087</v>
      </c>
      <c r="S7" s="749"/>
      <c r="T7" s="18">
        <v>0.35486111111111102</v>
      </c>
      <c r="U7" s="18">
        <v>0.44444444444444398</v>
      </c>
      <c r="V7" s="30">
        <f>(T7-U6)*24*60</f>
        <v>11.999999999999558</v>
      </c>
      <c r="W7" s="73">
        <f t="shared" si="0"/>
        <v>128.99999999999946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-45.81395348836304</v>
      </c>
      <c r="AG7" s="72">
        <f t="shared" si="2"/>
        <v>0.97963824289406087</v>
      </c>
      <c r="AH7" s="785"/>
    </row>
    <row r="8" spans="1:34" ht="15" customHeight="1">
      <c r="A8" s="755"/>
      <c r="B8" s="75"/>
      <c r="C8" s="76"/>
      <c r="D8" s="59"/>
      <c r="E8" s="77"/>
      <c r="F8" s="75"/>
      <c r="G8" s="66"/>
      <c r="H8" s="78"/>
      <c r="I8" s="73"/>
      <c r="J8" s="79"/>
      <c r="K8" s="80"/>
      <c r="L8" s="81"/>
      <c r="M8" s="82"/>
      <c r="N8" s="80"/>
      <c r="O8" s="81"/>
      <c r="P8" s="74"/>
      <c r="Q8" s="83"/>
      <c r="R8" s="72"/>
      <c r="S8" s="749"/>
      <c r="T8" s="16"/>
      <c r="U8" s="16"/>
      <c r="V8" s="30"/>
      <c r="W8" s="73">
        <f t="shared" si="0"/>
        <v>0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0</v>
      </c>
      <c r="AG8" s="72" t="e">
        <f t="shared" si="2"/>
        <v>#DIV/0!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151.80995475113122</v>
      </c>
      <c r="M15" s="120">
        <f t="shared" si="3"/>
        <v>15</v>
      </c>
      <c r="N15" s="120">
        <f t="shared" si="3"/>
        <v>2070.8761476083159</v>
      </c>
      <c r="O15" s="117">
        <f t="shared" si="3"/>
        <v>139.90986843888209</v>
      </c>
      <c r="P15" s="121">
        <f t="shared" ref="P15:P18" si="4">M15-J15</f>
        <v>0</v>
      </c>
      <c r="Q15" s="122">
        <f t="shared" ref="Q15:Q18" si="5">O15-L15</f>
        <v>-11.90008631224913</v>
      </c>
      <c r="R15" s="123">
        <f t="shared" ref="R15:R18" si="6">O15/L15</f>
        <v>0.9216119500743053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-179.12385239168407</v>
      </c>
      <c r="AG15" s="124">
        <f>N15/K15</f>
        <v>0.92038939893702931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1941</v>
      </c>
      <c r="H16" s="134">
        <f>F16*G16</f>
        <v>98350.47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2079.6428571428528</v>
      </c>
      <c r="O16" s="141">
        <f>N16/M16</f>
        <v>159.97252747252713</v>
      </c>
      <c r="P16" s="142">
        <f t="shared" si="4"/>
        <v>0</v>
      </c>
      <c r="Q16" s="143">
        <f t="shared" si="5"/>
        <v>-13.104395604395933</v>
      </c>
      <c r="R16" s="144">
        <f t="shared" si="6"/>
        <v>0.92428571428571238</v>
      </c>
      <c r="S16" s="795">
        <f>R26</f>
        <v>0.94362958497980121</v>
      </c>
      <c r="T16" s="145">
        <v>0.29166666666666702</v>
      </c>
      <c r="U16" s="145">
        <v>0.33055555555555599</v>
      </c>
      <c r="V16" s="135"/>
      <c r="W16" s="146">
        <f t="shared" ref="W16:W78" si="7">(U16-T16)*24*60</f>
        <v>56.000000000000121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-170.35714285714721</v>
      </c>
      <c r="AG16" s="52">
        <f>N16/K16</f>
        <v>0.92428571428571238</v>
      </c>
      <c r="AH16" s="784">
        <f>AG26</f>
        <v>0.94218660968661505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2180</v>
      </c>
      <c r="H17" s="78">
        <f>F17*G17</f>
        <v>123976.59999999999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2076.1904761904757</v>
      </c>
      <c r="O17" s="96">
        <f>N17/M17</f>
        <v>138.41269841269838</v>
      </c>
      <c r="P17" s="97">
        <f t="shared" si="4"/>
        <v>0</v>
      </c>
      <c r="Q17" s="98">
        <f t="shared" si="5"/>
        <v>-11.587301587301624</v>
      </c>
      <c r="R17" s="99">
        <f t="shared" si="6"/>
        <v>0.92275132275132254</v>
      </c>
      <c r="S17" s="796"/>
      <c r="T17" s="19">
        <v>0.33958333333333302</v>
      </c>
      <c r="U17" s="19">
        <v>0.38333333333333303</v>
      </c>
      <c r="V17" s="30">
        <f>(T17-U16)*24*60</f>
        <v>12.999999999998915</v>
      </c>
      <c r="W17" s="149">
        <f t="shared" si="7"/>
        <v>63.000000000000014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-173.80952380952431</v>
      </c>
      <c r="AG17" s="72">
        <f>N17/K17</f>
        <v>0.92275132275132254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f>4362+413</f>
        <v>4775</v>
      </c>
      <c r="H18" s="78">
        <f>F18*G18</f>
        <v>240612.25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2203.8461538461479</v>
      </c>
      <c r="O18" s="96">
        <f>N18/M18</f>
        <v>183.65384615384565</v>
      </c>
      <c r="P18" s="97">
        <f t="shared" si="4"/>
        <v>0</v>
      </c>
      <c r="Q18" s="98">
        <f t="shared" si="5"/>
        <v>-3.8461538461543512</v>
      </c>
      <c r="R18" s="99">
        <f t="shared" si="6"/>
        <v>0.97948717948717678</v>
      </c>
      <c r="S18" s="796"/>
      <c r="T18" s="19">
        <v>0.39236111111111099</v>
      </c>
      <c r="U18" s="19">
        <v>0.48263888888888901</v>
      </c>
      <c r="V18" s="30">
        <f>(T18-U17)*24*60</f>
        <v>13.000000000000274</v>
      </c>
      <c r="W18" s="149">
        <f t="shared" si="7"/>
        <v>130.00000000000034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-46.153846153852101</v>
      </c>
      <c r="AG18" s="72">
        <f>N18/K18</f>
        <v>0.9794871794871769</v>
      </c>
      <c r="AH18" s="785"/>
    </row>
    <row r="19" spans="1:34" ht="15" customHeight="1">
      <c r="A19" s="802"/>
      <c r="B19" s="75" t="s">
        <v>81</v>
      </c>
      <c r="C19" s="76"/>
      <c r="D19" s="59" t="s">
        <v>119</v>
      </c>
      <c r="E19" s="77"/>
      <c r="F19" s="75">
        <f>VLOOKUP(D19,廠價表!$C$1:$E$43,3,0)</f>
        <v>50.67</v>
      </c>
      <c r="G19" s="147">
        <f>1066+100</f>
        <v>1166</v>
      </c>
      <c r="H19" s="78">
        <f>F19*G19</f>
        <v>59081.22</v>
      </c>
      <c r="I19" s="30"/>
      <c r="J19" s="79">
        <f>VLOOKUP(D19,產線配置圖!$A$3:$C$40,2,0)</f>
        <v>13</v>
      </c>
      <c r="K19" s="80">
        <f>VLOOKUP(D19,產線配置圖!$A$3:$C$40,3,0)</f>
        <v>2250</v>
      </c>
      <c r="L19" s="81">
        <f>K19/J19</f>
        <v>173.07692307692307</v>
      </c>
      <c r="M19" s="148">
        <v>13</v>
      </c>
      <c r="N19" s="95">
        <f>G19/W19*60</f>
        <v>2120.0000000000591</v>
      </c>
      <c r="O19" s="96">
        <f>N19/M19</f>
        <v>163.07692307692761</v>
      </c>
      <c r="P19" s="97">
        <f>M19-J19</f>
        <v>0</v>
      </c>
      <c r="Q19" s="98">
        <f>O19-L19</f>
        <v>-9.9999999999954525</v>
      </c>
      <c r="R19" s="99">
        <f>O19/L19</f>
        <v>0.9422222222222485</v>
      </c>
      <c r="S19" s="796"/>
      <c r="T19" s="19">
        <v>0.561805555555556</v>
      </c>
      <c r="U19" s="19">
        <v>0.58472222222222203</v>
      </c>
      <c r="V19" s="30">
        <f>(T19-U18)*24*60</f>
        <v>114.00000000000047</v>
      </c>
      <c r="W19" s="149">
        <f t="shared" si="7"/>
        <v>32.999999999999083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-129.99999999994088</v>
      </c>
      <c r="AG19" s="72">
        <f>N19/K19</f>
        <v>0.9422222222222485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7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7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7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7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7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8">AVERAGE(J16:J25)</f>
        <v>13.25</v>
      </c>
      <c r="K26" s="155">
        <f t="shared" si="8"/>
        <v>2250</v>
      </c>
      <c r="L26" s="158">
        <f t="shared" si="8"/>
        <v>170.91346153846155</v>
      </c>
      <c r="M26" s="155">
        <f t="shared" si="8"/>
        <v>13.25</v>
      </c>
      <c r="N26" s="155">
        <f t="shared" si="8"/>
        <v>2119.9198717948839</v>
      </c>
      <c r="O26" s="158">
        <f t="shared" si="8"/>
        <v>161.27899877899969</v>
      </c>
      <c r="P26" s="159">
        <f t="shared" ref="P26:P28" si="9">M26-J26</f>
        <v>0</v>
      </c>
      <c r="Q26" s="160">
        <f t="shared" ref="Q26:Q28" si="10">O26-L26</f>
        <v>-9.6344627594618544</v>
      </c>
      <c r="R26" s="161">
        <f t="shared" ref="R26:R28" si="11">O26/L26</f>
        <v>0.94362958497980121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2">N26-K26</f>
        <v>-130.08012820511613</v>
      </c>
      <c r="AG26" s="124">
        <f t="shared" ref="AG26:AG31" si="13">N26/K26</f>
        <v>0.94218660968661505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1470+7</f>
        <v>1477</v>
      </c>
      <c r="H27" s="134">
        <f>F27*G27</f>
        <v>68444.180000000008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1502.0338983050942</v>
      </c>
      <c r="O27" s="141">
        <f>N27/M27</f>
        <v>93.877118644068389</v>
      </c>
      <c r="P27" s="142">
        <f t="shared" si="9"/>
        <v>0</v>
      </c>
      <c r="Q27" s="143">
        <f t="shared" si="10"/>
        <v>-8.3728813559316109</v>
      </c>
      <c r="R27" s="144">
        <f t="shared" si="11"/>
        <v>0.91811362977083999</v>
      </c>
      <c r="S27" s="795">
        <f>R37</f>
        <v>0.88789928432917642</v>
      </c>
      <c r="T27" s="171">
        <v>0.29166666666666702</v>
      </c>
      <c r="U27" s="19">
        <v>0.33263888888888898</v>
      </c>
      <c r="V27" s="135"/>
      <c r="W27" s="146">
        <f t="shared" si="7"/>
        <v>58.999999999999631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12"/>
        <v>-133.96610169490577</v>
      </c>
      <c r="AG27" s="172">
        <f t="shared" si="13"/>
        <v>0.91811362977083999</v>
      </c>
      <c r="AH27" s="784">
        <f>AG37</f>
        <v>0.8468405066990139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f>745+7</f>
        <v>752</v>
      </c>
      <c r="H28" s="91">
        <f>F28*G28</f>
        <v>43021.919999999998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1327.0588235294197</v>
      </c>
      <c r="O28" s="96">
        <f>N28/M28</f>
        <v>82.941176470588729</v>
      </c>
      <c r="P28" s="97">
        <f t="shared" si="9"/>
        <v>-2</v>
      </c>
      <c r="Q28" s="98">
        <f t="shared" si="10"/>
        <v>-7.9477124183001564</v>
      </c>
      <c r="R28" s="99">
        <f t="shared" si="11"/>
        <v>0.91255573133899581</v>
      </c>
      <c r="S28" s="796"/>
      <c r="T28" s="19">
        <v>0.33888888888888902</v>
      </c>
      <c r="U28" s="19">
        <v>0.36249999999999999</v>
      </c>
      <c r="V28" s="92">
        <f>(T28-U27)*24*60</f>
        <v>9.000000000000048</v>
      </c>
      <c r="W28" s="149">
        <f t="shared" si="7"/>
        <v>33.999999999999801</v>
      </c>
      <c r="X28" s="174"/>
      <c r="Y28" s="301"/>
      <c r="Z28" s="335"/>
      <c r="AA28" s="335"/>
      <c r="AB28" s="865"/>
      <c r="AC28" s="866"/>
      <c r="AD28" s="92"/>
      <c r="AE28" s="92"/>
      <c r="AF28" s="311">
        <f t="shared" si="12"/>
        <v>-308.94117647058033</v>
      </c>
      <c r="AG28" s="99">
        <f t="shared" si="13"/>
        <v>0.81116065007910743</v>
      </c>
      <c r="AH28" s="805"/>
    </row>
    <row r="29" spans="1:34" ht="15" customHeight="1">
      <c r="A29" s="793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1542+174+15</f>
        <v>1731</v>
      </c>
      <c r="H29" s="91">
        <f>F29*G29</f>
        <v>86394.209999999992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1236.428571428557</v>
      </c>
      <c r="O29" s="96">
        <f>N29/M29</f>
        <v>72.731092436973938</v>
      </c>
      <c r="P29" s="97">
        <f>M29-J29</f>
        <v>-1</v>
      </c>
      <c r="Q29" s="98">
        <f>O29-L29</f>
        <v>-18.157796451914948</v>
      </c>
      <c r="R29" s="99">
        <f>O29/L29</f>
        <v>0.80021984343858854</v>
      </c>
      <c r="S29" s="796"/>
      <c r="T29" s="19">
        <v>0.37222222222222201</v>
      </c>
      <c r="U29" s="19">
        <v>0.43055555555555602</v>
      </c>
      <c r="V29" s="92">
        <f>(T29-U28)*24*60</f>
        <v>13.99999999999971</v>
      </c>
      <c r="W29" s="149">
        <f t="shared" si="7"/>
        <v>84.000000000000981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2"/>
        <v>-399.57142857144299</v>
      </c>
      <c r="AG29" s="99">
        <f t="shared" si="13"/>
        <v>0.75576318546977816</v>
      </c>
      <c r="AH29" s="805"/>
    </row>
    <row r="30" spans="1:34" ht="15" customHeight="1">
      <c r="A30" s="793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f>783+18</f>
        <v>801</v>
      </c>
      <c r="H30" s="91">
        <f t="shared" ref="H30:H31" si="14">F30*G30</f>
        <v>36573.659999999996</v>
      </c>
      <c r="I30" s="92"/>
      <c r="J30" s="79">
        <f>VLOOKUP(D30,產線配置圖!$A$3:$C$40,2,0)</f>
        <v>17</v>
      </c>
      <c r="K30" s="80">
        <v>1637</v>
      </c>
      <c r="L30" s="93">
        <f t="shared" ref="L30:L31" si="15">K30/J30</f>
        <v>96.294117647058826</v>
      </c>
      <c r="M30" s="94">
        <v>16</v>
      </c>
      <c r="N30" s="95">
        <f t="shared" ref="N30:N31" si="16">G30/W30*60</f>
        <v>1413.5294117646508</v>
      </c>
      <c r="O30" s="96">
        <f t="shared" ref="O30:O31" si="17">N30/M30</f>
        <v>88.345588235290677</v>
      </c>
      <c r="P30" s="97">
        <f t="shared" ref="P30:P31" si="18">M30-J30</f>
        <v>-1</v>
      </c>
      <c r="Q30" s="98">
        <f t="shared" ref="Q30:Q31" si="19">O30-L30</f>
        <v>-7.9485294117681491</v>
      </c>
      <c r="R30" s="99">
        <f t="shared" ref="R30:R31" si="20">O30/L30</f>
        <v>0.91745571166764905</v>
      </c>
      <c r="S30" s="796"/>
      <c r="T30" s="19">
        <v>0.438194444444444</v>
      </c>
      <c r="U30" s="19">
        <v>0.46180555555555602</v>
      </c>
      <c r="V30" s="92">
        <f>(T30-U29)*24*60</f>
        <v>10.999999999998682</v>
      </c>
      <c r="W30" s="149">
        <f t="shared" si="7"/>
        <v>34.000000000001322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2"/>
        <v>-223.47058823534917</v>
      </c>
      <c r="AG30" s="99">
        <f t="shared" si="13"/>
        <v>0.86348772862837564</v>
      </c>
      <c r="AH30" s="806"/>
    </row>
    <row r="31" spans="1:34" ht="15" customHeight="1">
      <c r="A31" s="793"/>
      <c r="B31" s="75" t="s">
        <v>116</v>
      </c>
      <c r="C31" s="177"/>
      <c r="D31" s="59" t="s">
        <v>117</v>
      </c>
      <c r="E31" s="178"/>
      <c r="F31" s="75">
        <f>VLOOKUP(D31,廠價表!$C$1:$E$43,3,0)</f>
        <v>44.3</v>
      </c>
      <c r="G31" s="90">
        <v>1499</v>
      </c>
      <c r="H31" s="91">
        <f t="shared" si="14"/>
        <v>66405.7</v>
      </c>
      <c r="I31" s="92"/>
      <c r="J31" s="79">
        <f>VLOOKUP(D31,產線配置圖!$A$3:$C$40,2,0)</f>
        <v>18</v>
      </c>
      <c r="K31" s="80">
        <v>1638</v>
      </c>
      <c r="L31" s="93">
        <f t="shared" si="15"/>
        <v>91</v>
      </c>
      <c r="M31" s="94">
        <v>18</v>
      </c>
      <c r="N31" s="95">
        <f t="shared" si="16"/>
        <v>1450.6451612903088</v>
      </c>
      <c r="O31" s="96">
        <f t="shared" si="17"/>
        <v>80.5913978494616</v>
      </c>
      <c r="P31" s="97">
        <f t="shared" si="18"/>
        <v>0</v>
      </c>
      <c r="Q31" s="98">
        <f t="shared" si="19"/>
        <v>-10.4086021505384</v>
      </c>
      <c r="R31" s="99">
        <f t="shared" si="20"/>
        <v>0.88561975658749015</v>
      </c>
      <c r="S31" s="796"/>
      <c r="T31" s="19">
        <v>0.52083333333333304</v>
      </c>
      <c r="U31" s="19">
        <v>0.56388888888888899</v>
      </c>
      <c r="V31" s="92">
        <f>(T31-U30)*24*60</f>
        <v>84.999999999998892</v>
      </c>
      <c r="W31" s="149">
        <f t="shared" si="7"/>
        <v>62.000000000000583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2"/>
        <v>-187.35483870969119</v>
      </c>
      <c r="AG31" s="99">
        <f t="shared" si="13"/>
        <v>0.88561975658749015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7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7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7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7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7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1">AVERAGE(J27:J36)</f>
        <v>17.399999999999999</v>
      </c>
      <c r="K37" s="155">
        <f t="shared" si="21"/>
        <v>1636.6</v>
      </c>
      <c r="L37" s="158">
        <f t="shared" si="21"/>
        <v>94.264379084967317</v>
      </c>
      <c r="M37" s="155">
        <f t="shared" si="21"/>
        <v>16.600000000000001</v>
      </c>
      <c r="N37" s="155">
        <f t="shared" si="21"/>
        <v>1385.9391732636061</v>
      </c>
      <c r="O37" s="158">
        <f t="shared" si="21"/>
        <v>83.697274727276664</v>
      </c>
      <c r="P37" s="159">
        <f>M37-J37</f>
        <v>-0.79999999999999716</v>
      </c>
      <c r="Q37" s="160">
        <f>N37-K37</f>
        <v>-250.6608267363938</v>
      </c>
      <c r="R37" s="161">
        <f>O37/L37</f>
        <v>0.88789928432917642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-250.6608267363938</v>
      </c>
      <c r="AG37" s="124">
        <f>N37/K37</f>
        <v>0.8468405066990139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2102</v>
      </c>
      <c r="H38" s="134">
        <f>F38*G38</f>
        <v>104910.81999999999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1681.5999999999774</v>
      </c>
      <c r="O38" s="141">
        <f>N38/M38</f>
        <v>105.09999999999859</v>
      </c>
      <c r="P38" s="142">
        <f>M38-J38</f>
        <v>0</v>
      </c>
      <c r="Q38" s="143">
        <f>O38-L38</f>
        <v>-2.0250000000014126</v>
      </c>
      <c r="R38" s="144">
        <f>O38/L38</f>
        <v>0.98109684947489928</v>
      </c>
      <c r="S38" s="817">
        <f>R48</f>
        <v>0.94925166526866911</v>
      </c>
      <c r="T38" s="191">
        <v>0.33333333333333298</v>
      </c>
      <c r="U38" s="191">
        <v>0.38541666666666702</v>
      </c>
      <c r="V38" s="192"/>
      <c r="W38" s="193">
        <f t="shared" si="7"/>
        <v>75.000000000001009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-32.400000000022601</v>
      </c>
      <c r="AG38" s="195">
        <f>N38/K38</f>
        <v>0.98109684947489928</v>
      </c>
      <c r="AH38" s="807">
        <f>AG48</f>
        <v>0.94721499938324105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3008</v>
      </c>
      <c r="H39" s="91">
        <f>F39*G39</f>
        <v>133254.39999999999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1491.5702479338797</v>
      </c>
      <c r="O39" s="203">
        <f>N39/M39</f>
        <v>82.865013774104426</v>
      </c>
      <c r="P39" s="97">
        <f>M39-J39</f>
        <v>0</v>
      </c>
      <c r="Q39" s="98">
        <f>O39-L39</f>
        <v>-8.0238751147844596</v>
      </c>
      <c r="R39" s="99">
        <f>O39/L39</f>
        <v>0.91171775546080669</v>
      </c>
      <c r="S39" s="818"/>
      <c r="T39" s="20">
        <v>0.39652777777777798</v>
      </c>
      <c r="U39" s="20">
        <v>0.48055555555555601</v>
      </c>
      <c r="V39" s="92">
        <f>(T39-U38)*24*60</f>
        <v>15.999999999999783</v>
      </c>
      <c r="W39" s="205">
        <f t="shared" si="7"/>
        <v>121.00000000000037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-144.42975206612027</v>
      </c>
      <c r="AG39" s="206">
        <f>N39/K39</f>
        <v>0.91171775546080669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7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7"/>
        <v>0</v>
      </c>
      <c r="X41" s="208"/>
      <c r="Y41" s="209"/>
      <c r="Z41" s="337"/>
      <c r="AA41" s="337"/>
      <c r="AB41" s="789"/>
      <c r="AC41" s="789"/>
      <c r="AD41" s="92"/>
      <c r="AE41" s="92"/>
      <c r="AF41" s="314"/>
      <c r="AG41" s="206"/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7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7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2">AVERAGE(J38:J47)</f>
        <v>17</v>
      </c>
      <c r="K48" s="155">
        <f t="shared" si="22"/>
        <v>1675</v>
      </c>
      <c r="L48" s="158">
        <f t="shared" si="22"/>
        <v>99.006944444444443</v>
      </c>
      <c r="M48" s="155">
        <f t="shared" si="22"/>
        <v>17</v>
      </c>
      <c r="N48" s="155">
        <f t="shared" si="22"/>
        <v>1586.5851239669287</v>
      </c>
      <c r="O48" s="158">
        <f t="shared" si="22"/>
        <v>93.9825068870515</v>
      </c>
      <c r="P48" s="221">
        <f>M48-J48</f>
        <v>0</v>
      </c>
      <c r="Q48" s="222">
        <f>N48-K48</f>
        <v>-88.414876033071323</v>
      </c>
      <c r="R48" s="223">
        <f>O48/L48</f>
        <v>0.94925166526866911</v>
      </c>
      <c r="S48" s="752"/>
      <c r="T48" s="224"/>
      <c r="U48" s="224"/>
      <c r="V48" s="225"/>
      <c r="W48" s="226">
        <f t="shared" si="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23">N48-K48</f>
        <v>-88.414876033071323</v>
      </c>
      <c r="AG48" s="162">
        <f t="shared" ref="AG48:AG52" si="24">N48/K48</f>
        <v>0.94721499938324105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1796</v>
      </c>
      <c r="H49" s="134">
        <f>F49*G49</f>
        <v>88937.920000000013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1539.4285714285752</v>
      </c>
      <c r="O49" s="141">
        <f>N49/M49</f>
        <v>90.554621848739714</v>
      </c>
      <c r="P49" s="229">
        <f>M49-J49</f>
        <v>0</v>
      </c>
      <c r="Q49" s="230">
        <f>O49-L49</f>
        <v>-15.32773109243675</v>
      </c>
      <c r="R49" s="52">
        <f>O49/L49</f>
        <v>0.85523809523809735</v>
      </c>
      <c r="S49" s="748">
        <f>R58</f>
        <v>0.89790219459575449</v>
      </c>
      <c r="T49" s="191">
        <v>0.29166666666666702</v>
      </c>
      <c r="U49" s="191">
        <v>0.34027777777777801</v>
      </c>
      <c r="V49" s="55"/>
      <c r="W49" s="193">
        <f t="shared" si="7"/>
        <v>69.999999999999829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3"/>
        <v>-260.5714285714248</v>
      </c>
      <c r="AG49" s="52">
        <f t="shared" si="24"/>
        <v>0.85523809523809735</v>
      </c>
      <c r="AH49" s="784">
        <f>AG58</f>
        <v>0.90987664459114659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1708</v>
      </c>
      <c r="H50" s="231">
        <f>F50*G50</f>
        <v>85893.612000000008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18</v>
      </c>
      <c r="N50" s="234">
        <f>G50/W50*60</f>
        <v>1576.6153846153804</v>
      </c>
      <c r="O50" s="235">
        <f>N50/M50</f>
        <v>87.589743589743364</v>
      </c>
      <c r="P50" s="74">
        <f>M50-J50</f>
        <v>1</v>
      </c>
      <c r="Q50" s="83">
        <f>O50-L50</f>
        <v>-8.6455505279036942</v>
      </c>
      <c r="R50" s="72">
        <f>O50/L50</f>
        <v>0.91016237226505936</v>
      </c>
      <c r="S50" s="749"/>
      <c r="T50" s="21">
        <v>0.34722222222222199</v>
      </c>
      <c r="U50" s="21">
        <v>0.39236111111111099</v>
      </c>
      <c r="V50" s="30">
        <f>(T50-U49)*24*60</f>
        <v>9.999999999999325</v>
      </c>
      <c r="W50" s="236">
        <f t="shared" si="7"/>
        <v>65.000000000000171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3"/>
        <v>-59.384615384619565</v>
      </c>
      <c r="AG50" s="72">
        <f t="shared" si="24"/>
        <v>0.96370133533947455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2231</v>
      </c>
      <c r="H51" s="231">
        <f>F51*G51</f>
        <v>111483.06999999999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1632.4390243902578</v>
      </c>
      <c r="O51" s="235">
        <f>N51/M51</f>
        <v>102.02743902439111</v>
      </c>
      <c r="P51" s="74">
        <f>M51-J51</f>
        <v>0</v>
      </c>
      <c r="Q51" s="83">
        <f>O51-L51</f>
        <v>-10.472560975608886</v>
      </c>
      <c r="R51" s="72">
        <f>O51/L51</f>
        <v>0.90691056910569878</v>
      </c>
      <c r="S51" s="749"/>
      <c r="T51" s="21">
        <v>0.40138888888888902</v>
      </c>
      <c r="U51" s="19">
        <v>0.45833333333333298</v>
      </c>
      <c r="V51" s="30">
        <f>(T51-U50)*24*60</f>
        <v>13.000000000000353</v>
      </c>
      <c r="W51" s="236">
        <f t="shared" si="7"/>
        <v>81.999999999999304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3"/>
        <v>-167.56097560974217</v>
      </c>
      <c r="AG51" s="72">
        <f t="shared" si="24"/>
        <v>0.90691056910569878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f>2353+72</f>
        <v>2425</v>
      </c>
      <c r="H52" s="231">
        <f>F52*G52</f>
        <v>121177.25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1653.4090909090937</v>
      </c>
      <c r="O52" s="235">
        <f>N52/M52</f>
        <v>103.33806818181836</v>
      </c>
      <c r="P52" s="74">
        <f>M52-J52</f>
        <v>0</v>
      </c>
      <c r="Q52" s="83">
        <f>O52-L52</f>
        <v>-9.1619318181816425</v>
      </c>
      <c r="R52" s="72">
        <f>O52/L52</f>
        <v>0.91856060606060763</v>
      </c>
      <c r="S52" s="749"/>
      <c r="T52" s="21">
        <v>0.51388888888888895</v>
      </c>
      <c r="U52" s="21">
        <v>0.57499999999999996</v>
      </c>
      <c r="V52" s="30">
        <f>(T52-U51)*24*60</f>
        <v>80.000000000000597</v>
      </c>
      <c r="W52" s="236">
        <f t="shared" si="7"/>
        <v>87.999999999999844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3"/>
        <v>-146.59090909090628</v>
      </c>
      <c r="AG52" s="72">
        <f t="shared" si="24"/>
        <v>0.91856060606060763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7"/>
        <v>0</v>
      </c>
      <c r="X53" s="30"/>
      <c r="Y53" s="151"/>
      <c r="Z53" s="90"/>
      <c r="AA53" s="90"/>
      <c r="AB53" s="789"/>
      <c r="AC53" s="789"/>
      <c r="AD53" s="92"/>
      <c r="AE53" s="92"/>
      <c r="AF53" s="307"/>
      <c r="AG53" s="72"/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7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7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7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7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5">AVERAGE(J49:J57)</f>
        <v>16.5</v>
      </c>
      <c r="K58" s="120">
        <f t="shared" si="25"/>
        <v>1759</v>
      </c>
      <c r="L58" s="117">
        <f t="shared" si="25"/>
        <v>106.77941176470588</v>
      </c>
      <c r="M58" s="120">
        <f t="shared" si="25"/>
        <v>16.75</v>
      </c>
      <c r="N58" s="120">
        <f t="shared" si="25"/>
        <v>1600.4730178358268</v>
      </c>
      <c r="O58" s="117">
        <f t="shared" si="25"/>
        <v>95.877468161173141</v>
      </c>
      <c r="P58" s="121">
        <f>M58-J58</f>
        <v>0.25</v>
      </c>
      <c r="Q58" s="122">
        <f>N58-K58</f>
        <v>-158.52698216417321</v>
      </c>
      <c r="R58" s="123">
        <f>O58/L58</f>
        <v>0.89790219459575449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3" si="26">N58-K58</f>
        <v>-158.52698216417321</v>
      </c>
      <c r="AG58" s="124">
        <f t="shared" ref="AG58:AG63" si="27">N58/K58</f>
        <v>0.90987664459114659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2786</v>
      </c>
      <c r="H59" s="243">
        <f>F59*G59</f>
        <v>75194.14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1607.3076923076978</v>
      </c>
      <c r="O59" s="138">
        <f>N59/M59</f>
        <v>107.15384615384652</v>
      </c>
      <c r="P59" s="56">
        <f>M59-J59</f>
        <v>0</v>
      </c>
      <c r="Q59" s="230">
        <f>O59-L59</f>
        <v>-1.9128205128201472</v>
      </c>
      <c r="R59" s="52">
        <f>O59/L59</f>
        <v>0.98246191461350718</v>
      </c>
      <c r="S59" s="748">
        <f>R69</f>
        <v>0.98044620114078718</v>
      </c>
      <c r="T59" s="245">
        <v>0.29027777777777802</v>
      </c>
      <c r="U59" s="245">
        <v>0.36249999999999999</v>
      </c>
      <c r="V59" s="55"/>
      <c r="W59" s="54">
        <f t="shared" si="7"/>
        <v>103.99999999999963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26"/>
        <v>-28.692307692302165</v>
      </c>
      <c r="AG59" s="246">
        <f t="shared" si="27"/>
        <v>0.98246191461350718</v>
      </c>
      <c r="AH59" s="784">
        <f>AG69</f>
        <v>0.9805537058593321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1248</v>
      </c>
      <c r="H60" s="78">
        <f>F60*G60</f>
        <v>35268.480000000003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1560.0000000000159</v>
      </c>
      <c r="O60" s="81">
        <f>N60/M60</f>
        <v>141.81818181818326</v>
      </c>
      <c r="P60" s="74">
        <f>M60-J60</f>
        <v>0</v>
      </c>
      <c r="Q60" s="83">
        <f>O60-L60</f>
        <v>-6.909090909089457</v>
      </c>
      <c r="R60" s="72">
        <f>O60/L60</f>
        <v>0.95354523227384835</v>
      </c>
      <c r="S60" s="829"/>
      <c r="T60" s="22">
        <v>0.37291666666666701</v>
      </c>
      <c r="U60" s="22">
        <v>0.40625</v>
      </c>
      <c r="V60" s="30">
        <f>(T60-U59)*24*60</f>
        <v>15.000000000000506</v>
      </c>
      <c r="W60" s="248">
        <f t="shared" si="7"/>
        <v>47.99999999999951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26"/>
        <v>-75.999999999984084</v>
      </c>
      <c r="AG60" s="249">
        <f t="shared" si="27"/>
        <v>0.95354523227384835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1000</v>
      </c>
      <c r="H61" s="254">
        <f>F61*G61</f>
        <v>28260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1621.6216216216483</v>
      </c>
      <c r="O61" s="238">
        <f>N61/M61</f>
        <v>147.42014742014985</v>
      </c>
      <c r="P61" s="111">
        <f>M61-J61</f>
        <v>0</v>
      </c>
      <c r="Q61" s="255">
        <f>O61-L61</f>
        <v>-1.3071253071228739</v>
      </c>
      <c r="R61" s="85">
        <f>O61/L61</f>
        <v>0.99121126015993177</v>
      </c>
      <c r="S61" s="749"/>
      <c r="T61" s="22">
        <v>0.421527777777778</v>
      </c>
      <c r="U61" s="22">
        <v>0.44722222222222202</v>
      </c>
      <c r="V61" s="30">
        <f>(T61-U60)*24*60</f>
        <v>22.00000000000032</v>
      </c>
      <c r="W61" s="256">
        <f t="shared" si="7"/>
        <v>36.999999999999389</v>
      </c>
      <c r="X61" s="22"/>
      <c r="Y61" s="84"/>
      <c r="Z61" s="90"/>
      <c r="AA61" s="90"/>
      <c r="AB61" s="789"/>
      <c r="AC61" s="789"/>
      <c r="AD61" s="92"/>
      <c r="AE61" s="92"/>
      <c r="AF61" s="317">
        <f t="shared" si="26"/>
        <v>-14.378378378351726</v>
      </c>
      <c r="AG61" s="247">
        <f t="shared" si="27"/>
        <v>0.99121126015993166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1436+60</f>
        <v>1496</v>
      </c>
      <c r="H62" s="254">
        <f t="shared" ref="H62:H63" si="28">F62*G62</f>
        <v>42276.959999999999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9">K62/J62</f>
        <v>148.72727272727272</v>
      </c>
      <c r="M62" s="108">
        <v>11</v>
      </c>
      <c r="N62" s="107">
        <f t="shared" ref="N62:N63" si="30">G62/W62*60</f>
        <v>1631.9999999999748</v>
      </c>
      <c r="O62" s="238">
        <f t="shared" ref="O62:O63" si="31">N62/M62</f>
        <v>148.36363636363407</v>
      </c>
      <c r="P62" s="111">
        <f t="shared" ref="P62:P63" si="32">M62-J62</f>
        <v>0</v>
      </c>
      <c r="Q62" s="255">
        <f t="shared" ref="Q62:Q63" si="33">O62-L62</f>
        <v>-0.36363636363864771</v>
      </c>
      <c r="R62" s="85">
        <f t="shared" ref="R62:R63" si="34">O62/L62</f>
        <v>0.99755501222492349</v>
      </c>
      <c r="S62" s="749"/>
      <c r="T62" s="22">
        <v>0.45486111111111099</v>
      </c>
      <c r="U62" s="22">
        <v>0.49305555555555602</v>
      </c>
      <c r="V62" s="30">
        <f>(T62-U61)*24*60</f>
        <v>11.000000000000121</v>
      </c>
      <c r="W62" s="248">
        <f t="shared" si="7"/>
        <v>55.000000000000846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26"/>
        <v>-4.0000000000252385</v>
      </c>
      <c r="AG62" s="247">
        <f t="shared" si="27"/>
        <v>0.99755501222492349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1200</v>
      </c>
      <c r="H63" s="254">
        <f t="shared" si="28"/>
        <v>33912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9"/>
        <v>148.72727272727272</v>
      </c>
      <c r="M63" s="68">
        <v>11</v>
      </c>
      <c r="N63" s="107">
        <f t="shared" si="30"/>
        <v>1600</v>
      </c>
      <c r="O63" s="238">
        <f t="shared" si="31"/>
        <v>145.45454545454547</v>
      </c>
      <c r="P63" s="111">
        <f t="shared" si="32"/>
        <v>0</v>
      </c>
      <c r="Q63" s="255">
        <f t="shared" si="33"/>
        <v>-3.2727272727272521</v>
      </c>
      <c r="R63" s="85">
        <f t="shared" si="34"/>
        <v>0.97799511002445005</v>
      </c>
      <c r="S63" s="749"/>
      <c r="T63" s="22">
        <v>0.54513888888888895</v>
      </c>
      <c r="U63" s="22">
        <v>0.57638888888888895</v>
      </c>
      <c r="V63" s="30">
        <f>(T63-U62)*24*60</f>
        <v>74.999999999999417</v>
      </c>
      <c r="W63" s="248">
        <f t="shared" si="7"/>
        <v>45</v>
      </c>
      <c r="X63" s="261"/>
      <c r="Y63" s="291"/>
      <c r="Z63" s="335"/>
      <c r="AA63" s="335"/>
      <c r="AB63" s="789"/>
      <c r="AC63" s="789"/>
      <c r="AD63" s="92"/>
      <c r="AE63" s="92"/>
      <c r="AF63" s="317">
        <f t="shared" si="26"/>
        <v>-36</v>
      </c>
      <c r="AG63" s="247">
        <f t="shared" si="27"/>
        <v>0.97799511002444983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7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7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7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7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7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35">AVERAGE(J59:J68)</f>
        <v>11.8</v>
      </c>
      <c r="K69" s="415">
        <f t="shared" si="35"/>
        <v>1636</v>
      </c>
      <c r="L69" s="416">
        <f t="shared" si="35"/>
        <v>140.79515151515153</v>
      </c>
      <c r="M69" s="415">
        <f t="shared" si="35"/>
        <v>11.8</v>
      </c>
      <c r="N69" s="415">
        <f t="shared" si="35"/>
        <v>1604.1858627858674</v>
      </c>
      <c r="O69" s="416">
        <f t="shared" si="35"/>
        <v>138.04207144207186</v>
      </c>
      <c r="P69" s="417">
        <f>M69-J69</f>
        <v>0</v>
      </c>
      <c r="Q69" s="418">
        <f>N69-K69</f>
        <v>-31.814137214132643</v>
      </c>
      <c r="R69" s="419">
        <f>O69/L69</f>
        <v>0.98044620114078718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-31.814137214132643</v>
      </c>
      <c r="AG69" s="124">
        <f>N69/K69</f>
        <v>0.9805537058593321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400"/>
      <c r="F70" s="401">
        <f>VLOOKUP(D70,廠價表!$C$1:$E$43,3,0)</f>
        <v>43.89</v>
      </c>
      <c r="G70" s="402">
        <v>394</v>
      </c>
      <c r="H70" s="403">
        <f>F70*G70</f>
        <v>17292.66</v>
      </c>
      <c r="I70" s="402"/>
      <c r="J70" s="404">
        <f>VLOOKUP(D70,產線配置圖!$A$3:$C$40,2,0)</f>
        <v>14</v>
      </c>
      <c r="K70" s="405">
        <f>VLOOKUP(D70,產線配置圖!$A$3:$C$40,3,0)</f>
        <v>1565</v>
      </c>
      <c r="L70" s="406">
        <f>K70/J70</f>
        <v>111.78571428571429</v>
      </c>
      <c r="M70" s="407">
        <v>9</v>
      </c>
      <c r="N70" s="405">
        <f>G70/W70*60</f>
        <v>738.75000000000625</v>
      </c>
      <c r="O70" s="406">
        <f>N70/M70</f>
        <v>82.083333333334025</v>
      </c>
      <c r="P70" s="408">
        <f>M70-J70</f>
        <v>-5</v>
      </c>
      <c r="Q70" s="409">
        <f>O70-L70</f>
        <v>-29.702380952380267</v>
      </c>
      <c r="R70" s="410">
        <f>O70/L70</f>
        <v>0.73429179978701364</v>
      </c>
      <c r="S70" s="817">
        <f>R79</f>
        <v>0.83997775706095335</v>
      </c>
      <c r="T70" s="245">
        <v>0.29861111111111099</v>
      </c>
      <c r="U70" s="245">
        <v>0.32083333333333303</v>
      </c>
      <c r="V70" s="55"/>
      <c r="W70" s="54">
        <f t="shared" si="7"/>
        <v>31.999999999999726</v>
      </c>
      <c r="X70" s="270"/>
      <c r="Y70" s="292"/>
      <c r="Z70" s="169"/>
      <c r="AA70" s="169"/>
      <c r="AB70" s="791" t="s">
        <v>149</v>
      </c>
      <c r="AC70" s="791"/>
      <c r="AD70" s="135"/>
      <c r="AE70" s="135"/>
      <c r="AF70" s="310">
        <f>N70-K70</f>
        <v>-826.24999999999375</v>
      </c>
      <c r="AG70" s="246">
        <f>N70/K70</f>
        <v>0.47204472843450879</v>
      </c>
      <c r="AH70" s="784">
        <f>AG79</f>
        <v>0.59683571705831395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75">
        <f>VLOOKUP(D71,廠價表!$C$1:$E$43,3,0)</f>
        <v>43.89</v>
      </c>
      <c r="G71" s="202">
        <f>1801+213</f>
        <v>2014</v>
      </c>
      <c r="H71" s="91">
        <f>F71*G71</f>
        <v>88394.46</v>
      </c>
      <c r="I71" s="92"/>
      <c r="J71" s="148">
        <f>VLOOKUP(D71,產線配置圖!$A$3:$C$40,2,0)</f>
        <v>13</v>
      </c>
      <c r="K71" s="95">
        <f>VLOOKUP(D71,產線配置圖!$A$3:$C$40,3,0)</f>
        <v>1565</v>
      </c>
      <c r="L71" s="96">
        <f>K71/J71</f>
        <v>120.38461538461539</v>
      </c>
      <c r="M71" s="94">
        <v>10</v>
      </c>
      <c r="N71" s="95">
        <f>G71/W71*60</f>
        <v>1129.3457943925164</v>
      </c>
      <c r="O71" s="96">
        <f>N71/M71</f>
        <v>112.93457943925164</v>
      </c>
      <c r="P71" s="97">
        <f>M71-J71</f>
        <v>-3</v>
      </c>
      <c r="Q71" s="98">
        <f>O71-L71</f>
        <v>-7.4500359453637515</v>
      </c>
      <c r="R71" s="99">
        <f>O71/L71</f>
        <v>0.93811471738675478</v>
      </c>
      <c r="S71" s="818"/>
      <c r="T71" s="22">
        <v>0.33194444444444399</v>
      </c>
      <c r="U71" s="22">
        <v>0.40625</v>
      </c>
      <c r="V71" s="30">
        <f>(T71-U70)*24*60</f>
        <v>15.999999999999783</v>
      </c>
      <c r="W71" s="73">
        <f t="shared" si="7"/>
        <v>107.00000000000065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390"/>
      <c r="G72" s="391"/>
      <c r="H72" s="91"/>
      <c r="I72" s="420"/>
      <c r="J72" s="393"/>
      <c r="K72" s="394"/>
      <c r="L72" s="395"/>
      <c r="M72" s="396"/>
      <c r="N72" s="394"/>
      <c r="O72" s="395"/>
      <c r="P72" s="397"/>
      <c r="Q72" s="398"/>
      <c r="R72" s="399"/>
      <c r="S72" s="749"/>
      <c r="T72" s="22"/>
      <c r="U72" s="22"/>
      <c r="V72" s="30"/>
      <c r="W72" s="73">
        <f t="shared" si="7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7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7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7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7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7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7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6">AVERAGE(J70:J78)</f>
        <v>13.5</v>
      </c>
      <c r="K79" s="240">
        <f t="shared" si="36"/>
        <v>1565</v>
      </c>
      <c r="L79" s="268">
        <f t="shared" si="36"/>
        <v>116.08516483516485</v>
      </c>
      <c r="M79" s="240">
        <f t="shared" si="36"/>
        <v>9.5</v>
      </c>
      <c r="N79" s="240">
        <f t="shared" si="36"/>
        <v>934.04789719626137</v>
      </c>
      <c r="O79" s="268">
        <f t="shared" si="36"/>
        <v>97.508956386292823</v>
      </c>
      <c r="P79" s="269">
        <f>M79-J79</f>
        <v>-4</v>
      </c>
      <c r="Q79" s="222">
        <f>N79-K79</f>
        <v>-630.95210280373863</v>
      </c>
      <c r="R79" s="223">
        <f>O79/L79</f>
        <v>0.83997775706095335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-630.95210280373863</v>
      </c>
      <c r="AG79" s="124">
        <f>N79/K79</f>
        <v>0.59683571705831395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T3:U3"/>
    <mergeCell ref="P3:P4"/>
    <mergeCell ref="Q3:Q4"/>
    <mergeCell ref="R3:R4"/>
    <mergeCell ref="AB1:AC2"/>
    <mergeCell ref="AF1:AH2"/>
    <mergeCell ref="AF3:AF4"/>
    <mergeCell ref="AG3:AG4"/>
    <mergeCell ref="AH3:AH4"/>
    <mergeCell ref="W3:W4"/>
    <mergeCell ref="X3:Y3"/>
    <mergeCell ref="Z3:AA3"/>
    <mergeCell ref="T1:Y2"/>
    <mergeCell ref="V3:V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M3:M4"/>
    <mergeCell ref="S3:S4"/>
    <mergeCell ref="H3:H4"/>
    <mergeCell ref="I3:I4"/>
    <mergeCell ref="J3:J4"/>
    <mergeCell ref="K3:K4"/>
    <mergeCell ref="L3:L4"/>
    <mergeCell ref="N3:N4"/>
    <mergeCell ref="O3:O4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D79:E79"/>
    <mergeCell ref="AB79:AC79"/>
    <mergeCell ref="A70:A79"/>
    <mergeCell ref="S70:S79"/>
    <mergeCell ref="AB70:AC70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</mergeCells>
  <phoneticPr fontId="0" type="noConversion"/>
  <conditionalFormatting sqref="P5:P79">
    <cfRule type="cellIs" dxfId="238" priority="1" operator="greaterThan">
      <formula>0</formula>
    </cfRule>
  </conditionalFormatting>
  <conditionalFormatting sqref="Q5:Q79 AF5:AF79">
    <cfRule type="cellIs" dxfId="237" priority="4" operator="lessThan">
      <formula>0</formula>
    </cfRule>
  </conditionalFormatting>
  <conditionalFormatting sqref="R5:R79 AG5:AG79">
    <cfRule type="cellIs" dxfId="236" priority="2" operator="greaterThan">
      <formula>1</formula>
    </cfRule>
    <cfRule type="cellIs" dxfId="235" priority="3" operator="lessThan">
      <formula>0.8</formula>
    </cfRule>
  </conditionalFormatting>
  <conditionalFormatting sqref="S5:S10 S37:S62 AH59:AH62 S69:S76 AH69:AH76">
    <cfRule type="cellIs" dxfId="234" priority="7" operator="lessThan">
      <formula>0.8</formula>
    </cfRule>
  </conditionalFormatting>
  <conditionalFormatting sqref="S19:S25 AH19:AH25">
    <cfRule type="cellIs" dxfId="233" priority="6" operator="lessThan">
      <formula>0.8</formula>
    </cfRule>
  </conditionalFormatting>
  <conditionalFormatting sqref="S79">
    <cfRule type="cellIs" dxfId="232" priority="5" operator="lessThan">
      <formula>0.8</formula>
    </cfRule>
  </conditionalFormatting>
  <conditionalFormatting sqref="AH5:AH8 S15:S16 AH15:AH16 AH49 AH79">
    <cfRule type="cellIs" dxfId="231" priority="9" operator="lessThan">
      <formula>0.8</formula>
    </cfRule>
  </conditionalFormatting>
  <conditionalFormatting sqref="AH27 S27:S28">
    <cfRule type="cellIs" dxfId="2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970D5D-CC15-4A6A-A811-0EE9C846D3EC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B136-6F5D-4346-A5E0-7C15D30C9012}">
  <dimension ref="B1:O26"/>
  <sheetViews>
    <sheetView topLeftCell="B1" zoomScale="70" zoomScaleNormal="70" workbookViewId="0">
      <selection activeCell="O15" sqref="O15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DATE(2026,8,9)</f>
        <v>46243</v>
      </c>
      <c r="E3" s="706"/>
      <c r="F3" s="3" t="s">
        <v>72</v>
      </c>
      <c r="G3" s="707">
        <f>'0809'!E1</f>
        <v>64248</v>
      </c>
      <c r="H3" s="707"/>
      <c r="I3" s="3" t="s">
        <v>2</v>
      </c>
      <c r="J3" s="708">
        <f>'0809'!G1</f>
        <v>3002130.8869999996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126.89828166192663</v>
      </c>
      <c r="G6" s="713"/>
      <c r="H6" s="714">
        <f>AVERAGE(D13:H13)</f>
        <v>125.69181477291772</v>
      </c>
      <c r="I6" s="714"/>
      <c r="J6" s="714">
        <f>AVERAGE(I13:J13)</f>
        <v>129.91444888444889</v>
      </c>
      <c r="K6" s="714"/>
      <c r="L6" s="716">
        <f>'0809'!Z2</f>
        <v>1</v>
      </c>
      <c r="M6" s="717">
        <f>'0809'!AA2</f>
        <v>5</v>
      </c>
      <c r="N6" s="718">
        <f>'0809'!AD2</f>
        <v>0</v>
      </c>
      <c r="O6" s="717">
        <f>'0809'!AE2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114.14082970564573</v>
      </c>
      <c r="G7" s="737"/>
      <c r="H7" s="738">
        <f>AVERAGE(D14:H14)</f>
        <v>112.71367220894589</v>
      </c>
      <c r="I7" s="738"/>
      <c r="J7" s="738">
        <f>AVERAGE(I14:J14)</f>
        <v>117.70872344739527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0.89613250401992273</v>
      </c>
      <c r="G8" s="710"/>
      <c r="H8" s="710">
        <f>AVERAGE(D15:H15)</f>
        <v>0.89245823617038766</v>
      </c>
      <c r="I8" s="710"/>
      <c r="J8" s="710">
        <f>AVERAGE(I15:J15)</f>
        <v>0.90531817364376066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VALUE('0809'!L15)</f>
        <v>155.70135746606337</v>
      </c>
      <c r="E13" s="13">
        <f>VALUE('0809'!L26)</f>
        <v>174.23076923076923</v>
      </c>
      <c r="F13" s="13">
        <f>VALUE('0809'!L37)</f>
        <v>95.62602124183006</v>
      </c>
      <c r="G13" s="13">
        <f>VALUE('0809'!L48)</f>
        <v>96.300925925925924</v>
      </c>
      <c r="H13" s="13">
        <f>VALUE('0809'!L58)</f>
        <v>106.6</v>
      </c>
      <c r="I13" s="13">
        <f>VALUE('0809'!L69)</f>
        <v>132.86303030303029</v>
      </c>
      <c r="J13" s="13">
        <f>'0809'!L79</f>
        <v>126.96586746586748</v>
      </c>
    </row>
    <row r="14" spans="2:15" ht="39.950000000000003" customHeight="1">
      <c r="B14" s="731"/>
      <c r="C14" s="12" t="s">
        <v>100</v>
      </c>
      <c r="D14" s="13">
        <f>VALUE('0809'!O15)</f>
        <v>139.99908608940149</v>
      </c>
      <c r="E14" s="13">
        <f>VALUE('0809'!O26)</f>
        <v>161.31944414013691</v>
      </c>
      <c r="F14" s="13">
        <f>VALUE('0809'!O37)</f>
        <v>82.102335808956795</v>
      </c>
      <c r="G14" s="13">
        <f>VALUE('0809'!O48)</f>
        <v>88.440531195976519</v>
      </c>
      <c r="H14" s="13">
        <f>VALUE('0809'!O58)</f>
        <v>91.706963810257747</v>
      </c>
      <c r="I14" s="13">
        <f>VALUE('0809'!O69)</f>
        <v>124.55553649558985</v>
      </c>
      <c r="J14" s="13">
        <f>'0809'!O79</f>
        <v>110.86191039920068</v>
      </c>
    </row>
    <row r="15" spans="2:15" ht="39.950000000000003" customHeight="1">
      <c r="B15" s="732"/>
      <c r="C15" s="10" t="s">
        <v>26</v>
      </c>
      <c r="D15" s="14">
        <f t="shared" ref="D15:I15" si="0">D14/D13</f>
        <v>0.89915135209990482</v>
      </c>
      <c r="E15" s="14">
        <f t="shared" si="0"/>
        <v>0.92589526438047676</v>
      </c>
      <c r="F15" s="14">
        <f t="shared" si="0"/>
        <v>0.85857734895533278</v>
      </c>
      <c r="G15" s="14">
        <f t="shared" si="0"/>
        <v>0.91837674815301806</v>
      </c>
      <c r="H15" s="14">
        <f t="shared" si="0"/>
        <v>0.8602904672632059</v>
      </c>
      <c r="I15" s="14">
        <f t="shared" si="0"/>
        <v>0.93747324753550376</v>
      </c>
      <c r="J15" s="15">
        <f>'0809'!S70</f>
        <v>0.87316309975201756</v>
      </c>
    </row>
    <row r="16" spans="2:15" ht="17.25" customHeight="1">
      <c r="B16" s="733" t="s">
        <v>101</v>
      </c>
      <c r="C16" s="10" t="s">
        <v>34</v>
      </c>
      <c r="D16" s="16">
        <f>'0809'!T5</f>
        <v>0.29305555555555601</v>
      </c>
      <c r="E16" s="16">
        <f>'0809'!T16</f>
        <v>0.29097222222222202</v>
      </c>
      <c r="F16" s="16">
        <f>'0809'!T27</f>
        <v>0.29166666666666702</v>
      </c>
      <c r="G16" s="16">
        <f>'0809'!T38</f>
        <v>0.33194444444444399</v>
      </c>
      <c r="H16" s="16">
        <f>'0809'!T49</f>
        <v>0.29166666666666702</v>
      </c>
      <c r="I16" s="16">
        <f>'0809'!T59</f>
        <v>0.29166666666666702</v>
      </c>
      <c r="J16" s="17">
        <f>'0809'!T70</f>
        <v>0.31874999999999998</v>
      </c>
    </row>
    <row r="17" spans="2:10" ht="17.25" customHeight="1">
      <c r="B17" s="734"/>
      <c r="C17" s="10" t="s">
        <v>35</v>
      </c>
      <c r="D17" s="22">
        <v>0.65416666666666701</v>
      </c>
      <c r="E17" s="19">
        <v>0.63194444444444398</v>
      </c>
      <c r="F17" s="19">
        <v>0.59375</v>
      </c>
      <c r="G17" s="20">
        <v>0.63888888888888895</v>
      </c>
      <c r="H17" s="21">
        <v>0.65972222222222199</v>
      </c>
      <c r="I17" s="22">
        <v>0.61458333333333304</v>
      </c>
      <c r="J17" s="22">
        <v>0.59513888888888899</v>
      </c>
    </row>
    <row r="18" spans="2:10" ht="17.25" customHeight="1">
      <c r="B18" s="735" t="s">
        <v>102</v>
      </c>
      <c r="C18" s="330" t="s">
        <v>36</v>
      </c>
      <c r="D18" s="386">
        <f>'0809'!Z15</f>
        <v>0</v>
      </c>
      <c r="E18" s="387">
        <f>'0809'!Z26</f>
        <v>0</v>
      </c>
      <c r="F18" s="387">
        <f>'0809'!Z37</f>
        <v>1</v>
      </c>
      <c r="G18" s="388">
        <f>'0809'!Z48</f>
        <v>0</v>
      </c>
      <c r="H18" s="388">
        <f>'0809'!Z58</f>
        <v>0</v>
      </c>
      <c r="I18" s="387">
        <f>'0809'!Z69</f>
        <v>0</v>
      </c>
      <c r="J18" s="387">
        <f>'0809'!AA79</f>
        <v>0</v>
      </c>
    </row>
    <row r="19" spans="2:10" ht="17.25" customHeight="1">
      <c r="B19" s="736"/>
      <c r="C19" s="330" t="s">
        <v>37</v>
      </c>
      <c r="D19" s="386">
        <f>'0809'!AA15</f>
        <v>0</v>
      </c>
      <c r="E19" s="387">
        <f>'0809'!AA26</f>
        <v>0</v>
      </c>
      <c r="F19" s="387">
        <f>'0809'!AA37</f>
        <v>5</v>
      </c>
      <c r="G19" s="388">
        <f>'0809'!AA48</f>
        <v>0</v>
      </c>
      <c r="H19" s="388">
        <f>'0809'!AA58</f>
        <v>0</v>
      </c>
      <c r="I19" s="387">
        <f>'0809'!AA69</f>
        <v>0</v>
      </c>
      <c r="J19" s="387">
        <f>'0809'!AB79</f>
        <v>0</v>
      </c>
    </row>
    <row r="20" spans="2:10" ht="17.25" customHeight="1">
      <c r="B20" s="735" t="s">
        <v>103</v>
      </c>
      <c r="C20" s="330" t="s">
        <v>36</v>
      </c>
      <c r="D20" s="386">
        <f>'0809'!AD15</f>
        <v>0</v>
      </c>
      <c r="E20" s="387">
        <f>'0809'!AD26</f>
        <v>0</v>
      </c>
      <c r="F20" s="387">
        <f>'0809'!AD37</f>
        <v>0</v>
      </c>
      <c r="G20" s="388">
        <f>'0809'!AD48</f>
        <v>0</v>
      </c>
      <c r="H20" s="388">
        <f>'0809'!AD58</f>
        <v>0</v>
      </c>
      <c r="I20" s="387">
        <f>'0809'!AD69</f>
        <v>0</v>
      </c>
      <c r="J20" s="387">
        <f>'0809'!AD79</f>
        <v>0</v>
      </c>
    </row>
    <row r="21" spans="2:10" ht="17.25" customHeight="1">
      <c r="B21" s="736"/>
      <c r="C21" s="330" t="s">
        <v>85</v>
      </c>
      <c r="D21" s="386">
        <f>'0809'!AE15</f>
        <v>0</v>
      </c>
      <c r="E21" s="387">
        <f>'0809'!AE26</f>
        <v>0</v>
      </c>
      <c r="F21" s="387">
        <f>'0809'!AE37</f>
        <v>0</v>
      </c>
      <c r="G21" s="388">
        <f>'0809'!AE48</f>
        <v>0</v>
      </c>
      <c r="H21" s="388">
        <f>'0809'!AE58</f>
        <v>0</v>
      </c>
      <c r="I21" s="387">
        <f>'0809'!AE69</f>
        <v>0</v>
      </c>
      <c r="J21" s="387">
        <f>'0809'!AE79</f>
        <v>0</v>
      </c>
    </row>
    <row r="22" spans="2:10" ht="17.25" customHeight="1">
      <c r="B22" s="719" t="s">
        <v>104</v>
      </c>
      <c r="C22" s="720"/>
      <c r="D22" s="23">
        <f>VALUE('0809'!M15)</f>
        <v>14.6</v>
      </c>
      <c r="E22" s="23">
        <f>VALUE('0809'!M26)</f>
        <v>13</v>
      </c>
      <c r="F22" s="23">
        <f>VALUE('0809'!M37)</f>
        <v>16.166666666666668</v>
      </c>
      <c r="G22" s="23">
        <f>VALUE('0809'!M48)</f>
        <v>17.333333333333332</v>
      </c>
      <c r="H22" s="23">
        <f>VALUE('0809'!M58)</f>
        <v>16.600000000000001</v>
      </c>
      <c r="I22" s="23">
        <f>VALUE('0809'!M69)</f>
        <v>12.6</v>
      </c>
      <c r="J22" s="23">
        <f>'0809'!M79</f>
        <v>9.6666666666666661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E622-C01D-4793-902B-C5BA7ABBA804}">
  <sheetPr>
    <tabColor theme="9" tint="0.79998168889431442"/>
  </sheetPr>
  <dimension ref="A1:AJ92"/>
  <sheetViews>
    <sheetView zoomScale="69" zoomScaleNormal="69" workbookViewId="0">
      <pane xSplit="5" ySplit="4" topLeftCell="H47" activePane="bottomRight" state="frozen"/>
      <selection activeCell="O15" sqref="O15"/>
      <selection pane="topRight" activeCell="O15" sqref="O15"/>
      <selection pane="bottomLeft" activeCell="O15" sqref="O15"/>
      <selection pane="bottomRight" activeCell="O15" sqref="O1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64248</v>
      </c>
      <c r="F1" s="30" t="s">
        <v>2</v>
      </c>
      <c r="G1" s="31">
        <f>SUM(H5:H79)</f>
        <v>3002130.8869999996</v>
      </c>
      <c r="H1" s="32" t="s">
        <v>3</v>
      </c>
      <c r="I1" s="33">
        <f>M15+M26+M48+M58+M69+M79+M37</f>
        <v>99.966666666666683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150</v>
      </c>
      <c r="B2" s="739"/>
      <c r="C2" s="28"/>
      <c r="D2" s="28" t="s">
        <v>14</v>
      </c>
      <c r="E2" s="35">
        <f>AVERAGE(O15,O26,O37,O48,O58,O69,O79)</f>
        <v>114.14082970564573</v>
      </c>
      <c r="F2" s="36" t="s">
        <v>15</v>
      </c>
      <c r="G2" s="37">
        <f>G1/E1</f>
        <v>46.727227104345658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5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113</v>
      </c>
      <c r="E5" s="41"/>
      <c r="F5" s="39">
        <f>VLOOKUP(D5,廠價表!$C$1:$E$43,3,0)</f>
        <v>50.67</v>
      </c>
      <c r="G5" s="42">
        <v>1571</v>
      </c>
      <c r="H5" s="43">
        <f>F5*G5</f>
        <v>79602.570000000007</v>
      </c>
      <c r="I5" s="44"/>
      <c r="J5" s="45">
        <f>VLOOKUP(D5,產線配置圖!$A$3:$C$40,2,0)</f>
        <v>17</v>
      </c>
      <c r="K5" s="46">
        <f>VLOOKUP(D5,產線配置圖!$A$3:$C$40,3,0)</f>
        <v>2250</v>
      </c>
      <c r="L5" s="47">
        <f>K5/J5</f>
        <v>132.35294117647058</v>
      </c>
      <c r="M5" s="48">
        <v>17</v>
      </c>
      <c r="N5" s="46">
        <f>G5/W5*60</f>
        <v>2005.5319148936721</v>
      </c>
      <c r="O5" s="47">
        <f>N5/M5</f>
        <v>117.97246558198071</v>
      </c>
      <c r="P5" s="49">
        <f>M5-J5</f>
        <v>0</v>
      </c>
      <c r="Q5" s="50">
        <f>O5-L5</f>
        <v>-14.380475594489866</v>
      </c>
      <c r="R5" s="51">
        <f>O5/L5</f>
        <v>0.89134751773052101</v>
      </c>
      <c r="S5" s="748">
        <f>R15</f>
        <v>0.89915135209990482</v>
      </c>
      <c r="T5" s="319">
        <v>0.29305555555555601</v>
      </c>
      <c r="U5" s="320">
        <v>0.32569444444444401</v>
      </c>
      <c r="V5" s="53"/>
      <c r="W5" s="54">
        <f t="shared" ref="W5:W14" si="0">(U5-T5)*24*60</f>
        <v>46.999999999998714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-244.46808510632786</v>
      </c>
      <c r="AG5" s="52">
        <f t="shared" ref="AG5:AG11" si="2">N5/K5</f>
        <v>0.8913475177305209</v>
      </c>
      <c r="AH5" s="784">
        <f>AG15</f>
        <v>0.89605526962832827</v>
      </c>
    </row>
    <row r="6" spans="1:34" ht="15" customHeight="1">
      <c r="A6" s="755"/>
      <c r="B6" s="75" t="s">
        <v>81</v>
      </c>
      <c r="C6" s="76"/>
      <c r="D6" s="59" t="s">
        <v>115</v>
      </c>
      <c r="E6" s="77"/>
      <c r="F6" s="75">
        <f>VLOOKUP(D6,廠價表!$C$1:$E$43,3,0)</f>
        <v>49.14</v>
      </c>
      <c r="G6" s="66">
        <v>3454</v>
      </c>
      <c r="H6" s="78">
        <f>F6*G6</f>
        <v>169729.56</v>
      </c>
      <c r="I6" s="73"/>
      <c r="J6" s="79">
        <f>VLOOKUP(D6,產線配置圖!$A$3:$C$40,2,0)</f>
        <v>15</v>
      </c>
      <c r="K6" s="80">
        <f>VLOOKUP(D6,產線配置圖!$A$3:$C$40,3,0)</f>
        <v>2250</v>
      </c>
      <c r="L6" s="81">
        <f>K6/J6</f>
        <v>150</v>
      </c>
      <c r="M6" s="82">
        <v>15</v>
      </c>
      <c r="N6" s="80">
        <f>G6/W6*60</f>
        <v>2012.0388349514772</v>
      </c>
      <c r="O6" s="81">
        <f>N6/M6</f>
        <v>134.13592233009848</v>
      </c>
      <c r="P6" s="74">
        <f>M6-J6</f>
        <v>0</v>
      </c>
      <c r="Q6" s="83">
        <f>O6-L6</f>
        <v>-15.864077669901519</v>
      </c>
      <c r="R6" s="72">
        <f>O6/L6</f>
        <v>0.89423948220065652</v>
      </c>
      <c r="S6" s="749"/>
      <c r="T6" s="18">
        <v>0.34791666666666698</v>
      </c>
      <c r="U6" s="18">
        <v>0.41944444444444401</v>
      </c>
      <c r="V6" s="30">
        <f>(T6-U5)*24*60</f>
        <v>32.000000000001087</v>
      </c>
      <c r="W6" s="73">
        <f t="shared" si="0"/>
        <v>102.99999999999892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-237.96116504852284</v>
      </c>
      <c r="AG6" s="72">
        <f t="shared" si="2"/>
        <v>0.89423948220065652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2613</v>
      </c>
      <c r="H7" s="78">
        <f t="shared" ref="H7:H9" si="3">F7*G7</f>
        <v>151998.21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2208.1690140844876</v>
      </c>
      <c r="O7" s="81">
        <f t="shared" ref="O7:O9" si="6">N7/M7</f>
        <v>169.85915492957596</v>
      </c>
      <c r="P7" s="74">
        <f t="shared" ref="P7:P9" si="7">M7-J7</f>
        <v>0</v>
      </c>
      <c r="Q7" s="83">
        <f t="shared" ref="Q7:Q9" si="8">O7-L7</f>
        <v>-3.2177681473471011</v>
      </c>
      <c r="R7" s="72">
        <f t="shared" ref="R7:R9" si="9">O7/L7</f>
        <v>0.98140845070421678</v>
      </c>
      <c r="S7" s="749"/>
      <c r="T7" s="16">
        <v>0.42708333333333298</v>
      </c>
      <c r="U7" s="16">
        <v>0.47638888888888897</v>
      </c>
      <c r="V7" s="30">
        <f>(T7-U6)*24*60</f>
        <v>11.000000000000121</v>
      </c>
      <c r="W7" s="73">
        <f t="shared" si="0"/>
        <v>71.000000000000625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-41.830985915512429</v>
      </c>
      <c r="AG7" s="72">
        <f t="shared" si="2"/>
        <v>0.98140845070421667</v>
      </c>
      <c r="AH7" s="785"/>
    </row>
    <row r="8" spans="1:34" ht="15" customHeight="1">
      <c r="A8" s="755"/>
      <c r="B8" s="75" t="s">
        <v>81</v>
      </c>
      <c r="C8" s="76"/>
      <c r="D8" s="59" t="s">
        <v>114</v>
      </c>
      <c r="E8" s="77"/>
      <c r="F8" s="75">
        <f>VLOOKUP(D8,廠價表!$C$1:$E$43,3,0)</f>
        <v>58.17</v>
      </c>
      <c r="G8" s="66">
        <f>2262+165</f>
        <v>2427</v>
      </c>
      <c r="H8" s="78">
        <f t="shared" si="3"/>
        <v>141178.59</v>
      </c>
      <c r="I8" s="73"/>
      <c r="J8" s="79">
        <f>VLOOKUP(D8,產線配置圖!$A$3:$C$40,2,0)</f>
        <v>13</v>
      </c>
      <c r="K8" s="80">
        <f>VLOOKUP(D8,產線配置圖!$A$3:$C$40,3,0)</f>
        <v>2250</v>
      </c>
      <c r="L8" s="81">
        <f t="shared" si="4"/>
        <v>173.07692307692307</v>
      </c>
      <c r="M8" s="82">
        <v>13</v>
      </c>
      <c r="N8" s="80">
        <f t="shared" si="5"/>
        <v>2050.9859154929791</v>
      </c>
      <c r="O8" s="81">
        <f t="shared" si="6"/>
        <v>157.76814734561378</v>
      </c>
      <c r="P8" s="74">
        <f t="shared" si="7"/>
        <v>0</v>
      </c>
      <c r="Q8" s="83">
        <f t="shared" si="8"/>
        <v>-15.308775731309282</v>
      </c>
      <c r="R8" s="72">
        <f t="shared" si="9"/>
        <v>0.91154929577465749</v>
      </c>
      <c r="S8" s="749"/>
      <c r="T8" s="16">
        <v>0.54305555555555596</v>
      </c>
      <c r="U8" s="16">
        <v>0.59236111111111101</v>
      </c>
      <c r="V8" s="30">
        <f t="shared" ref="V8:V9" si="10">(T8-U7)*24*60</f>
        <v>96.000000000000455</v>
      </c>
      <c r="W8" s="73">
        <f t="shared" si="0"/>
        <v>70.999999999999261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-199.01408450702093</v>
      </c>
      <c r="AG8" s="72">
        <f t="shared" si="2"/>
        <v>0.91154929577465738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2315</v>
      </c>
      <c r="H9" s="78">
        <f t="shared" si="3"/>
        <v>113759.1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1803.8961038960765</v>
      </c>
      <c r="O9" s="81">
        <f t="shared" si="6"/>
        <v>120.25974025973844</v>
      </c>
      <c r="P9" s="74">
        <f t="shared" si="7"/>
        <v>0</v>
      </c>
      <c r="Q9" s="83">
        <f t="shared" si="8"/>
        <v>-29.740259740261564</v>
      </c>
      <c r="R9" s="72">
        <f t="shared" si="9"/>
        <v>0.80173160173158953</v>
      </c>
      <c r="S9" s="750"/>
      <c r="T9" s="22">
        <v>0.60069444444444398</v>
      </c>
      <c r="U9" s="22">
        <v>0.65416666666666701</v>
      </c>
      <c r="V9" s="30">
        <f t="shared" si="10"/>
        <v>11.999999999999478</v>
      </c>
      <c r="W9" s="73">
        <f t="shared" si="0"/>
        <v>77.000000000001165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-446.10389610392349</v>
      </c>
      <c r="AG9" s="72">
        <f t="shared" si="2"/>
        <v>0.80173160173158953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14.6</v>
      </c>
      <c r="K15" s="120">
        <f t="shared" si="11"/>
        <v>2250</v>
      </c>
      <c r="L15" s="117">
        <f t="shared" si="11"/>
        <v>155.70135746606337</v>
      </c>
      <c r="M15" s="120">
        <f t="shared" si="11"/>
        <v>14.6</v>
      </c>
      <c r="N15" s="120">
        <f t="shared" si="11"/>
        <v>2016.1243566637386</v>
      </c>
      <c r="O15" s="117">
        <f t="shared" si="11"/>
        <v>139.99908608940149</v>
      </c>
      <c r="P15" s="121">
        <f t="shared" ref="P15:P19" si="12">M15-J15</f>
        <v>0</v>
      </c>
      <c r="Q15" s="122">
        <f t="shared" ref="Q15:Q19" si="13">O15-L15</f>
        <v>-15.702271376661884</v>
      </c>
      <c r="R15" s="123">
        <f t="shared" ref="R15:R19" si="14">O15/L15</f>
        <v>0.89915135209990482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 t="shared" ref="AF15:AF20" si="15">N15-K15</f>
        <v>-233.87564333626142</v>
      </c>
      <c r="AG15" s="124">
        <f t="shared" ref="AG15:AG20" si="16">N15/K15</f>
        <v>0.89605526962832827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119</v>
      </c>
      <c r="E16" s="132"/>
      <c r="F16" s="129">
        <f>VLOOKUP(D16,廠價表!$C$1:$E$43,3,0)</f>
        <v>50.67</v>
      </c>
      <c r="G16" s="133">
        <v>2435</v>
      </c>
      <c r="H16" s="134">
        <f>F16*G16</f>
        <v>123381.45</v>
      </c>
      <c r="I16" s="135"/>
      <c r="J16" s="136">
        <f>VLOOKUP(D16,產線配置圖!$A$3:$C$40,2,0)</f>
        <v>13</v>
      </c>
      <c r="K16" s="137">
        <f>VLOOKUP(D16,產線配置圖!$A$3:$C$40,3,0)</f>
        <v>2250</v>
      </c>
      <c r="L16" s="138">
        <f>K16/J16</f>
        <v>173.07692307692307</v>
      </c>
      <c r="M16" s="139">
        <v>13</v>
      </c>
      <c r="N16" s="140">
        <f>G16/W16*60</f>
        <v>2213.6363636363312</v>
      </c>
      <c r="O16" s="141">
        <f>N16/M16</f>
        <v>170.27972027971779</v>
      </c>
      <c r="P16" s="142">
        <f t="shared" si="12"/>
        <v>0</v>
      </c>
      <c r="Q16" s="143">
        <f t="shared" si="13"/>
        <v>-2.7972027972052729</v>
      </c>
      <c r="R16" s="144">
        <f t="shared" si="14"/>
        <v>0.98383838383836952</v>
      </c>
      <c r="S16" s="795">
        <f>R26</f>
        <v>0.92589526438047676</v>
      </c>
      <c r="T16" s="145">
        <v>0.29097222222222202</v>
      </c>
      <c r="U16" s="145">
        <v>0.33680555555555602</v>
      </c>
      <c r="V16" s="135"/>
      <c r="W16" s="146">
        <f t="shared" ref="W16:W78" si="17">(U16-T16)*24*60</f>
        <v>66.000000000000966</v>
      </c>
      <c r="X16" s="141"/>
      <c r="Y16" s="296"/>
      <c r="Z16" s="169"/>
      <c r="AA16" s="169"/>
      <c r="AB16" s="791"/>
      <c r="AC16" s="791"/>
      <c r="AD16" s="135"/>
      <c r="AE16" s="135"/>
      <c r="AF16" s="229">
        <f t="shared" si="15"/>
        <v>-36.363636363668775</v>
      </c>
      <c r="AG16" s="52">
        <f t="shared" si="16"/>
        <v>0.98383838383836941</v>
      </c>
      <c r="AH16" s="784">
        <f>AG26</f>
        <v>0.9259515800507131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3171</v>
      </c>
      <c r="H17" s="78">
        <f>F17*G17</f>
        <v>180334.77</v>
      </c>
      <c r="I17" s="30"/>
      <c r="J17" s="79">
        <f>VLOOKUP(D17,產線配置圖!$A$3:$C$40,2,0)</f>
        <v>15</v>
      </c>
      <c r="K17" s="80">
        <f>VLOOKUP(D17,產線配置圖!$A$3:$C$40,3,0)</f>
        <v>2250</v>
      </c>
      <c r="L17" s="81">
        <f>K17/J17</f>
        <v>150</v>
      </c>
      <c r="M17" s="148">
        <v>15</v>
      </c>
      <c r="N17" s="95">
        <f>G17/W17*60</f>
        <v>2002.7368421052397</v>
      </c>
      <c r="O17" s="96">
        <f>N17/M17</f>
        <v>133.51578947368264</v>
      </c>
      <c r="P17" s="97">
        <f t="shared" si="12"/>
        <v>0</v>
      </c>
      <c r="Q17" s="98">
        <f t="shared" si="13"/>
        <v>-16.484210526317355</v>
      </c>
      <c r="R17" s="99">
        <f t="shared" si="14"/>
        <v>0.8901052631578843</v>
      </c>
      <c r="S17" s="796"/>
      <c r="T17" s="19">
        <v>0.344444444444444</v>
      </c>
      <c r="U17" s="19">
        <v>0.41041666666666698</v>
      </c>
      <c r="V17" s="30">
        <f>(T17-U16)*24*60</f>
        <v>10.999999999998682</v>
      </c>
      <c r="W17" s="149">
        <f t="shared" si="17"/>
        <v>95.000000000001108</v>
      </c>
      <c r="X17" s="19"/>
      <c r="Y17" s="297"/>
      <c r="Z17" s="90"/>
      <c r="AA17" s="90"/>
      <c r="AB17" s="789"/>
      <c r="AC17" s="789"/>
      <c r="AD17" s="92"/>
      <c r="AE17" s="92"/>
      <c r="AF17" s="307">
        <f t="shared" si="15"/>
        <v>-247.2631578947603</v>
      </c>
      <c r="AG17" s="72">
        <f t="shared" si="16"/>
        <v>0.8901052631578843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3054</v>
      </c>
      <c r="H18" s="78">
        <f>F18*G18</f>
        <v>153891.06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2013.6263736263559</v>
      </c>
      <c r="O18" s="96">
        <f>N18/M18</f>
        <v>167.80219780219633</v>
      </c>
      <c r="P18" s="97">
        <f t="shared" si="12"/>
        <v>0</v>
      </c>
      <c r="Q18" s="98">
        <f t="shared" si="13"/>
        <v>-19.697802197803668</v>
      </c>
      <c r="R18" s="99">
        <f t="shared" si="14"/>
        <v>0.89494505494504706</v>
      </c>
      <c r="S18" s="796"/>
      <c r="T18" s="19">
        <v>0.41597222222222202</v>
      </c>
      <c r="U18" s="19">
        <v>0.47916666666666702</v>
      </c>
      <c r="V18" s="30">
        <f>(T18-U17)*24*60</f>
        <v>7.9999999999992522</v>
      </c>
      <c r="W18" s="149">
        <f t="shared" si="17"/>
        <v>91.000000000000796</v>
      </c>
      <c r="X18" s="22"/>
      <c r="Y18" s="84"/>
      <c r="Z18" s="90"/>
      <c r="AA18" s="90"/>
      <c r="AB18" s="789"/>
      <c r="AC18" s="789"/>
      <c r="AD18" s="92"/>
      <c r="AE18" s="92"/>
      <c r="AF18" s="307">
        <f t="shared" si="15"/>
        <v>-236.37362637364413</v>
      </c>
      <c r="AG18" s="72">
        <f t="shared" si="16"/>
        <v>0.89494505494504706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2655</v>
      </c>
      <c r="H19" s="78">
        <f>F19*G19</f>
        <v>133785.45000000001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2016.4556962025345</v>
      </c>
      <c r="O19" s="96">
        <f>N19/M19</f>
        <v>168.03797468354455</v>
      </c>
      <c r="P19" s="97">
        <f t="shared" si="12"/>
        <v>0</v>
      </c>
      <c r="Q19" s="98">
        <f t="shared" si="13"/>
        <v>-19.462025316455453</v>
      </c>
      <c r="R19" s="99">
        <f t="shared" si="14"/>
        <v>0.89620253164557095</v>
      </c>
      <c r="S19" s="796"/>
      <c r="T19" s="19">
        <v>0.54166666666666696</v>
      </c>
      <c r="U19" s="19">
        <v>0.59652777777777799</v>
      </c>
      <c r="V19" s="30">
        <f>(T19-U18)*24*60</f>
        <v>89.999999999999915</v>
      </c>
      <c r="W19" s="149">
        <f t="shared" si="17"/>
        <v>78.999999999999886</v>
      </c>
      <c r="X19" s="22"/>
      <c r="Y19" s="84"/>
      <c r="Z19" s="90"/>
      <c r="AA19" s="90"/>
      <c r="AB19" s="788"/>
      <c r="AC19" s="788"/>
      <c r="AD19" s="149"/>
      <c r="AE19" s="149"/>
      <c r="AF19" s="307">
        <f t="shared" si="15"/>
        <v>-233.54430379746555</v>
      </c>
      <c r="AG19" s="72">
        <f t="shared" si="16"/>
        <v>0.89620253164557084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1447</v>
      </c>
      <c r="H20" s="78">
        <f>F20*G20</f>
        <v>73319.490000000005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>K20/J20</f>
        <v>173.07692307692307</v>
      </c>
      <c r="M20" s="148">
        <v>13</v>
      </c>
      <c r="N20" s="95">
        <f>G20/W20*60</f>
        <v>2170.50000000006</v>
      </c>
      <c r="O20" s="96">
        <f>N20/M20</f>
        <v>166.96153846154309</v>
      </c>
      <c r="P20" s="97">
        <f>M20-J20</f>
        <v>0</v>
      </c>
      <c r="Q20" s="98">
        <f>O20-L20</f>
        <v>-6.1153846153799805</v>
      </c>
      <c r="R20" s="99">
        <f>O20/L20</f>
        <v>0.96466666666669343</v>
      </c>
      <c r="S20" s="796"/>
      <c r="T20" s="19">
        <v>0.60416666666666696</v>
      </c>
      <c r="U20" s="19">
        <v>0.63194444444444398</v>
      </c>
      <c r="V20" s="30">
        <f>(T20-U19)*24*60</f>
        <v>11.000000000000121</v>
      </c>
      <c r="W20" s="149">
        <f t="shared" si="17"/>
        <v>39.999999999998899</v>
      </c>
      <c r="X20" s="19"/>
      <c r="Y20" s="297"/>
      <c r="Z20" s="90"/>
      <c r="AA20" s="90"/>
      <c r="AB20" s="789"/>
      <c r="AC20" s="789"/>
      <c r="AD20" s="92"/>
      <c r="AE20" s="92"/>
      <c r="AF20" s="307">
        <f t="shared" si="15"/>
        <v>-79.499999999939973</v>
      </c>
      <c r="AG20" s="72">
        <f t="shared" si="16"/>
        <v>0.96466666666669332</v>
      </c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7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7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7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7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174.23076923076923</v>
      </c>
      <c r="M26" s="155">
        <f t="shared" si="18"/>
        <v>13</v>
      </c>
      <c r="N26" s="155">
        <f t="shared" si="18"/>
        <v>2083.3910551141043</v>
      </c>
      <c r="O26" s="158">
        <f t="shared" si="18"/>
        <v>161.31944414013691</v>
      </c>
      <c r="P26" s="159">
        <f t="shared" ref="P26:P31" si="19">M26-J26</f>
        <v>0</v>
      </c>
      <c r="Q26" s="160">
        <f t="shared" ref="Q26:Q31" si="20">O26-L26</f>
        <v>-12.911325090632317</v>
      </c>
      <c r="R26" s="161">
        <f t="shared" ref="R26:R31" si="21">O26/L26</f>
        <v>0.92589526438047676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2">N26-K26</f>
        <v>-166.60894488589565</v>
      </c>
      <c r="AG26" s="124">
        <f t="shared" ref="AG26:AG31" si="23">N26/K26</f>
        <v>0.9259515800507131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1003</v>
      </c>
      <c r="H27" s="134">
        <f>F27*G27</f>
        <v>46479.020000000004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14</v>
      </c>
      <c r="N27" s="140">
        <f>G27/W27*60</f>
        <v>1280.4255319148892</v>
      </c>
      <c r="O27" s="141">
        <f>N27/M27</f>
        <v>91.458966565349229</v>
      </c>
      <c r="P27" s="142">
        <f t="shared" si="19"/>
        <v>-2</v>
      </c>
      <c r="Q27" s="143">
        <f t="shared" si="20"/>
        <v>-10.791033434650771</v>
      </c>
      <c r="R27" s="144">
        <f t="shared" si="21"/>
        <v>0.89446422068801201</v>
      </c>
      <c r="S27" s="795">
        <f>R37</f>
        <v>0.85857734895533278</v>
      </c>
      <c r="T27" s="171">
        <v>0.29166666666666702</v>
      </c>
      <c r="U27" s="19">
        <v>0.32430555555555601</v>
      </c>
      <c r="V27" s="135"/>
      <c r="W27" s="146">
        <f t="shared" si="17"/>
        <v>47.000000000000156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22"/>
        <v>-355.57446808511077</v>
      </c>
      <c r="AG27" s="172">
        <f t="shared" si="23"/>
        <v>0.78265619310201051</v>
      </c>
      <c r="AH27" s="784">
        <f>AG37</f>
        <v>0.80692474532480762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1277</v>
      </c>
      <c r="H28" s="91">
        <f>F28*G28</f>
        <v>73057.17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1298.6440677965847</v>
      </c>
      <c r="O28" s="96">
        <f>N28/M28</f>
        <v>81.165254237286547</v>
      </c>
      <c r="P28" s="97">
        <f t="shared" si="19"/>
        <v>-2</v>
      </c>
      <c r="Q28" s="98">
        <f t="shared" si="20"/>
        <v>-9.7236346516023389</v>
      </c>
      <c r="R28" s="99">
        <f t="shared" si="21"/>
        <v>0.8930162446645219</v>
      </c>
      <c r="S28" s="796"/>
      <c r="T28" s="19">
        <v>0.33333333333333298</v>
      </c>
      <c r="U28" s="19">
        <v>0.374305555555556</v>
      </c>
      <c r="V28" s="92">
        <f>(T28-U27)*24*60</f>
        <v>12.999999999998835</v>
      </c>
      <c r="W28" s="149">
        <f t="shared" si="17"/>
        <v>59.000000000001151</v>
      </c>
      <c r="X28" s="174"/>
      <c r="Y28" s="301"/>
      <c r="Z28" s="335"/>
      <c r="AA28" s="335"/>
      <c r="AB28" s="865"/>
      <c r="AC28" s="866"/>
      <c r="AD28" s="92"/>
      <c r="AE28" s="92"/>
      <c r="AF28" s="311">
        <f t="shared" si="22"/>
        <v>-337.35593220341525</v>
      </c>
      <c r="AG28" s="99">
        <f t="shared" si="23"/>
        <v>0.79379221747957507</v>
      </c>
      <c r="AH28" s="805"/>
    </row>
    <row r="29" spans="1:34" ht="15" customHeight="1">
      <c r="A29" s="793"/>
      <c r="B29" s="75" t="s">
        <v>81</v>
      </c>
      <c r="C29" s="88"/>
      <c r="D29" s="59" t="s">
        <v>125</v>
      </c>
      <c r="E29" s="89"/>
      <c r="F29" s="75">
        <f>VLOOKUP(D29,廠價表!$C$1:$E$43,3,0)</f>
        <v>45.66</v>
      </c>
      <c r="G29" s="90">
        <v>1243</v>
      </c>
      <c r="H29" s="91">
        <f>F29*G29</f>
        <v>56755.38</v>
      </c>
      <c r="I29" s="92"/>
      <c r="J29" s="79">
        <f>VLOOKUP(D29,產線配置圖!$A$3:$C$40,2,0)</f>
        <v>17</v>
      </c>
      <c r="K29" s="80">
        <v>1636</v>
      </c>
      <c r="L29" s="93">
        <f>K29/J29</f>
        <v>96.235294117647058</v>
      </c>
      <c r="M29" s="94">
        <v>17</v>
      </c>
      <c r="N29" s="95">
        <f>G29/W29*60</f>
        <v>1462.3529411764987</v>
      </c>
      <c r="O29" s="96">
        <f>N29/M29</f>
        <v>86.020761245676397</v>
      </c>
      <c r="P29" s="97">
        <f t="shared" si="19"/>
        <v>0</v>
      </c>
      <c r="Q29" s="98">
        <f t="shared" si="20"/>
        <v>-10.214532871970661</v>
      </c>
      <c r="R29" s="99">
        <f t="shared" si="21"/>
        <v>0.89385876600030489</v>
      </c>
      <c r="S29" s="796"/>
      <c r="T29" s="19">
        <v>0.38402777777777802</v>
      </c>
      <c r="U29" s="19">
        <v>0.41944444444444401</v>
      </c>
      <c r="V29" s="92">
        <f>(T29-U28)*24*60</f>
        <v>13.99999999999971</v>
      </c>
      <c r="W29" s="149">
        <f t="shared" si="17"/>
        <v>50.999999999999019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2"/>
        <v>-173.64705882350131</v>
      </c>
      <c r="AG29" s="99">
        <f t="shared" si="23"/>
        <v>0.89385876600030478</v>
      </c>
      <c r="AH29" s="805"/>
    </row>
    <row r="30" spans="1:34" ht="15" customHeight="1">
      <c r="A30" s="793"/>
      <c r="B30" s="75" t="s">
        <v>81</v>
      </c>
      <c r="C30" s="102"/>
      <c r="D30" s="175" t="s">
        <v>123</v>
      </c>
      <c r="E30" s="176"/>
      <c r="F30" s="75">
        <f>VLOOKUP(D30,廠價表!$C$1:$E$43,3,0)</f>
        <v>49.91</v>
      </c>
      <c r="G30" s="90">
        <v>1299</v>
      </c>
      <c r="H30" s="91">
        <f t="shared" ref="H30:H31" si="24">F30*G30</f>
        <v>64833.09</v>
      </c>
      <c r="I30" s="92"/>
      <c r="J30" s="79">
        <f>VLOOKUP(D30,產線配置圖!$A$3:$C$40,2,0)</f>
        <v>18</v>
      </c>
      <c r="K30" s="80">
        <v>1637</v>
      </c>
      <c r="L30" s="93">
        <f t="shared" ref="L30:L31" si="25">K30/J30</f>
        <v>90.944444444444443</v>
      </c>
      <c r="M30" s="94">
        <v>17</v>
      </c>
      <c r="N30" s="95">
        <f t="shared" ref="N30:N31" si="26">G30/W30*60</f>
        <v>1298.9999999999891</v>
      </c>
      <c r="O30" s="96">
        <f t="shared" ref="O30:O31" si="27">N30/M30</f>
        <v>76.411764705881708</v>
      </c>
      <c r="P30" s="97">
        <f t="shared" si="19"/>
        <v>-1</v>
      </c>
      <c r="Q30" s="98">
        <f t="shared" si="20"/>
        <v>-14.532679738562734</v>
      </c>
      <c r="R30" s="99">
        <f t="shared" si="21"/>
        <v>0.84020266628336637</v>
      </c>
      <c r="S30" s="796"/>
      <c r="T30" s="19">
        <v>0.42499999999999999</v>
      </c>
      <c r="U30" s="19">
        <v>0.46666666666666701</v>
      </c>
      <c r="V30" s="92">
        <f>(T30-U29)*24*60</f>
        <v>8.0000000000006111</v>
      </c>
      <c r="W30" s="149">
        <f t="shared" si="17"/>
        <v>60.000000000000504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2"/>
        <v>-338.00000000001091</v>
      </c>
      <c r="AG30" s="99">
        <f t="shared" si="23"/>
        <v>0.79352474037873488</v>
      </c>
      <c r="AH30" s="806"/>
    </row>
    <row r="31" spans="1:34" ht="15" customHeight="1">
      <c r="A31" s="793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v>947</v>
      </c>
      <c r="H31" s="91">
        <f t="shared" si="24"/>
        <v>47264.77</v>
      </c>
      <c r="I31" s="92"/>
      <c r="J31" s="79">
        <f>VLOOKUP(D31,產線配置圖!$A$3:$C$40,2,0)</f>
        <v>18</v>
      </c>
      <c r="K31" s="80">
        <v>1638</v>
      </c>
      <c r="L31" s="93">
        <f t="shared" si="25"/>
        <v>91</v>
      </c>
      <c r="M31" s="94">
        <v>17</v>
      </c>
      <c r="N31" s="95">
        <f t="shared" si="26"/>
        <v>1092.6923076923117</v>
      </c>
      <c r="O31" s="96">
        <f t="shared" si="27"/>
        <v>64.276018099547741</v>
      </c>
      <c r="P31" s="97">
        <f t="shared" si="19"/>
        <v>-1</v>
      </c>
      <c r="Q31" s="98">
        <f t="shared" si="20"/>
        <v>-26.723981900452259</v>
      </c>
      <c r="R31" s="99">
        <f t="shared" si="21"/>
        <v>0.70632986922579932</v>
      </c>
      <c r="S31" s="796"/>
      <c r="T31" s="19">
        <v>0.52500000000000002</v>
      </c>
      <c r="U31" s="19">
        <v>0.56111111111111101</v>
      </c>
      <c r="V31" s="92">
        <f>(T31-U30)*24*60</f>
        <v>83.999999999999545</v>
      </c>
      <c r="W31" s="149">
        <f t="shared" si="17"/>
        <v>51.999999999999815</v>
      </c>
      <c r="X31" s="174"/>
      <c r="Y31" s="301"/>
      <c r="Z31" s="335">
        <v>1</v>
      </c>
      <c r="AA31" s="335">
        <v>5</v>
      </c>
      <c r="AB31" s="789" t="s">
        <v>151</v>
      </c>
      <c r="AC31" s="789"/>
      <c r="AD31" s="92"/>
      <c r="AE31" s="92"/>
      <c r="AF31" s="312">
        <f t="shared" si="22"/>
        <v>-545.30769230768828</v>
      </c>
      <c r="AG31" s="99">
        <f t="shared" si="23"/>
        <v>0.66708932093547724</v>
      </c>
      <c r="AH31" s="786"/>
    </row>
    <row r="32" spans="1:34" ht="15" customHeight="1">
      <c r="A32" s="793"/>
      <c r="B32" s="75" t="s">
        <v>81</v>
      </c>
      <c r="C32" s="102"/>
      <c r="D32" s="175" t="s">
        <v>122</v>
      </c>
      <c r="E32" s="176"/>
      <c r="F32" s="75">
        <f>VLOOKUP(D32,廠價表!$C$1:$E$43,3,0)</f>
        <v>46.34</v>
      </c>
      <c r="G32" s="90">
        <v>995</v>
      </c>
      <c r="H32" s="91">
        <f>F32*G32</f>
        <v>46108.3</v>
      </c>
      <c r="I32" s="92"/>
      <c r="J32" s="79">
        <f>VLOOKUP(D32,產線配置圖!$A$3:$C$40,2,0)</f>
        <v>16</v>
      </c>
      <c r="K32" s="80">
        <v>1639</v>
      </c>
      <c r="L32" s="93">
        <f>K32/J32</f>
        <v>102.4375</v>
      </c>
      <c r="M32" s="94">
        <v>16</v>
      </c>
      <c r="N32" s="95">
        <f>G32/W32*60</f>
        <v>1492.4999999999873</v>
      </c>
      <c r="O32" s="96">
        <f>N32/M32</f>
        <v>93.281249999999204</v>
      </c>
      <c r="P32" s="97">
        <f>M32-J32</f>
        <v>0</v>
      </c>
      <c r="Q32" s="98">
        <f>O32-L32</f>
        <v>-9.1562500000007958</v>
      </c>
      <c r="R32" s="99">
        <f>O32/L32</f>
        <v>0.910616229408168</v>
      </c>
      <c r="S32" s="796"/>
      <c r="T32" s="19">
        <v>0.56597222222222199</v>
      </c>
      <c r="U32" s="19">
        <v>0.59375</v>
      </c>
      <c r="V32" s="92">
        <f>(T32-U31)*24*60</f>
        <v>6.9999999999998153</v>
      </c>
      <c r="W32" s="149">
        <f t="shared" si="17"/>
        <v>40.000000000000341</v>
      </c>
      <c r="X32" s="174"/>
      <c r="Y32" s="301"/>
      <c r="Z32" s="335"/>
      <c r="AA32" s="335"/>
      <c r="AB32" s="789"/>
      <c r="AC32" s="789"/>
      <c r="AD32" s="92"/>
      <c r="AE32" s="92"/>
      <c r="AF32" s="312">
        <f>N32-K32</f>
        <v>-146.50000000001273</v>
      </c>
      <c r="AG32" s="99">
        <f>N32/K32</f>
        <v>0.910616229408168</v>
      </c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7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7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17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17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8">AVERAGE(J27:J36)</f>
        <v>17.166666666666668</v>
      </c>
      <c r="K37" s="155">
        <f t="shared" si="28"/>
        <v>1637</v>
      </c>
      <c r="L37" s="158">
        <f t="shared" si="28"/>
        <v>95.62602124183006</v>
      </c>
      <c r="M37" s="155">
        <f t="shared" si="28"/>
        <v>16.166666666666668</v>
      </c>
      <c r="N37" s="155">
        <f t="shared" si="28"/>
        <v>1320.9358080967102</v>
      </c>
      <c r="O37" s="158">
        <f t="shared" si="28"/>
        <v>82.102335808956795</v>
      </c>
      <c r="P37" s="159">
        <f>M37-J37</f>
        <v>-1</v>
      </c>
      <c r="Q37" s="160">
        <f>N37-K37</f>
        <v>-316.06419190328984</v>
      </c>
      <c r="R37" s="161">
        <f>O37/L37</f>
        <v>0.85857734895533278</v>
      </c>
      <c r="S37" s="797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5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-316.06419190328984</v>
      </c>
      <c r="AG37" s="124">
        <f>N37/K37</f>
        <v>0.80692474532480762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2850</v>
      </c>
      <c r="H38" s="134">
        <f>F38*G38</f>
        <v>142243.5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1693.0693069306899</v>
      </c>
      <c r="O38" s="141">
        <f>N38/M38</f>
        <v>105.81683168316812</v>
      </c>
      <c r="P38" s="142">
        <f>M38-J38</f>
        <v>0</v>
      </c>
      <c r="Q38" s="143">
        <f>O38-L38</f>
        <v>-1.3081683168318818</v>
      </c>
      <c r="R38" s="144">
        <f>O38/L38</f>
        <v>0.98778839377519834</v>
      </c>
      <c r="S38" s="817">
        <f>R48</f>
        <v>0.91837674815301806</v>
      </c>
      <c r="T38" s="191">
        <v>0.33194444444444399</v>
      </c>
      <c r="U38" s="191">
        <v>0.40208333333333302</v>
      </c>
      <c r="V38" s="192"/>
      <c r="W38" s="193">
        <f t="shared" si="17"/>
        <v>101.0000000000002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-20.930693069310109</v>
      </c>
      <c r="AG38" s="195">
        <f>N38/K38</f>
        <v>0.98778839377519834</v>
      </c>
      <c r="AH38" s="807">
        <f>AG48</f>
        <v>0.91539410774496488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2463</v>
      </c>
      <c r="H39" s="91">
        <f>F39*G39</f>
        <v>109110.9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1477.7999999999877</v>
      </c>
      <c r="O39" s="203">
        <f>N39/M39</f>
        <v>82.099999999999312</v>
      </c>
      <c r="P39" s="97">
        <f>M39-J39</f>
        <v>0</v>
      </c>
      <c r="Q39" s="98">
        <f>O39-L39</f>
        <v>-8.7888888888895735</v>
      </c>
      <c r="R39" s="99">
        <f>O39/L39</f>
        <v>0.903300733496325</v>
      </c>
      <c r="S39" s="818"/>
      <c r="T39" s="20">
        <v>0.40972222222222199</v>
      </c>
      <c r="U39" s="20">
        <v>0.47916666666666702</v>
      </c>
      <c r="V39" s="92">
        <f>(T39-U38)*24*60</f>
        <v>11.000000000000121</v>
      </c>
      <c r="W39" s="205">
        <f t="shared" si="17"/>
        <v>100.00000000000084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-158.20000000001232</v>
      </c>
      <c r="AG39" s="206">
        <f>N39/K39</f>
        <v>0.903300733496325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3251</v>
      </c>
      <c r="H40" s="91">
        <f>F40*G40</f>
        <v>144019.29999999999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1393.2857142857176</v>
      </c>
      <c r="O40" s="203">
        <f>N40/M40</f>
        <v>77.404761904762097</v>
      </c>
      <c r="P40" s="97">
        <f>M40-J40</f>
        <v>0</v>
      </c>
      <c r="Q40" s="98">
        <f>O40-L40</f>
        <v>-13.484126984126789</v>
      </c>
      <c r="R40" s="99">
        <f>O40/L40</f>
        <v>0.8516416346489718</v>
      </c>
      <c r="S40" s="749"/>
      <c r="T40" s="20">
        <v>0.54166666666666696</v>
      </c>
      <c r="U40" s="20">
        <v>0.63888888888888895</v>
      </c>
      <c r="V40" s="92">
        <f>(T40-U39)*24*60</f>
        <v>89.999999999999915</v>
      </c>
      <c r="W40" s="205">
        <f t="shared" si="17"/>
        <v>139.99999999999966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-242.71428571428237</v>
      </c>
      <c r="AG40" s="206">
        <f>N40/K40</f>
        <v>0.85164163464897169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7"/>
        <v>0</v>
      </c>
      <c r="X41" s="208"/>
      <c r="Y41" s="209"/>
      <c r="Z41" s="337"/>
      <c r="AA41" s="337"/>
      <c r="AB41" s="789"/>
      <c r="AC41" s="789"/>
      <c r="AD41" s="92"/>
      <c r="AE41" s="92"/>
      <c r="AF41" s="314"/>
      <c r="AG41" s="206"/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7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17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17.333333333333332</v>
      </c>
      <c r="N48" s="155">
        <f t="shared" si="29"/>
        <v>1521.3850070721317</v>
      </c>
      <c r="O48" s="158">
        <f t="shared" si="29"/>
        <v>88.440531195976519</v>
      </c>
      <c r="P48" s="221">
        <f>M48-J48</f>
        <v>0</v>
      </c>
      <c r="Q48" s="222">
        <f>N48-K48</f>
        <v>-140.61499292786834</v>
      </c>
      <c r="R48" s="223">
        <f t="shared" ref="R48:R53" si="30">O48/L48</f>
        <v>0.91837674815301806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31">N48-K48</f>
        <v>-140.61499292786834</v>
      </c>
      <c r="AG48" s="162">
        <f t="shared" ref="AG48:AG52" si="32">N48/K48</f>
        <v>0.91539410774496488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886</v>
      </c>
      <c r="H49" s="134">
        <f>F49*G49</f>
        <v>43874.720000000001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1518.8571428571795</v>
      </c>
      <c r="O49" s="141">
        <f>N49/M49</f>
        <v>89.344537815128206</v>
      </c>
      <c r="P49" s="229">
        <f>M49-J49</f>
        <v>0</v>
      </c>
      <c r="Q49" s="230">
        <f>O49-L49</f>
        <v>-16.537815126048258</v>
      </c>
      <c r="R49" s="52">
        <f t="shared" si="30"/>
        <v>0.84380952380954422</v>
      </c>
      <c r="S49" s="748">
        <f>R58</f>
        <v>0.8602904672632059</v>
      </c>
      <c r="T49" s="191">
        <v>0.29166666666666702</v>
      </c>
      <c r="U49" s="191">
        <v>0.31597222222222199</v>
      </c>
      <c r="V49" s="55"/>
      <c r="W49" s="193">
        <f t="shared" si="17"/>
        <v>34.999999999999154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1"/>
        <v>-281.1428571428205</v>
      </c>
      <c r="AG49" s="52">
        <f t="shared" si="32"/>
        <v>0.84380952380954422</v>
      </c>
      <c r="AH49" s="784">
        <f>AG58</f>
        <v>0.860041127812742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2453</v>
      </c>
      <c r="H50" s="231">
        <f>F50*G50</f>
        <v>123358.917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1350.2752293577892</v>
      </c>
      <c r="O50" s="235">
        <f>N50/M50</f>
        <v>79.427954668105244</v>
      </c>
      <c r="P50" s="74">
        <f>M50-J50</f>
        <v>0</v>
      </c>
      <c r="Q50" s="83">
        <f>O50-L50</f>
        <v>-16.807339449541814</v>
      </c>
      <c r="R50" s="72">
        <f t="shared" si="30"/>
        <v>0.82535160718691269</v>
      </c>
      <c r="S50" s="749"/>
      <c r="T50" s="21">
        <v>0.32083333333333303</v>
      </c>
      <c r="U50" s="21">
        <v>0.39652777777777798</v>
      </c>
      <c r="V50" s="30">
        <f>(T50-U49)*24*60</f>
        <v>6.9999999999998952</v>
      </c>
      <c r="W50" s="236">
        <f t="shared" si="17"/>
        <v>109.00000000000074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31"/>
        <v>-285.72477064221084</v>
      </c>
      <c r="AG50" s="72">
        <f t="shared" si="32"/>
        <v>0.82535160718691269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2074</v>
      </c>
      <c r="H51" s="231">
        <f>F51*G51</f>
        <v>103637.78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1536.296296296297</v>
      </c>
      <c r="O51" s="235">
        <f>N51/M51</f>
        <v>96.018518518518562</v>
      </c>
      <c r="P51" s="74">
        <f>M51-J51</f>
        <v>0</v>
      </c>
      <c r="Q51" s="83">
        <f>O51-L51</f>
        <v>-16.481481481481438</v>
      </c>
      <c r="R51" s="72">
        <f t="shared" si="30"/>
        <v>0.85349794238683163</v>
      </c>
      <c r="S51" s="749"/>
      <c r="T51" s="21">
        <v>0.40208333333333302</v>
      </c>
      <c r="U51" s="19">
        <v>0.45833333333333298</v>
      </c>
      <c r="V51" s="30">
        <f>(T51-U50)*24*60</f>
        <v>7.9999999999992522</v>
      </c>
      <c r="W51" s="236">
        <f t="shared" si="17"/>
        <v>80.999999999999957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31"/>
        <v>-263.70370370370301</v>
      </c>
      <c r="AG51" s="72">
        <f t="shared" si="32"/>
        <v>0.85349794238683163</v>
      </c>
      <c r="AH51" s="785"/>
    </row>
    <row r="52" spans="1:34" ht="15" customHeight="1">
      <c r="A52" s="812"/>
      <c r="B52" s="75" t="s">
        <v>116</v>
      </c>
      <c r="C52" s="86"/>
      <c r="D52" s="59" t="s">
        <v>127</v>
      </c>
      <c r="E52" s="87"/>
      <c r="F52" s="75">
        <f>VLOOKUP(D52,廠價表!$C$1:$E$43,3,0)</f>
        <v>49.52</v>
      </c>
      <c r="G52" s="202">
        <v>1518</v>
      </c>
      <c r="H52" s="231">
        <f>F52*G52</f>
        <v>75171.360000000001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233">
        <v>17</v>
      </c>
      <c r="N52" s="234">
        <f>G52/W52*60</f>
        <v>1597.89473684212</v>
      </c>
      <c r="O52" s="235">
        <f>N52/M52</f>
        <v>93.993808049536469</v>
      </c>
      <c r="P52" s="74">
        <f>M52-J52</f>
        <v>0</v>
      </c>
      <c r="Q52" s="83">
        <f>O52-L52</f>
        <v>-11.888544891639995</v>
      </c>
      <c r="R52" s="72">
        <f t="shared" si="30"/>
        <v>0.88771929824562223</v>
      </c>
      <c r="S52" s="749"/>
      <c r="T52" s="21">
        <v>0.51736111111111105</v>
      </c>
      <c r="U52" s="21">
        <v>0.55694444444444402</v>
      </c>
      <c r="V52" s="30">
        <f>(T52-U51)*24*60</f>
        <v>85.000000000000412</v>
      </c>
      <c r="W52" s="236">
        <f t="shared" si="17"/>
        <v>56.999999999999474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1"/>
        <v>-202.10526315788002</v>
      </c>
      <c r="AG52" s="72">
        <f t="shared" si="32"/>
        <v>0.88771929824562223</v>
      </c>
      <c r="AH52" s="785"/>
    </row>
    <row r="53" spans="1:34" ht="15" customHeight="1">
      <c r="A53" s="812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f>3522+202</f>
        <v>3724</v>
      </c>
      <c r="H53" s="231">
        <f>F53*G53</f>
        <v>186088.28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1596.0000000000039</v>
      </c>
      <c r="O53" s="235">
        <f>N53/M53</f>
        <v>99.750000000000242</v>
      </c>
      <c r="P53" s="74">
        <f>M53-J53</f>
        <v>0</v>
      </c>
      <c r="Q53" s="83">
        <f>O53-L53</f>
        <v>-12.749999999999758</v>
      </c>
      <c r="R53" s="72">
        <f t="shared" si="30"/>
        <v>0.88666666666666882</v>
      </c>
      <c r="S53" s="749"/>
      <c r="T53" s="21">
        <v>0.5625</v>
      </c>
      <c r="U53" s="21">
        <v>0.65972222222222199</v>
      </c>
      <c r="V53" s="30">
        <f>(T53-U52)*24*60</f>
        <v>8.0000000000006111</v>
      </c>
      <c r="W53" s="236">
        <f t="shared" si="17"/>
        <v>139.99999999999966</v>
      </c>
      <c r="X53" s="30"/>
      <c r="Y53" s="151"/>
      <c r="Z53" s="90"/>
      <c r="AA53" s="90"/>
      <c r="AB53" s="789"/>
      <c r="AC53" s="789"/>
      <c r="AD53" s="92"/>
      <c r="AE53" s="92"/>
      <c r="AF53" s="307">
        <f>N53-K53</f>
        <v>-203.99999999999613</v>
      </c>
      <c r="AG53" s="72">
        <f>N53/K53</f>
        <v>0.88666666666666882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7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7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7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7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1767.2</v>
      </c>
      <c r="L58" s="117">
        <f t="shared" si="33"/>
        <v>106.6</v>
      </c>
      <c r="M58" s="120">
        <f t="shared" si="33"/>
        <v>16.600000000000001</v>
      </c>
      <c r="N58" s="120">
        <f t="shared" si="33"/>
        <v>1519.8646810706778</v>
      </c>
      <c r="O58" s="117">
        <f t="shared" si="33"/>
        <v>91.706963810257747</v>
      </c>
      <c r="P58" s="121">
        <f>M58-J58</f>
        <v>0</v>
      </c>
      <c r="Q58" s="122">
        <f>N58-K58</f>
        <v>-247.33531892932228</v>
      </c>
      <c r="R58" s="123">
        <f>O58/L58</f>
        <v>0.8602904672632059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3" si="34">N58-K58</f>
        <v>-247.33531892932228</v>
      </c>
      <c r="AG58" s="124">
        <f t="shared" ref="AG58:AG63" si="35">N58/K58</f>
        <v>0.860041127812742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2034</v>
      </c>
      <c r="H59" s="243">
        <f>F59*G59</f>
        <v>54897.659999999996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1435.7647058823727</v>
      </c>
      <c r="O59" s="138">
        <f>N59/M59</f>
        <v>95.717647058824852</v>
      </c>
      <c r="P59" s="56">
        <f>M59-J59</f>
        <v>0</v>
      </c>
      <c r="Q59" s="230">
        <f>O59-L59</f>
        <v>-13.349019607841811</v>
      </c>
      <c r="R59" s="52">
        <f>O59/L59</f>
        <v>0.87760678843665818</v>
      </c>
      <c r="S59" s="748">
        <f>R69</f>
        <v>0.93747324753550376</v>
      </c>
      <c r="T59" s="245">
        <v>0.29166666666666702</v>
      </c>
      <c r="U59" s="245">
        <v>0.35069444444444398</v>
      </c>
      <c r="V59" s="55"/>
      <c r="W59" s="54">
        <f t="shared" si="17"/>
        <v>84.99999999999882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34"/>
        <v>-200.23529411762729</v>
      </c>
      <c r="AG59" s="246">
        <f t="shared" si="35"/>
        <v>0.87760678843665818</v>
      </c>
      <c r="AH59" s="784">
        <f>AG69</f>
        <v>0.93105790549160306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1454</v>
      </c>
      <c r="H60" s="78">
        <f>F60*G60</f>
        <v>41090.04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1586.1818181817937</v>
      </c>
      <c r="O60" s="81">
        <f>N60/M60</f>
        <v>144.19834710743578</v>
      </c>
      <c r="P60" s="74">
        <f>M60-J60</f>
        <v>0</v>
      </c>
      <c r="Q60" s="83">
        <f>O60-L60</f>
        <v>-4.5289256198369401</v>
      </c>
      <c r="R60" s="72">
        <f>O60/L60</f>
        <v>0.9695487886196783</v>
      </c>
      <c r="S60" s="829"/>
      <c r="T60" s="22">
        <v>0.36458333333333298</v>
      </c>
      <c r="U60" s="22">
        <v>0.40277777777777801</v>
      </c>
      <c r="V60" s="30">
        <f>(T60-U59)*24*60</f>
        <v>20.000000000000171</v>
      </c>
      <c r="W60" s="248">
        <f t="shared" si="17"/>
        <v>55.000000000000846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34"/>
        <v>-49.818181818206313</v>
      </c>
      <c r="AG60" s="249">
        <f t="shared" si="35"/>
        <v>0.9695487886196783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1233</v>
      </c>
      <c r="H61" s="254">
        <f>F61*G61</f>
        <v>34844.58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1541.2500000000157</v>
      </c>
      <c r="O61" s="238">
        <f>N61/M61</f>
        <v>140.1136363636378</v>
      </c>
      <c r="P61" s="111">
        <f>M61-J61</f>
        <v>0</v>
      </c>
      <c r="Q61" s="255">
        <f>O61-L61</f>
        <v>-8.6136363636349245</v>
      </c>
      <c r="R61" s="85">
        <f>O61/L61</f>
        <v>0.94208435207824925</v>
      </c>
      <c r="S61" s="749"/>
      <c r="T61" s="22">
        <v>0.41111111111111098</v>
      </c>
      <c r="U61" s="22">
        <v>0.44444444444444398</v>
      </c>
      <c r="V61" s="30">
        <f>(T61-U60)*24*60</f>
        <v>11.999999999999478</v>
      </c>
      <c r="W61" s="256">
        <f t="shared" si="17"/>
        <v>47.99999999999951</v>
      </c>
      <c r="X61" s="22"/>
      <c r="Y61" s="84"/>
      <c r="Z61" s="90"/>
      <c r="AA61" s="90"/>
      <c r="AB61" s="789"/>
      <c r="AC61" s="789"/>
      <c r="AD61" s="92"/>
      <c r="AE61" s="92"/>
      <c r="AF61" s="317">
        <f t="shared" si="34"/>
        <v>-94.749999999984311</v>
      </c>
      <c r="AG61" s="247">
        <f t="shared" si="35"/>
        <v>0.94208435207824914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1405+213</f>
        <v>1618</v>
      </c>
      <c r="H62" s="254">
        <f t="shared" ref="H62:H63" si="36">F62*G62</f>
        <v>45724.68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7">K62/J62</f>
        <v>148.72727272727272</v>
      </c>
      <c r="M62" s="108">
        <v>11</v>
      </c>
      <c r="N62" s="107">
        <f t="shared" ref="N62:N63" si="38">G62/W62*60</f>
        <v>1617.9999999999864</v>
      </c>
      <c r="O62" s="238">
        <f t="shared" ref="O62:O63" si="39">N62/M62</f>
        <v>147.09090909090784</v>
      </c>
      <c r="P62" s="111">
        <f t="shared" ref="P62:P63" si="40">M62-J62</f>
        <v>0</v>
      </c>
      <c r="Q62" s="255">
        <f t="shared" ref="Q62:Q63" si="41">O62-L62</f>
        <v>-1.6363636363648766</v>
      </c>
      <c r="R62" s="85">
        <f t="shared" ref="R62:R63" si="42">O62/L62</f>
        <v>0.98899755501221664</v>
      </c>
      <c r="S62" s="749"/>
      <c r="T62" s="22">
        <v>0.45486111111111099</v>
      </c>
      <c r="U62" s="22">
        <v>0.49652777777777801</v>
      </c>
      <c r="V62" s="30">
        <f>(T62-U61)*24*60</f>
        <v>15.000000000000506</v>
      </c>
      <c r="W62" s="248">
        <f t="shared" si="17"/>
        <v>60.000000000000504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34"/>
        <v>-18.000000000013642</v>
      </c>
      <c r="AG62" s="247">
        <f t="shared" si="35"/>
        <v>0.98899755501221664</v>
      </c>
      <c r="AH62" s="785"/>
    </row>
    <row r="63" spans="1:34" ht="15" customHeight="1">
      <c r="A63" s="827"/>
      <c r="B63" s="258" t="s">
        <v>130</v>
      </c>
      <c r="C63" s="58"/>
      <c r="D63" s="259" t="s">
        <v>131</v>
      </c>
      <c r="E63" s="60"/>
      <c r="F63" s="250">
        <f>VLOOKUP(D63,廠價表!$C$1:$E$43,3,0)</f>
        <v>26.99</v>
      </c>
      <c r="G63" s="260">
        <v>1674</v>
      </c>
      <c r="H63" s="254">
        <f t="shared" si="36"/>
        <v>45181.259999999995</v>
      </c>
      <c r="I63" s="182"/>
      <c r="J63" s="106">
        <f>VLOOKUP(D63,產線配置圖!$A$3:$C$40,2,0)</f>
        <v>15</v>
      </c>
      <c r="K63" s="107">
        <f>VLOOKUP(D63,產線配置圖!$A$3:$C$40,3,0)</f>
        <v>1636</v>
      </c>
      <c r="L63" s="238">
        <f t="shared" si="37"/>
        <v>109.06666666666666</v>
      </c>
      <c r="M63" s="68">
        <v>15</v>
      </c>
      <c r="N63" s="107">
        <f t="shared" si="38"/>
        <v>1434.8571428571445</v>
      </c>
      <c r="O63" s="238">
        <f t="shared" si="39"/>
        <v>95.657142857142972</v>
      </c>
      <c r="P63" s="111">
        <f t="shared" si="40"/>
        <v>0</v>
      </c>
      <c r="Q63" s="255">
        <f t="shared" si="41"/>
        <v>-13.409523809523691</v>
      </c>
      <c r="R63" s="85">
        <f t="shared" si="42"/>
        <v>0.87705204331121311</v>
      </c>
      <c r="S63" s="749"/>
      <c r="T63" s="22">
        <v>0.56597222222222199</v>
      </c>
      <c r="U63" s="22">
        <v>0.61458333333333304</v>
      </c>
      <c r="V63" s="30">
        <f>(T63-U62)*24*60</f>
        <v>99.999999999999318</v>
      </c>
      <c r="W63" s="248">
        <f t="shared" si="17"/>
        <v>69.999999999999915</v>
      </c>
      <c r="X63" s="261"/>
      <c r="Y63" s="291"/>
      <c r="Z63" s="335"/>
      <c r="AA63" s="335"/>
      <c r="AB63" s="789"/>
      <c r="AC63" s="789"/>
      <c r="AD63" s="92"/>
      <c r="AE63" s="92"/>
      <c r="AF63" s="317">
        <f t="shared" si="34"/>
        <v>-201.14285714285552</v>
      </c>
      <c r="AG63" s="247">
        <f t="shared" si="35"/>
        <v>0.877052043311213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7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17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7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7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7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43">AVERAGE(J59:J68)</f>
        <v>12.6</v>
      </c>
      <c r="K69" s="415">
        <f t="shared" si="43"/>
        <v>1636</v>
      </c>
      <c r="L69" s="416">
        <f t="shared" si="43"/>
        <v>132.86303030303029</v>
      </c>
      <c r="M69" s="415">
        <f t="shared" si="43"/>
        <v>12.6</v>
      </c>
      <c r="N69" s="415">
        <f t="shared" si="43"/>
        <v>1523.2107333842625</v>
      </c>
      <c r="O69" s="416">
        <f t="shared" si="43"/>
        <v>124.55553649558985</v>
      </c>
      <c r="P69" s="417">
        <f>M69-J69</f>
        <v>0</v>
      </c>
      <c r="Q69" s="418">
        <f>N69-K69</f>
        <v>-112.78926661573746</v>
      </c>
      <c r="R69" s="419">
        <f>O69/L69</f>
        <v>0.93747324753550376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-112.78926661573746</v>
      </c>
      <c r="AG69" s="124">
        <f>N69/K69</f>
        <v>0.93105790549160306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400"/>
      <c r="F70" s="401">
        <f>VLOOKUP(D70,廠價表!$C$1:$E$43,3,0)</f>
        <v>43.89</v>
      </c>
      <c r="G70" s="402">
        <f>628+12</f>
        <v>640</v>
      </c>
      <c r="H70" s="403">
        <f>F70*G70</f>
        <v>28089.599999999999</v>
      </c>
      <c r="I70" s="402"/>
      <c r="J70" s="404">
        <f>VLOOKUP(D70,產線配置圖!$A$3:$C$40,2,0)</f>
        <v>14</v>
      </c>
      <c r="K70" s="405">
        <f>VLOOKUP(D70,產線配置圖!$A$3:$C$40,3,0)</f>
        <v>1565</v>
      </c>
      <c r="L70" s="406">
        <f>K70/J70</f>
        <v>111.78571428571429</v>
      </c>
      <c r="M70" s="407">
        <v>9</v>
      </c>
      <c r="N70" s="405">
        <f>G70/W70*60</f>
        <v>711.1111111111104</v>
      </c>
      <c r="O70" s="406">
        <f>N70/M70</f>
        <v>79.01234567901227</v>
      </c>
      <c r="P70" s="408">
        <f>M70-J70</f>
        <v>-5</v>
      </c>
      <c r="Q70" s="409">
        <f>O70-L70</f>
        <v>-32.773368606702022</v>
      </c>
      <c r="R70" s="410">
        <f>O70/L70</f>
        <v>0.70681970575474229</v>
      </c>
      <c r="S70" s="817">
        <f>R79</f>
        <v>0.87316309975201756</v>
      </c>
      <c r="T70" s="245">
        <v>0.31874999999999998</v>
      </c>
      <c r="U70" s="245">
        <v>0.35625000000000001</v>
      </c>
      <c r="V70" s="55"/>
      <c r="W70" s="54">
        <f t="shared" si="17"/>
        <v>54.00000000000005</v>
      </c>
      <c r="X70" s="270"/>
      <c r="Y70" s="292"/>
      <c r="Z70" s="169"/>
      <c r="AA70" s="169"/>
      <c r="AB70" s="791" t="s">
        <v>149</v>
      </c>
      <c r="AC70" s="791"/>
      <c r="AD70" s="135"/>
      <c r="AE70" s="135"/>
      <c r="AF70" s="310">
        <f>N70-K70</f>
        <v>-853.8888888888896</v>
      </c>
      <c r="AG70" s="246">
        <f>N70/K70</f>
        <v>0.45438409655662004</v>
      </c>
      <c r="AH70" s="784">
        <f>AG79</f>
        <v>0.6812515665751171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401">
        <f>VLOOKUP(D71,廠價表!$C$1:$E$43,3,0)</f>
        <v>43.89</v>
      </c>
      <c r="G71" s="391">
        <f>2722+29</f>
        <v>2751</v>
      </c>
      <c r="H71" s="403">
        <f t="shared" ref="H71:H72" si="44">F71*G71</f>
        <v>120741.39</v>
      </c>
      <c r="I71" s="420"/>
      <c r="J71" s="404">
        <f>VLOOKUP(D71,產線配置圖!$A$3:$C$40,2,0)</f>
        <v>13</v>
      </c>
      <c r="K71" s="405">
        <f>VLOOKUP(D71,產線配置圖!$A$3:$C$40,3,0)</f>
        <v>1565</v>
      </c>
      <c r="L71" s="406">
        <f t="shared" ref="L71:L72" si="45">K71/J71</f>
        <v>120.38461538461539</v>
      </c>
      <c r="M71" s="396">
        <v>10</v>
      </c>
      <c r="N71" s="405">
        <f t="shared" ref="N71:N72" si="46">G71/W71*60</f>
        <v>1122.8571428571468</v>
      </c>
      <c r="O71" s="406">
        <f t="shared" ref="O71:O72" si="47">N71/M71</f>
        <v>112.28571428571468</v>
      </c>
      <c r="P71" s="408">
        <f t="shared" ref="P71:P72" si="48">M71-J71</f>
        <v>-3</v>
      </c>
      <c r="Q71" s="409">
        <f t="shared" ref="Q71:Q72" si="49">O71-L71</f>
        <v>-8.0989010989007113</v>
      </c>
      <c r="R71" s="410">
        <f t="shared" ref="R71:R72" si="50">O71/L71</f>
        <v>0.93272478320401964</v>
      </c>
      <c r="S71" s="818"/>
      <c r="T71" s="22">
        <v>0.37152777777777801</v>
      </c>
      <c r="U71" s="22">
        <v>0.47361111111111098</v>
      </c>
      <c r="V71" s="30">
        <f>(T71-U70)*24*60</f>
        <v>22.00000000000032</v>
      </c>
      <c r="W71" s="73">
        <f t="shared" si="17"/>
        <v>146.99999999999949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30" t="s">
        <v>130</v>
      </c>
      <c r="C72" s="151"/>
      <c r="D72" s="59" t="s">
        <v>134</v>
      </c>
      <c r="E72" s="87"/>
      <c r="F72" s="401">
        <f>VLOOKUP(D72,廠價表!$C$1:$E$43,3,0)</f>
        <v>28.26</v>
      </c>
      <c r="G72" s="30">
        <v>1719</v>
      </c>
      <c r="H72" s="403">
        <f t="shared" si="44"/>
        <v>48578.94</v>
      </c>
      <c r="I72" s="392"/>
      <c r="J72" s="404">
        <f>VLOOKUP(D72,產線配置圖!$A$3:$C$40,2,0)</f>
        <v>11</v>
      </c>
      <c r="K72" s="405">
        <f>VLOOKUP(D72,產線配置圖!$A$3:$C$40,3,0)</f>
        <v>1636</v>
      </c>
      <c r="L72" s="406">
        <f t="shared" si="45"/>
        <v>148.72727272727272</v>
      </c>
      <c r="M72" s="108">
        <v>10</v>
      </c>
      <c r="N72" s="405">
        <f t="shared" si="46"/>
        <v>1412.8767123287507</v>
      </c>
      <c r="O72" s="406">
        <f t="shared" si="47"/>
        <v>141.28767123287508</v>
      </c>
      <c r="P72" s="408">
        <f t="shared" si="48"/>
        <v>-1</v>
      </c>
      <c r="Q72" s="409">
        <f t="shared" si="49"/>
        <v>-7.4396014943976354</v>
      </c>
      <c r="R72" s="410">
        <f t="shared" si="50"/>
        <v>0.94997822956089606</v>
      </c>
      <c r="S72" s="749"/>
      <c r="T72" s="22">
        <v>0.54444444444444395</v>
      </c>
      <c r="U72" s="22">
        <v>0.59513888888888899</v>
      </c>
      <c r="V72" s="30">
        <f>(T72-U71)*24*60</f>
        <v>101.99999999999947</v>
      </c>
      <c r="W72" s="73">
        <f t="shared" si="17"/>
        <v>73.000000000000853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7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17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17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17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17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7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51">AVERAGE(J70:J78)</f>
        <v>12.666666666666666</v>
      </c>
      <c r="K79" s="240">
        <f t="shared" si="51"/>
        <v>1588.6666666666667</v>
      </c>
      <c r="L79" s="268">
        <f t="shared" si="51"/>
        <v>126.96586746586748</v>
      </c>
      <c r="M79" s="240">
        <f t="shared" si="51"/>
        <v>9.6666666666666661</v>
      </c>
      <c r="N79" s="240">
        <f t="shared" si="51"/>
        <v>1082.281655432336</v>
      </c>
      <c r="O79" s="268">
        <f t="shared" si="51"/>
        <v>110.86191039920068</v>
      </c>
      <c r="P79" s="269">
        <f>M79-J79</f>
        <v>-3</v>
      </c>
      <c r="Q79" s="222">
        <f>N79-K79</f>
        <v>-506.3850112343307</v>
      </c>
      <c r="R79" s="223">
        <f>O79/L79</f>
        <v>0.87316309975201756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-506.3850112343307</v>
      </c>
      <c r="AG79" s="124">
        <f>N79/K79</f>
        <v>0.6812515665751171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13:AC13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D3:AE3"/>
    <mergeCell ref="AF3:AF4"/>
    <mergeCell ref="AG3:AG4"/>
    <mergeCell ref="AF1:AH2"/>
    <mergeCell ref="AB1:AC2"/>
    <mergeCell ref="W3:W4"/>
    <mergeCell ref="X3:Y3"/>
    <mergeCell ref="Z3:AA3"/>
    <mergeCell ref="AH3:AH4"/>
    <mergeCell ref="P1:S2"/>
    <mergeCell ref="T1:Y2"/>
    <mergeCell ref="S3:S4"/>
    <mergeCell ref="V3:V4"/>
    <mergeCell ref="P3:P4"/>
    <mergeCell ref="Q3:Q4"/>
    <mergeCell ref="R3:R4"/>
    <mergeCell ref="T3:U3"/>
    <mergeCell ref="J3:J4"/>
    <mergeCell ref="K3:K4"/>
    <mergeCell ref="L3:L4"/>
    <mergeCell ref="M3:M4"/>
    <mergeCell ref="N3:N4"/>
    <mergeCell ref="O3:O4"/>
    <mergeCell ref="A2:B2"/>
    <mergeCell ref="A3:A4"/>
    <mergeCell ref="B3:B4"/>
    <mergeCell ref="D3:E4"/>
    <mergeCell ref="F3:F4"/>
    <mergeCell ref="G3:G4"/>
    <mergeCell ref="J1:L2"/>
    <mergeCell ref="M1:O2"/>
    <mergeCell ref="H3:H4"/>
    <mergeCell ref="I3:I4"/>
  </mergeCells>
  <phoneticPr fontId="0" type="noConversion"/>
  <conditionalFormatting sqref="P5:P79">
    <cfRule type="cellIs" dxfId="228" priority="1" operator="greaterThan">
      <formula>0</formula>
    </cfRule>
  </conditionalFormatting>
  <conditionalFormatting sqref="Q5:Q79 AF5:AF79">
    <cfRule type="cellIs" dxfId="227" priority="4" operator="lessThan">
      <formula>0</formula>
    </cfRule>
  </conditionalFormatting>
  <conditionalFormatting sqref="R5:R79 AG5:AG79">
    <cfRule type="cellIs" dxfId="226" priority="2" operator="greaterThan">
      <formula>1</formula>
    </cfRule>
    <cfRule type="cellIs" dxfId="225" priority="3" operator="lessThan">
      <formula>0.8</formula>
    </cfRule>
  </conditionalFormatting>
  <conditionalFormatting sqref="S5:S10 S37:S62 AH59:AH62 S69:S76 AH69:AH76">
    <cfRule type="cellIs" dxfId="224" priority="7" operator="lessThan">
      <formula>0.8</formula>
    </cfRule>
  </conditionalFormatting>
  <conditionalFormatting sqref="S19:S25 AH19:AH25">
    <cfRule type="cellIs" dxfId="223" priority="6" operator="lessThan">
      <formula>0.8</formula>
    </cfRule>
  </conditionalFormatting>
  <conditionalFormatting sqref="S79">
    <cfRule type="cellIs" dxfId="222" priority="5" operator="lessThan">
      <formula>0.8</formula>
    </cfRule>
  </conditionalFormatting>
  <conditionalFormatting sqref="AH5:AH8 S15:S16 AH15:AH16 AH49 AH79">
    <cfRule type="cellIs" dxfId="221" priority="9" operator="lessThan">
      <formula>0.8</formula>
    </cfRule>
  </conditionalFormatting>
  <conditionalFormatting sqref="AH27 S27:S28">
    <cfRule type="cellIs" dxfId="2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40E06C-223D-4420-B0C7-564099C70A59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4F6E3-866F-4935-ABD0-CF01A7A7D7C3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DATE(2026,8,10)</f>
        <v>46244</v>
      </c>
      <c r="E3" s="706"/>
      <c r="F3" s="3" t="s">
        <v>72</v>
      </c>
      <c r="G3" s="707">
        <f>'0810'!E1</f>
        <v>65202</v>
      </c>
      <c r="H3" s="707"/>
      <c r="I3" s="3" t="s">
        <v>2</v>
      </c>
      <c r="J3" s="708">
        <f>'0810'!G1</f>
        <v>3029649.28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126.87571135913574</v>
      </c>
      <c r="G6" s="713"/>
      <c r="H6" s="714">
        <f>AVERAGE(D13:H13)</f>
        <v>124.07379210658621</v>
      </c>
      <c r="I6" s="714"/>
      <c r="J6" s="714">
        <f>AVERAGE(I13:J13)</f>
        <v>133.8805094905095</v>
      </c>
      <c r="K6" s="714"/>
      <c r="L6" s="716">
        <f>'0810'!Z2</f>
        <v>0</v>
      </c>
      <c r="M6" s="717">
        <f>'0810'!AA2</f>
        <v>0</v>
      </c>
      <c r="N6" s="718">
        <f>'0810'!AD2</f>
        <v>0</v>
      </c>
      <c r="O6" s="717">
        <f>'0810'!AE2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116.23978031101298</v>
      </c>
      <c r="G7" s="737"/>
      <c r="H7" s="738">
        <f>AVERAGE(D14:H14)</f>
        <v>113.66864101427753</v>
      </c>
      <c r="I7" s="738"/>
      <c r="J7" s="738">
        <f>AVERAGE(I14:J14)</f>
        <v>122.66762855285162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0.91911702272729967</v>
      </c>
      <c r="G8" s="710"/>
      <c r="H8" s="710">
        <f>AVERAGE(D15:H15)</f>
        <v>0.91929780705877528</v>
      </c>
      <c r="I8" s="710"/>
      <c r="J8" s="710">
        <f>AVERAGE(I15:J15)</f>
        <v>0.91866506189861086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VALUE('0810'!L15)</f>
        <v>151.08597285067873</v>
      </c>
      <c r="E13" s="13">
        <f>VALUE('0810'!L26)</f>
        <v>174.03846153846155</v>
      </c>
      <c r="F13" s="13">
        <f>VALUE('0810'!L37)</f>
        <v>95.62602124183006</v>
      </c>
      <c r="G13" s="13">
        <f>VALUE('0810'!L48)</f>
        <v>94.947916666666657</v>
      </c>
      <c r="H13" s="13">
        <f>VALUE('0810'!L58)</f>
        <v>104.67058823529412</v>
      </c>
      <c r="I13" s="13">
        <f>VALUE('0810'!L69)</f>
        <v>140.79515151515153</v>
      </c>
      <c r="J13" s="13">
        <f>'0810'!L79</f>
        <v>126.96586746586748</v>
      </c>
    </row>
    <row r="14" spans="2:15" ht="39.950000000000003" customHeight="1">
      <c r="B14" s="731"/>
      <c r="C14" s="12" t="s">
        <v>100</v>
      </c>
      <c r="D14" s="13">
        <f>VALUE('0810'!O15)</f>
        <v>142.00240965984366</v>
      </c>
      <c r="E14" s="13">
        <f>VALUE('0810'!O26)</f>
        <v>154.25573849598538</v>
      </c>
      <c r="F14" s="13">
        <f>VALUE('0810'!O37)</f>
        <v>88.527383164374058</v>
      </c>
      <c r="G14" s="13">
        <f>VALUE('0810'!O48)</f>
        <v>92.857112794612888</v>
      </c>
      <c r="H14" s="13">
        <f>VALUE('0810'!O58)</f>
        <v>90.700560956571664</v>
      </c>
      <c r="I14" s="13">
        <f>VALUE('0810'!O69)</f>
        <v>122.75207792207922</v>
      </c>
      <c r="J14" s="13">
        <f>'0810'!O79</f>
        <v>122.58317918362404</v>
      </c>
    </row>
    <row r="15" spans="2:15" ht="39.950000000000003" customHeight="1">
      <c r="B15" s="732"/>
      <c r="C15" s="10" t="s">
        <v>26</v>
      </c>
      <c r="D15" s="14">
        <f t="shared" ref="D15:I15" si="0">D14/D13</f>
        <v>0.93987818313343663</v>
      </c>
      <c r="E15" s="14">
        <f t="shared" si="0"/>
        <v>0.88633131511505414</v>
      </c>
      <c r="F15" s="14">
        <f t="shared" si="0"/>
        <v>0.92576666910040994</v>
      </c>
      <c r="G15" s="14">
        <f t="shared" si="0"/>
        <v>0.9779794655274644</v>
      </c>
      <c r="H15" s="14">
        <f t="shared" si="0"/>
        <v>0.86653340241751053</v>
      </c>
      <c r="I15" s="14">
        <f t="shared" si="0"/>
        <v>0.87184875758217695</v>
      </c>
      <c r="J15" s="15">
        <f>'0810'!S70</f>
        <v>0.96548136621504477</v>
      </c>
    </row>
    <row r="16" spans="2:15" ht="17.25" customHeight="1">
      <c r="B16" s="733" t="s">
        <v>101</v>
      </c>
      <c r="C16" s="10" t="s">
        <v>34</v>
      </c>
      <c r="D16" s="16">
        <f>'0810'!T5</f>
        <v>0.29305555555555601</v>
      </c>
      <c r="E16" s="16">
        <f>'0810'!T16</f>
        <v>0.29166666666666702</v>
      </c>
      <c r="F16" s="16">
        <f>'0810'!T27</f>
        <v>0.29166666666666702</v>
      </c>
      <c r="G16" s="16">
        <f>'0810'!T38</f>
        <v>0.33333333333333298</v>
      </c>
      <c r="H16" s="16">
        <f>'0810'!T49</f>
        <v>0.29166666666666702</v>
      </c>
      <c r="I16" s="16">
        <f>'0810'!T59</f>
        <v>0.29166666666666702</v>
      </c>
      <c r="J16" s="17">
        <f>'0810'!T70</f>
        <v>0.29861111111111099</v>
      </c>
    </row>
    <row r="17" spans="2:10" ht="17.25" customHeight="1">
      <c r="B17" s="734"/>
      <c r="C17" s="10" t="s">
        <v>35</v>
      </c>
      <c r="D17" s="22">
        <v>0.63194444444444398</v>
      </c>
      <c r="E17" s="19">
        <v>0.66111111111111098</v>
      </c>
      <c r="F17" s="19">
        <v>0.59513888888888899</v>
      </c>
      <c r="G17" s="210">
        <v>0.66111111111111098</v>
      </c>
      <c r="H17" s="21">
        <v>0.68611111111111101</v>
      </c>
      <c r="I17" s="22">
        <v>0.63194444444444398</v>
      </c>
      <c r="J17" s="22">
        <v>0.50694444444444398</v>
      </c>
    </row>
    <row r="18" spans="2:10" ht="17.25" customHeight="1">
      <c r="B18" s="735" t="s">
        <v>102</v>
      </c>
      <c r="C18" s="330" t="s">
        <v>36</v>
      </c>
      <c r="D18" s="386">
        <f>'0810'!Z15</f>
        <v>0</v>
      </c>
      <c r="E18" s="387">
        <f>'0810'!Z26</f>
        <v>0</v>
      </c>
      <c r="F18" s="387">
        <f>'0810'!Z37</f>
        <v>0</v>
      </c>
      <c r="G18" s="388">
        <f>'0810'!Z48</f>
        <v>0</v>
      </c>
      <c r="H18" s="388">
        <f>'0810'!Z58</f>
        <v>0</v>
      </c>
      <c r="I18" s="387">
        <f>'0810'!Z69</f>
        <v>0</v>
      </c>
      <c r="J18" s="387">
        <f>'0810'!AA79</f>
        <v>0</v>
      </c>
    </row>
    <row r="19" spans="2:10" ht="17.25" customHeight="1">
      <c r="B19" s="736"/>
      <c r="C19" s="330" t="s">
        <v>37</v>
      </c>
      <c r="D19" s="386">
        <f>'0810'!AA15</f>
        <v>0</v>
      </c>
      <c r="E19" s="387">
        <f>'0810'!AA26</f>
        <v>0</v>
      </c>
      <c r="F19" s="387">
        <f>'0810'!AA37</f>
        <v>0</v>
      </c>
      <c r="G19" s="388">
        <f>'0810'!AA48</f>
        <v>0</v>
      </c>
      <c r="H19" s="388">
        <f>'0810'!AA58</f>
        <v>0</v>
      </c>
      <c r="I19" s="387">
        <f>'0810'!AA69</f>
        <v>0</v>
      </c>
      <c r="J19" s="387">
        <f>'0810'!AB79</f>
        <v>0</v>
      </c>
    </row>
    <row r="20" spans="2:10" ht="17.25" customHeight="1">
      <c r="B20" s="735" t="s">
        <v>103</v>
      </c>
      <c r="C20" s="330" t="s">
        <v>36</v>
      </c>
      <c r="D20" s="386">
        <f>'0810'!AD15</f>
        <v>0</v>
      </c>
      <c r="E20" s="387">
        <f>'0810'!AD26</f>
        <v>0</v>
      </c>
      <c r="F20" s="387">
        <f>'0810'!AD37</f>
        <v>0</v>
      </c>
      <c r="G20" s="388">
        <f>'0810'!AD48</f>
        <v>0</v>
      </c>
      <c r="H20" s="388">
        <f>'0810'!AD58</f>
        <v>0</v>
      </c>
      <c r="I20" s="387">
        <f>'0810'!AD69</f>
        <v>0</v>
      </c>
      <c r="J20" s="387">
        <f>'0810'!AD79</f>
        <v>0</v>
      </c>
    </row>
    <row r="21" spans="2:10" ht="17.25" customHeight="1">
      <c r="B21" s="736"/>
      <c r="C21" s="330" t="s">
        <v>85</v>
      </c>
      <c r="D21" s="386">
        <f>'0810'!AE15</f>
        <v>0</v>
      </c>
      <c r="E21" s="387">
        <f>'0810'!AE26</f>
        <v>0</v>
      </c>
      <c r="F21" s="387">
        <f>'0810'!AE37</f>
        <v>0</v>
      </c>
      <c r="G21" s="388">
        <f>'0810'!AE48</f>
        <v>0</v>
      </c>
      <c r="H21" s="388">
        <f>'0810'!AE58</f>
        <v>0</v>
      </c>
      <c r="I21" s="387">
        <f>'0810'!AE69</f>
        <v>0</v>
      </c>
      <c r="J21" s="387">
        <f>'0810'!AE79</f>
        <v>0</v>
      </c>
    </row>
    <row r="22" spans="2:10" ht="17.25" customHeight="1">
      <c r="B22" s="719" t="s">
        <v>104</v>
      </c>
      <c r="C22" s="720"/>
      <c r="D22" s="23">
        <f>VALUE('0810'!M15)</f>
        <v>15</v>
      </c>
      <c r="E22" s="23">
        <f>VALUE('0810'!M26)</f>
        <v>13</v>
      </c>
      <c r="F22" s="23">
        <f>VALUE('0810'!M37)</f>
        <v>16.666666666666668</v>
      </c>
      <c r="G22" s="23">
        <f>VALUE('0810'!M48)</f>
        <v>17.5</v>
      </c>
      <c r="H22" s="23">
        <f>VALUE('0810'!M58)</f>
        <v>16.600000000000001</v>
      </c>
      <c r="I22" s="23">
        <f>VALUE('0810'!M69)</f>
        <v>11.8</v>
      </c>
      <c r="J22" s="23">
        <f>'0810'!M79</f>
        <v>9.3333333333333339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27DD-1CB1-40EC-9093-9B6888AA6E3A}">
  <sheetPr>
    <tabColor theme="9" tint="0.79998168889431442"/>
  </sheetPr>
  <dimension ref="A1:AJ92"/>
  <sheetViews>
    <sheetView zoomScale="69" zoomScaleNormal="69" workbookViewId="0">
      <pane xSplit="5" ySplit="4" topLeftCell="H8" activePane="bottomRight" state="frozen"/>
      <selection activeCell="N17" sqref="N17"/>
      <selection pane="topRight" activeCell="N17" sqref="N17"/>
      <selection pane="bottomLeft" activeCell="N17" sqref="N17"/>
      <selection pane="bottomRight" activeCell="N17" sqref="N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65202</v>
      </c>
      <c r="F1" s="30" t="s">
        <v>2</v>
      </c>
      <c r="G1" s="31">
        <f>SUM(H5:H79)</f>
        <v>3029649.28</v>
      </c>
      <c r="H1" s="32" t="s">
        <v>3</v>
      </c>
      <c r="I1" s="33">
        <f>M15+M26+M48+M58+M69+M79+M37</f>
        <v>99.9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152</v>
      </c>
      <c r="B2" s="739"/>
      <c r="C2" s="28"/>
      <c r="D2" s="28" t="s">
        <v>14</v>
      </c>
      <c r="E2" s="35">
        <f>AVERAGE(O15,O26,O37,O48,O58,O69,O79)</f>
        <v>116.23978031101298</v>
      </c>
      <c r="F2" s="36" t="s">
        <v>15</v>
      </c>
      <c r="G2" s="37">
        <f>G1/E1</f>
        <v>46.465588172141956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1545</v>
      </c>
      <c r="H5" s="43">
        <f>F5*G5</f>
        <v>87864.15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2155.8139534883799</v>
      </c>
      <c r="O5" s="47">
        <f>N5/M5</f>
        <v>143.72093023255866</v>
      </c>
      <c r="P5" s="49">
        <f>M5-J5</f>
        <v>0</v>
      </c>
      <c r="Q5" s="50">
        <f>O5-L5</f>
        <v>-6.2790697674413423</v>
      </c>
      <c r="R5" s="51">
        <f>O5/L5</f>
        <v>0.95813953488372439</v>
      </c>
      <c r="S5" s="748">
        <f>R15</f>
        <v>0.93987818313343663</v>
      </c>
      <c r="T5" s="319">
        <v>0.29305555555555601</v>
      </c>
      <c r="U5" s="320">
        <v>0.32291666666666702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-94.186046511620134</v>
      </c>
      <c r="AG5" s="52">
        <f t="shared" ref="AG5:AG11" si="2">N5/K5</f>
        <v>0.95813953488372439</v>
      </c>
      <c r="AH5" s="784">
        <f>AG15</f>
        <v>0.94032002187938613</v>
      </c>
    </row>
    <row r="6" spans="1:34" ht="15" customHeight="1">
      <c r="A6" s="755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1949</v>
      </c>
      <c r="H6" s="78">
        <f>F6*G6</f>
        <v>98755.83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2088.2142857142812</v>
      </c>
      <c r="O6" s="81">
        <f>N6/M6</f>
        <v>122.83613445378126</v>
      </c>
      <c r="P6" s="74">
        <f>M6-J6</f>
        <v>0</v>
      </c>
      <c r="Q6" s="83">
        <f>O6-L6</f>
        <v>-9.5168067226893243</v>
      </c>
      <c r="R6" s="72">
        <f>O6/L6</f>
        <v>0.9280952380952362</v>
      </c>
      <c r="S6" s="749"/>
      <c r="T6" s="18">
        <v>0.33611111111111103</v>
      </c>
      <c r="U6" s="18">
        <v>0.375</v>
      </c>
      <c r="V6" s="30">
        <f>(T6-U5)*24*60</f>
        <v>18.999999999999375</v>
      </c>
      <c r="W6" s="73">
        <f t="shared" si="0"/>
        <v>56.000000000000121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-161.78571428571877</v>
      </c>
      <c r="AG6" s="72">
        <f t="shared" si="2"/>
        <v>0.92809523809523609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2887</v>
      </c>
      <c r="H7" s="78">
        <f t="shared" ref="H7:H9" si="3">F7*G7</f>
        <v>167936.79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2062.1428571428351</v>
      </c>
      <c r="O7" s="81">
        <f t="shared" ref="O7:O9" si="6">N7/M7</f>
        <v>158.62637362637193</v>
      </c>
      <c r="P7" s="74">
        <f t="shared" ref="P7:P9" si="7">M7-J7</f>
        <v>0</v>
      </c>
      <c r="Q7" s="83">
        <f t="shared" ref="Q7:Q9" si="8">O7-L7</f>
        <v>-14.450549450551136</v>
      </c>
      <c r="R7" s="72">
        <f t="shared" ref="R7:R9" si="9">O7/L7</f>
        <v>0.91650793650792672</v>
      </c>
      <c r="S7" s="749"/>
      <c r="T7" s="16">
        <v>0.38333333333333303</v>
      </c>
      <c r="U7" s="16">
        <v>0.44166666666666698</v>
      </c>
      <c r="V7" s="30">
        <f>(T7-U6)*24*60</f>
        <v>11.999999999999558</v>
      </c>
      <c r="W7" s="73">
        <f t="shared" si="0"/>
        <v>84.000000000000895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-187.85714285716494</v>
      </c>
      <c r="AG7" s="72">
        <f t="shared" si="2"/>
        <v>0.91650793650792672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1870</v>
      </c>
      <c r="H8" s="78">
        <f t="shared" si="3"/>
        <v>91891.8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2157.6923076923154</v>
      </c>
      <c r="O8" s="81">
        <f t="shared" si="6"/>
        <v>143.84615384615435</v>
      </c>
      <c r="P8" s="74">
        <f t="shared" si="7"/>
        <v>0</v>
      </c>
      <c r="Q8" s="83">
        <f t="shared" si="8"/>
        <v>-6.1538461538456488</v>
      </c>
      <c r="R8" s="72">
        <f t="shared" si="9"/>
        <v>0.95897435897436234</v>
      </c>
      <c r="S8" s="749"/>
      <c r="T8" s="16">
        <v>0.44861111111111102</v>
      </c>
      <c r="U8" s="16">
        <v>0.484722222222222</v>
      </c>
      <c r="V8" s="30">
        <f t="shared" ref="V8:V9" si="10">(T8-U7)*24*60</f>
        <v>9.9999999999994049</v>
      </c>
      <c r="W8" s="73">
        <f t="shared" si="0"/>
        <v>51.999999999999815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-92.307692307684647</v>
      </c>
      <c r="AG8" s="72">
        <f t="shared" si="2"/>
        <v>0.95897435897436234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f>3901+117</f>
        <v>4018</v>
      </c>
      <c r="H9" s="78">
        <f t="shared" si="3"/>
        <v>197444.52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2114.7368421052829</v>
      </c>
      <c r="O9" s="81">
        <f t="shared" si="6"/>
        <v>140.98245614035218</v>
      </c>
      <c r="P9" s="74">
        <f t="shared" si="7"/>
        <v>0</v>
      </c>
      <c r="Q9" s="83">
        <f t="shared" si="8"/>
        <v>-9.0175438596478159</v>
      </c>
      <c r="R9" s="72">
        <f t="shared" si="9"/>
        <v>0.9398830409356812</v>
      </c>
      <c r="S9" s="750"/>
      <c r="T9" s="22">
        <v>0.55277777777777803</v>
      </c>
      <c r="U9" s="22">
        <v>0.63194444444444398</v>
      </c>
      <c r="V9" s="30">
        <f t="shared" si="10"/>
        <v>98.000000000000696</v>
      </c>
      <c r="W9" s="73">
        <f t="shared" si="0"/>
        <v>113.99999999999895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-135.2631578947171</v>
      </c>
      <c r="AG9" s="72">
        <f t="shared" si="2"/>
        <v>0.93988304093568131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2115.7200492286188</v>
      </c>
      <c r="O15" s="117">
        <f t="shared" si="11"/>
        <v>142.00240965984366</v>
      </c>
      <c r="P15" s="121">
        <f t="shared" ref="P15:P19" si="12">M15-J15</f>
        <v>0</v>
      </c>
      <c r="Q15" s="122">
        <f t="shared" ref="Q15:Q19" si="13">O15-L15</f>
        <v>-9.0835631908350649</v>
      </c>
      <c r="R15" s="123">
        <f t="shared" ref="R15:R19" si="14">O15/L15</f>
        <v>0.93987818313343663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 t="shared" ref="AF15:AF20" si="15">N15-K15</f>
        <v>-134.27995077138121</v>
      </c>
      <c r="AG15" s="124">
        <f t="shared" ref="AG15:AG20" si="16">N15/K15</f>
        <v>0.94032002187938613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1887</v>
      </c>
      <c r="H16" s="134">
        <f t="shared" ref="H16:H21" si="17">F16*G16</f>
        <v>107313.69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21" si="18">K16/J16</f>
        <v>150</v>
      </c>
      <c r="M16" s="139">
        <v>15</v>
      </c>
      <c r="N16" s="140">
        <f t="shared" ref="N16:N21" si="19">G16/W16*60</f>
        <v>1887.0000000000318</v>
      </c>
      <c r="O16" s="141">
        <f t="shared" ref="O16:O21" si="20">N16/M16</f>
        <v>125.80000000000213</v>
      </c>
      <c r="P16" s="142">
        <f t="shared" si="12"/>
        <v>0</v>
      </c>
      <c r="Q16" s="143">
        <f t="shared" si="13"/>
        <v>-24.199999999997871</v>
      </c>
      <c r="R16" s="144">
        <f t="shared" si="14"/>
        <v>0.83866666666668088</v>
      </c>
      <c r="S16" s="795">
        <f>R26</f>
        <v>0.88633131511505414</v>
      </c>
      <c r="T16" s="145">
        <v>0.29166666666666702</v>
      </c>
      <c r="U16" s="145">
        <v>0.33333333333333298</v>
      </c>
      <c r="V16" s="135"/>
      <c r="W16" s="146">
        <f t="shared" ref="W16:W78" si="21">(U16-T16)*24*60</f>
        <v>59.999999999998991</v>
      </c>
      <c r="X16" s="141"/>
      <c r="Y16" s="296"/>
      <c r="Z16" s="169"/>
      <c r="AA16" s="169"/>
      <c r="AB16" s="791"/>
      <c r="AC16" s="791"/>
      <c r="AD16" s="135"/>
      <c r="AE16" s="135"/>
      <c r="AF16" s="229">
        <f t="shared" si="15"/>
        <v>-362.99999999996817</v>
      </c>
      <c r="AG16" s="52">
        <f t="shared" si="16"/>
        <v>0.83866666666668077</v>
      </c>
      <c r="AH16" s="784">
        <f>AG26</f>
        <v>0.88473099548328038</v>
      </c>
    </row>
    <row r="17" spans="1:34" ht="15" customHeight="1">
      <c r="A17" s="802"/>
      <c r="B17" s="75" t="s">
        <v>81</v>
      </c>
      <c r="C17" s="76"/>
      <c r="D17" s="59" t="s">
        <v>114</v>
      </c>
      <c r="E17" s="77"/>
      <c r="F17" s="75">
        <f>VLOOKUP(D17,廠價表!$C$1:$E$43,3,0)</f>
        <v>58.17</v>
      </c>
      <c r="G17" s="147">
        <v>971</v>
      </c>
      <c r="H17" s="78">
        <f t="shared" si="17"/>
        <v>56483.07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1879.3548387096548</v>
      </c>
      <c r="O17" s="96">
        <f t="shared" si="20"/>
        <v>144.56575682381961</v>
      </c>
      <c r="P17" s="97">
        <f t="shared" si="12"/>
        <v>0</v>
      </c>
      <c r="Q17" s="98">
        <f t="shared" si="13"/>
        <v>-28.511166253103454</v>
      </c>
      <c r="R17" s="99">
        <f t="shared" si="14"/>
        <v>0.83526881720429114</v>
      </c>
      <c r="S17" s="796"/>
      <c r="T17" s="19">
        <v>0.34722222222222199</v>
      </c>
      <c r="U17" s="19">
        <v>0.36875000000000002</v>
      </c>
      <c r="V17" s="30">
        <f>(T17-U16)*24*60</f>
        <v>20.000000000000171</v>
      </c>
      <c r="W17" s="149">
        <f t="shared" si="21"/>
        <v>31.000000000000369</v>
      </c>
      <c r="X17" s="19"/>
      <c r="Y17" s="297"/>
      <c r="Z17" s="90"/>
      <c r="AA17" s="90"/>
      <c r="AB17" s="789"/>
      <c r="AC17" s="789"/>
      <c r="AD17" s="92"/>
      <c r="AE17" s="92"/>
      <c r="AF17" s="307">
        <f t="shared" si="15"/>
        <v>-370.64516129034519</v>
      </c>
      <c r="AG17" s="72">
        <f t="shared" si="16"/>
        <v>0.83526881720429103</v>
      </c>
      <c r="AH17" s="785"/>
    </row>
    <row r="18" spans="1:34" ht="15" customHeight="1">
      <c r="A18" s="802"/>
      <c r="B18" s="75" t="s">
        <v>81</v>
      </c>
      <c r="C18" s="76"/>
      <c r="D18" s="59" t="s">
        <v>119</v>
      </c>
      <c r="E18" s="77"/>
      <c r="F18" s="75">
        <f>VLOOKUP(D18,廠價表!$C$1:$E$43,3,0)</f>
        <v>50.67</v>
      </c>
      <c r="G18" s="147">
        <v>2383</v>
      </c>
      <c r="H18" s="78">
        <f t="shared" si="17"/>
        <v>120746.61</v>
      </c>
      <c r="I18" s="30"/>
      <c r="J18" s="79">
        <f>VLOOKUP(D18,產線配置圖!$A$3:$C$40,2,0)</f>
        <v>13</v>
      </c>
      <c r="K18" s="80">
        <f>VLOOKUP(D18,產線配置圖!$A$3:$C$40,3,0)</f>
        <v>2250</v>
      </c>
      <c r="L18" s="81">
        <f t="shared" si="18"/>
        <v>173.07692307692307</v>
      </c>
      <c r="M18" s="148">
        <v>13</v>
      </c>
      <c r="N18" s="95">
        <f t="shared" si="19"/>
        <v>2166.3636363636519</v>
      </c>
      <c r="O18" s="96">
        <f t="shared" si="20"/>
        <v>166.64335664335783</v>
      </c>
      <c r="P18" s="97">
        <f t="shared" si="12"/>
        <v>0</v>
      </c>
      <c r="Q18" s="98">
        <f t="shared" si="13"/>
        <v>-6.4335664335652325</v>
      </c>
      <c r="R18" s="99">
        <f t="shared" si="14"/>
        <v>0.96282828282828981</v>
      </c>
      <c r="S18" s="796"/>
      <c r="T18" s="19">
        <v>0.37777777777777799</v>
      </c>
      <c r="U18" s="19">
        <v>0.42361111111111099</v>
      </c>
      <c r="V18" s="30">
        <f>(T18-U17)*24*60</f>
        <v>13.000000000000274</v>
      </c>
      <c r="W18" s="149">
        <f t="shared" si="21"/>
        <v>65.999999999999531</v>
      </c>
      <c r="X18" s="22"/>
      <c r="Y18" s="84"/>
      <c r="Z18" s="90"/>
      <c r="AA18" s="90"/>
      <c r="AB18" s="789"/>
      <c r="AC18" s="789"/>
      <c r="AD18" s="92"/>
      <c r="AE18" s="92"/>
      <c r="AF18" s="307">
        <f t="shared" si="15"/>
        <v>-83.636363636348051</v>
      </c>
      <c r="AG18" s="72">
        <f t="shared" si="16"/>
        <v>0.96282828282828981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2266</v>
      </c>
      <c r="H19" s="78">
        <f t="shared" si="17"/>
        <v>114183.74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1862.4657534246376</v>
      </c>
      <c r="O19" s="96">
        <f t="shared" si="20"/>
        <v>155.20547945205314</v>
      </c>
      <c r="P19" s="97">
        <f t="shared" si="12"/>
        <v>0</v>
      </c>
      <c r="Q19" s="98">
        <f t="shared" si="13"/>
        <v>-32.29452054794686</v>
      </c>
      <c r="R19" s="99">
        <f t="shared" si="14"/>
        <v>0.8277625570776167</v>
      </c>
      <c r="S19" s="796"/>
      <c r="T19" s="19">
        <v>0.43194444444444402</v>
      </c>
      <c r="U19" s="19">
        <v>0.48263888888888901</v>
      </c>
      <c r="V19" s="30">
        <f>(T19-U18)*24*60</f>
        <v>11.999999999999558</v>
      </c>
      <c r="W19" s="149">
        <f t="shared" si="21"/>
        <v>73.000000000000782</v>
      </c>
      <c r="X19" s="22"/>
      <c r="Y19" s="84"/>
      <c r="Z19" s="90"/>
      <c r="AA19" s="90"/>
      <c r="AB19" s="788"/>
      <c r="AC19" s="788"/>
      <c r="AD19" s="149"/>
      <c r="AE19" s="149"/>
      <c r="AF19" s="307">
        <f t="shared" si="15"/>
        <v>-387.53424657536243</v>
      </c>
      <c r="AG19" s="72">
        <f t="shared" si="16"/>
        <v>0.8277625570776167</v>
      </c>
      <c r="AH19" s="786"/>
    </row>
    <row r="20" spans="1:34" ht="15" customHeight="1">
      <c r="A20" s="80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3505</v>
      </c>
      <c r="H20" s="78">
        <f t="shared" si="17"/>
        <v>176616.95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8"/>
        <v>187.5</v>
      </c>
      <c r="M20" s="148">
        <v>12</v>
      </c>
      <c r="N20" s="95">
        <f t="shared" si="19"/>
        <v>2213.6842105262899</v>
      </c>
      <c r="O20" s="96">
        <f t="shared" si="20"/>
        <v>184.47368421052417</v>
      </c>
      <c r="P20" s="97">
        <f>M20-J20</f>
        <v>0</v>
      </c>
      <c r="Q20" s="98">
        <f>O20-L20</f>
        <v>-3.0263157894758308</v>
      </c>
      <c r="R20" s="99">
        <f>O20/L20</f>
        <v>0.98385964912279555</v>
      </c>
      <c r="S20" s="796"/>
      <c r="T20" s="19">
        <v>0.55208333333333304</v>
      </c>
      <c r="U20" s="19">
        <v>0.61805555555555602</v>
      </c>
      <c r="V20" s="30">
        <f>(T20-U19)*24*60</f>
        <v>99.999999999999403</v>
      </c>
      <c r="W20" s="149">
        <f t="shared" si="21"/>
        <v>95.000000000001108</v>
      </c>
      <c r="X20" s="19"/>
      <c r="Y20" s="297"/>
      <c r="Z20" s="90"/>
      <c r="AA20" s="90"/>
      <c r="AB20" s="789"/>
      <c r="AC20" s="789"/>
      <c r="AD20" s="92"/>
      <c r="AE20" s="92"/>
      <c r="AF20" s="307">
        <f t="shared" si="15"/>
        <v>-36.315789473710083</v>
      </c>
      <c r="AG20" s="72">
        <f t="shared" si="16"/>
        <v>0.98385964912279555</v>
      </c>
      <c r="AH20" s="786"/>
    </row>
    <row r="21" spans="1:34" ht="15" customHeight="1">
      <c r="A21" s="803"/>
      <c r="B21" s="75" t="s">
        <v>81</v>
      </c>
      <c r="C21" s="76"/>
      <c r="D21" s="59" t="s">
        <v>119</v>
      </c>
      <c r="E21" s="77"/>
      <c r="F21" s="75">
        <f>VLOOKUP(D21,廠價表!$C$1:$E$43,3,0)</f>
        <v>50.67</v>
      </c>
      <c r="G21" s="147">
        <v>1548</v>
      </c>
      <c r="H21" s="78">
        <f t="shared" si="17"/>
        <v>78437.16</v>
      </c>
      <c r="I21" s="30"/>
      <c r="J21" s="79">
        <f>VLOOKUP(D21,產線配置圖!$A$3:$C$40,2,0)</f>
        <v>13</v>
      </c>
      <c r="K21" s="80">
        <f>VLOOKUP(D21,產線配置圖!$A$3:$C$40,3,0)</f>
        <v>2250</v>
      </c>
      <c r="L21" s="81">
        <f t="shared" si="18"/>
        <v>173.07692307692307</v>
      </c>
      <c r="M21" s="148">
        <v>13</v>
      </c>
      <c r="N21" s="95">
        <f t="shared" si="19"/>
        <v>1935.0000000000196</v>
      </c>
      <c r="O21" s="96">
        <f t="shared" si="20"/>
        <v>148.84615384615535</v>
      </c>
      <c r="P21" s="97">
        <f>M21-J21</f>
        <v>0</v>
      </c>
      <c r="Q21" s="98">
        <f>O21-L21</f>
        <v>-24.23076923076772</v>
      </c>
      <c r="R21" s="99">
        <f>O21/L21</f>
        <v>0.86000000000000876</v>
      </c>
      <c r="S21" s="796"/>
      <c r="T21" s="19">
        <v>0.62777777777777799</v>
      </c>
      <c r="U21" s="19">
        <v>0.66111111111111098</v>
      </c>
      <c r="V21" s="30">
        <f>(T21-U20)*24*60</f>
        <v>13.999999999999631</v>
      </c>
      <c r="W21" s="149">
        <f t="shared" si="21"/>
        <v>47.99999999999951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21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174.03846153846155</v>
      </c>
      <c r="M26" s="155">
        <f t="shared" si="22"/>
        <v>13</v>
      </c>
      <c r="N26" s="155">
        <f t="shared" si="22"/>
        <v>1990.6447398373809</v>
      </c>
      <c r="O26" s="158">
        <f t="shared" si="22"/>
        <v>154.25573849598538</v>
      </c>
      <c r="P26" s="159">
        <f t="shared" ref="P26:P31" si="23">M26-J26</f>
        <v>0</v>
      </c>
      <c r="Q26" s="160">
        <f t="shared" ref="Q26:Q31" si="24">O26-L26</f>
        <v>-19.782723042476164</v>
      </c>
      <c r="R26" s="161">
        <f t="shared" ref="R26:R31" si="25">O26/L26</f>
        <v>0.88633131511505414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6">N26-K26</f>
        <v>-259.35526016261906</v>
      </c>
      <c r="AG26" s="124">
        <f t="shared" ref="AG26:AG31" si="27">N26/K26</f>
        <v>0.88473099548328038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1358</v>
      </c>
      <c r="H27" s="134">
        <f>F27*G27</f>
        <v>62929.72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1481.4545454545637</v>
      </c>
      <c r="O27" s="141">
        <f>N27/M27</f>
        <v>92.59090909091023</v>
      </c>
      <c r="P27" s="142">
        <f t="shared" si="23"/>
        <v>0</v>
      </c>
      <c r="Q27" s="143">
        <f t="shared" si="24"/>
        <v>-9.6590909090897696</v>
      </c>
      <c r="R27" s="144">
        <f t="shared" si="25"/>
        <v>0.90553456323628589</v>
      </c>
      <c r="S27" s="795">
        <f>R37</f>
        <v>0.92576666910040994</v>
      </c>
      <c r="T27" s="171">
        <v>0.29166666666666702</v>
      </c>
      <c r="U27" s="19">
        <v>0.32986111111111099</v>
      </c>
      <c r="V27" s="135"/>
      <c r="W27" s="146">
        <f t="shared" si="21"/>
        <v>54.999999999999325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26"/>
        <v>-154.54545454543631</v>
      </c>
      <c r="AG27" s="172">
        <f t="shared" si="27"/>
        <v>0.90553456323628589</v>
      </c>
      <c r="AH27" s="784">
        <f>AG37</f>
        <v>0.90025729725872961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1600</v>
      </c>
      <c r="H28" s="91">
        <f>F28*G28</f>
        <v>91536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1476.923076923073</v>
      </c>
      <c r="O28" s="96">
        <f>N28/M28</f>
        <v>86.877828054298419</v>
      </c>
      <c r="P28" s="97">
        <f t="shared" si="23"/>
        <v>-1</v>
      </c>
      <c r="Q28" s="98">
        <f t="shared" si="24"/>
        <v>-4.0110608345904666</v>
      </c>
      <c r="R28" s="99">
        <f t="shared" si="25"/>
        <v>0.95586852382479925</v>
      </c>
      <c r="S28" s="796"/>
      <c r="T28" s="19">
        <v>0.33541666666666697</v>
      </c>
      <c r="U28" s="19">
        <v>0.38055555555555598</v>
      </c>
      <c r="V28" s="92">
        <f>(T28-U27)*24*60</f>
        <v>8.0000000000006111</v>
      </c>
      <c r="W28" s="149">
        <f t="shared" si="21"/>
        <v>65.000000000000171</v>
      </c>
      <c r="X28" s="174"/>
      <c r="Y28" s="301"/>
      <c r="Z28" s="335"/>
      <c r="AA28" s="335"/>
      <c r="AB28" s="865"/>
      <c r="AC28" s="866"/>
      <c r="AD28" s="92"/>
      <c r="AE28" s="92"/>
      <c r="AF28" s="311">
        <f t="shared" si="26"/>
        <v>-159.07692307692696</v>
      </c>
      <c r="AG28" s="99">
        <f t="shared" si="27"/>
        <v>0.90276471694564364</v>
      </c>
      <c r="AH28" s="805"/>
    </row>
    <row r="29" spans="1:34" ht="15" customHeight="1">
      <c r="A29" s="793"/>
      <c r="B29" s="75" t="s">
        <v>81</v>
      </c>
      <c r="C29" s="88"/>
      <c r="D29" s="59" t="s">
        <v>125</v>
      </c>
      <c r="E29" s="89"/>
      <c r="F29" s="75">
        <f>VLOOKUP(D29,廠價表!$C$1:$E$43,3,0)</f>
        <v>45.66</v>
      </c>
      <c r="G29" s="90">
        <v>1532</v>
      </c>
      <c r="H29" s="91">
        <f>F29*G29</f>
        <v>69951.12</v>
      </c>
      <c r="I29" s="92"/>
      <c r="J29" s="79">
        <f>VLOOKUP(D29,產線配置圖!$A$3:$C$40,2,0)</f>
        <v>17</v>
      </c>
      <c r="K29" s="80">
        <v>1636</v>
      </c>
      <c r="L29" s="93">
        <f>K29/J29</f>
        <v>96.235294117647058</v>
      </c>
      <c r="M29" s="94">
        <v>17</v>
      </c>
      <c r="N29" s="95">
        <f>G29/W29*60</f>
        <v>1612.6315789473833</v>
      </c>
      <c r="O29" s="96">
        <f>N29/M29</f>
        <v>94.860681114551966</v>
      </c>
      <c r="P29" s="97">
        <f t="shared" si="23"/>
        <v>0</v>
      </c>
      <c r="Q29" s="98">
        <f t="shared" si="24"/>
        <v>-1.3746130030950923</v>
      </c>
      <c r="R29" s="99">
        <f t="shared" si="25"/>
        <v>0.98571612405096787</v>
      </c>
      <c r="S29" s="796"/>
      <c r="T29" s="19">
        <v>0.38888888888888901</v>
      </c>
      <c r="U29" s="19">
        <v>0.42847222222222198</v>
      </c>
      <c r="V29" s="92">
        <f>(T29-U28)*24*60</f>
        <v>11.999999999999558</v>
      </c>
      <c r="W29" s="149">
        <f t="shared" si="21"/>
        <v>56.999999999999474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6"/>
        <v>-23.368421052616668</v>
      </c>
      <c r="AG29" s="99">
        <f t="shared" si="27"/>
        <v>0.98571612405096776</v>
      </c>
      <c r="AH29" s="805"/>
    </row>
    <row r="30" spans="1:34" ht="15" customHeight="1">
      <c r="A30" s="793"/>
      <c r="B30" s="75" t="s">
        <v>81</v>
      </c>
      <c r="C30" s="102"/>
      <c r="D30" s="175" t="s">
        <v>123</v>
      </c>
      <c r="E30" s="176"/>
      <c r="F30" s="75">
        <f>VLOOKUP(D30,廠價表!$C$1:$E$43,3,0)</f>
        <v>49.91</v>
      </c>
      <c r="G30" s="90">
        <f>1004</f>
        <v>1004</v>
      </c>
      <c r="H30" s="91">
        <f t="shared" ref="H30:H31" si="28">F30*G30</f>
        <v>50109.64</v>
      </c>
      <c r="I30" s="92"/>
      <c r="J30" s="79">
        <f>VLOOKUP(D30,產線配置圖!$A$3:$C$40,2,0)</f>
        <v>18</v>
      </c>
      <c r="K30" s="80">
        <v>1637</v>
      </c>
      <c r="L30" s="93">
        <f t="shared" ref="L30:L31" si="29">K30/J30</f>
        <v>90.944444444444443</v>
      </c>
      <c r="M30" s="94">
        <v>17</v>
      </c>
      <c r="N30" s="95">
        <f t="shared" ref="N30:N31" si="30">G30/W30*60</f>
        <v>1434.2857142856974</v>
      </c>
      <c r="O30" s="96">
        <f t="shared" ref="O30:O31" si="31">N30/M30</f>
        <v>84.369747899158668</v>
      </c>
      <c r="P30" s="97">
        <f t="shared" si="23"/>
        <v>-1</v>
      </c>
      <c r="Q30" s="98">
        <f t="shared" si="24"/>
        <v>-6.5746965452857751</v>
      </c>
      <c r="R30" s="99">
        <f t="shared" si="25"/>
        <v>0.9277064521593501</v>
      </c>
      <c r="S30" s="796"/>
      <c r="T30" s="19">
        <v>0.4375</v>
      </c>
      <c r="U30" s="19">
        <v>0.46666666666666701</v>
      </c>
      <c r="V30" s="92">
        <f>(T30-U29)*24*60</f>
        <v>13.000000000000353</v>
      </c>
      <c r="W30" s="149">
        <f t="shared" si="21"/>
        <v>42.00000000000049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6"/>
        <v>-202.7142857143026</v>
      </c>
      <c r="AG30" s="99">
        <f t="shared" si="27"/>
        <v>0.87616720481716392</v>
      </c>
      <c r="AH30" s="806"/>
    </row>
    <row r="31" spans="1:34" ht="15" customHeight="1">
      <c r="A31" s="793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f>1317+46</f>
        <v>1363</v>
      </c>
      <c r="H31" s="91">
        <f t="shared" si="28"/>
        <v>68027.33</v>
      </c>
      <c r="I31" s="92"/>
      <c r="J31" s="79">
        <f>VLOOKUP(D31,產線配置圖!$A$3:$C$40,2,0)</f>
        <v>18</v>
      </c>
      <c r="K31" s="80">
        <v>1638</v>
      </c>
      <c r="L31" s="93">
        <f t="shared" si="29"/>
        <v>91</v>
      </c>
      <c r="M31" s="94">
        <v>17</v>
      </c>
      <c r="N31" s="95">
        <f t="shared" si="30"/>
        <v>1319.0322580645038</v>
      </c>
      <c r="O31" s="96">
        <f t="shared" si="31"/>
        <v>77.590132827323757</v>
      </c>
      <c r="P31" s="97">
        <f t="shared" si="23"/>
        <v>-1</v>
      </c>
      <c r="Q31" s="98">
        <f t="shared" si="24"/>
        <v>-13.409867172676243</v>
      </c>
      <c r="R31" s="99">
        <f t="shared" si="25"/>
        <v>0.85263882227828303</v>
      </c>
      <c r="S31" s="796"/>
      <c r="T31" s="19">
        <v>0.52569444444444402</v>
      </c>
      <c r="U31" s="19">
        <v>0.56874999999999998</v>
      </c>
      <c r="V31" s="92">
        <f>(T31-U30)*24*60</f>
        <v>84.999999999998892</v>
      </c>
      <c r="W31" s="149">
        <f t="shared" si="21"/>
        <v>62.000000000000583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6"/>
        <v>-318.96774193549618</v>
      </c>
      <c r="AG31" s="99">
        <f t="shared" si="27"/>
        <v>0.80526999881837835</v>
      </c>
      <c r="AH31" s="786"/>
    </row>
    <row r="32" spans="1:34" ht="15" customHeight="1">
      <c r="A32" s="793"/>
      <c r="B32" s="75" t="s">
        <v>81</v>
      </c>
      <c r="C32" s="102"/>
      <c r="D32" s="175" t="s">
        <v>122</v>
      </c>
      <c r="E32" s="176"/>
      <c r="F32" s="75">
        <f>VLOOKUP(D32,廠價表!$C$1:$E$43,3,0)</f>
        <v>46.34</v>
      </c>
      <c r="G32" s="90">
        <v>759</v>
      </c>
      <c r="H32" s="91">
        <f>F32*G32</f>
        <v>35172.060000000005</v>
      </c>
      <c r="I32" s="92"/>
      <c r="J32" s="79">
        <f>VLOOKUP(D32,產線配置圖!$A$3:$C$40,2,0)</f>
        <v>16</v>
      </c>
      <c r="K32" s="80">
        <v>1639</v>
      </c>
      <c r="L32" s="93">
        <f>K32/J32</f>
        <v>102.4375</v>
      </c>
      <c r="M32" s="94">
        <v>16</v>
      </c>
      <c r="N32" s="95">
        <f>G32/W32*60</f>
        <v>1518.0000000000216</v>
      </c>
      <c r="O32" s="96">
        <f>N32/M32</f>
        <v>94.87500000000135</v>
      </c>
      <c r="P32" s="97">
        <f>M32-J32</f>
        <v>0</v>
      </c>
      <c r="Q32" s="98">
        <f>O32-L32</f>
        <v>-7.56249999999865</v>
      </c>
      <c r="R32" s="99">
        <f>O32/L32</f>
        <v>0.92617449664430851</v>
      </c>
      <c r="S32" s="796"/>
      <c r="T32" s="19">
        <v>0.57430555555555596</v>
      </c>
      <c r="U32" s="19">
        <v>0.59513888888888899</v>
      </c>
      <c r="V32" s="92">
        <f>(T32-U31)*24*60</f>
        <v>8.0000000000006111</v>
      </c>
      <c r="W32" s="149">
        <f t="shared" si="21"/>
        <v>29.999999999999574</v>
      </c>
      <c r="X32" s="174"/>
      <c r="Y32" s="301"/>
      <c r="Z32" s="335"/>
      <c r="AA32" s="335"/>
      <c r="AB32" s="789"/>
      <c r="AC32" s="789"/>
      <c r="AD32" s="92"/>
      <c r="AE32" s="92"/>
      <c r="AF32" s="312">
        <f>N32-K32</f>
        <v>-120.9999999999784</v>
      </c>
      <c r="AG32" s="99">
        <f>N32/K32</f>
        <v>0.92617449664430851</v>
      </c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32">AVERAGE(J27:J36)</f>
        <v>17.166666666666668</v>
      </c>
      <c r="K37" s="155">
        <f t="shared" si="32"/>
        <v>1637</v>
      </c>
      <c r="L37" s="158">
        <f t="shared" si="32"/>
        <v>95.62602124183006</v>
      </c>
      <c r="M37" s="155">
        <f t="shared" si="32"/>
        <v>16.666666666666668</v>
      </c>
      <c r="N37" s="155">
        <f t="shared" si="32"/>
        <v>1473.7211956125404</v>
      </c>
      <c r="O37" s="158">
        <f t="shared" si="32"/>
        <v>88.527383164374058</v>
      </c>
      <c r="P37" s="159">
        <f>M37-J37</f>
        <v>-0.5</v>
      </c>
      <c r="Q37" s="160">
        <f>N37-K37</f>
        <v>-163.27880438745956</v>
      </c>
      <c r="R37" s="161">
        <f>O37/L37</f>
        <v>0.92576666910040994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-163.27880438745956</v>
      </c>
      <c r="AG37" s="124">
        <f>N37/K37</f>
        <v>0.90025729725872961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3010</v>
      </c>
      <c r="H38" s="134">
        <f>F38*G38</f>
        <v>150229.09999999998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1641.8181818181793</v>
      </c>
      <c r="O38" s="141">
        <f>N38/M38</f>
        <v>102.6136363636362</v>
      </c>
      <c r="P38" s="142">
        <f>M38-J38</f>
        <v>0</v>
      </c>
      <c r="Q38" s="143">
        <f>O38-L38</f>
        <v>-4.5113636363637966</v>
      </c>
      <c r="R38" s="144">
        <f>O38/L38</f>
        <v>0.95788692054736246</v>
      </c>
      <c r="S38" s="817">
        <f>R48</f>
        <v>0.9779794655274644</v>
      </c>
      <c r="T38" s="191">
        <v>0.33333333333333298</v>
      </c>
      <c r="U38" s="191">
        <v>0.40972222222222199</v>
      </c>
      <c r="V38" s="192"/>
      <c r="W38" s="193">
        <f t="shared" si="21"/>
        <v>110.00000000000017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-72.181818181820745</v>
      </c>
      <c r="AG38" s="195">
        <f>N38/K38</f>
        <v>0.95788692054736246</v>
      </c>
      <c r="AH38" s="807">
        <f>AG48</f>
        <v>0.97862954522574075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2440</v>
      </c>
      <c r="H39" s="91">
        <f>F39*G39</f>
        <v>108092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1626.6666666666667</v>
      </c>
      <c r="O39" s="203">
        <f>N39/M39</f>
        <v>90.370370370370381</v>
      </c>
      <c r="P39" s="97">
        <f>M39-J39</f>
        <v>0</v>
      </c>
      <c r="Q39" s="98">
        <f>O39-L39</f>
        <v>-0.51851851851850483</v>
      </c>
      <c r="R39" s="99">
        <f>O39/L39</f>
        <v>0.99429502852485752</v>
      </c>
      <c r="S39" s="818"/>
      <c r="T39" s="20">
        <v>0.42013888888888901</v>
      </c>
      <c r="U39" s="20">
        <v>0.48263888888888901</v>
      </c>
      <c r="V39" s="92">
        <f>(T39-U38)*24*60</f>
        <v>15.000000000000506</v>
      </c>
      <c r="W39" s="205">
        <f t="shared" si="21"/>
        <v>90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-9.3333333333332575</v>
      </c>
      <c r="AG39" s="206">
        <f>N39/K39</f>
        <v>0.9942950285248574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1191</v>
      </c>
      <c r="H40" s="91">
        <f>F40*G40</f>
        <v>52761.299999999996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1588</v>
      </c>
      <c r="O40" s="203">
        <f>N40/M40</f>
        <v>88.222222222222229</v>
      </c>
      <c r="P40" s="97">
        <f>M40-J40</f>
        <v>0</v>
      </c>
      <c r="Q40" s="98">
        <f>O40-L40</f>
        <v>-2.6666666666666572</v>
      </c>
      <c r="R40" s="99">
        <f>O40/L40</f>
        <v>0.97066014669926659</v>
      </c>
      <c r="S40" s="749"/>
      <c r="T40" s="20">
        <v>0.54513888888888895</v>
      </c>
      <c r="U40" s="20">
        <v>0.57638888888888895</v>
      </c>
      <c r="V40" s="92">
        <f>(T40-U39)*24*60</f>
        <v>89.999999999999915</v>
      </c>
      <c r="W40" s="205">
        <f t="shared" si="21"/>
        <v>45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-48</v>
      </c>
      <c r="AG40" s="206">
        <f>N40/K40</f>
        <v>0.97066014669926648</v>
      </c>
      <c r="AH40" s="808"/>
    </row>
    <row r="41" spans="1:34" ht="15" customHeight="1">
      <c r="A41" s="815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2030</v>
      </c>
      <c r="H41" s="91">
        <f>F41*G41</f>
        <v>89929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1624.0000000000091</v>
      </c>
      <c r="O41" s="203">
        <f>N41/M41</f>
        <v>90.222222222222726</v>
      </c>
      <c r="P41" s="97">
        <f>M41-J41</f>
        <v>0</v>
      </c>
      <c r="Q41" s="98">
        <f>O41-L41</f>
        <v>-0.66666666666615981</v>
      </c>
      <c r="R41" s="99">
        <f>O41/L41</f>
        <v>0.9926650366748222</v>
      </c>
      <c r="S41" s="749"/>
      <c r="T41" s="20">
        <v>0.60902777777777795</v>
      </c>
      <c r="U41" s="210">
        <v>0.66111111111111098</v>
      </c>
      <c r="V41" s="92">
        <f>(T41-U40)*24*60</f>
        <v>47.000000000000156</v>
      </c>
      <c r="W41" s="205">
        <f t="shared" si="21"/>
        <v>74.999999999999574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-11.999999999990905</v>
      </c>
      <c r="AG41" s="206">
        <f>N41/K41</f>
        <v>0.9926650366748222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33">AVERAGE(J38:J47)</f>
        <v>17.5</v>
      </c>
      <c r="K48" s="155">
        <f t="shared" si="33"/>
        <v>1655.5</v>
      </c>
      <c r="L48" s="158">
        <f t="shared" si="33"/>
        <v>94.947916666666657</v>
      </c>
      <c r="M48" s="155">
        <f t="shared" si="33"/>
        <v>17.5</v>
      </c>
      <c r="N48" s="155">
        <f t="shared" si="33"/>
        <v>1620.1212121212138</v>
      </c>
      <c r="O48" s="158">
        <f t="shared" si="33"/>
        <v>92.857112794612888</v>
      </c>
      <c r="P48" s="221">
        <f>M48-J48</f>
        <v>0</v>
      </c>
      <c r="Q48" s="222">
        <f>N48-K48</f>
        <v>-35.37878787878617</v>
      </c>
      <c r="R48" s="223">
        <f t="shared" ref="R48:R49" si="34">O48/L48</f>
        <v>0.9779794655274644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35">N48-K48</f>
        <v>-35.37878787878617</v>
      </c>
      <c r="AG48" s="162">
        <f t="shared" ref="AG48:AG52" si="36">N48/K48</f>
        <v>0.97862954522574075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2423+240</f>
        <v>2663</v>
      </c>
      <c r="H49" s="134">
        <f>F49*G49</f>
        <v>131871.76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1521.7142857143003</v>
      </c>
      <c r="O49" s="141">
        <f>N49/M49</f>
        <v>89.512605042017668</v>
      </c>
      <c r="P49" s="229">
        <f>M49-J49</f>
        <v>0</v>
      </c>
      <c r="Q49" s="230">
        <f>O49-L49</f>
        <v>-16.369747899158796</v>
      </c>
      <c r="R49" s="52">
        <f t="shared" si="34"/>
        <v>0.84539682539683358</v>
      </c>
      <c r="S49" s="748">
        <f>R58</f>
        <v>0.86653340241751053</v>
      </c>
      <c r="T49" s="191">
        <v>0.29166666666666702</v>
      </c>
      <c r="U49" s="191">
        <v>0.36458333333333298</v>
      </c>
      <c r="V49" s="55"/>
      <c r="W49" s="193">
        <f t="shared" si="21"/>
        <v>104.99999999999899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5"/>
        <v>-278.28571428569967</v>
      </c>
      <c r="AG49" s="52">
        <f t="shared" si="36"/>
        <v>0.84539682539683347</v>
      </c>
      <c r="AH49" s="784">
        <f>AG58</f>
        <v>0.86832331709115806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f>1900+261</f>
        <v>2161</v>
      </c>
      <c r="H50" s="231">
        <f>F50*G50</f>
        <v>108674.52900000001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1581.2195121951354</v>
      </c>
      <c r="O50" s="235">
        <f>N50/M50</f>
        <v>93.012912482066781</v>
      </c>
      <c r="P50" s="74">
        <f>M50-J50</f>
        <v>0</v>
      </c>
      <c r="Q50" s="83">
        <f>O50-L50</f>
        <v>-3.2223816355802768</v>
      </c>
      <c r="R50" s="72">
        <f t="shared" ref="R50:R53" si="37">O50/L50</f>
        <v>0.96651559425130518</v>
      </c>
      <c r="S50" s="749"/>
      <c r="T50" s="21">
        <v>0.37152777777777801</v>
      </c>
      <c r="U50" s="19">
        <v>0.42847222222222198</v>
      </c>
      <c r="V50" s="30"/>
      <c r="W50" s="236">
        <f t="shared" si="21"/>
        <v>81.999999999999304</v>
      </c>
      <c r="X50" s="22"/>
      <c r="Y50" s="84"/>
      <c r="Z50" s="90"/>
      <c r="AA50" s="90"/>
      <c r="AB50" s="867"/>
      <c r="AC50" s="868"/>
      <c r="AD50" s="92"/>
      <c r="AE50" s="92"/>
      <c r="AF50" s="307">
        <f t="shared" si="35"/>
        <v>-54.780487804864606</v>
      </c>
      <c r="AG50" s="72">
        <f t="shared" si="36"/>
        <v>0.96651559425130529</v>
      </c>
      <c r="AH50" s="785"/>
    </row>
    <row r="51" spans="1:34" ht="15" customHeight="1">
      <c r="A51" s="812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v>1707</v>
      </c>
      <c r="H51" s="231">
        <f>F51*G51</f>
        <v>85298.79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1484.3478260869463</v>
      </c>
      <c r="O51" s="235">
        <f>N51/M51</f>
        <v>92.771739130434142</v>
      </c>
      <c r="P51" s="74">
        <f>M51-J51</f>
        <v>0</v>
      </c>
      <c r="Q51" s="83">
        <f>O51-L51</f>
        <v>-19.728260869565858</v>
      </c>
      <c r="R51" s="72">
        <f t="shared" si="37"/>
        <v>0.8246376811594146</v>
      </c>
      <c r="S51" s="749"/>
      <c r="T51" s="21">
        <v>0.43125000000000002</v>
      </c>
      <c r="U51" s="21">
        <v>0.47916666666666702</v>
      </c>
      <c r="V51" s="30">
        <f>(T51-U50)*24*60</f>
        <v>4.0000000000003855</v>
      </c>
      <c r="W51" s="236">
        <f t="shared" si="21"/>
        <v>69.000000000000469</v>
      </c>
      <c r="X51" s="22"/>
      <c r="Y51" s="84"/>
      <c r="Z51" s="90"/>
      <c r="AA51" s="90"/>
      <c r="AB51" s="867" t="s">
        <v>153</v>
      </c>
      <c r="AC51" s="868"/>
      <c r="AD51" s="92"/>
      <c r="AE51" s="92"/>
      <c r="AF51" s="307">
        <f t="shared" si="35"/>
        <v>-315.65217391305373</v>
      </c>
      <c r="AG51" s="72">
        <f t="shared" si="36"/>
        <v>0.8246376811594146</v>
      </c>
      <c r="AH51" s="785"/>
    </row>
    <row r="52" spans="1:34" ht="15" customHeight="1">
      <c r="A52" s="812"/>
      <c r="B52" s="101" t="s">
        <v>81</v>
      </c>
      <c r="C52" s="102"/>
      <c r="D52" s="103" t="s">
        <v>129</v>
      </c>
      <c r="E52" s="104"/>
      <c r="F52" s="75">
        <f>VLOOKUP(D52,廠價表!$C$1:$E$43,3,0)</f>
        <v>49.97</v>
      </c>
      <c r="G52" s="202">
        <v>4068</v>
      </c>
      <c r="H52" s="231">
        <f>F52*G52</f>
        <v>203277.96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108">
        <v>16</v>
      </c>
      <c r="N52" s="234">
        <f>G52/W52*60</f>
        <v>1386.8181818181843</v>
      </c>
      <c r="O52" s="235">
        <f>N52/M52</f>
        <v>86.676136363636516</v>
      </c>
      <c r="P52" s="74">
        <f>M52-J52</f>
        <v>0</v>
      </c>
      <c r="Q52" s="83">
        <f>O52-L52</f>
        <v>-25.823863636363484</v>
      </c>
      <c r="R52" s="72">
        <f t="shared" si="37"/>
        <v>0.77045454545454684</v>
      </c>
      <c r="S52" s="749"/>
      <c r="T52" s="21">
        <v>0.54166666666666696</v>
      </c>
      <c r="U52" s="21">
        <v>0.66388888888888897</v>
      </c>
      <c r="V52" s="30">
        <f>(T52-U51)*24*60</f>
        <v>89.999999999999915</v>
      </c>
      <c r="W52" s="236">
        <f t="shared" si="21"/>
        <v>175.99999999999969</v>
      </c>
      <c r="X52" s="22"/>
      <c r="Y52" s="84"/>
      <c r="Z52" s="90"/>
      <c r="AA52" s="90"/>
      <c r="AB52" s="789" t="s">
        <v>154</v>
      </c>
      <c r="AC52" s="789"/>
      <c r="AD52" s="92"/>
      <c r="AE52" s="92"/>
      <c r="AF52" s="307">
        <f t="shared" si="35"/>
        <v>-413.18181818181574</v>
      </c>
      <c r="AG52" s="72">
        <f t="shared" si="36"/>
        <v>0.77045454545454684</v>
      </c>
      <c r="AH52" s="785"/>
    </row>
    <row r="53" spans="1:34" ht="15" customHeight="1">
      <c r="A53" s="812"/>
      <c r="B53" s="101" t="s">
        <v>81</v>
      </c>
      <c r="C53" s="102"/>
      <c r="D53" s="103" t="s">
        <v>128</v>
      </c>
      <c r="E53" s="104"/>
      <c r="F53" s="75">
        <f>VLOOKUP(D53,廠價表!$C$1:$E$43,3,0)</f>
        <v>50.289000000000001</v>
      </c>
      <c r="G53" s="202">
        <v>389</v>
      </c>
      <c r="H53" s="231">
        <f>F53*G53</f>
        <v>19562.421000000002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17</v>
      </c>
      <c r="N53" s="234">
        <f>G53/W53*60</f>
        <v>1555.9999999999557</v>
      </c>
      <c r="O53" s="235">
        <f>N53/M53</f>
        <v>91.529411764703269</v>
      </c>
      <c r="P53" s="74">
        <f>M53-J53</f>
        <v>0</v>
      </c>
      <c r="Q53" s="83">
        <f>O53-L53</f>
        <v>-4.7058823529437888</v>
      </c>
      <c r="R53" s="72">
        <f t="shared" si="37"/>
        <v>0.95110024449875041</v>
      </c>
      <c r="S53" s="749"/>
      <c r="T53" s="21">
        <v>0.67569444444444404</v>
      </c>
      <c r="U53" s="21">
        <v>0.68611111111111101</v>
      </c>
      <c r="V53" s="30">
        <f>(T53-U52)*24*60</f>
        <v>16.9999999999993</v>
      </c>
      <c r="W53" s="236">
        <f t="shared" si="21"/>
        <v>15.000000000000426</v>
      </c>
      <c r="X53" s="30"/>
      <c r="Y53" s="151"/>
      <c r="Z53" s="90"/>
      <c r="AA53" s="90"/>
      <c r="AB53" s="789"/>
      <c r="AC53" s="789"/>
      <c r="AD53" s="92"/>
      <c r="AE53" s="92"/>
      <c r="AF53" s="307">
        <f>N53-K53</f>
        <v>-80.000000000044338</v>
      </c>
      <c r="AG53" s="72">
        <f>N53/K53</f>
        <v>0.95110024449875041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8">AVERAGE(J49:J57)</f>
        <v>16.600000000000001</v>
      </c>
      <c r="K58" s="120">
        <f t="shared" si="38"/>
        <v>1734.4</v>
      </c>
      <c r="L58" s="117">
        <f t="shared" si="38"/>
        <v>104.67058823529412</v>
      </c>
      <c r="M58" s="120">
        <f t="shared" si="38"/>
        <v>16.600000000000001</v>
      </c>
      <c r="N58" s="120">
        <f t="shared" si="38"/>
        <v>1506.0199611629046</v>
      </c>
      <c r="O58" s="117">
        <f t="shared" si="38"/>
        <v>90.700560956571664</v>
      </c>
      <c r="P58" s="121">
        <f>M58-J58</f>
        <v>0</v>
      </c>
      <c r="Q58" s="122">
        <f>N58-K58</f>
        <v>-228.38003883709553</v>
      </c>
      <c r="R58" s="123">
        <f>O58/L58</f>
        <v>0.86653340241751053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3" si="39">N58-K58</f>
        <v>-228.38003883709553</v>
      </c>
      <c r="AG58" s="124">
        <f t="shared" ref="AG58:AG63" si="40">N58/K58</f>
        <v>0.86832331709115806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3802</v>
      </c>
      <c r="H59" s="243">
        <f>F59*G59</f>
        <v>102615.98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1629.4285714285754</v>
      </c>
      <c r="O59" s="138">
        <f>N59/M59</f>
        <v>108.62857142857169</v>
      </c>
      <c r="P59" s="56">
        <f>M59-J59</f>
        <v>0</v>
      </c>
      <c r="Q59" s="230">
        <f>O59-L59</f>
        <v>-0.43809523809497364</v>
      </c>
      <c r="R59" s="52">
        <f>O59/L59</f>
        <v>0.99598323436954483</v>
      </c>
      <c r="S59" s="748">
        <f>R69</f>
        <v>0.87184875758217695</v>
      </c>
      <c r="T59" s="245">
        <v>0.29166666666666702</v>
      </c>
      <c r="U59" s="245">
        <v>0.38888888888888901</v>
      </c>
      <c r="V59" s="55"/>
      <c r="W59" s="54">
        <f t="shared" si="21"/>
        <v>139.99999999999966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39"/>
        <v>-6.5714285714245761</v>
      </c>
      <c r="AG59" s="246">
        <f t="shared" si="40"/>
        <v>0.99598323436954483</v>
      </c>
      <c r="AH59" s="784">
        <f>AG69</f>
        <v>0.87846926301083683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1698</v>
      </c>
      <c r="H60" s="78">
        <f>F60*G60</f>
        <v>47985.48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1358.4000000000092</v>
      </c>
      <c r="O60" s="81">
        <f>N60/M60</f>
        <v>123.49090909090992</v>
      </c>
      <c r="P60" s="74">
        <f>M60-J60</f>
        <v>0</v>
      </c>
      <c r="Q60" s="83">
        <f>O60-L60</f>
        <v>-25.236363636362796</v>
      </c>
      <c r="R60" s="72">
        <f>O60/L60</f>
        <v>0.83031784841076361</v>
      </c>
      <c r="S60" s="829"/>
      <c r="T60" s="22">
        <v>0.40277777777777801</v>
      </c>
      <c r="U60" s="22">
        <v>0.45486111111111099</v>
      </c>
      <c r="V60" s="30">
        <f>(T60-U59)*24*60</f>
        <v>20.000000000000171</v>
      </c>
      <c r="W60" s="248">
        <f t="shared" si="21"/>
        <v>74.999999999999488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39"/>
        <v>-277.59999999999081</v>
      </c>
      <c r="AG60" s="249">
        <f t="shared" si="40"/>
        <v>0.83031784841076361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587</v>
      </c>
      <c r="H61" s="254">
        <f>F61*G61</f>
        <v>16588.620000000003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1408.8000000000097</v>
      </c>
      <c r="O61" s="238">
        <f>N61/M61</f>
        <v>128.07272727272814</v>
      </c>
      <c r="P61" s="111">
        <f>M61-J61</f>
        <v>0</v>
      </c>
      <c r="Q61" s="255">
        <f>O61-L61</f>
        <v>-20.654545454544575</v>
      </c>
      <c r="R61" s="85">
        <f>O61/L61</f>
        <v>0.86112469437653405</v>
      </c>
      <c r="S61" s="749"/>
      <c r="T61" s="22">
        <v>0.46527777777777801</v>
      </c>
      <c r="U61" s="22">
        <v>0.48263888888888901</v>
      </c>
      <c r="V61" s="30">
        <f>(T61-U60)*24*60</f>
        <v>15.000000000000506</v>
      </c>
      <c r="W61" s="256">
        <f t="shared" si="21"/>
        <v>24.999999999999829</v>
      </c>
      <c r="X61" s="22"/>
      <c r="Y61" s="84"/>
      <c r="Z61" s="90"/>
      <c r="AA61" s="90"/>
      <c r="AB61" s="789"/>
      <c r="AC61" s="789"/>
      <c r="AD61" s="92"/>
      <c r="AE61" s="92"/>
      <c r="AF61" s="317">
        <f t="shared" si="39"/>
        <v>-227.19999999999027</v>
      </c>
      <c r="AG61" s="247">
        <f t="shared" si="40"/>
        <v>0.86112469437653405</v>
      </c>
      <c r="AH61" s="785"/>
    </row>
    <row r="62" spans="1:34" ht="15" customHeight="1">
      <c r="A62" s="827"/>
      <c r="B62" s="250" t="s">
        <v>130</v>
      </c>
      <c r="C62" s="251"/>
      <c r="D62" s="257" t="s">
        <v>133</v>
      </c>
      <c r="E62" s="253"/>
      <c r="F62" s="250">
        <f>VLOOKUP(D62,廠價表!$C$1:$E$43,3,0)</f>
        <v>28.26</v>
      </c>
      <c r="G62" s="38">
        <v>880</v>
      </c>
      <c r="H62" s="254">
        <f t="shared" ref="H62:H63" si="41">F62*G62</f>
        <v>24868.800000000003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42">K62/J62</f>
        <v>148.72727272727272</v>
      </c>
      <c r="M62" s="108">
        <v>11</v>
      </c>
      <c r="N62" s="107">
        <f t="shared" ref="N62:N63" si="43">G62/W62*60</f>
        <v>1320.0000000000362</v>
      </c>
      <c r="O62" s="238">
        <f t="shared" ref="O62:O63" si="44">N62/M62</f>
        <v>120.00000000000328</v>
      </c>
      <c r="P62" s="111">
        <f t="shared" ref="P62:P63" si="45">M62-J62</f>
        <v>0</v>
      </c>
      <c r="Q62" s="255">
        <f t="shared" ref="Q62:Q63" si="46">O62-L62</f>
        <v>-28.727272727269437</v>
      </c>
      <c r="R62" s="85">
        <f t="shared" ref="R62:R63" si="47">O62/L62</f>
        <v>0.8068459657701933</v>
      </c>
      <c r="S62" s="749"/>
      <c r="T62" s="22">
        <v>0.54166666666666696</v>
      </c>
      <c r="U62" s="22">
        <v>0.56944444444444398</v>
      </c>
      <c r="V62" s="30">
        <f>(T62-U61)*24*60</f>
        <v>85.000000000000256</v>
      </c>
      <c r="W62" s="248">
        <f t="shared" si="21"/>
        <v>39.999999999998899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39"/>
        <v>-315.99999999996385</v>
      </c>
      <c r="AG62" s="247">
        <f t="shared" si="40"/>
        <v>0.8068459657701933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f>1899+60</f>
        <v>1959</v>
      </c>
      <c r="H63" s="254">
        <f t="shared" si="41"/>
        <v>55361.340000000004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42"/>
        <v>148.72727272727272</v>
      </c>
      <c r="M63" s="68">
        <v>11</v>
      </c>
      <c r="N63" s="107">
        <f t="shared" si="43"/>
        <v>1469.2500000000141</v>
      </c>
      <c r="O63" s="238">
        <f t="shared" si="44"/>
        <v>133.56818181818309</v>
      </c>
      <c r="P63" s="111">
        <f t="shared" si="45"/>
        <v>0</v>
      </c>
      <c r="Q63" s="255">
        <f t="shared" si="46"/>
        <v>-15.159090909089628</v>
      </c>
      <c r="R63" s="85">
        <f t="shared" si="47"/>
        <v>0.89807457212714803</v>
      </c>
      <c r="S63" s="749"/>
      <c r="T63" s="22">
        <v>0.57638888888888895</v>
      </c>
      <c r="U63" s="22">
        <v>0.63194444444444398</v>
      </c>
      <c r="V63" s="30">
        <f>(T63-U62)*24*60</f>
        <v>10.000000000000764</v>
      </c>
      <c r="W63" s="248">
        <f t="shared" si="21"/>
        <v>79.999999999999233</v>
      </c>
      <c r="X63" s="261"/>
      <c r="Y63" s="291"/>
      <c r="Z63" s="335"/>
      <c r="AA63" s="335"/>
      <c r="AB63" s="789"/>
      <c r="AC63" s="789"/>
      <c r="AD63" s="92"/>
      <c r="AE63" s="92"/>
      <c r="AF63" s="317">
        <f t="shared" si="39"/>
        <v>-166.7499999999859</v>
      </c>
      <c r="AG63" s="247">
        <f t="shared" si="40"/>
        <v>0.89807457212714803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48">AVERAGE(J59:J68)</f>
        <v>11.8</v>
      </c>
      <c r="K69" s="415">
        <f t="shared" si="48"/>
        <v>1636</v>
      </c>
      <c r="L69" s="416">
        <f t="shared" si="48"/>
        <v>140.79515151515153</v>
      </c>
      <c r="M69" s="415">
        <f t="shared" si="48"/>
        <v>11.8</v>
      </c>
      <c r="N69" s="415">
        <f t="shared" si="48"/>
        <v>1437.1757142857291</v>
      </c>
      <c r="O69" s="416">
        <f t="shared" si="48"/>
        <v>122.75207792207922</v>
      </c>
      <c r="P69" s="417">
        <f>M69-J69</f>
        <v>0</v>
      </c>
      <c r="Q69" s="418">
        <f>N69-K69</f>
        <v>-198.8242857142709</v>
      </c>
      <c r="R69" s="419">
        <f>O69/L69</f>
        <v>0.87184875758217695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-198.8242857142709</v>
      </c>
      <c r="AG69" s="124">
        <f>N69/K69</f>
        <v>0.87846926301083683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1662</v>
      </c>
      <c r="H70" s="403">
        <f>F70*G70</f>
        <v>46968.12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8</v>
      </c>
      <c r="N70" s="405">
        <f>G70/W70*60</f>
        <v>1173.1764705882306</v>
      </c>
      <c r="O70" s="406">
        <f>N70/M70</f>
        <v>146.64705882352882</v>
      </c>
      <c r="P70" s="408">
        <f>M70-J70</f>
        <v>-3</v>
      </c>
      <c r="Q70" s="409">
        <f>O70-L70</f>
        <v>-2.0802139037438963</v>
      </c>
      <c r="R70" s="410">
        <f>O70/L70</f>
        <v>0.98601323169854349</v>
      </c>
      <c r="S70" s="817">
        <f>R79</f>
        <v>0.96548136621504477</v>
      </c>
      <c r="T70" s="245">
        <v>0.29861111111111099</v>
      </c>
      <c r="U70" s="245">
        <v>0.35763888888888901</v>
      </c>
      <c r="V70" s="55"/>
      <c r="W70" s="54">
        <f t="shared" si="21"/>
        <v>85.000000000000341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-462.82352941176941</v>
      </c>
      <c r="AG70" s="246">
        <f>N70/K70</f>
        <v>0.71710053214439518</v>
      </c>
      <c r="AH70" s="784">
        <f>AG79</f>
        <v>0.70643566177926631</v>
      </c>
    </row>
    <row r="71" spans="1:36" ht="15" customHeight="1">
      <c r="A71" s="822"/>
      <c r="B71" s="30" t="s">
        <v>81</v>
      </c>
      <c r="C71" s="151"/>
      <c r="D71" s="59" t="s">
        <v>135</v>
      </c>
      <c r="E71" s="87"/>
      <c r="F71" s="401">
        <f>VLOOKUP(D71,廠價表!$C$1:$E$43,3,0)</f>
        <v>43.89</v>
      </c>
      <c r="G71" s="30">
        <v>990</v>
      </c>
      <c r="H71" s="403">
        <f>F71*G71</f>
        <v>43451.1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108">
        <v>11</v>
      </c>
      <c r="N71" s="405">
        <f>G71/W71*60</f>
        <v>1120.7547169811496</v>
      </c>
      <c r="O71" s="406">
        <f>N71/M71</f>
        <v>101.88679245283178</v>
      </c>
      <c r="P71" s="408">
        <f>M71-J71</f>
        <v>-3</v>
      </c>
      <c r="Q71" s="409">
        <f>O71-L71</f>
        <v>-9.8989218328825075</v>
      </c>
      <c r="R71" s="410">
        <f>O71/L71</f>
        <v>0.91144734462597121</v>
      </c>
      <c r="S71" s="818"/>
      <c r="T71" s="22">
        <v>0.40277777777777801</v>
      </c>
      <c r="U71" s="22">
        <v>0.43958333333333299</v>
      </c>
      <c r="V71" s="30">
        <f>(T71-U70)*24*60</f>
        <v>65.000000000000171</v>
      </c>
      <c r="W71" s="73">
        <f t="shared" si="21"/>
        <v>52.999999999999176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f>1014+506</f>
        <v>1520</v>
      </c>
      <c r="H72" s="403">
        <f>F72*G72</f>
        <v>66712.800000000003</v>
      </c>
      <c r="I72" s="3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9</v>
      </c>
      <c r="N72" s="405">
        <f>G72/W72*60</f>
        <v>1072.9411764706033</v>
      </c>
      <c r="O72" s="406">
        <f>N72/M72</f>
        <v>119.21568627451148</v>
      </c>
      <c r="P72" s="408">
        <f>M72-J72</f>
        <v>-4</v>
      </c>
      <c r="Q72" s="409">
        <f>O72-L72</f>
        <v>-1.1689291101039032</v>
      </c>
      <c r="R72" s="410">
        <f>O72/L72</f>
        <v>0.99029004573076629</v>
      </c>
      <c r="S72" s="749"/>
      <c r="T72" s="22">
        <v>0.44791666666666702</v>
      </c>
      <c r="U72" s="22">
        <v>0.50694444444444398</v>
      </c>
      <c r="V72" s="30">
        <f>(T72-U71)*24*60</f>
        <v>12.000000000000997</v>
      </c>
      <c r="W72" s="73">
        <f t="shared" si="21"/>
        <v>84.99999999999882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49">AVERAGE(J70:J78)</f>
        <v>12.666666666666666</v>
      </c>
      <c r="K79" s="240">
        <f t="shared" si="49"/>
        <v>1588.6666666666667</v>
      </c>
      <c r="L79" s="268">
        <f t="shared" si="49"/>
        <v>126.96586746586748</v>
      </c>
      <c r="M79" s="240">
        <f t="shared" si="49"/>
        <v>9.3333333333333339</v>
      </c>
      <c r="N79" s="240">
        <f t="shared" si="49"/>
        <v>1122.2907880133278</v>
      </c>
      <c r="O79" s="268">
        <f t="shared" si="49"/>
        <v>122.58317918362404</v>
      </c>
      <c r="P79" s="269">
        <f>M79-J79</f>
        <v>-3.3333333333333321</v>
      </c>
      <c r="Q79" s="222">
        <f>N79-K79</f>
        <v>-466.37587865333899</v>
      </c>
      <c r="R79" s="223">
        <f>O79/L79</f>
        <v>0.96548136621504477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-466.37587865333899</v>
      </c>
      <c r="AG79" s="124">
        <f>N79/K79</f>
        <v>0.70643566177926631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6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8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AF3:AF4"/>
    <mergeCell ref="AH3:AH4"/>
    <mergeCell ref="A2:B2"/>
    <mergeCell ref="A3:A4"/>
    <mergeCell ref="B3:B4"/>
    <mergeCell ref="D3:E4"/>
    <mergeCell ref="F3:F4"/>
    <mergeCell ref="G3:G4"/>
    <mergeCell ref="J1:L2"/>
    <mergeCell ref="M1:O2"/>
    <mergeCell ref="P1:S2"/>
    <mergeCell ref="O3:O4"/>
    <mergeCell ref="Q3:Q4"/>
    <mergeCell ref="R3:R4"/>
    <mergeCell ref="AB1:AC2"/>
    <mergeCell ref="AF1:AH2"/>
    <mergeCell ref="X3:Y3"/>
    <mergeCell ref="AG3:AG4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T3:U3"/>
    <mergeCell ref="V3:V4"/>
    <mergeCell ref="W3:W4"/>
    <mergeCell ref="P3:P4"/>
    <mergeCell ref="Z3:AA3"/>
  </mergeCells>
  <phoneticPr fontId="0" type="noConversion"/>
  <conditionalFormatting sqref="P5:P79">
    <cfRule type="cellIs" dxfId="218" priority="1" operator="greaterThan">
      <formula>0</formula>
    </cfRule>
  </conditionalFormatting>
  <conditionalFormatting sqref="Q5:Q79 AF5:AF79">
    <cfRule type="cellIs" dxfId="217" priority="4" operator="lessThan">
      <formula>0</formula>
    </cfRule>
  </conditionalFormatting>
  <conditionalFormatting sqref="R5:R79 AG5:AG79">
    <cfRule type="cellIs" dxfId="216" priority="2" operator="greaterThan">
      <formula>1</formula>
    </cfRule>
    <cfRule type="cellIs" dxfId="215" priority="3" operator="lessThan">
      <formula>0.8</formula>
    </cfRule>
  </conditionalFormatting>
  <conditionalFormatting sqref="S5:S10 S37:S62 AH59:AH62 S69:S76 AH69:AH76">
    <cfRule type="cellIs" dxfId="214" priority="7" operator="lessThan">
      <formula>0.8</formula>
    </cfRule>
  </conditionalFormatting>
  <conditionalFormatting sqref="S19:S25 AH19:AH25">
    <cfRule type="cellIs" dxfId="213" priority="6" operator="lessThan">
      <formula>0.8</formula>
    </cfRule>
  </conditionalFormatting>
  <conditionalFormatting sqref="S79">
    <cfRule type="cellIs" dxfId="212" priority="5" operator="lessThan">
      <formula>0.8</formula>
    </cfRule>
  </conditionalFormatting>
  <conditionalFormatting sqref="AH5:AH8 S15:S16 AH15:AH16 AH49 AH79">
    <cfRule type="cellIs" dxfId="211" priority="9" operator="lessThan">
      <formula>0.8</formula>
    </cfRule>
  </conditionalFormatting>
  <conditionalFormatting sqref="AH27 S27:S28">
    <cfRule type="cellIs" dxfId="2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A53C11-67F2-4D77-B279-E9759A4C499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BF349-163F-455E-B1BE-5191B767381A}">
  <dimension ref="B1:O26"/>
  <sheetViews>
    <sheetView topLeftCell="B1" zoomScale="70" zoomScaleNormal="70" workbookViewId="0">
      <selection activeCell="D4" sqref="D4:E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DATE(2026,8,11)</f>
        <v>46245</v>
      </c>
      <c r="E3" s="706"/>
      <c r="F3" s="3" t="s">
        <v>72</v>
      </c>
      <c r="G3" s="707">
        <f>'0811'!E1</f>
        <v>56162</v>
      </c>
      <c r="H3" s="707"/>
      <c r="I3" s="3" t="s">
        <v>2</v>
      </c>
      <c r="J3" s="708">
        <f>'0811'!G1</f>
        <v>2589339.3589999997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126.93549961554164</v>
      </c>
      <c r="G6" s="713"/>
      <c r="H6" s="714">
        <f>AVERAGE(D13:H13)</f>
        <v>124.55410172616055</v>
      </c>
      <c r="I6" s="714"/>
      <c r="J6" s="714">
        <f>AVERAGE(I13:J13)</f>
        <v>132.88899433899434</v>
      </c>
      <c r="K6" s="714"/>
      <c r="L6" s="716">
        <f>'0811'!Z2</f>
        <v>0</v>
      </c>
      <c r="M6" s="717">
        <f>'0811'!AA2</f>
        <v>0</v>
      </c>
      <c r="N6" s="718">
        <f>'0811'!AD2</f>
        <v>0</v>
      </c>
      <c r="O6" s="717">
        <f>'0811'!AE2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113.73853955025778</v>
      </c>
      <c r="G7" s="737"/>
      <c r="H7" s="738">
        <f>AVERAGE(D14:H14)</f>
        <v>112.63857666859872</v>
      </c>
      <c r="I7" s="738"/>
      <c r="J7" s="738">
        <f>AVERAGE(I14:J14)</f>
        <v>116.48844675440544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0.89528258673434968</v>
      </c>
      <c r="G8" s="710"/>
      <c r="H8" s="710">
        <f>AVERAGE(D15:H15)</f>
        <v>0.90228480360358676</v>
      </c>
      <c r="I8" s="710"/>
      <c r="J8" s="710">
        <f>AVERAGE(I15:J15)</f>
        <v>0.8777770445612566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VALUE('0811'!L15)</f>
        <v>151.08597285067873</v>
      </c>
      <c r="E13" s="13">
        <f>VALUE('0811'!L26)</f>
        <v>174.51923076923077</v>
      </c>
      <c r="F13" s="13">
        <f>VALUE('0811'!L37)</f>
        <v>94.264379084967317</v>
      </c>
      <c r="G13" s="13">
        <f>VALUE('0811'!L48)</f>
        <v>96.300925925925924</v>
      </c>
      <c r="H13" s="13">
        <f>VALUE('0811'!L58)</f>
        <v>106.6</v>
      </c>
      <c r="I13" s="13">
        <f>VALUE('0811'!L69)</f>
        <v>138.81212121212121</v>
      </c>
      <c r="J13" s="13">
        <f>'0811'!L79</f>
        <v>126.96586746586748</v>
      </c>
    </row>
    <row r="14" spans="2:15" ht="39.950000000000003" customHeight="1">
      <c r="B14" s="731"/>
      <c r="C14" s="12" t="s">
        <v>100</v>
      </c>
      <c r="D14" s="13">
        <f>VALUE('0811'!O15)</f>
        <v>134.80499544373015</v>
      </c>
      <c r="E14" s="13">
        <f>VALUE('0811'!O26)</f>
        <v>162.37008789821377</v>
      </c>
      <c r="F14" s="13">
        <f>VALUE('0811'!O37)</f>
        <v>81.988941219023374</v>
      </c>
      <c r="G14" s="13">
        <f>VALUE('0811'!O48)</f>
        <v>92.372119265804528</v>
      </c>
      <c r="H14" s="13">
        <f>VALUE('0811'!O58)</f>
        <v>91.656739516221748</v>
      </c>
      <c r="I14" s="13">
        <f>VALUE('0811'!O69)</f>
        <v>118.13244022069479</v>
      </c>
      <c r="J14" s="13">
        <f>'0811'!O79</f>
        <v>114.8444532881161</v>
      </c>
    </row>
    <row r="15" spans="2:15" ht="39.950000000000003" customHeight="1">
      <c r="B15" s="732"/>
      <c r="C15" s="10" t="s">
        <v>26</v>
      </c>
      <c r="D15" s="14">
        <f t="shared" ref="D15:I15" si="0">D14/D13</f>
        <v>0.89224031126278414</v>
      </c>
      <c r="E15" s="14">
        <f t="shared" si="0"/>
        <v>0.93038507666194115</v>
      </c>
      <c r="F15" s="14">
        <f t="shared" si="0"/>
        <v>0.8697764947363712</v>
      </c>
      <c r="G15" s="14">
        <f t="shared" si="0"/>
        <v>0.95920281531723373</v>
      </c>
      <c r="H15" s="14">
        <f t="shared" si="0"/>
        <v>0.85981932003960371</v>
      </c>
      <c r="I15" s="14">
        <f t="shared" si="0"/>
        <v>0.85102395373797768</v>
      </c>
      <c r="J15" s="15">
        <f>'0811'!S70</f>
        <v>0.90453013538453553</v>
      </c>
    </row>
    <row r="16" spans="2:15" ht="17.25" customHeight="1">
      <c r="B16" s="733" t="s">
        <v>101</v>
      </c>
      <c r="C16" s="10" t="s">
        <v>34</v>
      </c>
      <c r="D16" s="16">
        <f>'0811'!T5</f>
        <v>0.29930555555555599</v>
      </c>
      <c r="E16" s="16">
        <f>'0811'!T16</f>
        <v>0.29861111111111099</v>
      </c>
      <c r="F16" s="16">
        <f>'0811'!T27</f>
        <v>0.29166666666666702</v>
      </c>
      <c r="G16" s="16">
        <f>'0811'!T38</f>
        <v>0.33333333333333298</v>
      </c>
      <c r="H16" s="16">
        <f>'0811'!T49</f>
        <v>0.29166666666666702</v>
      </c>
      <c r="I16" s="16">
        <f>'0811'!T59</f>
        <v>0.29027777777777802</v>
      </c>
      <c r="J16" s="17">
        <f>'0811'!T70</f>
        <v>0.29166666666666702</v>
      </c>
    </row>
    <row r="17" spans="2:10" ht="17.25" customHeight="1">
      <c r="B17" s="734"/>
      <c r="C17" s="10" t="s">
        <v>35</v>
      </c>
      <c r="D17" s="22">
        <v>0.60833333333333295</v>
      </c>
      <c r="E17" s="19">
        <v>0.59722222222222199</v>
      </c>
      <c r="F17" s="19">
        <v>0.54583333333333295</v>
      </c>
      <c r="G17" s="20">
        <v>0.61805555555555602</v>
      </c>
      <c r="H17" s="21">
        <v>0.64722222222222203</v>
      </c>
      <c r="I17" s="22">
        <v>0.59375</v>
      </c>
      <c r="J17" s="22">
        <v>0.46458333333333302</v>
      </c>
    </row>
    <row r="18" spans="2:10" ht="17.25" customHeight="1">
      <c r="B18" s="735" t="s">
        <v>102</v>
      </c>
      <c r="C18" s="330" t="s">
        <v>36</v>
      </c>
      <c r="D18" s="386">
        <f>'0811'!Z15</f>
        <v>0</v>
      </c>
      <c r="E18" s="387">
        <f>'0811'!Z26</f>
        <v>0</v>
      </c>
      <c r="F18" s="387">
        <f>'0811'!Z37</f>
        <v>0</v>
      </c>
      <c r="G18" s="388">
        <f>'0811'!Z48</f>
        <v>0</v>
      </c>
      <c r="H18" s="388">
        <f>'0811'!Z58</f>
        <v>0</v>
      </c>
      <c r="I18" s="387">
        <f>'0811'!Z69</f>
        <v>0</v>
      </c>
      <c r="J18" s="387">
        <f>'0811'!AA79</f>
        <v>0</v>
      </c>
    </row>
    <row r="19" spans="2:10" ht="17.25" customHeight="1">
      <c r="B19" s="736"/>
      <c r="C19" s="330" t="s">
        <v>37</v>
      </c>
      <c r="D19" s="386">
        <f>'0811'!AA15</f>
        <v>0</v>
      </c>
      <c r="E19" s="387">
        <f>'0811'!AA26</f>
        <v>0</v>
      </c>
      <c r="F19" s="387">
        <f>'0811'!AA37</f>
        <v>0</v>
      </c>
      <c r="G19" s="388">
        <f>'0811'!AA48</f>
        <v>0</v>
      </c>
      <c r="H19" s="388">
        <f>'0811'!AA58</f>
        <v>0</v>
      </c>
      <c r="I19" s="387">
        <f>'0811'!AA69</f>
        <v>0</v>
      </c>
      <c r="J19" s="387">
        <f>'0811'!AB79</f>
        <v>0</v>
      </c>
    </row>
    <row r="20" spans="2:10" ht="17.25" customHeight="1">
      <c r="B20" s="735" t="s">
        <v>103</v>
      </c>
      <c r="C20" s="330" t="s">
        <v>36</v>
      </c>
      <c r="D20" s="386">
        <f>'0811'!AD15</f>
        <v>0</v>
      </c>
      <c r="E20" s="387">
        <f>'0811'!AD26</f>
        <v>0</v>
      </c>
      <c r="F20" s="387">
        <f>'0811'!AD37</f>
        <v>0</v>
      </c>
      <c r="G20" s="388">
        <f>'0811'!AD48</f>
        <v>0</v>
      </c>
      <c r="H20" s="388">
        <f>'0811'!AD58</f>
        <v>0</v>
      </c>
      <c r="I20" s="387">
        <f>'0811'!AD69</f>
        <v>0</v>
      </c>
      <c r="J20" s="387">
        <f>'0811'!AD79</f>
        <v>0</v>
      </c>
    </row>
    <row r="21" spans="2:10" ht="17.25" customHeight="1">
      <c r="B21" s="736"/>
      <c r="C21" s="330" t="s">
        <v>85</v>
      </c>
      <c r="D21" s="386">
        <f>'0811'!AE15</f>
        <v>0</v>
      </c>
      <c r="E21" s="387">
        <f>'0811'!AE26</f>
        <v>0</v>
      </c>
      <c r="F21" s="387">
        <f>'0811'!AE37</f>
        <v>0</v>
      </c>
      <c r="G21" s="388">
        <f>'0811'!AE48</f>
        <v>0</v>
      </c>
      <c r="H21" s="388">
        <f>'0811'!AE58</f>
        <v>0</v>
      </c>
      <c r="I21" s="387">
        <f>'0811'!AE69</f>
        <v>0</v>
      </c>
      <c r="J21" s="387">
        <f>'0811'!AE79</f>
        <v>0</v>
      </c>
    </row>
    <row r="22" spans="2:10" ht="17.25" customHeight="1">
      <c r="B22" s="719" t="s">
        <v>104</v>
      </c>
      <c r="C22" s="720"/>
      <c r="D22" s="23">
        <f>VALUE('0811'!M15)</f>
        <v>15</v>
      </c>
      <c r="E22" s="23">
        <f>VALUE('0811'!M26)</f>
        <v>13</v>
      </c>
      <c r="F22" s="23">
        <f>VALUE('0811'!M37)</f>
        <v>17.600000000000001</v>
      </c>
      <c r="G22" s="23">
        <f>VALUE('0811'!M48)</f>
        <v>17.333333333333332</v>
      </c>
      <c r="H22" s="23">
        <f>VALUE('0811'!M58)</f>
        <v>16.399999999999999</v>
      </c>
      <c r="I22" s="23">
        <f>VALUE('0811'!M69)</f>
        <v>12</v>
      </c>
      <c r="J22" s="23">
        <f>'0811'!M79</f>
        <v>9.3333333333333339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2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AFF2-A219-40C0-A2A7-832374A2CA3D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N17" sqref="N17"/>
      <selection pane="topRight" activeCell="N17" sqref="N17"/>
      <selection pane="bottomLeft" activeCell="N17" sqref="N17"/>
      <selection pane="bottomRight" activeCell="M35" sqref="M35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56162</v>
      </c>
      <c r="F1" s="30" t="s">
        <v>2</v>
      </c>
      <c r="G1" s="31">
        <f>SUM(H5:H79)</f>
        <v>2589339.3589999997</v>
      </c>
      <c r="H1" s="32" t="s">
        <v>3</v>
      </c>
      <c r="I1" s="33">
        <f>M15+M26+M48+M58+M69+M79+M37</f>
        <v>100.66666666666666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155</v>
      </c>
      <c r="B2" s="739"/>
      <c r="C2" s="28"/>
      <c r="D2" s="28" t="s">
        <v>14</v>
      </c>
      <c r="E2" s="35">
        <f>AVERAGE(O15,O26,O37,O48,O58,O69,O79)</f>
        <v>113.73853955025778</v>
      </c>
      <c r="F2" s="36" t="s">
        <v>15</v>
      </c>
      <c r="G2" s="37">
        <f>G1/E1</f>
        <v>46.104828157829132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1632</v>
      </c>
      <c r="H5" s="43">
        <f>F5*G5</f>
        <v>92811.839999999997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1883.0769230769299</v>
      </c>
      <c r="O5" s="47">
        <f>N5/M5</f>
        <v>125.53846153846199</v>
      </c>
      <c r="P5" s="49">
        <f>M5-J5</f>
        <v>0</v>
      </c>
      <c r="Q5" s="50">
        <f>O5-L5</f>
        <v>-24.461538461538012</v>
      </c>
      <c r="R5" s="51">
        <f>O5/L5</f>
        <v>0.83692307692307988</v>
      </c>
      <c r="S5" s="748">
        <f>R15</f>
        <v>0.89224031126278414</v>
      </c>
      <c r="T5" s="319">
        <v>0.29930555555555599</v>
      </c>
      <c r="U5" s="320">
        <v>0.33541666666666697</v>
      </c>
      <c r="V5" s="53"/>
      <c r="W5" s="54">
        <f t="shared" ref="W5:W14" si="0">(U5-T5)*24*60</f>
        <v>51.999999999999815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-366.92307692307008</v>
      </c>
      <c r="AG5" s="52">
        <f t="shared" ref="AG5:AG11" si="2">N5/K5</f>
        <v>0.83692307692307999</v>
      </c>
      <c r="AH5" s="784">
        <f>AG15</f>
        <v>0.89126103532946777</v>
      </c>
    </row>
    <row r="6" spans="1:34" ht="15" customHeight="1">
      <c r="A6" s="755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1526</v>
      </c>
      <c r="H6" s="78">
        <f>F6*G6</f>
        <v>77322.42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1948.0851063829723</v>
      </c>
      <c r="O6" s="81">
        <f>N6/M6</f>
        <v>114.59324155193954</v>
      </c>
      <c r="P6" s="74">
        <f>M6-J6</f>
        <v>0</v>
      </c>
      <c r="Q6" s="83">
        <f>O6-L6</f>
        <v>-17.759699624531038</v>
      </c>
      <c r="R6" s="72">
        <f>O6/L6</f>
        <v>0.86581560283687664</v>
      </c>
      <c r="S6" s="749"/>
      <c r="T6" s="18">
        <v>0.34236111111111101</v>
      </c>
      <c r="U6" s="18">
        <v>0.375</v>
      </c>
      <c r="V6" s="30">
        <f>(T6-U5)*24*60</f>
        <v>9.9999999999994049</v>
      </c>
      <c r="W6" s="73">
        <f t="shared" si="0"/>
        <v>47.000000000000156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-301.9148936170277</v>
      </c>
      <c r="AG6" s="72">
        <f t="shared" si="2"/>
        <v>0.86581560283687653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1932</v>
      </c>
      <c r="H7" s="78">
        <f t="shared" ref="H7:H9" si="3">F7*G7</f>
        <v>112384.44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2033.6842105263345</v>
      </c>
      <c r="O7" s="81">
        <f t="shared" ref="O7:O9" si="6">N7/M7</f>
        <v>156.43724696356418</v>
      </c>
      <c r="P7" s="74">
        <f t="shared" ref="P7:P9" si="7">M7-J7</f>
        <v>0</v>
      </c>
      <c r="Q7" s="83">
        <f t="shared" ref="Q7:Q9" si="8">O7-L7</f>
        <v>-16.639676113358888</v>
      </c>
      <c r="R7" s="72">
        <f t="shared" ref="R7:R9" si="9">O7/L7</f>
        <v>0.90385964912281536</v>
      </c>
      <c r="S7" s="749"/>
      <c r="T7" s="16">
        <v>0.38680555555555601</v>
      </c>
      <c r="U7" s="16">
        <v>0.42638888888888898</v>
      </c>
      <c r="V7" s="30">
        <f>(T7-U6)*24*60</f>
        <v>17.000000000000661</v>
      </c>
      <c r="W7" s="73">
        <f t="shared" si="0"/>
        <v>56.999999999999474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-216.31578947366552</v>
      </c>
      <c r="AG7" s="72">
        <f t="shared" si="2"/>
        <v>0.90385964912281536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2188</v>
      </c>
      <c r="H8" s="78">
        <f t="shared" si="3"/>
        <v>107518.32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2117.4193548386897</v>
      </c>
      <c r="O8" s="81">
        <f t="shared" si="6"/>
        <v>141.1612903225793</v>
      </c>
      <c r="P8" s="74">
        <f t="shared" si="7"/>
        <v>0</v>
      </c>
      <c r="Q8" s="83">
        <f t="shared" si="8"/>
        <v>-8.8387096774206952</v>
      </c>
      <c r="R8" s="72">
        <f t="shared" si="9"/>
        <v>0.94107526881719539</v>
      </c>
      <c r="S8" s="749"/>
      <c r="T8" s="16">
        <v>0.43333333333333302</v>
      </c>
      <c r="U8" s="16">
        <v>0.47638888888888897</v>
      </c>
      <c r="V8" s="30">
        <f t="shared" ref="V8:V9" si="10">(T8-U7)*24*60</f>
        <v>9.9999999999994049</v>
      </c>
      <c r="W8" s="73">
        <f t="shared" si="0"/>
        <v>62.000000000000583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-132.58064516131026</v>
      </c>
      <c r="AG8" s="72">
        <f t="shared" si="2"/>
        <v>0.94107526881719539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f>3019+218</f>
        <v>3237</v>
      </c>
      <c r="H9" s="78">
        <f t="shared" si="3"/>
        <v>159066.18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2044.4210526315862</v>
      </c>
      <c r="O9" s="81">
        <f t="shared" si="6"/>
        <v>136.29473684210575</v>
      </c>
      <c r="P9" s="74">
        <f t="shared" si="7"/>
        <v>0</v>
      </c>
      <c r="Q9" s="83">
        <f t="shared" si="8"/>
        <v>-13.705263157894251</v>
      </c>
      <c r="R9" s="72">
        <f t="shared" si="9"/>
        <v>0.90863157894737168</v>
      </c>
      <c r="S9" s="750"/>
      <c r="T9" s="22">
        <v>0.54236111111111096</v>
      </c>
      <c r="U9" s="22">
        <v>0.60833333333333295</v>
      </c>
      <c r="V9" s="30">
        <f t="shared" si="10"/>
        <v>94.999999999999659</v>
      </c>
      <c r="W9" s="73">
        <f t="shared" si="0"/>
        <v>94.999999999999659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-205.57894736841376</v>
      </c>
      <c r="AG9" s="72">
        <f t="shared" si="2"/>
        <v>0.90863157894737168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2005.3373294913024</v>
      </c>
      <c r="O15" s="117">
        <f t="shared" si="11"/>
        <v>134.80499544373015</v>
      </c>
      <c r="P15" s="121">
        <f t="shared" ref="P15:P19" si="12">M15-J15</f>
        <v>0</v>
      </c>
      <c r="Q15" s="122">
        <f t="shared" ref="Q15:Q19" si="13">O15-L15</f>
        <v>-16.28097740694858</v>
      </c>
      <c r="R15" s="123">
        <f t="shared" ref="R15:R19" si="14">O15/L15</f>
        <v>0.89224031126278414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 t="shared" ref="AF15:AF20" si="15">N15-K15</f>
        <v>-244.6626705086976</v>
      </c>
      <c r="AG15" s="124">
        <f t="shared" ref="AG15:AG20" si="16">N15/K15</f>
        <v>0.89126103532946777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1366</v>
      </c>
      <c r="H16" s="134">
        <f t="shared" ref="H16:H19" si="17">F16*G16</f>
        <v>77684.42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1821.3333333333333</v>
      </c>
      <c r="O16" s="141">
        <f t="shared" ref="O16:O19" si="20">N16/M16</f>
        <v>121.42222222222222</v>
      </c>
      <c r="P16" s="142">
        <f t="shared" si="12"/>
        <v>0</v>
      </c>
      <c r="Q16" s="143">
        <f t="shared" si="13"/>
        <v>-28.577777777777783</v>
      </c>
      <c r="R16" s="144">
        <f t="shared" si="14"/>
        <v>0.80948148148148147</v>
      </c>
      <c r="S16" s="795">
        <f>R26</f>
        <v>0.93038507666194115</v>
      </c>
      <c r="T16" s="145">
        <v>0.29861111111111099</v>
      </c>
      <c r="U16" s="145">
        <v>0.32986111111111099</v>
      </c>
      <c r="V16" s="135"/>
      <c r="W16" s="146">
        <f t="shared" ref="W16:W78" si="21">(U16-T16)*24*60</f>
        <v>45</v>
      </c>
      <c r="X16" s="141"/>
      <c r="Y16" s="296"/>
      <c r="Z16" s="169"/>
      <c r="AA16" s="169"/>
      <c r="AB16" s="791"/>
      <c r="AC16" s="791"/>
      <c r="AD16" s="135"/>
      <c r="AE16" s="135"/>
      <c r="AF16" s="229">
        <f t="shared" si="15"/>
        <v>-428.66666666666674</v>
      </c>
      <c r="AG16" s="52">
        <f t="shared" si="16"/>
        <v>0.80948148148148147</v>
      </c>
      <c r="AH16" s="784">
        <f>AG26</f>
        <v>0.92526683501683959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3633</v>
      </c>
      <c r="H17" s="78">
        <f t="shared" si="17"/>
        <v>184084.11000000002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2201.8181818181824</v>
      </c>
      <c r="O17" s="96">
        <f t="shared" si="20"/>
        <v>169.37062937062942</v>
      </c>
      <c r="P17" s="97">
        <f t="shared" si="12"/>
        <v>0</v>
      </c>
      <c r="Q17" s="98">
        <f t="shared" si="13"/>
        <v>-3.7062937062936498</v>
      </c>
      <c r="R17" s="99">
        <f t="shared" si="14"/>
        <v>0.97858585858585889</v>
      </c>
      <c r="S17" s="796"/>
      <c r="T17" s="19">
        <v>0.34166666666666701</v>
      </c>
      <c r="U17" s="19">
        <v>0.41041666666666698</v>
      </c>
      <c r="V17" s="30">
        <f>(T17-U16)*24*60</f>
        <v>17.000000000000661</v>
      </c>
      <c r="W17" s="149">
        <f t="shared" si="21"/>
        <v>98.999999999999972</v>
      </c>
      <c r="X17" s="19"/>
      <c r="Y17" s="297"/>
      <c r="Z17" s="90"/>
      <c r="AA17" s="90"/>
      <c r="AB17" s="789"/>
      <c r="AC17" s="789"/>
      <c r="AD17" s="92"/>
      <c r="AE17" s="92"/>
      <c r="AF17" s="307">
        <f t="shared" si="15"/>
        <v>-48.181818181817562</v>
      </c>
      <c r="AG17" s="72">
        <f t="shared" si="16"/>
        <v>0.97858585858585889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2820</v>
      </c>
      <c r="H18" s="78">
        <f t="shared" si="17"/>
        <v>142099.79999999999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2115.0000000000205</v>
      </c>
      <c r="O18" s="96">
        <f t="shared" si="20"/>
        <v>176.25000000000171</v>
      </c>
      <c r="P18" s="97">
        <f t="shared" si="12"/>
        <v>0</v>
      </c>
      <c r="Q18" s="98">
        <f t="shared" si="13"/>
        <v>-11.249999999998295</v>
      </c>
      <c r="R18" s="99">
        <f t="shared" si="14"/>
        <v>0.94000000000000905</v>
      </c>
      <c r="S18" s="796"/>
      <c r="T18" s="19">
        <v>0.421527777777778</v>
      </c>
      <c r="U18" s="19">
        <v>0.47708333333333303</v>
      </c>
      <c r="V18" s="30">
        <f>(T18-U17)*24*60</f>
        <v>15.999999999999863</v>
      </c>
      <c r="W18" s="149">
        <f t="shared" si="21"/>
        <v>79.999999999999233</v>
      </c>
      <c r="X18" s="22"/>
      <c r="Y18" s="84"/>
      <c r="Z18" s="90"/>
      <c r="AA18" s="90"/>
      <c r="AB18" s="789"/>
      <c r="AC18" s="789"/>
      <c r="AD18" s="92"/>
      <c r="AE18" s="92"/>
      <c r="AF18" s="307">
        <f t="shared" si="15"/>
        <v>-134.99999999997954</v>
      </c>
      <c r="AG18" s="72">
        <f t="shared" si="16"/>
        <v>0.94000000000000905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2919</v>
      </c>
      <c r="H19" s="78">
        <f t="shared" si="17"/>
        <v>147088.41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2189.2500000000209</v>
      </c>
      <c r="O19" s="96">
        <f t="shared" si="20"/>
        <v>182.43750000000173</v>
      </c>
      <c r="P19" s="97">
        <f t="shared" si="12"/>
        <v>0</v>
      </c>
      <c r="Q19" s="98">
        <f t="shared" si="13"/>
        <v>-5.0624999999982663</v>
      </c>
      <c r="R19" s="99">
        <f t="shared" si="14"/>
        <v>0.9730000000000093</v>
      </c>
      <c r="S19" s="796"/>
      <c r="T19" s="19">
        <v>0.54166666666666696</v>
      </c>
      <c r="U19" s="19">
        <v>0.59722222222222199</v>
      </c>
      <c r="V19" s="30">
        <f>(T19-U18)*24*60</f>
        <v>93.000000000000867</v>
      </c>
      <c r="W19" s="149">
        <f t="shared" si="21"/>
        <v>79.999999999999233</v>
      </c>
      <c r="X19" s="22"/>
      <c r="Y19" s="84"/>
      <c r="Z19" s="90"/>
      <c r="AA19" s="90"/>
      <c r="AB19" s="788"/>
      <c r="AC19" s="788"/>
      <c r="AD19" s="149"/>
      <c r="AE19" s="149"/>
      <c r="AF19" s="307">
        <f t="shared" si="15"/>
        <v>-60.749999999979082</v>
      </c>
      <c r="AG19" s="72">
        <f t="shared" si="16"/>
        <v>0.9730000000000093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89"/>
      <c r="AC20" s="789"/>
      <c r="AD20" s="92"/>
      <c r="AE20" s="92"/>
      <c r="AF20" s="307">
        <f t="shared" si="15"/>
        <v>0</v>
      </c>
      <c r="AG20" s="72" t="e">
        <f t="shared" si="16"/>
        <v>#DIV/0!</v>
      </c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21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2081.850378787889</v>
      </c>
      <c r="O26" s="158">
        <f t="shared" si="22"/>
        <v>162.37008789821377</v>
      </c>
      <c r="P26" s="159">
        <f t="shared" ref="P26:P31" si="23">M26-J26</f>
        <v>0</v>
      </c>
      <c r="Q26" s="160">
        <f t="shared" ref="Q26:Q31" si="24">O26-L26</f>
        <v>-12.149142871017006</v>
      </c>
      <c r="R26" s="161">
        <f t="shared" ref="R26:R31" si="25">O26/L26</f>
        <v>0.93038507666194115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6">N26-K26</f>
        <v>-168.14962121211101</v>
      </c>
      <c r="AG26" s="124">
        <f t="shared" ref="AG26:AG31" si="27">N26/K26</f>
        <v>0.92526683501683959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f>1633+16</f>
        <v>1649</v>
      </c>
      <c r="H27" s="134">
        <f>F27*G27</f>
        <v>76414.66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1319.2000000000091</v>
      </c>
      <c r="O27" s="141">
        <f>N27/M27</f>
        <v>82.450000000000571</v>
      </c>
      <c r="P27" s="142">
        <f t="shared" si="23"/>
        <v>0</v>
      </c>
      <c r="Q27" s="143">
        <f t="shared" si="24"/>
        <v>-19.799999999999429</v>
      </c>
      <c r="R27" s="144">
        <f t="shared" si="25"/>
        <v>0.80635696821516456</v>
      </c>
      <c r="S27" s="795">
        <f>R37</f>
        <v>0.8697764947363712</v>
      </c>
      <c r="T27" s="171">
        <v>0.29166666666666702</v>
      </c>
      <c r="U27" s="19">
        <v>0.34375</v>
      </c>
      <c r="V27" s="135"/>
      <c r="W27" s="146">
        <f t="shared" si="21"/>
        <v>74.999999999999488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26"/>
        <v>-316.79999999999086</v>
      </c>
      <c r="AG27" s="172">
        <f t="shared" si="27"/>
        <v>0.80635696821516456</v>
      </c>
      <c r="AH27" s="784">
        <f>AG37</f>
        <v>0.88159656723843383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1172</v>
      </c>
      <c r="H28" s="91">
        <f>F28*G28</f>
        <v>67050.12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1435.1020408163572</v>
      </c>
      <c r="O28" s="96">
        <f>N28/M28</f>
        <v>79.727891156464295</v>
      </c>
      <c r="P28" s="97">
        <f t="shared" si="23"/>
        <v>0</v>
      </c>
      <c r="Q28" s="98">
        <f t="shared" si="24"/>
        <v>-11.16099773242459</v>
      </c>
      <c r="R28" s="99">
        <f t="shared" si="25"/>
        <v>0.87720173644031629</v>
      </c>
      <c r="S28" s="796"/>
      <c r="T28" s="19">
        <v>0.34930555555555598</v>
      </c>
      <c r="U28" s="19">
        <v>0.38333333333333303</v>
      </c>
      <c r="V28" s="92">
        <f>(T28-U27)*24*60</f>
        <v>8.0000000000006111</v>
      </c>
      <c r="W28" s="149">
        <f t="shared" si="21"/>
        <v>48.999999999998948</v>
      </c>
      <c r="X28" s="174"/>
      <c r="Y28" s="301"/>
      <c r="Z28" s="335"/>
      <c r="AA28" s="335"/>
      <c r="AB28" s="867"/>
      <c r="AC28" s="868"/>
      <c r="AD28" s="92"/>
      <c r="AE28" s="92"/>
      <c r="AF28" s="311">
        <f t="shared" si="26"/>
        <v>-200.8979591836428</v>
      </c>
      <c r="AG28" s="99">
        <f t="shared" si="27"/>
        <v>0.87720173644031618</v>
      </c>
      <c r="AH28" s="805"/>
    </row>
    <row r="29" spans="1:34" ht="15" customHeight="1">
      <c r="A29" s="793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975+7</f>
        <v>982</v>
      </c>
      <c r="H29" s="91">
        <f>F29*G29</f>
        <v>49011.619999999995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1437.0731707317182</v>
      </c>
      <c r="O29" s="96">
        <f>N29/M29</f>
        <v>79.837398373984342</v>
      </c>
      <c r="P29" s="97">
        <f t="shared" si="23"/>
        <v>0</v>
      </c>
      <c r="Q29" s="98">
        <f t="shared" si="24"/>
        <v>-11.051490514904543</v>
      </c>
      <c r="R29" s="99">
        <f t="shared" si="25"/>
        <v>0.87840658357684487</v>
      </c>
      <c r="S29" s="796"/>
      <c r="T29" s="19">
        <v>0.391666666666667</v>
      </c>
      <c r="U29" s="19">
        <v>0.42013888888888901</v>
      </c>
      <c r="V29" s="92">
        <f>(T29-U28)*24*60</f>
        <v>12.000000000000917</v>
      </c>
      <c r="W29" s="149">
        <f t="shared" si="21"/>
        <v>40.999999999999694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6"/>
        <v>-198.92682926828184</v>
      </c>
      <c r="AG29" s="99">
        <f t="shared" si="27"/>
        <v>0.87840658357684487</v>
      </c>
      <c r="AH29" s="805"/>
    </row>
    <row r="30" spans="1:34" ht="15" customHeight="1">
      <c r="A30" s="793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1063</v>
      </c>
      <c r="H30" s="91">
        <f t="shared" ref="H30:H31" si="28">F30*G30</f>
        <v>48536.579999999994</v>
      </c>
      <c r="I30" s="92"/>
      <c r="J30" s="79">
        <f>VLOOKUP(D30,產線配置圖!$A$3:$C$40,2,0)</f>
        <v>17</v>
      </c>
      <c r="K30" s="80">
        <v>1637</v>
      </c>
      <c r="L30" s="93">
        <f t="shared" ref="L30:L31" si="29">K30/J30</f>
        <v>96.294117647058826</v>
      </c>
      <c r="M30" s="94">
        <v>18</v>
      </c>
      <c r="N30" s="95">
        <f t="shared" ref="N30:N31" si="30">G30/W30*60</f>
        <v>1483.2558139534938</v>
      </c>
      <c r="O30" s="96">
        <f t="shared" ref="O30:O31" si="31">N30/M30</f>
        <v>82.403100775194105</v>
      </c>
      <c r="P30" s="97">
        <f t="shared" si="23"/>
        <v>1</v>
      </c>
      <c r="Q30" s="98">
        <f t="shared" si="24"/>
        <v>-13.891016871864721</v>
      </c>
      <c r="R30" s="99">
        <f t="shared" si="25"/>
        <v>0.85574386877110553</v>
      </c>
      <c r="S30" s="796"/>
      <c r="T30" s="19">
        <v>0.42499999999999999</v>
      </c>
      <c r="U30" s="19">
        <v>0.45486111111111099</v>
      </c>
      <c r="V30" s="92">
        <f>(T30-U29)*24*60</f>
        <v>6.9999999999998153</v>
      </c>
      <c r="W30" s="149">
        <f t="shared" si="21"/>
        <v>42.999999999999844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6"/>
        <v>-153.74418604650623</v>
      </c>
      <c r="AG30" s="99">
        <f t="shared" si="27"/>
        <v>0.90608174340469994</v>
      </c>
      <c r="AH30" s="806"/>
    </row>
    <row r="31" spans="1:34" ht="15" customHeight="1">
      <c r="A31" s="793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v>975</v>
      </c>
      <c r="H31" s="91">
        <f t="shared" si="28"/>
        <v>48662.25</v>
      </c>
      <c r="I31" s="92"/>
      <c r="J31" s="79">
        <f>VLOOKUP(D31,產線配置圖!$A$3:$C$40,2,0)</f>
        <v>18</v>
      </c>
      <c r="K31" s="80">
        <v>1638</v>
      </c>
      <c r="L31" s="93">
        <f t="shared" si="29"/>
        <v>91</v>
      </c>
      <c r="M31" s="94">
        <v>18</v>
      </c>
      <c r="N31" s="95">
        <f t="shared" si="30"/>
        <v>1539.4736842105251</v>
      </c>
      <c r="O31" s="96">
        <f t="shared" si="31"/>
        <v>85.526315789473614</v>
      </c>
      <c r="P31" s="97">
        <f t="shared" si="23"/>
        <v>0</v>
      </c>
      <c r="Q31" s="98">
        <f t="shared" si="24"/>
        <v>-5.4736842105263861</v>
      </c>
      <c r="R31" s="99">
        <f t="shared" si="25"/>
        <v>0.9398496240601496</v>
      </c>
      <c r="S31" s="796"/>
      <c r="T31" s="19">
        <v>0.51944444444444404</v>
      </c>
      <c r="U31" s="19">
        <v>0.54583333333333295</v>
      </c>
      <c r="V31" s="92">
        <f>(T31-U30)*24*60</f>
        <v>92.999999999999588</v>
      </c>
      <c r="W31" s="149">
        <f t="shared" si="21"/>
        <v>38.000000000000028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6"/>
        <v>-98.526315789474893</v>
      </c>
      <c r="AG31" s="99">
        <f t="shared" si="27"/>
        <v>0.9398496240601496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21"/>
        <v>0</v>
      </c>
      <c r="X32" s="174"/>
      <c r="Y32" s="301"/>
      <c r="Z32" s="335"/>
      <c r="AA32" s="335"/>
      <c r="AB32" s="789"/>
      <c r="AC32" s="789"/>
      <c r="AD32" s="92"/>
      <c r="AE32" s="92"/>
      <c r="AF32" s="312">
        <f>N32-K32</f>
        <v>0</v>
      </c>
      <c r="AG32" s="99" t="e">
        <f>N32/K32</f>
        <v>#DIV/0!</v>
      </c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32">AVERAGE(J27:J36)</f>
        <v>17.399999999999999</v>
      </c>
      <c r="K37" s="155">
        <f t="shared" si="32"/>
        <v>1636.6</v>
      </c>
      <c r="L37" s="158">
        <f t="shared" si="32"/>
        <v>94.264379084967317</v>
      </c>
      <c r="M37" s="155">
        <f t="shared" si="32"/>
        <v>17.600000000000001</v>
      </c>
      <c r="N37" s="155">
        <f t="shared" si="32"/>
        <v>1442.8209419424206</v>
      </c>
      <c r="O37" s="158">
        <f t="shared" si="32"/>
        <v>81.988941219023374</v>
      </c>
      <c r="P37" s="159">
        <f>M37-J37</f>
        <v>0.20000000000000284</v>
      </c>
      <c r="Q37" s="160">
        <f>N37-K37</f>
        <v>-193.77905805757928</v>
      </c>
      <c r="R37" s="161">
        <f>O37/L37</f>
        <v>0.8697764947363712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-193.77905805757928</v>
      </c>
      <c r="AG37" s="124">
        <f>N37/K37</f>
        <v>0.88159656723843383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2642</v>
      </c>
      <c r="H38" s="134">
        <f>F38*G38</f>
        <v>131862.22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1634.226804123713</v>
      </c>
      <c r="O38" s="141">
        <f>N38/M38</f>
        <v>102.13917525773206</v>
      </c>
      <c r="P38" s="142">
        <f>M38-J38</f>
        <v>0</v>
      </c>
      <c r="Q38" s="143">
        <f>O38-L38</f>
        <v>-4.9858247422679369</v>
      </c>
      <c r="R38" s="144">
        <f>O38/L38</f>
        <v>0.95345787871861898</v>
      </c>
      <c r="S38" s="817">
        <f>R48</f>
        <v>0.95920281531723373</v>
      </c>
      <c r="T38" s="191">
        <v>0.33333333333333298</v>
      </c>
      <c r="U38" s="191">
        <v>0.40069444444444402</v>
      </c>
      <c r="V38" s="192"/>
      <c r="W38" s="193">
        <f t="shared" si="21"/>
        <v>96.999999999999901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-79.773195876286991</v>
      </c>
      <c r="AG38" s="195">
        <f>N38/K38</f>
        <v>0.95345787871861898</v>
      </c>
      <c r="AH38" s="807">
        <f>AG48</f>
        <v>0.9594496770633737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2547</v>
      </c>
      <c r="H39" s="91">
        <f>F39*G39</f>
        <v>112832.09999999999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1591.8749999999911</v>
      </c>
      <c r="O39" s="203">
        <f>N39/M39</f>
        <v>88.437499999999503</v>
      </c>
      <c r="P39" s="97">
        <f>M39-J39</f>
        <v>0</v>
      </c>
      <c r="Q39" s="98">
        <f>O39-L39</f>
        <v>-2.4513888888893831</v>
      </c>
      <c r="R39" s="99">
        <f>O39/L39</f>
        <v>0.97302872860635148</v>
      </c>
      <c r="S39" s="818"/>
      <c r="T39" s="20">
        <v>0.41249999999999998</v>
      </c>
      <c r="U39" s="20">
        <v>0.47916666666666702</v>
      </c>
      <c r="V39" s="92">
        <f>(T39-U38)*24*60</f>
        <v>17.000000000000579</v>
      </c>
      <c r="W39" s="205">
        <f t="shared" si="21"/>
        <v>96.00000000000054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-44.125000000008868</v>
      </c>
      <c r="AG39" s="206">
        <f>N39/K39</f>
        <v>0.97302872860635159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2542+184</f>
        <v>2726</v>
      </c>
      <c r="H40" s="91">
        <f>F40*G40</f>
        <v>120761.79999999999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1557.7142857142769</v>
      </c>
      <c r="O40" s="203">
        <f>N40/M40</f>
        <v>86.539682539682047</v>
      </c>
      <c r="P40" s="97">
        <f>M40-J40</f>
        <v>0</v>
      </c>
      <c r="Q40" s="98">
        <f>O40-L40</f>
        <v>-4.3492063492068382</v>
      </c>
      <c r="R40" s="99">
        <f>O40/L40</f>
        <v>0.95214809640236975</v>
      </c>
      <c r="S40" s="749"/>
      <c r="T40" s="20">
        <v>0.54513888888888895</v>
      </c>
      <c r="U40" s="20">
        <v>0.61805555555555602</v>
      </c>
      <c r="V40" s="92">
        <f>(T40-U39)*24*60</f>
        <v>94.999999999999588</v>
      </c>
      <c r="W40" s="205">
        <f t="shared" si="21"/>
        <v>105.00000000000058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-78.285714285723088</v>
      </c>
      <c r="AG40" s="206">
        <f>N40/K40</f>
        <v>0.95214809640236975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33">AVERAGE(J38:J47)</f>
        <v>17.333333333333332</v>
      </c>
      <c r="K48" s="155">
        <f t="shared" si="33"/>
        <v>1662</v>
      </c>
      <c r="L48" s="158">
        <f t="shared" si="33"/>
        <v>96.300925925925924</v>
      </c>
      <c r="M48" s="155">
        <f t="shared" si="33"/>
        <v>17.333333333333332</v>
      </c>
      <c r="N48" s="155">
        <f t="shared" si="33"/>
        <v>1594.6053632793271</v>
      </c>
      <c r="O48" s="158">
        <f t="shared" si="33"/>
        <v>92.372119265804528</v>
      </c>
      <c r="P48" s="221">
        <f>M48-J48</f>
        <v>0</v>
      </c>
      <c r="Q48" s="222">
        <f>N48-K48</f>
        <v>-67.394636720672906</v>
      </c>
      <c r="R48" s="223">
        <f t="shared" ref="R48:R53" si="34">O48/L48</f>
        <v>0.95920281531723373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35">N48-K48</f>
        <v>-67.394636720672906</v>
      </c>
      <c r="AG48" s="162">
        <f t="shared" ref="AG48:AG52" si="36">N48/K48</f>
        <v>0.9594496770633737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793</v>
      </c>
      <c r="H49" s="134">
        <f>F49*G49</f>
        <v>39269.360000000001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1586.0000000000266</v>
      </c>
      <c r="O49" s="141">
        <f>N49/M49</f>
        <v>93.294117647060389</v>
      </c>
      <c r="P49" s="229">
        <f>M49-J49</f>
        <v>0</v>
      </c>
      <c r="Q49" s="230">
        <f>O49-L49</f>
        <v>-12.588235294116075</v>
      </c>
      <c r="R49" s="52">
        <f t="shared" si="34"/>
        <v>0.88111111111112594</v>
      </c>
      <c r="S49" s="748">
        <f>R58</f>
        <v>0.85981932003960371</v>
      </c>
      <c r="T49" s="191">
        <v>0.29166666666666702</v>
      </c>
      <c r="U49" s="191">
        <v>0.3125</v>
      </c>
      <c r="V49" s="55"/>
      <c r="W49" s="193">
        <f t="shared" si="21"/>
        <v>29.999999999999496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5"/>
        <v>-213.9999999999734</v>
      </c>
      <c r="AG49" s="52">
        <f t="shared" si="36"/>
        <v>0.88111111111112594</v>
      </c>
      <c r="AH49" s="784">
        <f>AG58</f>
        <v>0.84996272284950802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2201</v>
      </c>
      <c r="H50" s="231">
        <f>F50*G50</f>
        <v>110686.08900000001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1435.4347826087155</v>
      </c>
      <c r="O50" s="235">
        <f>N50/M50</f>
        <v>84.43734015345386</v>
      </c>
      <c r="P50" s="74">
        <f>M50-J50</f>
        <v>0</v>
      </c>
      <c r="Q50" s="83">
        <f>O50-L50</f>
        <v>-11.797953964193198</v>
      </c>
      <c r="R50" s="72">
        <f t="shared" si="34"/>
        <v>0.87740512384395819</v>
      </c>
      <c r="S50" s="749"/>
      <c r="T50" s="21">
        <v>0.31805555555555598</v>
      </c>
      <c r="U50" s="19">
        <v>0.38194444444444398</v>
      </c>
      <c r="V50" s="30"/>
      <c r="W50" s="236">
        <f t="shared" si="21"/>
        <v>91.999999999998721</v>
      </c>
      <c r="X50" s="22"/>
      <c r="Y50" s="84"/>
      <c r="Z50" s="90"/>
      <c r="AA50" s="90"/>
      <c r="AB50" s="867"/>
      <c r="AC50" s="868"/>
      <c r="AD50" s="92"/>
      <c r="AE50" s="92"/>
      <c r="AF50" s="307">
        <f t="shared" si="35"/>
        <v>-200.56521739128448</v>
      </c>
      <c r="AG50" s="72">
        <f t="shared" si="36"/>
        <v>0.87740512384395819</v>
      </c>
      <c r="AH50" s="785"/>
    </row>
    <row r="51" spans="1:34" ht="15" customHeight="1">
      <c r="A51" s="812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v>2426</v>
      </c>
      <c r="H51" s="231">
        <f>F51*G51</f>
        <v>121227.22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1532.2105263157951</v>
      </c>
      <c r="O51" s="235">
        <f>N51/M51</f>
        <v>95.763157894737191</v>
      </c>
      <c r="P51" s="74">
        <f>M51-J51</f>
        <v>0</v>
      </c>
      <c r="Q51" s="83">
        <f>O51-L51</f>
        <v>-16.736842105262809</v>
      </c>
      <c r="R51" s="72">
        <f t="shared" si="34"/>
        <v>0.85122807017544166</v>
      </c>
      <c r="S51" s="749"/>
      <c r="T51" s="21">
        <v>0.391666666666667</v>
      </c>
      <c r="U51" s="21">
        <v>0.45763888888888898</v>
      </c>
      <c r="V51" s="30">
        <f>(T51-U50)*24*60</f>
        <v>14.000000000001149</v>
      </c>
      <c r="W51" s="236">
        <f t="shared" si="21"/>
        <v>94.999999999999659</v>
      </c>
      <c r="X51" s="22"/>
      <c r="Y51" s="84"/>
      <c r="Z51" s="90"/>
      <c r="AA51" s="90"/>
      <c r="AB51" s="867"/>
      <c r="AC51" s="868"/>
      <c r="AD51" s="92"/>
      <c r="AE51" s="92"/>
      <c r="AF51" s="307">
        <f t="shared" si="35"/>
        <v>-267.78947368420495</v>
      </c>
      <c r="AG51" s="72">
        <f t="shared" si="36"/>
        <v>0.85122807017544166</v>
      </c>
      <c r="AH51" s="785"/>
    </row>
    <row r="52" spans="1:34" ht="15" customHeight="1">
      <c r="A52" s="812"/>
      <c r="B52" s="101" t="s">
        <v>116</v>
      </c>
      <c r="C52" s="102"/>
      <c r="D52" s="103" t="s">
        <v>127</v>
      </c>
      <c r="E52" s="104"/>
      <c r="F52" s="75">
        <f>VLOOKUP(D52,廠價表!$C$1:$E$43,3,0)</f>
        <v>49.52</v>
      </c>
      <c r="G52" s="202">
        <v>1564</v>
      </c>
      <c r="H52" s="231">
        <f>F52*G52</f>
        <v>77449.279999999999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108">
        <v>16</v>
      </c>
      <c r="N52" s="234">
        <f>G52/W52*60</f>
        <v>1513.5483870967951</v>
      </c>
      <c r="O52" s="235">
        <f>N52/M52</f>
        <v>94.596774193549692</v>
      </c>
      <c r="P52" s="74">
        <f>M52-J52</f>
        <v>-1</v>
      </c>
      <c r="Q52" s="83">
        <f>O52-L52</f>
        <v>-11.285578747626772</v>
      </c>
      <c r="R52" s="72">
        <f t="shared" si="34"/>
        <v>0.893413978494636</v>
      </c>
      <c r="S52" s="749"/>
      <c r="T52" s="21">
        <v>0.51805555555555605</v>
      </c>
      <c r="U52" s="21">
        <v>0.56111111111111101</v>
      </c>
      <c r="V52" s="30">
        <f>(T52-U51)*24*60</f>
        <v>87.000000000000568</v>
      </c>
      <c r="W52" s="236">
        <f t="shared" si="21"/>
        <v>61.99999999999914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5"/>
        <v>-286.45161290320493</v>
      </c>
      <c r="AG52" s="72">
        <f t="shared" si="36"/>
        <v>0.84086021505377506</v>
      </c>
      <c r="AH52" s="785"/>
    </row>
    <row r="53" spans="1:34" ht="15" customHeight="1">
      <c r="A53" s="812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2814</v>
      </c>
      <c r="H53" s="231">
        <f>F53*G53</f>
        <v>140615.57999999999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1443.0769230769224</v>
      </c>
      <c r="O53" s="235">
        <f>N53/M53</f>
        <v>90.192307692307651</v>
      </c>
      <c r="P53" s="74">
        <f>M53-J53</f>
        <v>0</v>
      </c>
      <c r="Q53" s="83">
        <f>O53-L53</f>
        <v>-22.307692307692349</v>
      </c>
      <c r="R53" s="72">
        <f t="shared" si="34"/>
        <v>0.8017094017094013</v>
      </c>
      <c r="S53" s="749"/>
      <c r="T53" s="21">
        <v>0.56597222222222199</v>
      </c>
      <c r="U53" s="21">
        <v>0.64722222222222203</v>
      </c>
      <c r="V53" s="30">
        <f>(T53-U52)*24*60</f>
        <v>6.9999999999998153</v>
      </c>
      <c r="W53" s="236">
        <f t="shared" si="21"/>
        <v>117.00000000000006</v>
      </c>
      <c r="X53" s="30"/>
      <c r="Y53" s="151"/>
      <c r="Z53" s="90"/>
      <c r="AA53" s="90"/>
      <c r="AB53" s="789"/>
      <c r="AC53" s="789"/>
      <c r="AD53" s="92"/>
      <c r="AE53" s="92"/>
      <c r="AF53" s="307">
        <f>N53-K53</f>
        <v>-356.92307692307759</v>
      </c>
      <c r="AG53" s="72">
        <f>N53/K53</f>
        <v>0.8017094017094013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7">AVERAGE(J49:J57)</f>
        <v>16.600000000000001</v>
      </c>
      <c r="K58" s="120">
        <f t="shared" si="37"/>
        <v>1767.2</v>
      </c>
      <c r="L58" s="117">
        <f t="shared" si="37"/>
        <v>106.6</v>
      </c>
      <c r="M58" s="120">
        <f t="shared" si="37"/>
        <v>16.399999999999999</v>
      </c>
      <c r="N58" s="120">
        <f t="shared" si="37"/>
        <v>1502.0541238196506</v>
      </c>
      <c r="O58" s="117">
        <f t="shared" si="37"/>
        <v>91.656739516221748</v>
      </c>
      <c r="P58" s="121">
        <f>M58-J58</f>
        <v>-0.20000000000000284</v>
      </c>
      <c r="Q58" s="122">
        <f>N58-K58</f>
        <v>-265.14587618034943</v>
      </c>
      <c r="R58" s="123">
        <f>O58/L58</f>
        <v>0.85981932003960371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3" si="38">N58-K58</f>
        <v>-265.14587618034943</v>
      </c>
      <c r="AG58" s="124">
        <f t="shared" ref="AG58:AG63" si="39">N58/K58</f>
        <v>0.84996272284950802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3544</v>
      </c>
      <c r="H59" s="243">
        <f>F59*G59</f>
        <v>95652.56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1552.1167883211663</v>
      </c>
      <c r="O59" s="138">
        <f>N59/M59</f>
        <v>103.47445255474442</v>
      </c>
      <c r="P59" s="56">
        <f>M59-J59</f>
        <v>0</v>
      </c>
      <c r="Q59" s="230">
        <f>O59-L59</f>
        <v>-5.5922141119222459</v>
      </c>
      <c r="R59" s="52">
        <f>O59/L59</f>
        <v>0.94872664322809674</v>
      </c>
      <c r="S59" s="748">
        <f>R69</f>
        <v>0.85102395373797768</v>
      </c>
      <c r="T59" s="245">
        <v>0.29027777777777802</v>
      </c>
      <c r="U59" s="245">
        <v>0.38541666666666702</v>
      </c>
      <c r="V59" s="55"/>
      <c r="W59" s="54">
        <f t="shared" si="21"/>
        <v>137.00000000000014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38"/>
        <v>-83.883211678833732</v>
      </c>
      <c r="AG59" s="246">
        <f t="shared" si="39"/>
        <v>0.94872664322809674</v>
      </c>
      <c r="AH59" s="784">
        <f>AG69</f>
        <v>0.8575374663706522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1434</v>
      </c>
      <c r="H60" s="78">
        <f>F60*G60</f>
        <v>40524.840000000004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1564.3636363636124</v>
      </c>
      <c r="O60" s="81">
        <f>N60/M60</f>
        <v>142.21487603305567</v>
      </c>
      <c r="P60" s="74">
        <f>M60-J60</f>
        <v>0</v>
      </c>
      <c r="Q60" s="83">
        <f>O60-L60</f>
        <v>-6.5123966942170455</v>
      </c>
      <c r="R60" s="72">
        <f>O60/L60</f>
        <v>0.95621249166479982</v>
      </c>
      <c r="S60" s="829"/>
      <c r="T60" s="22">
        <v>0.39583333333333298</v>
      </c>
      <c r="U60" s="22">
        <v>0.43402777777777801</v>
      </c>
      <c r="V60" s="30">
        <f>(T60-U59)*24*60</f>
        <v>14.999999999998987</v>
      </c>
      <c r="W60" s="248">
        <f t="shared" si="21"/>
        <v>55.000000000000846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38"/>
        <v>-71.636363636387614</v>
      </c>
      <c r="AG60" s="249">
        <f t="shared" si="39"/>
        <v>0.95621249166479971</v>
      </c>
      <c r="AH60" s="820"/>
    </row>
    <row r="61" spans="1:34" ht="15" customHeight="1">
      <c r="A61" s="827"/>
      <c r="B61" s="250" t="s">
        <v>130</v>
      </c>
      <c r="C61" s="251"/>
      <c r="D61" s="257" t="s">
        <v>133</v>
      </c>
      <c r="E61" s="253"/>
      <c r="F61" s="250">
        <f>VLOOKUP(D61,廠價表!$C$1:$E$43,3,0)</f>
        <v>28.26</v>
      </c>
      <c r="G61" s="38">
        <v>1194</v>
      </c>
      <c r="H61" s="254">
        <f t="shared" ref="H61:H62" si="40">F61*G61</f>
        <v>33742.44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41">K61/J61</f>
        <v>148.72727272727272</v>
      </c>
      <c r="M61" s="108">
        <v>11</v>
      </c>
      <c r="N61" s="107">
        <f t="shared" ref="N61:N62" si="42">G61/W61*60</f>
        <v>1102.1538461538432</v>
      </c>
      <c r="O61" s="238">
        <f t="shared" ref="O61:O62" si="43">N61/M61</f>
        <v>100.19580419580393</v>
      </c>
      <c r="P61" s="111">
        <f t="shared" ref="P61:P62" si="44">M61-J61</f>
        <v>0</v>
      </c>
      <c r="Q61" s="255">
        <f t="shared" ref="Q61:Q62" si="45">O61-L61</f>
        <v>-48.531468531468789</v>
      </c>
      <c r="R61" s="85">
        <f t="shared" ref="R61:R62" si="46">O61/L61</f>
        <v>0.67368817002068659</v>
      </c>
      <c r="S61" s="749"/>
      <c r="T61" s="22">
        <v>0.44097222222222199</v>
      </c>
      <c r="U61" s="22">
        <v>0.48611111111111099</v>
      </c>
      <c r="V61" s="30">
        <f>(T61-U60)*24*60</f>
        <v>9.999999999999325</v>
      </c>
      <c r="W61" s="256">
        <f t="shared" si="21"/>
        <v>65.000000000000171</v>
      </c>
      <c r="X61" s="22"/>
      <c r="Y61" s="84"/>
      <c r="Z61" s="90"/>
      <c r="AA61" s="90"/>
      <c r="AB61" s="789" t="s">
        <v>156</v>
      </c>
      <c r="AC61" s="789"/>
      <c r="AD61" s="92"/>
      <c r="AE61" s="92"/>
      <c r="AF61" s="317">
        <f t="shared" si="38"/>
        <v>-533.84615384615677</v>
      </c>
      <c r="AG61" s="247">
        <f t="shared" si="39"/>
        <v>0.67368817002068659</v>
      </c>
      <c r="AH61" s="785"/>
    </row>
    <row r="62" spans="1:34" ht="15" customHeight="1">
      <c r="A62" s="827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f>1074+148+55</f>
        <v>1277</v>
      </c>
      <c r="H62" s="254">
        <f t="shared" si="40"/>
        <v>36088.020000000004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si="41"/>
        <v>148.72727272727272</v>
      </c>
      <c r="M62" s="68">
        <v>11</v>
      </c>
      <c r="N62" s="107">
        <f t="shared" si="42"/>
        <v>1393.0909090909263</v>
      </c>
      <c r="O62" s="238">
        <f t="shared" si="43"/>
        <v>126.64462809917512</v>
      </c>
      <c r="P62" s="111">
        <f t="shared" si="44"/>
        <v>0</v>
      </c>
      <c r="Q62" s="255">
        <f t="shared" si="45"/>
        <v>-22.082644628097597</v>
      </c>
      <c r="R62" s="85">
        <f t="shared" si="46"/>
        <v>0.85152256056902598</v>
      </c>
      <c r="S62" s="749"/>
      <c r="T62" s="22">
        <v>0.55555555555555602</v>
      </c>
      <c r="U62" s="22">
        <v>0.59375</v>
      </c>
      <c r="V62" s="30">
        <f>(T62-U61)*24*60</f>
        <v>100.00000000000084</v>
      </c>
      <c r="W62" s="248">
        <f t="shared" si="21"/>
        <v>54.999999999999325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38"/>
        <v>-242.90909090907371</v>
      </c>
      <c r="AG62" s="247">
        <f t="shared" si="39"/>
        <v>0.85152256056902587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21"/>
        <v>0</v>
      </c>
      <c r="X63" s="261"/>
      <c r="Y63" s="291"/>
      <c r="Z63" s="335"/>
      <c r="AA63" s="335"/>
      <c r="AB63" s="789"/>
      <c r="AC63" s="789"/>
      <c r="AD63" s="92"/>
      <c r="AE63" s="92"/>
      <c r="AF63" s="317">
        <f t="shared" si="38"/>
        <v>0</v>
      </c>
      <c r="AG63" s="247" t="e">
        <f t="shared" si="39"/>
        <v>#DIV/0!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47">AVERAGE(J59:J68)</f>
        <v>12</v>
      </c>
      <c r="K69" s="415">
        <f t="shared" si="47"/>
        <v>1636</v>
      </c>
      <c r="L69" s="416">
        <f t="shared" si="47"/>
        <v>138.81212121212121</v>
      </c>
      <c r="M69" s="415">
        <f t="shared" si="47"/>
        <v>12</v>
      </c>
      <c r="N69" s="415">
        <f t="shared" si="47"/>
        <v>1402.931294982387</v>
      </c>
      <c r="O69" s="416">
        <f t="shared" si="47"/>
        <v>118.13244022069479</v>
      </c>
      <c r="P69" s="417">
        <f>M69-J69</f>
        <v>0</v>
      </c>
      <c r="Q69" s="418">
        <f>N69-K69</f>
        <v>-233.06870501761296</v>
      </c>
      <c r="R69" s="419">
        <f>O69/L69</f>
        <v>0.85102395373797768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-233.06870501761296</v>
      </c>
      <c r="AG69" s="124">
        <f>N69/K69</f>
        <v>0.8575374663706522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2082</v>
      </c>
      <c r="H70" s="403">
        <f>F70*G70</f>
        <v>58837.32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8</v>
      </c>
      <c r="N70" s="405">
        <f>G70/W70*60</f>
        <v>1135.6363636363619</v>
      </c>
      <c r="O70" s="406">
        <f>N70/M70</f>
        <v>141.95454545454524</v>
      </c>
      <c r="P70" s="408">
        <f>M70-J70</f>
        <v>-3</v>
      </c>
      <c r="Q70" s="409">
        <f>O70-L70</f>
        <v>-6.7727272727274794</v>
      </c>
      <c r="R70" s="410">
        <f>O70/L70</f>
        <v>0.95446210268948517</v>
      </c>
      <c r="S70" s="817">
        <f>R79</f>
        <v>0.90453013538453553</v>
      </c>
      <c r="T70" s="245">
        <v>0.29166666666666702</v>
      </c>
      <c r="U70" s="245">
        <v>0.36805555555555602</v>
      </c>
      <c r="V70" s="55"/>
      <c r="W70" s="54">
        <f t="shared" si="21"/>
        <v>110.00000000000017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-500.36363636363808</v>
      </c>
      <c r="AG70" s="246">
        <f>N70/K70</f>
        <v>0.69415425650144369</v>
      </c>
      <c r="AH70" s="784">
        <f>AG79</f>
        <v>0.65701369404241816</v>
      </c>
    </row>
    <row r="71" spans="1:36" ht="15" customHeight="1">
      <c r="A71" s="822"/>
      <c r="B71" s="75" t="s">
        <v>81</v>
      </c>
      <c r="C71" s="58"/>
      <c r="D71" s="259" t="s">
        <v>135</v>
      </c>
      <c r="E71" s="60"/>
      <c r="F71" s="401">
        <f>VLOOKUP(D71,廠價表!$C$1:$E$43,3,0)</f>
        <v>43.89</v>
      </c>
      <c r="G71" s="273">
        <v>585</v>
      </c>
      <c r="H71" s="403">
        <f>F71*G71</f>
        <v>25675.65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94">
        <v>11</v>
      </c>
      <c r="N71" s="405">
        <f>G71/W71*60</f>
        <v>948.64864864866433</v>
      </c>
      <c r="O71" s="406">
        <f>N71/M71</f>
        <v>86.240786240787671</v>
      </c>
      <c r="P71" s="408">
        <f>M71-J71</f>
        <v>-3</v>
      </c>
      <c r="Q71" s="409">
        <f>O71-L71</f>
        <v>-25.544928044926621</v>
      </c>
      <c r="R71" s="410">
        <f>O71/L71</f>
        <v>0.77148307180257336</v>
      </c>
      <c r="S71" s="818"/>
      <c r="T71" s="22">
        <v>0.38055555555555598</v>
      </c>
      <c r="U71" s="22">
        <v>0.40625</v>
      </c>
      <c r="V71" s="30">
        <f>(T71-U70)*24*60</f>
        <v>17.999999999999936</v>
      </c>
      <c r="W71" s="73">
        <f t="shared" si="21"/>
        <v>36.999999999999389</v>
      </c>
      <c r="X71" s="271"/>
      <c r="Y71" s="293"/>
      <c r="Z71" s="90"/>
      <c r="AA71" s="90"/>
      <c r="AB71" s="810" t="s">
        <v>149</v>
      </c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v>1239</v>
      </c>
      <c r="H72" s="403">
        <f>F72*G72</f>
        <v>54379.71</v>
      </c>
      <c r="I72" s="3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9</v>
      </c>
      <c r="N72" s="405">
        <f>G72/W72*60</f>
        <v>1047.0422535211387</v>
      </c>
      <c r="O72" s="406">
        <f>N72/M72</f>
        <v>116.33802816901542</v>
      </c>
      <c r="P72" s="408">
        <f>M72-J72</f>
        <v>-4</v>
      </c>
      <c r="Q72" s="409">
        <f>O72-L72</f>
        <v>-4.0465872155999705</v>
      </c>
      <c r="R72" s="410">
        <f>O72/L72</f>
        <v>0.96638617648383407</v>
      </c>
      <c r="S72" s="749"/>
      <c r="T72" s="22">
        <v>0.41527777777777802</v>
      </c>
      <c r="U72" s="22">
        <v>0.46458333333333302</v>
      </c>
      <c r="V72" s="30">
        <f>(T72-U71)*24*60</f>
        <v>13.000000000000353</v>
      </c>
      <c r="W72" s="73">
        <f t="shared" si="21"/>
        <v>70.99999999999919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48">AVERAGE(J70:J78)</f>
        <v>12.666666666666666</v>
      </c>
      <c r="K79" s="240">
        <f t="shared" si="48"/>
        <v>1588.6666666666667</v>
      </c>
      <c r="L79" s="268">
        <f t="shared" si="48"/>
        <v>126.96586746586748</v>
      </c>
      <c r="M79" s="240">
        <f t="shared" si="48"/>
        <v>9.3333333333333339</v>
      </c>
      <c r="N79" s="240">
        <f t="shared" si="48"/>
        <v>1043.7757552687217</v>
      </c>
      <c r="O79" s="268">
        <f t="shared" si="48"/>
        <v>114.8444532881161</v>
      </c>
      <c r="P79" s="269">
        <f>M79-J79</f>
        <v>-3.3333333333333321</v>
      </c>
      <c r="Q79" s="222">
        <f>N79-K79</f>
        <v>-544.89091139794505</v>
      </c>
      <c r="R79" s="223">
        <f>O79/L79</f>
        <v>0.90453013538453553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-544.89091139794505</v>
      </c>
      <c r="AG79" s="124">
        <f>N79/K79</f>
        <v>0.65701369404241816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B1:AC2"/>
    <mergeCell ref="AF1:AH2"/>
    <mergeCell ref="AB28:AC28"/>
    <mergeCell ref="AB27:AC27"/>
    <mergeCell ref="G3:G4"/>
    <mergeCell ref="J1:L2"/>
    <mergeCell ref="M1:O2"/>
    <mergeCell ref="P1:S2"/>
    <mergeCell ref="T1:Y2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</mergeCells>
  <phoneticPr fontId="0" type="noConversion"/>
  <conditionalFormatting sqref="P5:P79">
    <cfRule type="cellIs" dxfId="208" priority="1" operator="greaterThan">
      <formula>0</formula>
    </cfRule>
  </conditionalFormatting>
  <conditionalFormatting sqref="Q5:Q79 AF5:AF79">
    <cfRule type="cellIs" dxfId="207" priority="4" operator="lessThan">
      <formula>0</formula>
    </cfRule>
  </conditionalFormatting>
  <conditionalFormatting sqref="R5:R79 AG5:AG79">
    <cfRule type="cellIs" dxfId="206" priority="2" operator="greaterThan">
      <formula>1</formula>
    </cfRule>
    <cfRule type="cellIs" dxfId="205" priority="3" operator="lessThan">
      <formula>0.8</formula>
    </cfRule>
  </conditionalFormatting>
  <conditionalFormatting sqref="S5:S10 S37:S62 AH59:AH62 S69:S76 AH69:AH76">
    <cfRule type="cellIs" dxfId="204" priority="7" operator="lessThan">
      <formula>0.8</formula>
    </cfRule>
  </conditionalFormatting>
  <conditionalFormatting sqref="S19:S25 AH19:AH25">
    <cfRule type="cellIs" dxfId="203" priority="6" operator="lessThan">
      <formula>0.8</formula>
    </cfRule>
  </conditionalFormatting>
  <conditionalFormatting sqref="S79">
    <cfRule type="cellIs" dxfId="202" priority="5" operator="lessThan">
      <formula>0.8</formula>
    </cfRule>
  </conditionalFormatting>
  <conditionalFormatting sqref="AH5:AH8 S15:S16 AH15:AH16 AH49 AH79">
    <cfRule type="cellIs" dxfId="201" priority="9" operator="lessThan">
      <formula>0.8</formula>
    </cfRule>
  </conditionalFormatting>
  <conditionalFormatting sqref="AH27 S27:S28">
    <cfRule type="cellIs" dxfId="2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C8C62C-9468-491B-8750-F78D49503664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EA35-F75C-4543-AF73-A1F9EA4D0BC6}">
  <dimension ref="B1:O26"/>
  <sheetViews>
    <sheetView topLeftCell="B1" zoomScale="70" zoomScaleNormal="70" workbookViewId="0">
      <selection activeCell="M16" sqref="M16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DATE(2026,8,12)</f>
        <v>46246</v>
      </c>
      <c r="E3" s="706"/>
      <c r="F3" s="3" t="s">
        <v>72</v>
      </c>
      <c r="G3" s="707">
        <f>'0812'!E1</f>
        <v>55867</v>
      </c>
      <c r="H3" s="707"/>
      <c r="I3" s="3" t="s">
        <v>2</v>
      </c>
      <c r="J3" s="708">
        <f>'0812'!G1</f>
        <v>2591416.5139999995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127.05208458286189</v>
      </c>
      <c r="G6" s="713"/>
      <c r="H6" s="714">
        <f>AVERAGE(D13:H13)</f>
        <v>124.71732068040892</v>
      </c>
      <c r="I6" s="714"/>
      <c r="J6" s="714">
        <f>AVERAGE(I13:J13)</f>
        <v>132.88899433899434</v>
      </c>
      <c r="K6" s="714"/>
      <c r="L6" s="716">
        <f>'0812'!Z2</f>
        <v>0</v>
      </c>
      <c r="M6" s="717">
        <f>'0812'!AA2</f>
        <v>0</v>
      </c>
      <c r="N6" s="718">
        <f>'0812'!AD2</f>
        <v>0</v>
      </c>
      <c r="O6" s="717">
        <f>'0812'!AE2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115.22287001925564</v>
      </c>
      <c r="G7" s="737"/>
      <c r="H7" s="738">
        <f>AVERAGE(D14:H14)</f>
        <v>114.83336520795797</v>
      </c>
      <c r="I7" s="738"/>
      <c r="J7" s="738">
        <f>AVERAGE(I14:J14)</f>
        <v>116.1966320474998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0.90851525208162853</v>
      </c>
      <c r="G8" s="710"/>
      <c r="H8" s="710">
        <f>AVERAGE(D15:H15)</f>
        <v>0.92258012796504274</v>
      </c>
      <c r="I8" s="710"/>
      <c r="J8" s="710">
        <f>AVERAGE(I15:J15)</f>
        <v>0.87335306237309307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VALUE('0812'!L15)</f>
        <v>151.08597285067873</v>
      </c>
      <c r="E13" s="13">
        <f>VALUE('0812'!L26)</f>
        <v>174.51923076923077</v>
      </c>
      <c r="F13" s="13">
        <f>VALUE('0812'!L37)</f>
        <v>95.080473856209153</v>
      </c>
      <c r="G13" s="13">
        <f>VALUE('0812'!L48)</f>
        <v>96.300925925925924</v>
      </c>
      <c r="H13" s="13">
        <f>VALUE('0812'!L58)</f>
        <v>106.6</v>
      </c>
      <c r="I13" s="13">
        <f>VALUE('0812'!L69)</f>
        <v>138.81212121212121</v>
      </c>
      <c r="J13" s="13">
        <f>'0812'!L79</f>
        <v>126.96586746586748</v>
      </c>
    </row>
    <row r="14" spans="2:15" ht="39.950000000000003" customHeight="1">
      <c r="B14" s="731"/>
      <c r="C14" s="12" t="s">
        <v>100</v>
      </c>
      <c r="D14" s="13">
        <f>VALUE('0812'!O15)</f>
        <v>134.43873065438979</v>
      </c>
      <c r="E14" s="13">
        <f>VALUE('0812'!O26)</f>
        <v>163.02073674916642</v>
      </c>
      <c r="F14" s="13">
        <f>VALUE('0812'!O37)</f>
        <v>89.831072944615229</v>
      </c>
      <c r="G14" s="13">
        <f>VALUE('0812'!O48)</f>
        <v>90.825009035872711</v>
      </c>
      <c r="H14" s="13">
        <f>VALUE('0812'!O58)</f>
        <v>96.051276655745625</v>
      </c>
      <c r="I14" s="13">
        <f>VALUE('0812'!O69)</f>
        <v>124.45724469271465</v>
      </c>
      <c r="J14" s="13">
        <f>'0812'!O79</f>
        <v>107.93601940228497</v>
      </c>
    </row>
    <row r="15" spans="2:15" ht="39.950000000000003" customHeight="1">
      <c r="B15" s="732"/>
      <c r="C15" s="10" t="s">
        <v>26</v>
      </c>
      <c r="D15" s="14">
        <f t="shared" ref="D15:I15" si="0">D14/D13</f>
        <v>0.8898160968739186</v>
      </c>
      <c r="E15" s="14">
        <f t="shared" si="0"/>
        <v>0.9341133125021106</v>
      </c>
      <c r="F15" s="14">
        <f t="shared" si="0"/>
        <v>0.94478991638669552</v>
      </c>
      <c r="G15" s="14">
        <f t="shared" si="0"/>
        <v>0.94313744299545721</v>
      </c>
      <c r="H15" s="14">
        <f t="shared" si="0"/>
        <v>0.90104387106703221</v>
      </c>
      <c r="I15" s="14">
        <f t="shared" si="0"/>
        <v>0.89658773027846306</v>
      </c>
      <c r="J15" s="15">
        <f>'0812'!S70</f>
        <v>0.85011839446772308</v>
      </c>
    </row>
    <row r="16" spans="2:15" ht="17.25" customHeight="1">
      <c r="B16" s="733" t="s">
        <v>101</v>
      </c>
      <c r="C16" s="10" t="s">
        <v>34</v>
      </c>
      <c r="D16" s="16">
        <f>'0812'!T5</f>
        <v>0.29236111111111102</v>
      </c>
      <c r="E16" s="16">
        <f>'0812'!T16</f>
        <v>0.29166666666666702</v>
      </c>
      <c r="F16" s="16">
        <f>'0812'!T27</f>
        <v>0.29027777777777802</v>
      </c>
      <c r="G16" s="16">
        <f>'0812'!T38</f>
        <v>0.33333333333333298</v>
      </c>
      <c r="H16" s="16">
        <f>'0812'!T49</f>
        <v>0.29166666666666702</v>
      </c>
      <c r="I16" s="16">
        <f>'0812'!T59</f>
        <v>0.29027777777777802</v>
      </c>
      <c r="J16" s="17">
        <f>'0812'!T70</f>
        <v>0.29513888888888901</v>
      </c>
    </row>
    <row r="17" spans="2:10" ht="17.25" customHeight="1">
      <c r="B17" s="734"/>
      <c r="C17" s="10" t="s">
        <v>35</v>
      </c>
      <c r="D17" s="22">
        <v>0.61111111111111105</v>
      </c>
      <c r="E17" s="19">
        <v>0.58472222222222203</v>
      </c>
      <c r="F17" s="19">
        <v>0.47222222222222199</v>
      </c>
      <c r="G17" s="20">
        <v>0.625</v>
      </c>
      <c r="H17" s="21">
        <v>0.625</v>
      </c>
      <c r="I17" s="22">
        <v>0.57986111111111105</v>
      </c>
      <c r="J17" s="22">
        <v>0.48819444444444399</v>
      </c>
    </row>
    <row r="18" spans="2:10" ht="17.25" customHeight="1">
      <c r="B18" s="735" t="s">
        <v>102</v>
      </c>
      <c r="C18" s="330" t="s">
        <v>36</v>
      </c>
      <c r="D18" s="386">
        <f>'0812'!Z15</f>
        <v>0</v>
      </c>
      <c r="E18" s="387">
        <f>'0812'!Z26</f>
        <v>0</v>
      </c>
      <c r="F18" s="387">
        <f>'0812'!Z37</f>
        <v>0</v>
      </c>
      <c r="G18" s="388">
        <f>'0812'!Z48</f>
        <v>0</v>
      </c>
      <c r="H18" s="388">
        <f>'0812'!Z58</f>
        <v>0</v>
      </c>
      <c r="I18" s="387">
        <f>'0812'!Z69</f>
        <v>0</v>
      </c>
      <c r="J18" s="387">
        <f>'0812'!AA79</f>
        <v>0</v>
      </c>
    </row>
    <row r="19" spans="2:10" ht="17.25" customHeight="1">
      <c r="B19" s="736"/>
      <c r="C19" s="330" t="s">
        <v>37</v>
      </c>
      <c r="D19" s="386">
        <f>'0812'!AA15</f>
        <v>0</v>
      </c>
      <c r="E19" s="387">
        <f>'0812'!AA26</f>
        <v>0</v>
      </c>
      <c r="F19" s="387">
        <f>'0812'!AA37</f>
        <v>0</v>
      </c>
      <c r="G19" s="388">
        <f>'0812'!AA48</f>
        <v>0</v>
      </c>
      <c r="H19" s="388">
        <f>'0812'!AA58</f>
        <v>0</v>
      </c>
      <c r="I19" s="387">
        <f>'0812'!AA69</f>
        <v>0</v>
      </c>
      <c r="J19" s="387">
        <f>'0812'!AB79</f>
        <v>0</v>
      </c>
    </row>
    <row r="20" spans="2:10" ht="17.25" customHeight="1">
      <c r="B20" s="735" t="s">
        <v>103</v>
      </c>
      <c r="C20" s="330" t="s">
        <v>36</v>
      </c>
      <c r="D20" s="386">
        <f>'0812'!AD15</f>
        <v>0</v>
      </c>
      <c r="E20" s="387">
        <f>'0812'!AD26</f>
        <v>0</v>
      </c>
      <c r="F20" s="387">
        <f>'0812'!AD37</f>
        <v>0</v>
      </c>
      <c r="G20" s="388">
        <f>'0812'!AD48</f>
        <v>0</v>
      </c>
      <c r="H20" s="388">
        <f>'0812'!AD58</f>
        <v>0</v>
      </c>
      <c r="I20" s="387">
        <f>'0812'!AD69</f>
        <v>0</v>
      </c>
      <c r="J20" s="387">
        <f>'0812'!AD79</f>
        <v>0</v>
      </c>
    </row>
    <row r="21" spans="2:10" ht="17.25" customHeight="1">
      <c r="B21" s="736"/>
      <c r="C21" s="330" t="s">
        <v>85</v>
      </c>
      <c r="D21" s="386">
        <f>'0812'!AE15</f>
        <v>0</v>
      </c>
      <c r="E21" s="387">
        <f>'0812'!AE26</f>
        <v>0</v>
      </c>
      <c r="F21" s="387">
        <f>'0812'!AE37</f>
        <v>0</v>
      </c>
      <c r="G21" s="388">
        <f>'0812'!AE48</f>
        <v>0</v>
      </c>
      <c r="H21" s="388">
        <f>'0812'!AE58</f>
        <v>0</v>
      </c>
      <c r="I21" s="387">
        <f>'0812'!AE69</f>
        <v>0</v>
      </c>
      <c r="J21" s="387">
        <f>'0812'!AE79</f>
        <v>0</v>
      </c>
    </row>
    <row r="22" spans="2:10" ht="17.25" customHeight="1">
      <c r="B22" s="719" t="s">
        <v>104</v>
      </c>
      <c r="C22" s="720"/>
      <c r="D22" s="23">
        <f>VALUE('0812'!M15)</f>
        <v>15</v>
      </c>
      <c r="E22" s="23">
        <f>VALUE('0812'!M26)</f>
        <v>13</v>
      </c>
      <c r="F22" s="23">
        <f>VALUE('0812'!M37)</f>
        <v>16</v>
      </c>
      <c r="G22" s="23">
        <f>VALUE('0812'!M48)</f>
        <v>16.666666666666668</v>
      </c>
      <c r="H22" s="23">
        <f>VALUE('0812'!M58)</f>
        <v>16.600000000000001</v>
      </c>
      <c r="I22" s="23">
        <f>VALUE('0812'!M69)</f>
        <v>12</v>
      </c>
      <c r="J22" s="23">
        <f>'0812'!M79</f>
        <v>9.3333333333333339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E73B-6C9B-4470-AF2E-C81B612AFF1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M16" sqref="M16"/>
      <selection pane="topRight" activeCell="M16" sqref="M16"/>
      <selection pane="bottomLeft" activeCell="M16" sqref="M16"/>
      <selection pane="bottomRight" activeCell="M16" sqref="M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55867</v>
      </c>
      <c r="F1" s="30" t="s">
        <v>2</v>
      </c>
      <c r="G1" s="31">
        <f>SUM(H5:H79)</f>
        <v>2591416.5139999995</v>
      </c>
      <c r="H1" s="32" t="s">
        <v>3</v>
      </c>
      <c r="I1" s="33">
        <f>M15+M26+M48+M58+M69+M79+M37</f>
        <v>98.600000000000009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157</v>
      </c>
      <c r="B2" s="739"/>
      <c r="C2" s="28"/>
      <c r="D2" s="28" t="s">
        <v>14</v>
      </c>
      <c r="E2" s="35">
        <f>AVERAGE(O15,O26,O37,O48,O58,O69,O79)</f>
        <v>115.22287001925564</v>
      </c>
      <c r="F2" s="36" t="s">
        <v>15</v>
      </c>
      <c r="G2" s="37">
        <f>G1/E1</f>
        <v>46.385460361215017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1293</v>
      </c>
      <c r="H5" s="43">
        <f>F5*G5</f>
        <v>73532.91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1939.4999999999877</v>
      </c>
      <c r="O5" s="47">
        <f>N5/M5</f>
        <v>129.29999999999919</v>
      </c>
      <c r="P5" s="49">
        <f>M5-J5</f>
        <v>0</v>
      </c>
      <c r="Q5" s="50">
        <f>O5-L5</f>
        <v>-20.700000000000813</v>
      </c>
      <c r="R5" s="51">
        <f>O5/L5</f>
        <v>0.86199999999999455</v>
      </c>
      <c r="S5" s="748">
        <f>R15</f>
        <v>0.8898160968739186</v>
      </c>
      <c r="T5" s="319">
        <v>0.29236111111111102</v>
      </c>
      <c r="U5" s="320">
        <v>0.32013888888888897</v>
      </c>
      <c r="V5" s="53"/>
      <c r="W5" s="54">
        <f t="shared" ref="W5:W14" si="0">(U5-T5)*24*60</f>
        <v>40.000000000000256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-310.50000000001228</v>
      </c>
      <c r="AG5" s="52">
        <f t="shared" ref="AG5:AG11" si="2">N5/K5</f>
        <v>0.86199999999999455</v>
      </c>
      <c r="AH5" s="784">
        <f>AG15</f>
        <v>0.88918466373353178</v>
      </c>
    </row>
    <row r="6" spans="1:34" ht="15" customHeight="1">
      <c r="A6" s="755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1457</v>
      </c>
      <c r="H6" s="78">
        <f>F6*G6</f>
        <v>73826.19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1900.4347826086628</v>
      </c>
      <c r="O6" s="81">
        <f>N6/M6</f>
        <v>111.79028132992134</v>
      </c>
      <c r="P6" s="74">
        <f>M6-J6</f>
        <v>0</v>
      </c>
      <c r="Q6" s="83">
        <f>O6-L6</f>
        <v>-20.562659846549238</v>
      </c>
      <c r="R6" s="72">
        <f>O6/L6</f>
        <v>0.84463768115940574</v>
      </c>
      <c r="S6" s="749"/>
      <c r="T6" s="18">
        <v>0.33472222222222198</v>
      </c>
      <c r="U6" s="18">
        <v>0.36666666666666697</v>
      </c>
      <c r="V6" s="30">
        <f>(T6-U5)*24*60</f>
        <v>20.999999999999524</v>
      </c>
      <c r="W6" s="73">
        <f t="shared" si="0"/>
        <v>46.000000000000796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-349.56521739133723</v>
      </c>
      <c r="AG6" s="72">
        <f t="shared" si="2"/>
        <v>0.84463768115940563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2496</v>
      </c>
      <c r="H7" s="78">
        <f t="shared" ref="H7:H9" si="3">F7*G7</f>
        <v>145192.32000000001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1970.5263157895038</v>
      </c>
      <c r="O7" s="81">
        <f t="shared" ref="O7:O9" si="6">N7/M7</f>
        <v>151.57894736842337</v>
      </c>
      <c r="P7" s="74">
        <f t="shared" ref="P7:P9" si="7">M7-J7</f>
        <v>0</v>
      </c>
      <c r="Q7" s="83">
        <f t="shared" ref="Q7:Q9" si="8">O7-L7</f>
        <v>-21.497975708499695</v>
      </c>
      <c r="R7" s="72">
        <f t="shared" ref="R7:R9" si="9">O7/L7</f>
        <v>0.875789473684224</v>
      </c>
      <c r="S7" s="749"/>
      <c r="T7" s="16">
        <v>0.374305555555556</v>
      </c>
      <c r="U7" s="16">
        <v>0.42708333333333298</v>
      </c>
      <c r="V7" s="30">
        <f>(T7-U6)*24*60</f>
        <v>11.000000000000201</v>
      </c>
      <c r="W7" s="73">
        <f t="shared" si="0"/>
        <v>75.999999999998849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-279.47368421049623</v>
      </c>
      <c r="AG7" s="72">
        <f t="shared" si="2"/>
        <v>0.87578947368422388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2023</v>
      </c>
      <c r="H8" s="78">
        <f t="shared" si="3"/>
        <v>99410.22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1989.8360655737774</v>
      </c>
      <c r="O8" s="81">
        <f t="shared" si="6"/>
        <v>132.65573770491849</v>
      </c>
      <c r="P8" s="74">
        <f t="shared" si="7"/>
        <v>0</v>
      </c>
      <c r="Q8" s="83">
        <f t="shared" si="8"/>
        <v>-17.344262295081506</v>
      </c>
      <c r="R8" s="72">
        <f t="shared" si="9"/>
        <v>0.88437158469945665</v>
      </c>
      <c r="S8" s="749"/>
      <c r="T8" s="16">
        <v>0.43402777777777801</v>
      </c>
      <c r="U8" s="16">
        <v>0.47638888888888897</v>
      </c>
      <c r="V8" s="30">
        <f t="shared" ref="V8:V9" si="10">(T8-U7)*24*60</f>
        <v>10.000000000000844</v>
      </c>
      <c r="W8" s="73">
        <f t="shared" si="0"/>
        <v>60.999999999999787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-260.16393442622257</v>
      </c>
      <c r="AG8" s="72">
        <f t="shared" si="2"/>
        <v>0.88437158469945665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3635</v>
      </c>
      <c r="H9" s="78">
        <f t="shared" si="3"/>
        <v>178623.9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2203.0303030302998</v>
      </c>
      <c r="O9" s="81">
        <f t="shared" si="6"/>
        <v>146.86868686868667</v>
      </c>
      <c r="P9" s="74">
        <f t="shared" si="7"/>
        <v>0</v>
      </c>
      <c r="Q9" s="83">
        <f t="shared" si="8"/>
        <v>-3.131313131313334</v>
      </c>
      <c r="R9" s="72">
        <f t="shared" si="9"/>
        <v>0.97912457912457773</v>
      </c>
      <c r="S9" s="750"/>
      <c r="T9" s="22">
        <v>0.54236111111111096</v>
      </c>
      <c r="U9" s="22">
        <v>0.61111111111111105</v>
      </c>
      <c r="V9" s="30">
        <f t="shared" si="10"/>
        <v>94.999999999999659</v>
      </c>
      <c r="W9" s="73">
        <f t="shared" si="0"/>
        <v>99.000000000000128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-46.96969696970018</v>
      </c>
      <c r="AG9" s="72">
        <f t="shared" si="2"/>
        <v>0.97912457912457773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2000.6654934004466</v>
      </c>
      <c r="O15" s="117">
        <f t="shared" si="11"/>
        <v>134.43873065438979</v>
      </c>
      <c r="P15" s="121">
        <f t="shared" ref="P15:P19" si="12">M15-J15</f>
        <v>0</v>
      </c>
      <c r="Q15" s="122">
        <f t="shared" ref="Q15:Q19" si="13">O15-L15</f>
        <v>-16.647242196288943</v>
      </c>
      <c r="R15" s="123">
        <f t="shared" ref="R15:R19" si="14">O15/L15</f>
        <v>0.8898160968739186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 t="shared" ref="AF15:AF20" si="15">N15-K15</f>
        <v>-249.33450659955338</v>
      </c>
      <c r="AG15" s="124">
        <f t="shared" ref="AG15:AG20" si="16">N15/K15</f>
        <v>0.88918466373353178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1626</v>
      </c>
      <c r="H16" s="134">
        <f t="shared" ref="H16:H19" si="17">F16*G16</f>
        <v>92470.62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2075.7446808510567</v>
      </c>
      <c r="O16" s="141">
        <f t="shared" ref="O16:O19" si="20">N16/M16</f>
        <v>138.3829787234038</v>
      </c>
      <c r="P16" s="142">
        <f t="shared" si="12"/>
        <v>0</v>
      </c>
      <c r="Q16" s="143">
        <f t="shared" si="13"/>
        <v>-11.617021276596205</v>
      </c>
      <c r="R16" s="144">
        <f t="shared" si="14"/>
        <v>0.92255319148935866</v>
      </c>
      <c r="S16" s="795">
        <f>R26</f>
        <v>0.9341133125021106</v>
      </c>
      <c r="T16" s="145">
        <v>0.29166666666666702</v>
      </c>
      <c r="U16" s="145">
        <v>0.32430555555555601</v>
      </c>
      <c r="V16" s="135"/>
      <c r="W16" s="146">
        <f t="shared" ref="W16:W78" si="21">(U16-T16)*24*60</f>
        <v>47.000000000000156</v>
      </c>
      <c r="X16" s="141"/>
      <c r="Y16" s="296"/>
      <c r="Z16" s="169"/>
      <c r="AA16" s="169"/>
      <c r="AB16" s="791"/>
      <c r="AC16" s="791"/>
      <c r="AD16" s="135"/>
      <c r="AE16" s="135"/>
      <c r="AF16" s="229">
        <f t="shared" si="15"/>
        <v>-174.25531914894327</v>
      </c>
      <c r="AG16" s="52">
        <f t="shared" si="16"/>
        <v>0.92255319148935855</v>
      </c>
      <c r="AH16" s="784">
        <f>AG26</f>
        <v>0.93385337584493588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3458</v>
      </c>
      <c r="H17" s="78">
        <f t="shared" si="17"/>
        <v>175216.86000000002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2138.9690721649208</v>
      </c>
      <c r="O17" s="96">
        <f t="shared" si="20"/>
        <v>164.53608247422468</v>
      </c>
      <c r="P17" s="97">
        <f t="shared" si="12"/>
        <v>0</v>
      </c>
      <c r="Q17" s="98">
        <f t="shared" si="13"/>
        <v>-8.5408406026983812</v>
      </c>
      <c r="R17" s="99">
        <f t="shared" si="14"/>
        <v>0.95065292096218712</v>
      </c>
      <c r="S17" s="796"/>
      <c r="T17" s="19">
        <v>0.33819444444444402</v>
      </c>
      <c r="U17" s="19">
        <v>0.405555555555556</v>
      </c>
      <c r="V17" s="30">
        <f>(T17-U16)*24*60</f>
        <v>19.999999999998728</v>
      </c>
      <c r="W17" s="149">
        <f t="shared" si="21"/>
        <v>97.000000000001251</v>
      </c>
      <c r="X17" s="19"/>
      <c r="Y17" s="297"/>
      <c r="Z17" s="90"/>
      <c r="AA17" s="90"/>
      <c r="AB17" s="789"/>
      <c r="AC17" s="789"/>
      <c r="AD17" s="92"/>
      <c r="AE17" s="92"/>
      <c r="AF17" s="307">
        <f t="shared" si="15"/>
        <v>-111.03092783507918</v>
      </c>
      <c r="AG17" s="72">
        <f t="shared" si="16"/>
        <v>0.95065292096218701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3008</v>
      </c>
      <c r="H18" s="78">
        <f t="shared" si="17"/>
        <v>151573.12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2074.4827586206798</v>
      </c>
      <c r="O18" s="96">
        <f t="shared" si="20"/>
        <v>172.87356321838999</v>
      </c>
      <c r="P18" s="97">
        <f t="shared" si="12"/>
        <v>0</v>
      </c>
      <c r="Q18" s="98">
        <f t="shared" si="13"/>
        <v>-14.62643678161001</v>
      </c>
      <c r="R18" s="99">
        <f t="shared" si="14"/>
        <v>0.9219923371647466</v>
      </c>
      <c r="S18" s="796"/>
      <c r="T18" s="19">
        <v>0.41458333333333303</v>
      </c>
      <c r="U18" s="19">
        <v>0.47499999999999998</v>
      </c>
      <c r="V18" s="30">
        <f>(T18-U17)*24*60</f>
        <v>12.999999999998915</v>
      </c>
      <c r="W18" s="149">
        <f t="shared" si="21"/>
        <v>87.000000000000412</v>
      </c>
      <c r="X18" s="22"/>
      <c r="Y18" s="84"/>
      <c r="Z18" s="90"/>
      <c r="AA18" s="90"/>
      <c r="AB18" s="789"/>
      <c r="AC18" s="789"/>
      <c r="AD18" s="92"/>
      <c r="AE18" s="92"/>
      <c r="AF18" s="307">
        <f t="shared" si="15"/>
        <v>-175.51724137932024</v>
      </c>
      <c r="AG18" s="72">
        <f t="shared" si="16"/>
        <v>0.9219923371647466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2186</v>
      </c>
      <c r="H19" s="78">
        <f t="shared" si="17"/>
        <v>110152.54000000001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2115.4838709677656</v>
      </c>
      <c r="O19" s="96">
        <f t="shared" si="20"/>
        <v>176.29032258064714</v>
      </c>
      <c r="P19" s="97">
        <f t="shared" si="12"/>
        <v>0</v>
      </c>
      <c r="Q19" s="98">
        <f t="shared" si="13"/>
        <v>-11.209677419352857</v>
      </c>
      <c r="R19" s="99">
        <f t="shared" si="14"/>
        <v>0.94021505376345138</v>
      </c>
      <c r="S19" s="796"/>
      <c r="T19" s="19">
        <v>0.54166666666666696</v>
      </c>
      <c r="U19" s="19">
        <v>0.58472222222222203</v>
      </c>
      <c r="V19" s="30">
        <f>(T19-U18)*24*60</f>
        <v>96.000000000000455</v>
      </c>
      <c r="W19" s="149">
        <f t="shared" si="21"/>
        <v>61.999999999999304</v>
      </c>
      <c r="X19" s="22"/>
      <c r="Y19" s="84"/>
      <c r="Z19" s="90"/>
      <c r="AA19" s="90"/>
      <c r="AB19" s="788"/>
      <c r="AC19" s="788"/>
      <c r="AD19" s="149"/>
      <c r="AE19" s="149"/>
      <c r="AF19" s="307">
        <f t="shared" si="15"/>
        <v>-134.5161290322344</v>
      </c>
      <c r="AG19" s="72">
        <f t="shared" si="16"/>
        <v>0.94021505376345138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89"/>
      <c r="AC20" s="789"/>
      <c r="AD20" s="92"/>
      <c r="AE20" s="92"/>
      <c r="AF20" s="307">
        <f t="shared" si="15"/>
        <v>0</v>
      </c>
      <c r="AG20" s="72" t="e">
        <f t="shared" si="16"/>
        <v>#DIV/0!</v>
      </c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21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2101.1700956511058</v>
      </c>
      <c r="O26" s="158">
        <f t="shared" si="22"/>
        <v>163.02073674916642</v>
      </c>
      <c r="P26" s="159">
        <f t="shared" ref="P26:P30" si="23">M26-J26</f>
        <v>0</v>
      </c>
      <c r="Q26" s="160">
        <f t="shared" ref="Q26:Q30" si="24">O26-L26</f>
        <v>-11.498494020064356</v>
      </c>
      <c r="R26" s="161">
        <f t="shared" ref="R26:R30" si="25">O26/L26</f>
        <v>0.9341133125021106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6">N26-K26</f>
        <v>-148.82990434889416</v>
      </c>
      <c r="AG26" s="124">
        <f t="shared" ref="AG26:AG31" si="27">N26/K26</f>
        <v>0.93385337584493588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1593</v>
      </c>
      <c r="H27" s="134">
        <f>F27*G27</f>
        <v>73819.62000000001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1566.8852459016448</v>
      </c>
      <c r="O27" s="141">
        <f>N27/M27</f>
        <v>97.9303278688528</v>
      </c>
      <c r="P27" s="142">
        <f t="shared" si="23"/>
        <v>0</v>
      </c>
      <c r="Q27" s="143">
        <f t="shared" si="24"/>
        <v>-4.3196721311472004</v>
      </c>
      <c r="R27" s="144">
        <f t="shared" si="25"/>
        <v>0.95775381778829138</v>
      </c>
      <c r="S27" s="795">
        <f>R37</f>
        <v>0.94478991638669552</v>
      </c>
      <c r="T27" s="171">
        <v>0.29027777777777802</v>
      </c>
      <c r="U27" s="19">
        <v>0.33263888888888898</v>
      </c>
      <c r="V27" s="135"/>
      <c r="W27" s="146">
        <f t="shared" si="21"/>
        <v>60.999999999999787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26"/>
        <v>-69.114754098355206</v>
      </c>
      <c r="AG27" s="172">
        <f t="shared" si="27"/>
        <v>0.95775381778829138</v>
      </c>
      <c r="AH27" s="784">
        <f>AG37</f>
        <v>0.87840926943550413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1183</v>
      </c>
      <c r="H28" s="91">
        <f>F28*G28</f>
        <v>67679.430000000008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1339.2452830188524</v>
      </c>
      <c r="O28" s="96">
        <f>N28/M28</f>
        <v>83.702830188678277</v>
      </c>
      <c r="P28" s="97">
        <f t="shared" si="23"/>
        <v>-2</v>
      </c>
      <c r="Q28" s="98">
        <f t="shared" si="24"/>
        <v>-7.1860587002106087</v>
      </c>
      <c r="R28" s="99">
        <f t="shared" si="25"/>
        <v>0.92093578447201041</v>
      </c>
      <c r="S28" s="796"/>
      <c r="T28" s="19">
        <v>0.33819444444444402</v>
      </c>
      <c r="U28" s="19">
        <v>0.375</v>
      </c>
      <c r="V28" s="92">
        <f>(T28-U27)*24*60</f>
        <v>7.9999999999992522</v>
      </c>
      <c r="W28" s="149">
        <f t="shared" si="21"/>
        <v>53.000000000000611</v>
      </c>
      <c r="X28" s="174"/>
      <c r="Y28" s="301"/>
      <c r="Z28" s="335"/>
      <c r="AA28" s="335"/>
      <c r="AB28" s="869"/>
      <c r="AC28" s="870"/>
      <c r="AD28" s="92"/>
      <c r="AE28" s="92"/>
      <c r="AF28" s="311">
        <f t="shared" si="26"/>
        <v>-296.75471698114757</v>
      </c>
      <c r="AG28" s="99">
        <f t="shared" si="27"/>
        <v>0.81860958619734259</v>
      </c>
      <c r="AH28" s="805"/>
    </row>
    <row r="29" spans="1:34" ht="15" customHeight="1">
      <c r="A29" s="793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f>1821+33</f>
        <v>1854</v>
      </c>
      <c r="H29" s="91">
        <f>F29*G29</f>
        <v>92533.14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16</v>
      </c>
      <c r="N29" s="95">
        <f>G29/W29*60</f>
        <v>1390.4999999999882</v>
      </c>
      <c r="O29" s="96">
        <f>N29/M29</f>
        <v>86.906249999999261</v>
      </c>
      <c r="P29" s="97">
        <f t="shared" si="23"/>
        <v>-2</v>
      </c>
      <c r="Q29" s="98">
        <f t="shared" si="24"/>
        <v>-3.9826388888896247</v>
      </c>
      <c r="R29" s="99">
        <f t="shared" si="25"/>
        <v>0.95618123471881833</v>
      </c>
      <c r="S29" s="796"/>
      <c r="T29" s="19">
        <v>0.38194444444444398</v>
      </c>
      <c r="U29" s="19">
        <v>0.4375</v>
      </c>
      <c r="V29" s="92">
        <f>(T29-U28)*24*60</f>
        <v>9.999999999999325</v>
      </c>
      <c r="W29" s="149">
        <f t="shared" si="21"/>
        <v>80.000000000000682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6"/>
        <v>-245.50000000001182</v>
      </c>
      <c r="AG29" s="99">
        <f t="shared" si="27"/>
        <v>0.84993887530561629</v>
      </c>
      <c r="AH29" s="805"/>
    </row>
    <row r="30" spans="1:34" ht="15" customHeight="1">
      <c r="A30" s="793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1041</v>
      </c>
      <c r="H30" s="91">
        <f>F30*G30</f>
        <v>47532.06</v>
      </c>
      <c r="I30" s="92"/>
      <c r="J30" s="79">
        <f>VLOOKUP(D30,產線配置圖!$A$3:$C$40,2,0)</f>
        <v>17</v>
      </c>
      <c r="K30" s="80">
        <v>1637</v>
      </c>
      <c r="L30" s="93">
        <f>K30/J30</f>
        <v>96.294117647058826</v>
      </c>
      <c r="M30" s="94">
        <v>16</v>
      </c>
      <c r="N30" s="95">
        <f>G30/W30*60</f>
        <v>1452.5581395348891</v>
      </c>
      <c r="O30" s="96">
        <f>N30/M30</f>
        <v>90.784883720930566</v>
      </c>
      <c r="P30" s="97">
        <f t="shared" si="23"/>
        <v>-1</v>
      </c>
      <c r="Q30" s="98">
        <f t="shared" si="24"/>
        <v>-5.5092339261282604</v>
      </c>
      <c r="R30" s="99">
        <f t="shared" si="25"/>
        <v>0.942787430211252</v>
      </c>
      <c r="S30" s="796"/>
      <c r="T30" s="19">
        <v>0.44236111111111098</v>
      </c>
      <c r="U30" s="19">
        <v>0.47222222222222199</v>
      </c>
      <c r="V30" s="92">
        <f>(T30-U29)*24*60</f>
        <v>6.9999999999998153</v>
      </c>
      <c r="W30" s="149">
        <f t="shared" si="21"/>
        <v>42.999999999999844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6"/>
        <v>-184.44186046511095</v>
      </c>
      <c r="AG30" s="99">
        <f t="shared" si="27"/>
        <v>0.88732934608117842</v>
      </c>
      <c r="AH30" s="806"/>
    </row>
    <row r="31" spans="1:34" ht="15" customHeight="1">
      <c r="A31" s="793"/>
      <c r="B31" s="75"/>
      <c r="C31" s="177"/>
      <c r="D31" s="59"/>
      <c r="E31" s="178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21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6"/>
        <v>0</v>
      </c>
      <c r="AG31" s="99" t="e">
        <f t="shared" si="27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21"/>
        <v>0</v>
      </c>
      <c r="X32" s="174"/>
      <c r="Y32" s="301"/>
      <c r="Z32" s="335"/>
      <c r="AA32" s="335"/>
      <c r="AB32" s="789"/>
      <c r="AC32" s="789"/>
      <c r="AD32" s="92"/>
      <c r="AE32" s="92"/>
      <c r="AF32" s="312">
        <f>N32-K32</f>
        <v>0</v>
      </c>
      <c r="AG32" s="99" t="e">
        <f>N32/K32</f>
        <v>#DIV/0!</v>
      </c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8">AVERAGE(J27:J36)</f>
        <v>17.25</v>
      </c>
      <c r="K37" s="155">
        <f t="shared" si="28"/>
        <v>1636.25</v>
      </c>
      <c r="L37" s="158">
        <f t="shared" si="28"/>
        <v>95.080473856209153</v>
      </c>
      <c r="M37" s="155">
        <f t="shared" si="28"/>
        <v>16</v>
      </c>
      <c r="N37" s="155">
        <f t="shared" si="28"/>
        <v>1437.2971671138437</v>
      </c>
      <c r="O37" s="158">
        <f t="shared" si="28"/>
        <v>89.831072944615229</v>
      </c>
      <c r="P37" s="159">
        <f>M37-J37</f>
        <v>-1.25</v>
      </c>
      <c r="Q37" s="160">
        <f>N37-K37</f>
        <v>-198.95283288615633</v>
      </c>
      <c r="R37" s="161">
        <f>O37/L37</f>
        <v>0.94478991638669552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-198.95283288615633</v>
      </c>
      <c r="AG37" s="124">
        <f>N37/K37</f>
        <v>0.87840926943550413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2457</v>
      </c>
      <c r="H38" s="134">
        <f>F38*G38</f>
        <v>122628.87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1638</v>
      </c>
      <c r="O38" s="141">
        <f>N38/M38</f>
        <v>102.375</v>
      </c>
      <c r="P38" s="142">
        <f>M38-J38</f>
        <v>0</v>
      </c>
      <c r="Q38" s="143">
        <f>O38-L38</f>
        <v>-4.75</v>
      </c>
      <c r="R38" s="144">
        <f>O38/L38</f>
        <v>0.95565927654609106</v>
      </c>
      <c r="S38" s="817">
        <f>R48</f>
        <v>0.94313744299545721</v>
      </c>
      <c r="T38" s="191">
        <v>0.33333333333333298</v>
      </c>
      <c r="U38" s="191">
        <v>0.39583333333333298</v>
      </c>
      <c r="V38" s="192"/>
      <c r="W38" s="193">
        <f t="shared" si="21"/>
        <v>90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-76</v>
      </c>
      <c r="AG38" s="195">
        <f>N38/K38</f>
        <v>0.95565927654609106</v>
      </c>
      <c r="AH38" s="807">
        <f>AG48</f>
        <v>0.90848384693732609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2521</v>
      </c>
      <c r="H39" s="91">
        <f>F39*G39</f>
        <v>111680.29999999999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1440.5714285714425</v>
      </c>
      <c r="O39" s="203">
        <f>N39/M39</f>
        <v>84.739495798320149</v>
      </c>
      <c r="P39" s="97">
        <f>M39-J39</f>
        <v>-1</v>
      </c>
      <c r="Q39" s="98">
        <f>O39-L39</f>
        <v>-6.1493930905687364</v>
      </c>
      <c r="R39" s="99">
        <f>O39/L39</f>
        <v>0.93234164081281345</v>
      </c>
      <c r="S39" s="818"/>
      <c r="T39" s="20">
        <v>0.40277777777777801</v>
      </c>
      <c r="U39" s="20">
        <v>0.47569444444444398</v>
      </c>
      <c r="V39" s="92">
        <f>(T39-U38)*24*60</f>
        <v>10.000000000000844</v>
      </c>
      <c r="W39" s="205">
        <f t="shared" si="21"/>
        <v>104.99999999999899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-195.42857142855746</v>
      </c>
      <c r="AG39" s="206">
        <f>N39/K39</f>
        <v>0.88054488298987932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2999</v>
      </c>
      <c r="H40" s="91">
        <f>F40*G40</f>
        <v>132855.69999999998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17</v>
      </c>
      <c r="N40" s="202">
        <f>G40/W40*60</f>
        <v>1451.129032258066</v>
      </c>
      <c r="O40" s="203">
        <f>N40/M40</f>
        <v>85.360531309297997</v>
      </c>
      <c r="P40" s="97">
        <f>M40-J40</f>
        <v>-1</v>
      </c>
      <c r="Q40" s="98">
        <f>O40-L40</f>
        <v>-5.5283575795908888</v>
      </c>
      <c r="R40" s="99">
        <f>O40/L40</f>
        <v>0.93917454985780191</v>
      </c>
      <c r="S40" s="749"/>
      <c r="T40" s="20">
        <v>0.53888888888888897</v>
      </c>
      <c r="U40" s="20">
        <v>0.625</v>
      </c>
      <c r="V40" s="92">
        <f>(T40-U39)*24*60</f>
        <v>91.000000000000796</v>
      </c>
      <c r="W40" s="205">
        <f t="shared" si="21"/>
        <v>123.99999999999989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-184.87096774193401</v>
      </c>
      <c r="AG40" s="206">
        <f>N40/K40</f>
        <v>0.8869981859768129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16.666666666666668</v>
      </c>
      <c r="N48" s="155">
        <f t="shared" si="29"/>
        <v>1509.900153609836</v>
      </c>
      <c r="O48" s="158">
        <f t="shared" si="29"/>
        <v>90.825009035872711</v>
      </c>
      <c r="P48" s="221">
        <f>M48-J48</f>
        <v>-0.6666666666666643</v>
      </c>
      <c r="Q48" s="222">
        <f>N48-K48</f>
        <v>-152.09984639016398</v>
      </c>
      <c r="R48" s="223">
        <f t="shared" ref="R48:R53" si="30">O48/L48</f>
        <v>0.94313744299545721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31">N48-K48</f>
        <v>-152.09984639016398</v>
      </c>
      <c r="AG48" s="162">
        <f t="shared" ref="AG48:AG52" si="32">N48/K48</f>
        <v>0.90848384693732609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836+212</f>
        <v>1048</v>
      </c>
      <c r="H49" s="134">
        <f>F49*G49</f>
        <v>51896.960000000006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1572.0000000000464</v>
      </c>
      <c r="O49" s="141">
        <f>N49/M49</f>
        <v>92.470588235296844</v>
      </c>
      <c r="P49" s="229">
        <f>M49-J49</f>
        <v>0</v>
      </c>
      <c r="Q49" s="230">
        <f>O49-L49</f>
        <v>-13.411764705879619</v>
      </c>
      <c r="R49" s="52">
        <f t="shared" si="30"/>
        <v>0.87333333333335916</v>
      </c>
      <c r="S49" s="748">
        <f>R58</f>
        <v>0.90104387106703221</v>
      </c>
      <c r="T49" s="191">
        <v>0.29166666666666702</v>
      </c>
      <c r="U49" s="191">
        <v>0.31944444444444398</v>
      </c>
      <c r="V49" s="55"/>
      <c r="W49" s="193">
        <f t="shared" si="21"/>
        <v>39.99999999999882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1"/>
        <v>-227.99999999995362</v>
      </c>
      <c r="AG49" s="52">
        <f t="shared" si="32"/>
        <v>0.87333333333335905</v>
      </c>
      <c r="AH49" s="784">
        <f>AG58</f>
        <v>0.90043510115521153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2116</v>
      </c>
      <c r="H50" s="231">
        <f>F50*G50</f>
        <v>106411.524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1529.6385542168921</v>
      </c>
      <c r="O50" s="235">
        <f>N50/M50</f>
        <v>89.978738483346589</v>
      </c>
      <c r="P50" s="74">
        <f>M50-J50</f>
        <v>0</v>
      </c>
      <c r="Q50" s="83">
        <f>O50-L50</f>
        <v>-6.2565556343004687</v>
      </c>
      <c r="R50" s="72">
        <f t="shared" si="30"/>
        <v>0.93498689133061863</v>
      </c>
      <c r="S50" s="749"/>
      <c r="T50" s="21">
        <v>0.32430555555555601</v>
      </c>
      <c r="U50" s="19">
        <v>0.38194444444444398</v>
      </c>
      <c r="V50" s="30">
        <f>(T50-U49)*24*60</f>
        <v>7.000000000001334</v>
      </c>
      <c r="W50" s="236">
        <f t="shared" si="21"/>
        <v>82.999999999998664</v>
      </c>
      <c r="X50" s="22"/>
      <c r="Y50" s="84"/>
      <c r="Z50" s="90"/>
      <c r="AA50" s="90"/>
      <c r="AB50" s="867"/>
      <c r="AC50" s="868"/>
      <c r="AD50" s="92"/>
      <c r="AE50" s="92"/>
      <c r="AF50" s="307">
        <f t="shared" si="31"/>
        <v>-106.36144578310791</v>
      </c>
      <c r="AG50" s="72">
        <f t="shared" si="32"/>
        <v>0.93498689133061863</v>
      </c>
      <c r="AH50" s="785"/>
    </row>
    <row r="51" spans="1:34" ht="15" customHeight="1">
      <c r="A51" s="812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f>2565+174</f>
        <v>2739</v>
      </c>
      <c r="H51" s="231">
        <f>F51*G51</f>
        <v>136867.82999999999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1676.9387755102182</v>
      </c>
      <c r="O51" s="235">
        <f>N51/M51</f>
        <v>104.80867346938864</v>
      </c>
      <c r="P51" s="74">
        <f>M51-J51</f>
        <v>0</v>
      </c>
      <c r="Q51" s="83">
        <f>O51-L51</f>
        <v>-7.691326530611363</v>
      </c>
      <c r="R51" s="72">
        <f t="shared" si="30"/>
        <v>0.93163265306123233</v>
      </c>
      <c r="S51" s="749"/>
      <c r="T51" s="21">
        <v>0.390277777777778</v>
      </c>
      <c r="U51" s="21">
        <v>0.45833333333333298</v>
      </c>
      <c r="V51" s="30">
        <f>(T51-U50)*24*60</f>
        <v>12.000000000000997</v>
      </c>
      <c r="W51" s="236">
        <f t="shared" si="21"/>
        <v>97.999999999999176</v>
      </c>
      <c r="X51" s="22"/>
      <c r="Y51" s="84"/>
      <c r="Z51" s="90"/>
      <c r="AA51" s="90"/>
      <c r="AB51" s="867"/>
      <c r="AC51" s="868"/>
      <c r="AD51" s="92"/>
      <c r="AE51" s="92"/>
      <c r="AF51" s="307">
        <f t="shared" si="31"/>
        <v>-123.06122448978181</v>
      </c>
      <c r="AG51" s="72">
        <f t="shared" si="32"/>
        <v>0.93163265306123233</v>
      </c>
      <c r="AH51" s="785"/>
    </row>
    <row r="52" spans="1:34" ht="15" customHeight="1">
      <c r="A52" s="812"/>
      <c r="B52" s="101" t="s">
        <v>116</v>
      </c>
      <c r="C52" s="102"/>
      <c r="D52" s="103" t="s">
        <v>127</v>
      </c>
      <c r="E52" s="104"/>
      <c r="F52" s="75">
        <f>VLOOKUP(D52,廠價表!$C$1:$E$43,3,0)</f>
        <v>49.52</v>
      </c>
      <c r="G52" s="202">
        <f>969+200</f>
        <v>1169</v>
      </c>
      <c r="H52" s="231">
        <f>F52*G52</f>
        <v>57888.880000000005</v>
      </c>
      <c r="I52" s="232"/>
      <c r="J52" s="79">
        <f>VLOOKUP(D52,產線配置圖!$A$3:$C$40,2,0)</f>
        <v>17</v>
      </c>
      <c r="K52" s="80">
        <f>VLOOKUP(D52,產線配置圖!$A$3:$C$40,3,0)</f>
        <v>1800</v>
      </c>
      <c r="L52" s="81">
        <f>K52/J52</f>
        <v>105.88235294117646</v>
      </c>
      <c r="M52" s="108">
        <v>17</v>
      </c>
      <c r="N52" s="234">
        <f>G52/W52*60</f>
        <v>1524.7826086956734</v>
      </c>
      <c r="O52" s="235">
        <f>N52/M52</f>
        <v>89.693094629157258</v>
      </c>
      <c r="P52" s="74">
        <f>M52-J52</f>
        <v>0</v>
      </c>
      <c r="Q52" s="83">
        <f>O52-L52</f>
        <v>-16.189258312019206</v>
      </c>
      <c r="R52" s="72">
        <f t="shared" si="30"/>
        <v>0.84710144927537412</v>
      </c>
      <c r="S52" s="749"/>
      <c r="T52" s="21">
        <v>0.51388888888888895</v>
      </c>
      <c r="U52" s="21">
        <v>0.54583333333333295</v>
      </c>
      <c r="V52" s="30">
        <f>(T52-U51)*24*60</f>
        <v>80.000000000000597</v>
      </c>
      <c r="W52" s="236">
        <f t="shared" si="21"/>
        <v>45.999999999999361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1"/>
        <v>-275.21739130432661</v>
      </c>
      <c r="AG52" s="72">
        <f t="shared" si="32"/>
        <v>0.84710144927537412</v>
      </c>
      <c r="AH52" s="785"/>
    </row>
    <row r="53" spans="1:34" ht="15" customHeight="1">
      <c r="A53" s="812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2865</v>
      </c>
      <c r="H53" s="231">
        <f>F53*G53</f>
        <v>143164.04999999999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1652.8846153846212</v>
      </c>
      <c r="O53" s="235">
        <f>N53/M53</f>
        <v>103.30528846153882</v>
      </c>
      <c r="P53" s="74">
        <f>M53-J53</f>
        <v>0</v>
      </c>
      <c r="Q53" s="83">
        <f>O53-L53</f>
        <v>-9.1947115384611777</v>
      </c>
      <c r="R53" s="72">
        <f t="shared" si="30"/>
        <v>0.91826923076923395</v>
      </c>
      <c r="S53" s="749"/>
      <c r="T53" s="21">
        <v>0.55277777777777803</v>
      </c>
      <c r="U53" s="21">
        <v>0.625</v>
      </c>
      <c r="V53" s="30">
        <f>(T53-U52)*24*60</f>
        <v>10.000000000000924</v>
      </c>
      <c r="W53" s="236">
        <f t="shared" si="21"/>
        <v>103.99999999999963</v>
      </c>
      <c r="X53" s="30"/>
      <c r="Y53" s="151"/>
      <c r="Z53" s="90"/>
      <c r="AA53" s="90"/>
      <c r="AB53" s="789"/>
      <c r="AC53" s="789"/>
      <c r="AD53" s="92"/>
      <c r="AE53" s="92"/>
      <c r="AF53" s="307">
        <f>N53-K53</f>
        <v>-147.11538461537884</v>
      </c>
      <c r="AG53" s="72">
        <f>N53/K53</f>
        <v>0.91826923076923395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1767.2</v>
      </c>
      <c r="L58" s="117">
        <f t="shared" si="33"/>
        <v>106.6</v>
      </c>
      <c r="M58" s="120">
        <f t="shared" si="33"/>
        <v>16.600000000000001</v>
      </c>
      <c r="N58" s="120">
        <f t="shared" si="33"/>
        <v>1591.2489107614899</v>
      </c>
      <c r="O58" s="117">
        <f t="shared" si="33"/>
        <v>96.051276655745625</v>
      </c>
      <c r="P58" s="121">
        <f>M58-J58</f>
        <v>0</v>
      </c>
      <c r="Q58" s="122">
        <f>N58-K58</f>
        <v>-175.95108923851012</v>
      </c>
      <c r="R58" s="123">
        <f>O58/L58</f>
        <v>0.90104387106703221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2" si="34">N58-K58</f>
        <v>-175.95108923851012</v>
      </c>
      <c r="AG58" s="124">
        <f t="shared" ref="AG58:AG62" si="35">N58/K58</f>
        <v>0.90043510115521153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3165</v>
      </c>
      <c r="H59" s="243">
        <f>F59*G59</f>
        <v>85423.349999999991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1556.5573770491849</v>
      </c>
      <c r="O59" s="138">
        <f>N59/M59</f>
        <v>103.77049180327899</v>
      </c>
      <c r="P59" s="56">
        <f>M59-J59</f>
        <v>0</v>
      </c>
      <c r="Q59" s="230">
        <f>O59-L59</f>
        <v>-5.2961748633876766</v>
      </c>
      <c r="R59" s="52">
        <f>O59/L59</f>
        <v>0.95144093951661668</v>
      </c>
      <c r="S59" s="748">
        <f>R69</f>
        <v>0.89658773027846306</v>
      </c>
      <c r="T59" s="245">
        <v>0.29027777777777802</v>
      </c>
      <c r="U59" s="245">
        <v>0.375</v>
      </c>
      <c r="V59" s="55"/>
      <c r="W59" s="54">
        <f t="shared" si="21"/>
        <v>121.99999999999964</v>
      </c>
      <c r="X59" s="55"/>
      <c r="Y59" s="290"/>
      <c r="Z59" s="169"/>
      <c r="AA59" s="169"/>
      <c r="AB59" s="791"/>
      <c r="AC59" s="791"/>
      <c r="AD59" s="135"/>
      <c r="AE59" s="135"/>
      <c r="AF59" s="310">
        <f t="shared" si="34"/>
        <v>-79.442622950815121</v>
      </c>
      <c r="AG59" s="246">
        <f t="shared" si="35"/>
        <v>0.95144093951661668</v>
      </c>
      <c r="AH59" s="784">
        <f>AG69</f>
        <v>0.90024461089433983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1285</v>
      </c>
      <c r="H60" s="78">
        <f>F60*G60</f>
        <v>36314.1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1542.0000000000107</v>
      </c>
      <c r="O60" s="81">
        <f>N60/M60</f>
        <v>140.18181818181915</v>
      </c>
      <c r="P60" s="74">
        <f>M60-J60</f>
        <v>0</v>
      </c>
      <c r="Q60" s="83">
        <f>O60-L60</f>
        <v>-8.5454545454535662</v>
      </c>
      <c r="R60" s="72">
        <f>O60/L60</f>
        <v>0.94254278728607011</v>
      </c>
      <c r="S60" s="829"/>
      <c r="T60" s="22">
        <v>0.38541666666666702</v>
      </c>
      <c r="U60" s="22">
        <v>0.42013888888888901</v>
      </c>
      <c r="V60" s="30">
        <f>(T60-U59)*24*60</f>
        <v>15.000000000000506</v>
      </c>
      <c r="W60" s="248">
        <f t="shared" si="21"/>
        <v>49.999999999999659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34"/>
        <v>-93.999999999989313</v>
      </c>
      <c r="AG60" s="249">
        <f t="shared" si="35"/>
        <v>0.94254278728607011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1102</v>
      </c>
      <c r="H61" s="254">
        <f>F61*G61</f>
        <v>31142.52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1202.181818181833</v>
      </c>
      <c r="O61" s="238">
        <f>N61/M61</f>
        <v>109.28925619834845</v>
      </c>
      <c r="P61" s="111">
        <f>M61-J61</f>
        <v>0</v>
      </c>
      <c r="Q61" s="255">
        <f>O61-L61</f>
        <v>-39.438016528924265</v>
      </c>
      <c r="R61" s="85">
        <f>O61/L61</f>
        <v>0.73482996221383434</v>
      </c>
      <c r="S61" s="749"/>
      <c r="T61" s="22">
        <v>0.4375</v>
      </c>
      <c r="U61" s="22">
        <v>0.47569444444444398</v>
      </c>
      <c r="V61" s="30">
        <f>(T61-U60)*24*60</f>
        <v>24.999999999999829</v>
      </c>
      <c r="W61" s="256">
        <f t="shared" si="21"/>
        <v>54.999999999999325</v>
      </c>
      <c r="X61" s="22"/>
      <c r="Y61" s="84"/>
      <c r="Z61" s="90"/>
      <c r="AA61" s="90"/>
      <c r="AB61" s="789" t="s">
        <v>158</v>
      </c>
      <c r="AC61" s="789"/>
      <c r="AD61" s="92"/>
      <c r="AE61" s="92"/>
      <c r="AF61" s="317">
        <f t="shared" si="34"/>
        <v>-433.81818181816698</v>
      </c>
      <c r="AG61" s="247">
        <f t="shared" si="35"/>
        <v>0.73482996221383434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f>1700+23</f>
        <v>1723</v>
      </c>
      <c r="H62" s="254">
        <f>F62*G62</f>
        <v>48691.98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1590.4615384615322</v>
      </c>
      <c r="O62" s="238">
        <f>N62/M62</f>
        <v>144.58741258741202</v>
      </c>
      <c r="P62" s="111">
        <f>M62-J62</f>
        <v>0</v>
      </c>
      <c r="Q62" s="255">
        <f>O62-L62</f>
        <v>-4.1398601398607013</v>
      </c>
      <c r="R62" s="85">
        <f>O62/L62</f>
        <v>0.97216475456083884</v>
      </c>
      <c r="S62" s="749"/>
      <c r="T62" s="22">
        <v>0.53472222222222199</v>
      </c>
      <c r="U62" s="22">
        <v>0.57986111111111105</v>
      </c>
      <c r="V62" s="30">
        <f>(T62-U61)*24*60</f>
        <v>85.000000000000341</v>
      </c>
      <c r="W62" s="248">
        <f t="shared" si="21"/>
        <v>65.000000000000256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34"/>
        <v>-45.5384615384678</v>
      </c>
      <c r="AG62" s="247">
        <f t="shared" si="35"/>
        <v>0.97216475456083873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21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36">AVERAGE(J59:J68)</f>
        <v>12</v>
      </c>
      <c r="K69" s="415">
        <f t="shared" si="36"/>
        <v>1636</v>
      </c>
      <c r="L69" s="416">
        <f t="shared" si="36"/>
        <v>138.81212121212121</v>
      </c>
      <c r="M69" s="415">
        <f t="shared" si="36"/>
        <v>12</v>
      </c>
      <c r="N69" s="415">
        <f t="shared" si="36"/>
        <v>1472.80018342314</v>
      </c>
      <c r="O69" s="416">
        <f t="shared" si="36"/>
        <v>124.45724469271465</v>
      </c>
      <c r="P69" s="417">
        <f>M69-J69</f>
        <v>0</v>
      </c>
      <c r="Q69" s="418">
        <f>N69-K69</f>
        <v>-163.19981657686003</v>
      </c>
      <c r="R69" s="419">
        <f>O69/L69</f>
        <v>0.89658773027846306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-163.19981657686003</v>
      </c>
      <c r="AG69" s="124">
        <f>N69/K69</f>
        <v>0.90024461089433983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400"/>
      <c r="F70" s="401">
        <f>VLOOKUP(D70,廠價表!$C$1:$E$43,3,0)</f>
        <v>28.26</v>
      </c>
      <c r="G70" s="402">
        <v>1471</v>
      </c>
      <c r="H70" s="403">
        <f>F70*G70</f>
        <v>41570.46</v>
      </c>
      <c r="I70" s="402"/>
      <c r="J70" s="404">
        <f>VLOOKUP(D70,產線配置圖!$A$3:$C$40,2,0)</f>
        <v>11</v>
      </c>
      <c r="K70" s="405">
        <f>VLOOKUP(D70,產線配置圖!$A$3:$C$40,3,0)</f>
        <v>1636</v>
      </c>
      <c r="L70" s="406">
        <f>K70/J70</f>
        <v>148.72727272727272</v>
      </c>
      <c r="M70" s="407">
        <v>7</v>
      </c>
      <c r="N70" s="405">
        <f>G70/W70*60</f>
        <v>882.60000000000605</v>
      </c>
      <c r="O70" s="406">
        <f>N70/M70</f>
        <v>126.08571428571516</v>
      </c>
      <c r="P70" s="408">
        <f>M70-J70</f>
        <v>-4</v>
      </c>
      <c r="Q70" s="409">
        <f>O70-L70</f>
        <v>-22.641558441557564</v>
      </c>
      <c r="R70" s="410">
        <f>O70/L70</f>
        <v>0.84776458260566434</v>
      </c>
      <c r="S70" s="817">
        <f>R79</f>
        <v>0.85011839446772308</v>
      </c>
      <c r="T70" s="245">
        <v>0.29513888888888901</v>
      </c>
      <c r="U70" s="245">
        <v>0.36458333333333298</v>
      </c>
      <c r="V70" s="55"/>
      <c r="W70" s="54">
        <f t="shared" si="21"/>
        <v>99.999999999999318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-753.39999999999395</v>
      </c>
      <c r="AG70" s="246">
        <f>N70/K70</f>
        <v>0.53948655256724087</v>
      </c>
      <c r="AH70" s="784">
        <f>AG79</f>
        <v>0.62410833583447123</v>
      </c>
    </row>
    <row r="71" spans="1:36" ht="15" customHeight="1">
      <c r="A71" s="822"/>
      <c r="B71" s="75" t="s">
        <v>81</v>
      </c>
      <c r="C71" s="58"/>
      <c r="D71" s="259" t="s">
        <v>135</v>
      </c>
      <c r="E71" s="60"/>
      <c r="F71" s="401">
        <f>VLOOKUP(D71,廠價表!$C$1:$E$43,3,0)</f>
        <v>43.89</v>
      </c>
      <c r="G71" s="273">
        <v>609</v>
      </c>
      <c r="H71" s="403">
        <f>F71*G71</f>
        <v>26729.010000000002</v>
      </c>
      <c r="I71" s="392"/>
      <c r="J71" s="404">
        <f>VLOOKUP(D71,產線配置圖!$A$3:$C$40,2,0)</f>
        <v>14</v>
      </c>
      <c r="K71" s="405">
        <f>VLOOKUP(D71,產線配置圖!$A$3:$C$40,3,0)</f>
        <v>1565</v>
      </c>
      <c r="L71" s="406">
        <f>K71/J71</f>
        <v>111.78571428571429</v>
      </c>
      <c r="M71" s="94">
        <v>10</v>
      </c>
      <c r="N71" s="405">
        <f>G71/W71*60</f>
        <v>830.45454545453333</v>
      </c>
      <c r="O71" s="406">
        <f>N71/M71</f>
        <v>83.045454545453339</v>
      </c>
      <c r="P71" s="408">
        <f>M71-J71</f>
        <v>-4</v>
      </c>
      <c r="Q71" s="409">
        <f>O71-L71</f>
        <v>-28.740259740260953</v>
      </c>
      <c r="R71" s="410">
        <f>O71/L71</f>
        <v>0.74289863491140362</v>
      </c>
      <c r="S71" s="818"/>
      <c r="T71" s="22">
        <v>0.389583333333333</v>
      </c>
      <c r="U71" s="22">
        <v>0.42013888888888901</v>
      </c>
      <c r="V71" s="30">
        <f>(T71-U70)*24*60</f>
        <v>36.000000000000028</v>
      </c>
      <c r="W71" s="73">
        <f t="shared" si="21"/>
        <v>44.000000000000639</v>
      </c>
      <c r="X71" s="271"/>
      <c r="Y71" s="293"/>
      <c r="Z71" s="90"/>
      <c r="AA71" s="90"/>
      <c r="AB71" s="810" t="s">
        <v>149</v>
      </c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58"/>
      <c r="D72" s="259" t="s">
        <v>142</v>
      </c>
      <c r="E72" s="60"/>
      <c r="F72" s="401">
        <f>VLOOKUP(D72,廠價表!$C$1:$E$43,3,0)</f>
        <v>43.89</v>
      </c>
      <c r="G72" s="273">
        <v>1745</v>
      </c>
      <c r="H72" s="403">
        <f>F72*G72</f>
        <v>76588.05</v>
      </c>
      <c r="I72" s="92"/>
      <c r="J72" s="404">
        <f>VLOOKUP(D72,產線配置圖!$A$3:$C$40,2,0)</f>
        <v>13</v>
      </c>
      <c r="K72" s="405">
        <f>VLOOKUP(D72,產線配置圖!$A$3:$C$40,3,0)</f>
        <v>1565</v>
      </c>
      <c r="L72" s="406">
        <f>K72/J72</f>
        <v>120.38461538461539</v>
      </c>
      <c r="M72" s="94">
        <v>11</v>
      </c>
      <c r="N72" s="405">
        <f>G72/W72*60</f>
        <v>1261.4457831325503</v>
      </c>
      <c r="O72" s="406">
        <f>N72/M72</f>
        <v>114.6768893756864</v>
      </c>
      <c r="P72" s="408">
        <f>M72-J72</f>
        <v>-2</v>
      </c>
      <c r="Q72" s="409">
        <f>O72-L72</f>
        <v>-5.7077260089289865</v>
      </c>
      <c r="R72" s="410">
        <f>O72/L72</f>
        <v>0.95258757947854511</v>
      </c>
      <c r="S72" s="749"/>
      <c r="T72" s="22">
        <v>0.43055555555555602</v>
      </c>
      <c r="U72" s="22">
        <v>0.48819444444444399</v>
      </c>
      <c r="V72" s="30">
        <f>(T72-U71)*24*60</f>
        <v>15.000000000000506</v>
      </c>
      <c r="W72" s="73">
        <f t="shared" si="21"/>
        <v>82.999999999998664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91"/>
      <c r="I73" s="420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7">AVERAGE(J70:J78)</f>
        <v>12.666666666666666</v>
      </c>
      <c r="K79" s="240">
        <f t="shared" si="37"/>
        <v>1588.6666666666667</v>
      </c>
      <c r="L79" s="268">
        <f t="shared" si="37"/>
        <v>126.96586746586748</v>
      </c>
      <c r="M79" s="240">
        <f t="shared" si="37"/>
        <v>9.3333333333333339</v>
      </c>
      <c r="N79" s="240">
        <f t="shared" si="37"/>
        <v>991.50010952902994</v>
      </c>
      <c r="O79" s="268">
        <f t="shared" si="37"/>
        <v>107.93601940228497</v>
      </c>
      <c r="P79" s="269">
        <f>M79-J79</f>
        <v>-3.3333333333333321</v>
      </c>
      <c r="Q79" s="222">
        <f>N79-K79</f>
        <v>-597.1665571376368</v>
      </c>
      <c r="R79" s="223">
        <f>O79/L79</f>
        <v>0.85011839446772308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-597.1665571376368</v>
      </c>
      <c r="AG79" s="124">
        <f>N79/K79</f>
        <v>0.62410833583447123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H27:AH37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B8:AC8"/>
    <mergeCell ref="AB9:AC9"/>
    <mergeCell ref="AB10:AC10"/>
    <mergeCell ref="AB11:AC11"/>
    <mergeCell ref="AB12:AC12"/>
    <mergeCell ref="AB14:AC14"/>
    <mergeCell ref="A2:B2"/>
    <mergeCell ref="A3:A4"/>
    <mergeCell ref="B3:B4"/>
    <mergeCell ref="D3:E4"/>
    <mergeCell ref="F3:F4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B1:AC2"/>
    <mergeCell ref="AF1:AH2"/>
    <mergeCell ref="AB28:AC28"/>
    <mergeCell ref="AB27:AC27"/>
    <mergeCell ref="G3:G4"/>
    <mergeCell ref="J1:L2"/>
    <mergeCell ref="M1:O2"/>
    <mergeCell ref="P1:S2"/>
    <mergeCell ref="T1:Y2"/>
    <mergeCell ref="T3:U3"/>
    <mergeCell ref="V3:V4"/>
    <mergeCell ref="W3:W4"/>
    <mergeCell ref="X3:Y3"/>
    <mergeCell ref="Z3:AA3"/>
    <mergeCell ref="AB13:AC13"/>
    <mergeCell ref="AD3:AE3"/>
    <mergeCell ref="AF3:AF4"/>
    <mergeCell ref="AG3:AG4"/>
    <mergeCell ref="AH3:AH4"/>
    <mergeCell ref="AB5:AC5"/>
    <mergeCell ref="AH5:AH15"/>
    <mergeCell ref="AB6:AC6"/>
    <mergeCell ref="AB7:AC7"/>
    <mergeCell ref="AB3:AC4"/>
  </mergeCells>
  <phoneticPr fontId="0" type="noConversion"/>
  <conditionalFormatting sqref="P5:P79">
    <cfRule type="cellIs" dxfId="198" priority="1" operator="greaterThan">
      <formula>0</formula>
    </cfRule>
  </conditionalFormatting>
  <conditionalFormatting sqref="Q5:Q79 AF5:AF79">
    <cfRule type="cellIs" dxfId="197" priority="4" operator="lessThan">
      <formula>0</formula>
    </cfRule>
  </conditionalFormatting>
  <conditionalFormatting sqref="R5:R79 AG5:AG79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S5:S10 S37:S62 AH59:AH62 S69:S76 AH69:AH76">
    <cfRule type="cellIs" dxfId="194" priority="7" operator="lessThan">
      <formula>0.8</formula>
    </cfRule>
  </conditionalFormatting>
  <conditionalFormatting sqref="S19:S25 AH19:AH25">
    <cfRule type="cellIs" dxfId="193" priority="6" operator="lessThan">
      <formula>0.8</formula>
    </cfRule>
  </conditionalFormatting>
  <conditionalFormatting sqref="S79">
    <cfRule type="cellIs" dxfId="192" priority="5" operator="lessThan">
      <formula>0.8</formula>
    </cfRule>
  </conditionalFormatting>
  <conditionalFormatting sqref="AH5:AH8 S15:S16 AH15:AH16 AH49 AH79">
    <cfRule type="cellIs" dxfId="191" priority="9" operator="lessThan">
      <formula>0.8</formula>
    </cfRule>
  </conditionalFormatting>
  <conditionalFormatting sqref="AH27 S27:S28">
    <cfRule type="cellIs" dxfId="1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5BFD33-663E-403F-9481-E82D8BD05D48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A325-A334-4448-BC47-C9C8C4CE55AF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DATE(2026,8,13)</f>
        <v>46247</v>
      </c>
      <c r="E3" s="706"/>
      <c r="F3" s="3" t="s">
        <v>72</v>
      </c>
      <c r="G3" s="707">
        <f>'0813'!E1</f>
        <v>53441</v>
      </c>
      <c r="H3" s="707"/>
      <c r="I3" s="3" t="s">
        <v>2</v>
      </c>
      <c r="J3" s="708">
        <f>'0813'!G1</f>
        <v>2473397.0780000002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125.36291682018573</v>
      </c>
      <c r="G6" s="713"/>
      <c r="H6" s="714">
        <f>AVERAGE(D13:H13)</f>
        <v>124.13202027819673</v>
      </c>
      <c r="I6" s="714"/>
      <c r="J6" s="714">
        <f>AVERAGE(I13:J13)</f>
        <v>128.44015817515819</v>
      </c>
      <c r="K6" s="714"/>
      <c r="L6" s="716">
        <f>'0813'!Z2</f>
        <v>5</v>
      </c>
      <c r="M6" s="717">
        <f>'0813'!AA2</f>
        <v>58</v>
      </c>
      <c r="N6" s="718">
        <f>'0813'!AD2</f>
        <v>0</v>
      </c>
      <c r="O6" s="717">
        <f>'0813'!AE2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112.79510459720851</v>
      </c>
      <c r="G7" s="737"/>
      <c r="H7" s="738">
        <f>AVERAGE(D14:H14)</f>
        <v>110.21011355978325</v>
      </c>
      <c r="I7" s="738"/>
      <c r="J7" s="738">
        <f>AVERAGE(I14:J14)</f>
        <v>119.25758219077169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0.89942605282949706</v>
      </c>
      <c r="G8" s="710"/>
      <c r="H8" s="710">
        <f>AVERAGE(D15:H15)</f>
        <v>0.88776835028302759</v>
      </c>
      <c r="I8" s="710"/>
      <c r="J8" s="710">
        <f>AVERAGE(I15:J15)</f>
        <v>0.92857030919567041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VALUE('0813'!L15)</f>
        <v>150.90497737556561</v>
      </c>
      <c r="E13" s="13">
        <f>VALUE('0813'!L26)</f>
        <v>174.51923076923077</v>
      </c>
      <c r="F13" s="13">
        <f>VALUE('0813'!L37)</f>
        <v>94.264379084967317</v>
      </c>
      <c r="G13" s="13">
        <f>VALUE('0813'!L48)</f>
        <v>96.300925925925924</v>
      </c>
      <c r="H13" s="13">
        <f>VALUE('0813'!L58)</f>
        <v>104.67058823529412</v>
      </c>
      <c r="I13" s="13">
        <f>VALUE('0813'!L69)</f>
        <v>140.79515151515153</v>
      </c>
      <c r="J13" s="13">
        <f>'0813'!L79</f>
        <v>116.08516483516485</v>
      </c>
    </row>
    <row r="14" spans="2:15" ht="39.950000000000003" customHeight="1">
      <c r="B14" s="731"/>
      <c r="C14" s="12" t="s">
        <v>100</v>
      </c>
      <c r="D14" s="13">
        <f>VALUE('0813'!O15)</f>
        <v>131.95606934657579</v>
      </c>
      <c r="E14" s="13">
        <f>VALUE('0813'!O26)</f>
        <v>157.7765298572443</v>
      </c>
      <c r="F14" s="13">
        <f>VALUE('0813'!O37)</f>
        <v>84.626981791409207</v>
      </c>
      <c r="G14" s="13">
        <f>VALUE('0813'!O48)</f>
        <v>89.743550906251002</v>
      </c>
      <c r="H14" s="13">
        <f>VALUE('0813'!O58)</f>
        <v>86.94743589743598</v>
      </c>
      <c r="I14" s="13">
        <f>VALUE('0813'!O69)</f>
        <v>130.64549019607949</v>
      </c>
      <c r="J14" s="13">
        <f>'0813'!O79</f>
        <v>107.86967418546388</v>
      </c>
    </row>
    <row r="15" spans="2:15" ht="39.950000000000003" customHeight="1">
      <c r="B15" s="732"/>
      <c r="C15" s="10" t="s">
        <v>26</v>
      </c>
      <c r="D15" s="14">
        <f t="shared" ref="D15:I15" si="0">D14/D13</f>
        <v>0.8744315240057946</v>
      </c>
      <c r="E15" s="14">
        <f t="shared" si="0"/>
        <v>0.9040638625428874</v>
      </c>
      <c r="F15" s="14">
        <f t="shared" si="0"/>
        <v>0.89776204556684958</v>
      </c>
      <c r="G15" s="14">
        <f t="shared" si="0"/>
        <v>0.93190745616798309</v>
      </c>
      <c r="H15" s="14">
        <f t="shared" si="0"/>
        <v>0.83067686313162392</v>
      </c>
      <c r="I15" s="14">
        <f t="shared" si="0"/>
        <v>0.92791185484835537</v>
      </c>
      <c r="J15" s="15">
        <f>'0813'!S70</f>
        <v>0.92922876354298545</v>
      </c>
    </row>
    <row r="16" spans="2:15" ht="17.25" customHeight="1">
      <c r="B16" s="733" t="s">
        <v>101</v>
      </c>
      <c r="C16" s="10" t="s">
        <v>34</v>
      </c>
      <c r="D16" s="16">
        <f>'0813'!T5</f>
        <v>0.3</v>
      </c>
      <c r="E16" s="16">
        <f>'0813'!T16</f>
        <v>0.29861111111111099</v>
      </c>
      <c r="F16" s="16">
        <f>'0813'!T27</f>
        <v>0.29166666666666702</v>
      </c>
      <c r="G16" s="16">
        <f>'0813'!T38</f>
        <v>0.33333333333333298</v>
      </c>
      <c r="H16" s="16">
        <f>'0813'!T49</f>
        <v>0.29166666666666702</v>
      </c>
      <c r="I16" s="16">
        <f>'0813'!T59</f>
        <v>0.29166666666666702</v>
      </c>
      <c r="J16" s="17">
        <f>'0813'!T70</f>
        <v>0.39374999999999999</v>
      </c>
    </row>
    <row r="17" spans="2:10" ht="17.25" customHeight="1">
      <c r="B17" s="734"/>
      <c r="C17" s="10" t="s">
        <v>35</v>
      </c>
      <c r="D17" s="22">
        <v>0.61527777777777803</v>
      </c>
      <c r="E17" s="19">
        <v>0.59652777777777799</v>
      </c>
      <c r="F17" s="19">
        <v>0.67222222222222205</v>
      </c>
      <c r="G17" s="20">
        <v>0.61111111111111105</v>
      </c>
      <c r="H17" s="21">
        <v>0.66527777777777797</v>
      </c>
      <c r="I17" s="22">
        <v>0.60763888888888895</v>
      </c>
      <c r="J17" s="22">
        <v>0.49861111111111101</v>
      </c>
    </row>
    <row r="18" spans="2:10" ht="17.25" customHeight="1">
      <c r="B18" s="735" t="s">
        <v>102</v>
      </c>
      <c r="C18" s="330" t="s">
        <v>36</v>
      </c>
      <c r="D18" s="386">
        <f>'0813'!Z15</f>
        <v>1</v>
      </c>
      <c r="E18" s="387">
        <f>'0813'!Z26</f>
        <v>1</v>
      </c>
      <c r="F18" s="387">
        <f>'0813'!Z37</f>
        <v>1</v>
      </c>
      <c r="G18" s="388">
        <f>'0813'!Z48</f>
        <v>1</v>
      </c>
      <c r="H18" s="388">
        <f>'0813'!Z58</f>
        <v>0</v>
      </c>
      <c r="I18" s="387">
        <f>'0813'!Z69</f>
        <v>1</v>
      </c>
      <c r="J18" s="387">
        <f>'0813'!AA79</f>
        <v>0</v>
      </c>
    </row>
    <row r="19" spans="2:10" ht="17.25" customHeight="1">
      <c r="B19" s="736"/>
      <c r="C19" s="330" t="s">
        <v>37</v>
      </c>
      <c r="D19" s="386">
        <f>'0813'!AA15</f>
        <v>12</v>
      </c>
      <c r="E19" s="387">
        <f>'0813'!AA26</f>
        <v>12</v>
      </c>
      <c r="F19" s="387">
        <f>'0813'!AA37</f>
        <v>12</v>
      </c>
      <c r="G19" s="388">
        <f>'0813'!AA48</f>
        <v>12</v>
      </c>
      <c r="H19" s="388">
        <f>'0813'!AA58</f>
        <v>0</v>
      </c>
      <c r="I19" s="387">
        <f>'0813'!AA69</f>
        <v>10</v>
      </c>
      <c r="J19" s="387">
        <f>'0813'!AB79</f>
        <v>0</v>
      </c>
    </row>
    <row r="20" spans="2:10" ht="17.25" customHeight="1">
      <c r="B20" s="735" t="s">
        <v>103</v>
      </c>
      <c r="C20" s="330" t="s">
        <v>36</v>
      </c>
      <c r="D20" s="386">
        <f>'0813'!AD15</f>
        <v>0</v>
      </c>
      <c r="E20" s="387">
        <f>'0813'!AD26</f>
        <v>0</v>
      </c>
      <c r="F20" s="387">
        <f>'0813'!AD37</f>
        <v>0</v>
      </c>
      <c r="G20" s="388">
        <f>'0813'!AD48</f>
        <v>0</v>
      </c>
      <c r="H20" s="388">
        <f>'0813'!AD58</f>
        <v>0</v>
      </c>
      <c r="I20" s="387">
        <f>'0813'!AD69</f>
        <v>0</v>
      </c>
      <c r="J20" s="387">
        <f>'0813'!AD79</f>
        <v>0</v>
      </c>
    </row>
    <row r="21" spans="2:10" ht="17.25" customHeight="1">
      <c r="B21" s="736"/>
      <c r="C21" s="330" t="s">
        <v>85</v>
      </c>
      <c r="D21" s="386">
        <f>'0813'!AE15</f>
        <v>0</v>
      </c>
      <c r="E21" s="387">
        <f>'0813'!AE26</f>
        <v>0</v>
      </c>
      <c r="F21" s="387">
        <f>'0813'!AE37</f>
        <v>0</v>
      </c>
      <c r="G21" s="388">
        <f>'0813'!AE48</f>
        <v>0</v>
      </c>
      <c r="H21" s="388">
        <f>'0813'!AE58</f>
        <v>0</v>
      </c>
      <c r="I21" s="387">
        <f>'0813'!AE69</f>
        <v>0</v>
      </c>
      <c r="J21" s="387">
        <f>'0813'!AE79</f>
        <v>0</v>
      </c>
    </row>
    <row r="22" spans="2:10" ht="17.25" customHeight="1">
      <c r="B22" s="719" t="s">
        <v>104</v>
      </c>
      <c r="C22" s="720"/>
      <c r="D22" s="23">
        <f>VALUE('0813'!M15)</f>
        <v>15</v>
      </c>
      <c r="E22" s="23">
        <f>VALUE('0813'!M26)</f>
        <v>13</v>
      </c>
      <c r="F22" s="23">
        <f>VALUE('0813'!M37)</f>
        <v>17.2</v>
      </c>
      <c r="G22" s="23">
        <f>VALUE('0813'!M48)</f>
        <v>17</v>
      </c>
      <c r="H22" s="23">
        <f>VALUE('0813'!M58)</f>
        <v>16.600000000000001</v>
      </c>
      <c r="I22" s="23">
        <f>VALUE('0813'!M69)</f>
        <v>11.8</v>
      </c>
      <c r="J22" s="23">
        <f>'0813'!M79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8AF9-F44D-4808-AF06-82BD8C70C61C}">
  <sheetPr>
    <tabColor theme="9" tint="0.79998168889431442"/>
  </sheetPr>
  <dimension ref="A1:AJ92"/>
  <sheetViews>
    <sheetView zoomScale="69" zoomScaleNormal="69" workbookViewId="0">
      <pane xSplit="5" ySplit="4" topLeftCell="X38" activePane="bottomRight" state="frozen"/>
      <selection activeCell="M16" sqref="M16"/>
      <selection pane="topRight" activeCell="M16" sqref="M16"/>
      <selection pane="bottomLeft" activeCell="M16" sqref="M16"/>
      <selection pane="bottomRight" activeCell="AB17" sqref="AB17:AC1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53441</v>
      </c>
      <c r="F1" s="30" t="s">
        <v>2</v>
      </c>
      <c r="G1" s="31">
        <f>SUM(H5:H79)</f>
        <v>2473397.0780000002</v>
      </c>
      <c r="H1" s="32" t="s">
        <v>3</v>
      </c>
      <c r="I1" s="33">
        <f>M15+M26+M48+M58+M69+M79+M37</f>
        <v>99.600000000000009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159</v>
      </c>
      <c r="B2" s="739"/>
      <c r="C2" s="28"/>
      <c r="D2" s="28" t="s">
        <v>14</v>
      </c>
      <c r="E2" s="35">
        <f>AVERAGE(O15,O26,O37,O48,O58,O69,O79)</f>
        <v>112.79510459720851</v>
      </c>
      <c r="F2" s="36" t="s">
        <v>15</v>
      </c>
      <c r="G2" s="37">
        <f>G1/E1</f>
        <v>46.28276188694074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5</v>
      </c>
      <c r="AA2" s="339">
        <f>AA15+AA26+AA37+AA48+AA58+AA69+AA79</f>
        <v>58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1284</v>
      </c>
      <c r="H5" s="43">
        <f>F5*G5</f>
        <v>73021.08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2201.1428571428146</v>
      </c>
      <c r="O5" s="47">
        <f>N5/M5</f>
        <v>146.74285714285432</v>
      </c>
      <c r="P5" s="49">
        <f>M5-J5</f>
        <v>0</v>
      </c>
      <c r="Q5" s="50">
        <f>O5-L5</f>
        <v>-3.2571428571456806</v>
      </c>
      <c r="R5" s="51">
        <f>O5/L5</f>
        <v>0.97828571428569544</v>
      </c>
      <c r="S5" s="748">
        <f>R15</f>
        <v>0.8744315240057946</v>
      </c>
      <c r="T5" s="319">
        <v>0.3</v>
      </c>
      <c r="U5" s="320">
        <v>0.32430555555555601</v>
      </c>
      <c r="V5" s="53"/>
      <c r="W5" s="54">
        <f t="shared" ref="W5:W14" si="0">(U5-T5)*24*60</f>
        <v>35.000000000000675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-48.857142857185409</v>
      </c>
      <c r="AG5" s="52">
        <f t="shared" ref="AG5:AG11" si="2">N5/K5</f>
        <v>0.97828571428569533</v>
      </c>
      <c r="AH5" s="784">
        <f>AG15</f>
        <v>0.86981525293293327</v>
      </c>
    </row>
    <row r="6" spans="1:34" ht="15" customHeight="1">
      <c r="A6" s="755"/>
      <c r="B6" s="75" t="s">
        <v>81</v>
      </c>
      <c r="C6" s="76"/>
      <c r="D6" s="59" t="s">
        <v>113</v>
      </c>
      <c r="E6" s="77"/>
      <c r="F6" s="75">
        <f>VLOOKUP(D6,廠價表!$C$1:$E$43,3,0)</f>
        <v>50.67</v>
      </c>
      <c r="G6" s="66">
        <v>1410</v>
      </c>
      <c r="H6" s="78">
        <f>F6*G6</f>
        <v>71444.7</v>
      </c>
      <c r="I6" s="73"/>
      <c r="J6" s="79">
        <f>VLOOKUP(D6,產線配置圖!$A$3:$C$40,2,0)</f>
        <v>17</v>
      </c>
      <c r="K6" s="80">
        <f>VLOOKUP(D6,產線配置圖!$A$3:$C$40,3,0)</f>
        <v>2250</v>
      </c>
      <c r="L6" s="81">
        <f>K6/J6</f>
        <v>132.35294117647058</v>
      </c>
      <c r="M6" s="82">
        <v>17</v>
      </c>
      <c r="N6" s="80">
        <f>G6/W6*60</f>
        <v>1386.8852459016443</v>
      </c>
      <c r="O6" s="81">
        <f>N6/M6</f>
        <v>81.581485053037909</v>
      </c>
      <c r="P6" s="74">
        <f>M6-J6</f>
        <v>0</v>
      </c>
      <c r="Q6" s="83">
        <f>O6-L6</f>
        <v>-50.771456123432671</v>
      </c>
      <c r="R6" s="72">
        <f>O6/L6</f>
        <v>0.61639344262295315</v>
      </c>
      <c r="S6" s="749"/>
      <c r="T6" s="18">
        <v>0.33680555555555602</v>
      </c>
      <c r="U6" s="18">
        <v>0.37916666666666698</v>
      </c>
      <c r="V6" s="30">
        <f>(T6-U5)*24*60</f>
        <v>18.000000000000014</v>
      </c>
      <c r="W6" s="73">
        <f t="shared" si="0"/>
        <v>60.999999999999787</v>
      </c>
      <c r="X6" s="22"/>
      <c r="Y6" s="84"/>
      <c r="Z6" s="90">
        <v>1</v>
      </c>
      <c r="AA6" s="90">
        <v>12</v>
      </c>
      <c r="AB6" s="788" t="s">
        <v>160</v>
      </c>
      <c r="AC6" s="788"/>
      <c r="AD6" s="149"/>
      <c r="AE6" s="149"/>
      <c r="AF6" s="307">
        <f t="shared" si="1"/>
        <v>-863.11475409835566</v>
      </c>
      <c r="AG6" s="72">
        <f t="shared" si="2"/>
        <v>0.61639344262295304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2250</v>
      </c>
      <c r="H7" s="78">
        <f t="shared" ref="H7:H10" si="3">F7*G7</f>
        <v>130882.5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 t="shared" ref="L7:L9" si="4">K7/J7</f>
        <v>173.07692307692307</v>
      </c>
      <c r="M7" s="82">
        <v>13</v>
      </c>
      <c r="N7" s="80">
        <f t="shared" ref="N7:N9" si="5">G7/W7*60</f>
        <v>1928.5714285714334</v>
      </c>
      <c r="O7" s="81">
        <f t="shared" ref="O7:O9" si="6">N7/M7</f>
        <v>148.35164835164872</v>
      </c>
      <c r="P7" s="74">
        <f t="shared" ref="P7:P9" si="7">M7-J7</f>
        <v>0</v>
      </c>
      <c r="Q7" s="83">
        <f t="shared" ref="Q7:Q9" si="8">O7-L7</f>
        <v>-24.725274725274346</v>
      </c>
      <c r="R7" s="72">
        <f t="shared" ref="R7:R9" si="9">O7/L7</f>
        <v>0.85714285714285932</v>
      </c>
      <c r="S7" s="749"/>
      <c r="T7" s="16">
        <v>0.38333333333333303</v>
      </c>
      <c r="U7" s="16">
        <v>0.43194444444444402</v>
      </c>
      <c r="V7" s="30">
        <f>(T7-U6)*24*60</f>
        <v>5.9999999999990994</v>
      </c>
      <c r="W7" s="73">
        <f t="shared" si="0"/>
        <v>69.999999999999829</v>
      </c>
      <c r="X7" s="22"/>
      <c r="Y7" s="84"/>
      <c r="Z7" s="90"/>
      <c r="AA7" s="90"/>
      <c r="AB7" s="789" t="s">
        <v>161</v>
      </c>
      <c r="AC7" s="789"/>
      <c r="AD7" s="92"/>
      <c r="AE7" s="92"/>
      <c r="AF7" s="307">
        <f t="shared" si="1"/>
        <v>-321.42857142856656</v>
      </c>
      <c r="AG7" s="72">
        <f t="shared" si="2"/>
        <v>0.85714285714285932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385</v>
      </c>
      <c r="H8" s="78">
        <f t="shared" si="3"/>
        <v>18918.900000000001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si="4"/>
        <v>150</v>
      </c>
      <c r="M8" s="82">
        <v>15</v>
      </c>
      <c r="N8" s="80">
        <f t="shared" si="5"/>
        <v>2099.9999999999768</v>
      </c>
      <c r="O8" s="81">
        <f t="shared" si="6"/>
        <v>139.99999999999847</v>
      </c>
      <c r="P8" s="74">
        <f t="shared" si="7"/>
        <v>0</v>
      </c>
      <c r="Q8" s="83">
        <f t="shared" si="8"/>
        <v>-10.000000000001535</v>
      </c>
      <c r="R8" s="72">
        <f t="shared" si="9"/>
        <v>0.93333333333332313</v>
      </c>
      <c r="S8" s="749"/>
      <c r="T8" s="16">
        <v>0.44722222222222202</v>
      </c>
      <c r="U8" s="16">
        <v>0.45486111111111099</v>
      </c>
      <c r="V8" s="30">
        <f t="shared" ref="V8:V10" si="10">(T8-U7)*24*60</f>
        <v>22.00000000000032</v>
      </c>
      <c r="W8" s="73">
        <f t="shared" si="0"/>
        <v>11.000000000000121</v>
      </c>
      <c r="X8" s="22"/>
      <c r="Y8" s="84"/>
      <c r="Z8" s="90"/>
      <c r="AA8" s="90"/>
      <c r="AB8" s="788" t="s">
        <v>162</v>
      </c>
      <c r="AC8" s="788"/>
      <c r="AD8" s="149"/>
      <c r="AE8" s="149"/>
      <c r="AF8" s="307">
        <f t="shared" si="1"/>
        <v>-150.00000000002319</v>
      </c>
      <c r="AG8" s="72">
        <f t="shared" si="2"/>
        <v>0.93333333333332302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75">
        <f>VLOOKUP(D9,廠價表!$C$1:$E$43,3,0)</f>
        <v>49.14</v>
      </c>
      <c r="G9" s="62">
        <v>1709</v>
      </c>
      <c r="H9" s="78">
        <f t="shared" si="3"/>
        <v>83980.26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2050.8000000000138</v>
      </c>
      <c r="O9" s="81">
        <f t="shared" si="6"/>
        <v>136.72000000000091</v>
      </c>
      <c r="P9" s="74">
        <f t="shared" si="7"/>
        <v>0</v>
      </c>
      <c r="Q9" s="83">
        <f t="shared" si="8"/>
        <v>-13.279999999999092</v>
      </c>
      <c r="R9" s="72">
        <f t="shared" si="9"/>
        <v>0.91146666666667275</v>
      </c>
      <c r="S9" s="750"/>
      <c r="T9" s="22">
        <v>0.45486111111111099</v>
      </c>
      <c r="U9" s="22">
        <v>0.48958333333333298</v>
      </c>
      <c r="V9" s="30">
        <f t="shared" si="10"/>
        <v>0</v>
      </c>
      <c r="W9" s="73">
        <f t="shared" si="0"/>
        <v>49.999999999999659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-199.19999999998618</v>
      </c>
      <c r="AG9" s="72">
        <f t="shared" si="2"/>
        <v>0.91146666666667286</v>
      </c>
      <c r="AH9" s="786"/>
    </row>
    <row r="10" spans="1:34" ht="15" customHeight="1">
      <c r="A10" s="756"/>
      <c r="B10" s="75" t="s">
        <v>81</v>
      </c>
      <c r="C10" s="86"/>
      <c r="D10" s="59" t="s">
        <v>115</v>
      </c>
      <c r="E10" s="87"/>
      <c r="F10" s="75">
        <f>VLOOKUP(D10,廠價表!$C$1:$E$43,3,0)</f>
        <v>49.14</v>
      </c>
      <c r="G10" s="62">
        <v>3251</v>
      </c>
      <c r="H10" s="78">
        <f t="shared" si="3"/>
        <v>159754.14000000001</v>
      </c>
      <c r="I10" s="73"/>
      <c r="J10" s="79">
        <f>VLOOKUP(D10,產線配置圖!$A$3:$C$40,2,0)</f>
        <v>15</v>
      </c>
      <c r="K10" s="80">
        <f>VLOOKUP(D10,產線配置圖!$A$3:$C$40,3,0)</f>
        <v>2250</v>
      </c>
      <c r="L10" s="81">
        <f>K10/J10</f>
        <v>150</v>
      </c>
      <c r="M10" s="82">
        <v>15</v>
      </c>
      <c r="N10" s="80">
        <f>G10/W10*60</f>
        <v>2075.1063829787163</v>
      </c>
      <c r="O10" s="81">
        <f>N10/M10</f>
        <v>138.34042553191441</v>
      </c>
      <c r="P10" s="74">
        <f>M10-J10</f>
        <v>0</v>
      </c>
      <c r="Q10" s="83">
        <f>O10-L10</f>
        <v>-11.659574468085594</v>
      </c>
      <c r="R10" s="72">
        <f>O10/L10</f>
        <v>0.92226950354609605</v>
      </c>
      <c r="S10" s="750"/>
      <c r="T10" s="22">
        <v>0.55000000000000004</v>
      </c>
      <c r="U10" s="22">
        <v>0.61527777777777803</v>
      </c>
      <c r="V10" s="30">
        <f t="shared" si="10"/>
        <v>87.000000000000568</v>
      </c>
      <c r="W10" s="73">
        <f t="shared" si="0"/>
        <v>94.000000000000313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-174.89361702128372</v>
      </c>
      <c r="AG10" s="72">
        <f t="shared" si="2"/>
        <v>0.92226950354609616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150.90497737556561</v>
      </c>
      <c r="M15" s="120">
        <f t="shared" si="11"/>
        <v>15</v>
      </c>
      <c r="N15" s="120">
        <f t="shared" si="11"/>
        <v>1957.0843190991</v>
      </c>
      <c r="O15" s="117">
        <f t="shared" si="11"/>
        <v>131.95606934657579</v>
      </c>
      <c r="P15" s="121">
        <f t="shared" ref="P15:P19" si="12">M15-J15</f>
        <v>0</v>
      </c>
      <c r="Q15" s="122">
        <f t="shared" ref="Q15:Q19" si="13">O15-L15</f>
        <v>-18.94890802898982</v>
      </c>
      <c r="R15" s="123">
        <f t="shared" ref="R15:R19" si="14">O15/L15</f>
        <v>0.8744315240057946</v>
      </c>
      <c r="S15" s="75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12</v>
      </c>
      <c r="AB15" s="790"/>
      <c r="AC15" s="790"/>
      <c r="AD15" s="323">
        <f>SUM(AD5:AD14)</f>
        <v>0</v>
      </c>
      <c r="AE15" s="323">
        <f>SUM(AE5:AE14)</f>
        <v>0</v>
      </c>
      <c r="AF15" s="309">
        <f t="shared" ref="AF15:AF20" si="15">N15-K15</f>
        <v>-292.91568090090004</v>
      </c>
      <c r="AG15" s="124">
        <f t="shared" ref="AG15:AG20" si="16">N15/K15</f>
        <v>0.86981525293293327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1596</v>
      </c>
      <c r="H16" s="134">
        <f t="shared" ref="H16:H19" si="17">F16*G16</f>
        <v>90764.51999999999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 t="shared" ref="L16:L19" si="18">K16/J16</f>
        <v>150</v>
      </c>
      <c r="M16" s="139">
        <v>15</v>
      </c>
      <c r="N16" s="140">
        <f t="shared" ref="N16:N19" si="19">G16/W16*60</f>
        <v>2037.4468085106314</v>
      </c>
      <c r="O16" s="141">
        <f t="shared" ref="O16:O19" si="20">N16/M16</f>
        <v>135.8297872340421</v>
      </c>
      <c r="P16" s="142">
        <f t="shared" si="12"/>
        <v>0</v>
      </c>
      <c r="Q16" s="143">
        <f t="shared" si="13"/>
        <v>-14.170212765957899</v>
      </c>
      <c r="R16" s="144">
        <f t="shared" si="14"/>
        <v>0.90553191489361395</v>
      </c>
      <c r="S16" s="795">
        <f>R26</f>
        <v>0.9040638625428874</v>
      </c>
      <c r="T16" s="145">
        <v>0.29861111111111099</v>
      </c>
      <c r="U16" s="145">
        <v>0.33124999999999999</v>
      </c>
      <c r="V16" s="135"/>
      <c r="W16" s="146">
        <f t="shared" ref="W16:W78" si="21">(U16-T16)*24*60</f>
        <v>47.000000000000156</v>
      </c>
      <c r="X16" s="141"/>
      <c r="Y16" s="296"/>
      <c r="Z16" s="169"/>
      <c r="AA16" s="169"/>
      <c r="AB16" s="791"/>
      <c r="AC16" s="791"/>
      <c r="AD16" s="135"/>
      <c r="AE16" s="135"/>
      <c r="AF16" s="229">
        <f t="shared" si="15"/>
        <v>-212.5531914893686</v>
      </c>
      <c r="AG16" s="52">
        <f t="shared" si="16"/>
        <v>0.90553191489361395</v>
      </c>
      <c r="AH16" s="784">
        <f>AG26</f>
        <v>0.90380917870774069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3293</v>
      </c>
      <c r="H17" s="78">
        <f t="shared" si="17"/>
        <v>166856.31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 t="shared" si="18"/>
        <v>173.07692307692307</v>
      </c>
      <c r="M17" s="148">
        <v>13</v>
      </c>
      <c r="N17" s="95">
        <f t="shared" si="19"/>
        <v>1995.7575757575762</v>
      </c>
      <c r="O17" s="96">
        <f t="shared" si="20"/>
        <v>153.51981351981357</v>
      </c>
      <c r="P17" s="97">
        <f t="shared" si="12"/>
        <v>0</v>
      </c>
      <c r="Q17" s="98">
        <f t="shared" si="13"/>
        <v>-19.557109557109499</v>
      </c>
      <c r="R17" s="99">
        <f t="shared" si="14"/>
        <v>0.88700336700336735</v>
      </c>
      <c r="S17" s="796"/>
      <c r="T17" s="19">
        <v>0.33888888888888902</v>
      </c>
      <c r="U17" s="19">
        <v>0.40763888888888899</v>
      </c>
      <c r="V17" s="30">
        <f>(T17-U16)*24*60</f>
        <v>11.000000000000201</v>
      </c>
      <c r="W17" s="149">
        <f t="shared" si="21"/>
        <v>98.999999999999972</v>
      </c>
      <c r="X17" s="19"/>
      <c r="Y17" s="297"/>
      <c r="Z17" s="90">
        <v>1</v>
      </c>
      <c r="AA17" s="90">
        <v>12</v>
      </c>
      <c r="AB17" s="788" t="s">
        <v>160</v>
      </c>
      <c r="AC17" s="788"/>
      <c r="AD17" s="92"/>
      <c r="AE17" s="92"/>
      <c r="AF17" s="307">
        <f t="shared" si="15"/>
        <v>-254.24242424242379</v>
      </c>
      <c r="AG17" s="72">
        <f t="shared" si="16"/>
        <v>0.88700336700336724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2691</v>
      </c>
      <c r="H18" s="78">
        <f t="shared" si="17"/>
        <v>135599.49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si="18"/>
        <v>187.5</v>
      </c>
      <c r="M18" s="148">
        <v>12</v>
      </c>
      <c r="N18" s="95">
        <f t="shared" si="19"/>
        <v>1877.4418604651246</v>
      </c>
      <c r="O18" s="96">
        <f t="shared" si="20"/>
        <v>156.45348837209372</v>
      </c>
      <c r="P18" s="97">
        <f t="shared" si="12"/>
        <v>0</v>
      </c>
      <c r="Q18" s="98">
        <f t="shared" si="13"/>
        <v>-31.046511627906284</v>
      </c>
      <c r="R18" s="99">
        <f t="shared" si="14"/>
        <v>0.83441860465116646</v>
      </c>
      <c r="S18" s="796"/>
      <c r="T18" s="19">
        <v>0.41597222222222202</v>
      </c>
      <c r="U18" s="19">
        <v>0.47569444444444398</v>
      </c>
      <c r="V18" s="30">
        <f>(T18-U17)*24*60</f>
        <v>11.999999999999558</v>
      </c>
      <c r="W18" s="149">
        <f t="shared" si="21"/>
        <v>85.999999999999616</v>
      </c>
      <c r="X18" s="22"/>
      <c r="Y18" s="84"/>
      <c r="Z18" s="90"/>
      <c r="AA18" s="90"/>
      <c r="AB18" s="789"/>
      <c r="AC18" s="789"/>
      <c r="AD18" s="92"/>
      <c r="AE18" s="92"/>
      <c r="AF18" s="307">
        <f t="shared" si="15"/>
        <v>-372.55813953487541</v>
      </c>
      <c r="AG18" s="72">
        <f t="shared" si="16"/>
        <v>0.83441860465116646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2446</v>
      </c>
      <c r="H19" s="78">
        <f t="shared" si="17"/>
        <v>123253.94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8"/>
        <v>187.5</v>
      </c>
      <c r="M19" s="148">
        <v>12</v>
      </c>
      <c r="N19" s="95">
        <f t="shared" si="19"/>
        <v>2223.636363636334</v>
      </c>
      <c r="O19" s="96">
        <f t="shared" si="20"/>
        <v>185.30303030302784</v>
      </c>
      <c r="P19" s="97">
        <f t="shared" si="12"/>
        <v>0</v>
      </c>
      <c r="Q19" s="98">
        <f t="shared" si="13"/>
        <v>-2.196969696972161</v>
      </c>
      <c r="R19" s="99">
        <f t="shared" si="14"/>
        <v>0.98828282828281511</v>
      </c>
      <c r="S19" s="796"/>
      <c r="T19" s="19">
        <v>0.55069444444444404</v>
      </c>
      <c r="U19" s="19">
        <v>0.59652777777777799</v>
      </c>
      <c r="V19" s="30">
        <f>(T19-U18)*24*60</f>
        <v>108.0000000000001</v>
      </c>
      <c r="W19" s="149">
        <f t="shared" si="21"/>
        <v>66.000000000000881</v>
      </c>
      <c r="X19" s="22"/>
      <c r="Y19" s="84"/>
      <c r="Z19" s="90"/>
      <c r="AA19" s="90"/>
      <c r="AB19" s="788"/>
      <c r="AC19" s="788"/>
      <c r="AD19" s="149"/>
      <c r="AE19" s="149"/>
      <c r="AF19" s="307">
        <f t="shared" si="15"/>
        <v>-26.363636363666046</v>
      </c>
      <c r="AG19" s="72">
        <f t="shared" si="16"/>
        <v>0.98828282828281511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21"/>
        <v>0</v>
      </c>
      <c r="X20" s="19"/>
      <c r="Y20" s="297"/>
      <c r="Z20" s="90"/>
      <c r="AA20" s="90"/>
      <c r="AB20" s="789"/>
      <c r="AC20" s="789"/>
      <c r="AD20" s="92"/>
      <c r="AE20" s="92"/>
      <c r="AF20" s="307">
        <f t="shared" si="15"/>
        <v>0</v>
      </c>
      <c r="AG20" s="72" t="e">
        <f t="shared" si="16"/>
        <v>#DIV/0!</v>
      </c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21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21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21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21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2">AVERAGE(J16:J25)</f>
        <v>13</v>
      </c>
      <c r="K26" s="155">
        <f t="shared" si="22"/>
        <v>2250</v>
      </c>
      <c r="L26" s="158">
        <f t="shared" si="22"/>
        <v>174.51923076923077</v>
      </c>
      <c r="M26" s="155">
        <f t="shared" si="22"/>
        <v>13</v>
      </c>
      <c r="N26" s="155">
        <f t="shared" si="22"/>
        <v>2033.5706520924166</v>
      </c>
      <c r="O26" s="158">
        <f t="shared" si="22"/>
        <v>157.7765298572443</v>
      </c>
      <c r="P26" s="159">
        <f t="shared" ref="P26:P30" si="23">M26-J26</f>
        <v>0</v>
      </c>
      <c r="Q26" s="160">
        <f t="shared" ref="Q26:Q30" si="24">O26-L26</f>
        <v>-16.742700911986475</v>
      </c>
      <c r="R26" s="161">
        <f t="shared" ref="R26:R30" si="25">O26/L26</f>
        <v>0.9040638625428874</v>
      </c>
      <c r="S26" s="797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12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6">N26-K26</f>
        <v>-216.42934790758341</v>
      </c>
      <c r="AG26" s="124">
        <f t="shared" ref="AG26:AG31" si="27">N26/K26</f>
        <v>0.90380917870774069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1621</v>
      </c>
      <c r="H27" s="134">
        <f>F27*G27</f>
        <v>75117.14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1519.687500000015</v>
      </c>
      <c r="O27" s="141">
        <f>N27/M27</f>
        <v>94.980468750000938</v>
      </c>
      <c r="P27" s="142">
        <f t="shared" si="23"/>
        <v>0</v>
      </c>
      <c r="Q27" s="143">
        <f t="shared" si="24"/>
        <v>-7.2695312499990621</v>
      </c>
      <c r="R27" s="144">
        <f t="shared" si="25"/>
        <v>0.92890433985330989</v>
      </c>
      <c r="S27" s="795">
        <f>R37</f>
        <v>0.89776204556684958</v>
      </c>
      <c r="T27" s="171">
        <v>0.29166666666666702</v>
      </c>
      <c r="U27" s="19">
        <v>0.33611111111111103</v>
      </c>
      <c r="V27" s="135"/>
      <c r="W27" s="146">
        <f t="shared" si="21"/>
        <v>63.999999999999375</v>
      </c>
      <c r="X27" s="135"/>
      <c r="Y27" s="300"/>
      <c r="Z27" s="169"/>
      <c r="AA27" s="169"/>
      <c r="AB27" s="863"/>
      <c r="AC27" s="864"/>
      <c r="AD27" s="135"/>
      <c r="AE27" s="135"/>
      <c r="AF27" s="310">
        <f t="shared" si="26"/>
        <v>-116.31249999998499</v>
      </c>
      <c r="AG27" s="172">
        <f t="shared" si="27"/>
        <v>0.92890433985330989</v>
      </c>
      <c r="AH27" s="784">
        <f>AG37</f>
        <v>0.8885883053232142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1164</v>
      </c>
      <c r="H28" s="91">
        <f>F28*G28</f>
        <v>66592.44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1074.4615384615356</v>
      </c>
      <c r="O28" s="96">
        <f>N28/M28</f>
        <v>63.203619909502095</v>
      </c>
      <c r="P28" s="97">
        <f t="shared" si="23"/>
        <v>-1</v>
      </c>
      <c r="Q28" s="98">
        <f t="shared" si="24"/>
        <v>-27.685268979386791</v>
      </c>
      <c r="R28" s="99">
        <f t="shared" si="25"/>
        <v>0.69539435108254144</v>
      </c>
      <c r="S28" s="796"/>
      <c r="T28" s="19">
        <v>0.34166666666666701</v>
      </c>
      <c r="U28" s="19">
        <v>0.38680555555555601</v>
      </c>
      <c r="V28" s="92">
        <f>(T28-U27)*24*60</f>
        <v>8.0000000000006111</v>
      </c>
      <c r="W28" s="149">
        <f t="shared" si="21"/>
        <v>65.000000000000171</v>
      </c>
      <c r="X28" s="174"/>
      <c r="Y28" s="301"/>
      <c r="Z28" s="335">
        <v>1</v>
      </c>
      <c r="AA28" s="335">
        <v>12</v>
      </c>
      <c r="AB28" s="788" t="s">
        <v>160</v>
      </c>
      <c r="AC28" s="788"/>
      <c r="AD28" s="92"/>
      <c r="AE28" s="92"/>
      <c r="AF28" s="311">
        <f t="shared" si="26"/>
        <v>-561.53846153846439</v>
      </c>
      <c r="AG28" s="99">
        <f t="shared" si="27"/>
        <v>0.6567613315779558</v>
      </c>
      <c r="AH28" s="805"/>
    </row>
    <row r="29" spans="1:34" ht="15" customHeight="1">
      <c r="A29" s="793"/>
      <c r="B29" s="75" t="s">
        <v>81</v>
      </c>
      <c r="C29" s="88"/>
      <c r="D29" s="59" t="s">
        <v>123</v>
      </c>
      <c r="E29" s="89"/>
      <c r="F29" s="75">
        <f>VLOOKUP(D29,廠價表!$C$1:$E$43,3,0)</f>
        <v>49.91</v>
      </c>
      <c r="G29" s="90">
        <v>1065</v>
      </c>
      <c r="H29" s="91">
        <f>F29*G29</f>
        <v>53154.149999999994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1558.5365853658652</v>
      </c>
      <c r="O29" s="96">
        <f>N29/M29</f>
        <v>86.585365853659184</v>
      </c>
      <c r="P29" s="97">
        <f t="shared" si="23"/>
        <v>0</v>
      </c>
      <c r="Q29" s="98">
        <f t="shared" si="24"/>
        <v>-4.303523035229702</v>
      </c>
      <c r="R29" s="99">
        <f t="shared" si="25"/>
        <v>0.95265072455126243</v>
      </c>
      <c r="S29" s="796"/>
      <c r="T29" s="19">
        <v>0.39305555555555599</v>
      </c>
      <c r="U29" s="19">
        <v>0.421527777777778</v>
      </c>
      <c r="V29" s="92">
        <f>(T29-U28)*24*60</f>
        <v>8.999999999999968</v>
      </c>
      <c r="W29" s="149">
        <f t="shared" si="21"/>
        <v>40.999999999999694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6"/>
        <v>-77.463414634134779</v>
      </c>
      <c r="AG29" s="99">
        <f t="shared" si="27"/>
        <v>0.95265072455126232</v>
      </c>
      <c r="AH29" s="805"/>
    </row>
    <row r="30" spans="1:34" ht="15" customHeight="1">
      <c r="A30" s="793"/>
      <c r="B30" s="75" t="s">
        <v>81</v>
      </c>
      <c r="C30" s="102"/>
      <c r="D30" s="175" t="s">
        <v>125</v>
      </c>
      <c r="E30" s="176"/>
      <c r="F30" s="75">
        <f>VLOOKUP(D30,廠價表!$C$1:$E$43,3,0)</f>
        <v>45.66</v>
      </c>
      <c r="G30" s="90">
        <v>1016</v>
      </c>
      <c r="H30" s="91">
        <f>F30*G30</f>
        <v>46390.559999999998</v>
      </c>
      <c r="I30" s="92"/>
      <c r="J30" s="79">
        <f>VLOOKUP(D30,產線配置圖!$A$3:$C$40,2,0)</f>
        <v>17</v>
      </c>
      <c r="K30" s="80">
        <v>1637</v>
      </c>
      <c r="L30" s="93">
        <f>K30/J30</f>
        <v>96.294117647058826</v>
      </c>
      <c r="M30" s="94">
        <v>17</v>
      </c>
      <c r="N30" s="95">
        <f>G30/W30*60</f>
        <v>1563.0769230768838</v>
      </c>
      <c r="O30" s="96">
        <f>N30/M30</f>
        <v>91.945701357463747</v>
      </c>
      <c r="P30" s="97">
        <f t="shared" si="23"/>
        <v>0</v>
      </c>
      <c r="Q30" s="98">
        <f t="shared" si="24"/>
        <v>-4.3484162895950789</v>
      </c>
      <c r="R30" s="99">
        <f t="shared" si="25"/>
        <v>0.95484234763401565</v>
      </c>
      <c r="S30" s="796"/>
      <c r="T30" s="19">
        <v>0.42708333333333298</v>
      </c>
      <c r="U30" s="19">
        <v>0.454166666666667</v>
      </c>
      <c r="V30" s="92">
        <f>(T30-U29)*24*60</f>
        <v>7.9999999999991722</v>
      </c>
      <c r="W30" s="149">
        <f t="shared" si="21"/>
        <v>39.000000000000981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6"/>
        <v>-73.923076923116241</v>
      </c>
      <c r="AG30" s="99">
        <f t="shared" si="27"/>
        <v>0.95484234763401576</v>
      </c>
      <c r="AH30" s="806"/>
    </row>
    <row r="31" spans="1:34" ht="15" customHeight="1">
      <c r="A31" s="793"/>
      <c r="B31" s="75" t="s">
        <v>81</v>
      </c>
      <c r="C31" s="177"/>
      <c r="D31" s="59" t="s">
        <v>123</v>
      </c>
      <c r="E31" s="178"/>
      <c r="F31" s="75">
        <f>VLOOKUP(D31,廠價表!$C$1:$E$43,3,0)</f>
        <v>49.91</v>
      </c>
      <c r="G31" s="90">
        <f>645+55</f>
        <v>700</v>
      </c>
      <c r="H31" s="91">
        <f>F31*G31</f>
        <v>34937</v>
      </c>
      <c r="I31" s="92"/>
      <c r="J31" s="79">
        <f>VLOOKUP(D31,產線配置圖!$A$3:$C$40,2,0)</f>
        <v>18</v>
      </c>
      <c r="K31" s="80">
        <v>1638</v>
      </c>
      <c r="L31" s="93">
        <f>K31/J31</f>
        <v>91</v>
      </c>
      <c r="M31" s="94">
        <v>18</v>
      </c>
      <c r="N31" s="95">
        <f>G31/W31*60</f>
        <v>1555.5555555555611</v>
      </c>
      <c r="O31" s="96">
        <f>N31/M31</f>
        <v>86.419753086420059</v>
      </c>
      <c r="P31" s="97">
        <f>M31-J31</f>
        <v>0</v>
      </c>
      <c r="Q31" s="98">
        <f>O31-L31</f>
        <v>-4.5802469135799413</v>
      </c>
      <c r="R31" s="99">
        <f>O31/L31</f>
        <v>0.94966761633428631</v>
      </c>
      <c r="S31" s="796"/>
      <c r="T31" s="19">
        <v>0.52013888888888904</v>
      </c>
      <c r="U31" s="19">
        <v>0.53888888888888897</v>
      </c>
      <c r="V31" s="92"/>
      <c r="W31" s="149">
        <f t="shared" si="21"/>
        <v>26.999999999999904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6"/>
        <v>-82.444444444438886</v>
      </c>
      <c r="AG31" s="99">
        <f t="shared" si="27"/>
        <v>0.94966761633428642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>
        <v>0.55555555555555602</v>
      </c>
      <c r="U32" s="19">
        <v>0.67222222222222205</v>
      </c>
      <c r="V32" s="92"/>
      <c r="W32" s="149">
        <f t="shared" si="21"/>
        <v>167.99999999999909</v>
      </c>
      <c r="X32" s="174"/>
      <c r="Y32" s="301"/>
      <c r="Z32" s="335"/>
      <c r="AA32" s="335"/>
      <c r="AB32" s="789"/>
      <c r="AC32" s="789"/>
      <c r="AD32" s="92"/>
      <c r="AE32" s="92"/>
      <c r="AF32" s="312">
        <f>N32-K32</f>
        <v>0</v>
      </c>
      <c r="AG32" s="99" t="e">
        <f>N32/K32</f>
        <v>#DIV/0!</v>
      </c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21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21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21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21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8">AVERAGE(J27:J36)</f>
        <v>17.399999999999999</v>
      </c>
      <c r="K37" s="155">
        <f t="shared" si="28"/>
        <v>1636.6</v>
      </c>
      <c r="L37" s="158">
        <f t="shared" si="28"/>
        <v>94.264379084967317</v>
      </c>
      <c r="M37" s="155">
        <f t="shared" si="28"/>
        <v>17.2</v>
      </c>
      <c r="N37" s="155">
        <f t="shared" si="28"/>
        <v>1454.2636204919722</v>
      </c>
      <c r="O37" s="158">
        <f t="shared" si="28"/>
        <v>84.626981791409207</v>
      </c>
      <c r="P37" s="159">
        <f>M37-J37</f>
        <v>-0.19999999999999929</v>
      </c>
      <c r="Q37" s="160">
        <f>N37-K37</f>
        <v>-182.33637950802768</v>
      </c>
      <c r="R37" s="161">
        <f>O37/L37</f>
        <v>0.89776204556684958</v>
      </c>
      <c r="S37" s="797"/>
      <c r="T37" s="163"/>
      <c r="U37" s="163"/>
      <c r="V37" s="164"/>
      <c r="W37" s="164"/>
      <c r="X37" s="321"/>
      <c r="Y37" s="322"/>
      <c r="Z37" s="334">
        <f>SUM(Z27:Z36)</f>
        <v>1</v>
      </c>
      <c r="AA37" s="334">
        <f>SUM(AA27:AA36)</f>
        <v>12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-182.33637950802768</v>
      </c>
      <c r="AG37" s="124">
        <f>N37/K37</f>
        <v>0.8885883053232142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2347</v>
      </c>
      <c r="H38" s="134">
        <f>F38*G38</f>
        <v>117138.76999999999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1341.1428571428507</v>
      </c>
      <c r="O38" s="141">
        <f>N38/M38</f>
        <v>89.409523809523378</v>
      </c>
      <c r="P38" s="142">
        <f>M38-J38</f>
        <v>-1</v>
      </c>
      <c r="Q38" s="143">
        <f>O38-L38</f>
        <v>-17.715476190476622</v>
      </c>
      <c r="R38" s="144">
        <f>O38/L38</f>
        <v>0.83462799355447725</v>
      </c>
      <c r="S38" s="817">
        <f>R48</f>
        <v>0.93190745616798309</v>
      </c>
      <c r="T38" s="191">
        <v>0.33333333333333298</v>
      </c>
      <c r="U38" s="191">
        <v>0.40625</v>
      </c>
      <c r="V38" s="192"/>
      <c r="W38" s="193">
        <f t="shared" si="21"/>
        <v>105.00000000000051</v>
      </c>
      <c r="X38" s="194"/>
      <c r="Y38" s="302"/>
      <c r="Z38" s="336">
        <v>1</v>
      </c>
      <c r="AA38" s="336">
        <v>12</v>
      </c>
      <c r="AB38" s="788" t="s">
        <v>160</v>
      </c>
      <c r="AC38" s="788"/>
      <c r="AD38" s="192"/>
      <c r="AE38" s="192"/>
      <c r="AF38" s="313">
        <f>N38-K38</f>
        <v>-372.85714285714926</v>
      </c>
      <c r="AG38" s="195">
        <f>N38/K38</f>
        <v>0.78246374395732243</v>
      </c>
      <c r="AH38" s="807">
        <f>AG48</f>
        <v>0.91815547082009297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2481</v>
      </c>
      <c r="H39" s="91">
        <f>F39*G39</f>
        <v>109908.29999999999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1618.043478260867</v>
      </c>
      <c r="O39" s="203">
        <f>N39/M39</f>
        <v>89.891304347825951</v>
      </c>
      <c r="P39" s="97">
        <f>M39-J39</f>
        <v>0</v>
      </c>
      <c r="Q39" s="98">
        <f>O39-L39</f>
        <v>-0.9975845410629347</v>
      </c>
      <c r="R39" s="99">
        <f>O39/L39</f>
        <v>0.98902413096630026</v>
      </c>
      <c r="S39" s="818"/>
      <c r="T39" s="20">
        <v>0.41666666666666702</v>
      </c>
      <c r="U39" s="20">
        <v>0.48055555555555601</v>
      </c>
      <c r="V39" s="92">
        <f>(T39-U38)*24*60</f>
        <v>15.000000000000506</v>
      </c>
      <c r="W39" s="205">
        <f t="shared" si="21"/>
        <v>92.000000000000156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-17.956521739132995</v>
      </c>
      <c r="AG39" s="206">
        <f>N39/K39</f>
        <v>0.98902413096630015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f>2435+128</f>
        <v>2563</v>
      </c>
      <c r="H40" s="91">
        <f>F40*G40</f>
        <v>113540.9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1618.7368421052661</v>
      </c>
      <c r="O40" s="203">
        <f>N40/M40</f>
        <v>89.929824561403677</v>
      </c>
      <c r="P40" s="97">
        <f>M40-J40</f>
        <v>0</v>
      </c>
      <c r="Q40" s="98">
        <f>O40-L40</f>
        <v>-0.95906432748520842</v>
      </c>
      <c r="R40" s="99">
        <f>O40/L40</f>
        <v>0.98944794749710652</v>
      </c>
      <c r="S40" s="749"/>
      <c r="T40" s="20">
        <v>0.54513888888888895</v>
      </c>
      <c r="U40" s="20">
        <v>0.61111111111111105</v>
      </c>
      <c r="V40" s="92">
        <f>(T40-U39)*24*60</f>
        <v>92.999999999999432</v>
      </c>
      <c r="W40" s="205">
        <f t="shared" si="21"/>
        <v>94.999999999999829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-17.263157894733922</v>
      </c>
      <c r="AG40" s="206">
        <f>N40/K40</f>
        <v>0.98944794749710641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21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21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si="21"/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1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1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1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1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9">AVERAGE(J38:J47)</f>
        <v>17.333333333333332</v>
      </c>
      <c r="K48" s="155">
        <f t="shared" si="29"/>
        <v>1662</v>
      </c>
      <c r="L48" s="158">
        <f t="shared" si="29"/>
        <v>96.300925925925924</v>
      </c>
      <c r="M48" s="155">
        <f t="shared" si="29"/>
        <v>17</v>
      </c>
      <c r="N48" s="155">
        <f t="shared" si="29"/>
        <v>1525.9743925029945</v>
      </c>
      <c r="O48" s="158">
        <f t="shared" si="29"/>
        <v>89.743550906251002</v>
      </c>
      <c r="P48" s="221">
        <f>M48-J48</f>
        <v>-0.33333333333333215</v>
      </c>
      <c r="Q48" s="222">
        <f>N48-K48</f>
        <v>-136.02560749700547</v>
      </c>
      <c r="R48" s="223">
        <f t="shared" ref="R48:R53" si="30">O48/L48</f>
        <v>0.93190745616798309</v>
      </c>
      <c r="S48" s="752"/>
      <c r="T48" s="224"/>
      <c r="U48" s="224"/>
      <c r="V48" s="225"/>
      <c r="W48" s="226">
        <f t="shared" si="21"/>
        <v>0</v>
      </c>
      <c r="X48" s="227"/>
      <c r="Y48" s="303"/>
      <c r="Z48" s="334">
        <f>SUM(Z38:Z47)</f>
        <v>1</v>
      </c>
      <c r="AA48" s="334">
        <f>SUM(AA38:AA47)</f>
        <v>12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2" si="31">N48-K48</f>
        <v>-136.02560749700547</v>
      </c>
      <c r="AG48" s="162">
        <f t="shared" ref="AG48:AG52" si="32">N48/K48</f>
        <v>0.91815547082009297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f>1711+373</f>
        <v>2084</v>
      </c>
      <c r="H49" s="134">
        <f>F49*G49</f>
        <v>103199.68000000001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1563.0000000000164</v>
      </c>
      <c r="O49" s="141">
        <f>N49/M49</f>
        <v>91.941176470589198</v>
      </c>
      <c r="P49" s="229">
        <f>M49-J49</f>
        <v>0</v>
      </c>
      <c r="Q49" s="230">
        <f>O49-L49</f>
        <v>-13.941176470587266</v>
      </c>
      <c r="R49" s="52">
        <f t="shared" si="30"/>
        <v>0.86833333333334251</v>
      </c>
      <c r="S49" s="748">
        <f>R58</f>
        <v>0.83067686313162392</v>
      </c>
      <c r="T49" s="191">
        <v>0.29166666666666702</v>
      </c>
      <c r="U49" s="191">
        <v>0.34722222222222199</v>
      </c>
      <c r="V49" s="55"/>
      <c r="W49" s="193">
        <f t="shared" si="21"/>
        <v>79.999999999999162</v>
      </c>
      <c r="X49" s="55"/>
      <c r="Y49" s="290"/>
      <c r="Z49" s="169"/>
      <c r="AA49" s="169"/>
      <c r="AB49" s="788" t="s">
        <v>160</v>
      </c>
      <c r="AC49" s="788"/>
      <c r="AD49" s="135"/>
      <c r="AE49" s="135"/>
      <c r="AF49" s="229">
        <f t="shared" si="31"/>
        <v>-236.99999999998363</v>
      </c>
      <c r="AG49" s="52">
        <f t="shared" si="32"/>
        <v>0.86833333333334239</v>
      </c>
      <c r="AH49" s="784">
        <f>AG58</f>
        <v>0.83105993248846588</v>
      </c>
    </row>
    <row r="50" spans="1:34" ht="15" customHeight="1">
      <c r="A50" s="812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2238</v>
      </c>
      <c r="H50" s="231">
        <f>F50*G50</f>
        <v>111832.86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1475.6043956044059</v>
      </c>
      <c r="O50" s="235">
        <f>N50/M50</f>
        <v>92.225274725275369</v>
      </c>
      <c r="P50" s="74">
        <f>M50-J50</f>
        <v>0</v>
      </c>
      <c r="Q50" s="83">
        <f>O50-L50</f>
        <v>-20.274725274724631</v>
      </c>
      <c r="R50" s="72">
        <f t="shared" si="30"/>
        <v>0.81978021978022553</v>
      </c>
      <c r="S50" s="749"/>
      <c r="T50" s="21">
        <v>0.38124999999999998</v>
      </c>
      <c r="U50" s="19">
        <v>0.44444444444444398</v>
      </c>
      <c r="V50" s="30">
        <f>(T50-U49)*24*60</f>
        <v>49.000000000000306</v>
      </c>
      <c r="W50" s="236">
        <f t="shared" si="21"/>
        <v>90.999999999999361</v>
      </c>
      <c r="X50" s="22"/>
      <c r="Y50" s="84"/>
      <c r="Z50" s="90"/>
      <c r="AA50" s="90"/>
      <c r="AB50" s="867"/>
      <c r="AC50" s="868"/>
      <c r="AD50" s="92"/>
      <c r="AE50" s="92"/>
      <c r="AF50" s="307">
        <f t="shared" si="31"/>
        <v>-324.39560439559409</v>
      </c>
      <c r="AG50" s="72">
        <f t="shared" si="32"/>
        <v>0.81978021978022553</v>
      </c>
      <c r="AH50" s="785"/>
    </row>
    <row r="51" spans="1:34" ht="15" customHeight="1">
      <c r="A51" s="812"/>
      <c r="B51" s="75" t="s">
        <v>81</v>
      </c>
      <c r="C51" s="86"/>
      <c r="D51" s="59" t="s">
        <v>128</v>
      </c>
      <c r="E51" s="87"/>
      <c r="F51" s="75">
        <f>VLOOKUP(D51,廠價表!$C$1:$E$43,3,0)</f>
        <v>50.289000000000001</v>
      </c>
      <c r="G51" s="202">
        <v>832</v>
      </c>
      <c r="H51" s="231">
        <f>F51*G51</f>
        <v>41840.448000000004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1386.6666666666656</v>
      </c>
      <c r="O51" s="235">
        <f>N51/M51</f>
        <v>81.56862745098033</v>
      </c>
      <c r="P51" s="74">
        <f>M51-J51</f>
        <v>0</v>
      </c>
      <c r="Q51" s="83">
        <f>O51-L51</f>
        <v>-14.666666666666728</v>
      </c>
      <c r="R51" s="72">
        <f t="shared" si="30"/>
        <v>0.84759576202118925</v>
      </c>
      <c r="S51" s="749"/>
      <c r="T51" s="21">
        <v>0.452777777777778</v>
      </c>
      <c r="U51" s="21">
        <v>0.47777777777777802</v>
      </c>
      <c r="V51" s="30">
        <f>(T51-U50)*24*60</f>
        <v>12.000000000000997</v>
      </c>
      <c r="W51" s="236">
        <f t="shared" si="21"/>
        <v>36.000000000000028</v>
      </c>
      <c r="X51" s="22"/>
      <c r="Y51" s="84"/>
      <c r="Z51" s="90"/>
      <c r="AA51" s="90"/>
      <c r="AB51" s="867"/>
      <c r="AC51" s="868"/>
      <c r="AD51" s="92"/>
      <c r="AE51" s="92"/>
      <c r="AF51" s="307">
        <f t="shared" si="31"/>
        <v>-249.33333333333439</v>
      </c>
      <c r="AG51" s="72">
        <f t="shared" si="32"/>
        <v>0.84759576202118925</v>
      </c>
      <c r="AH51" s="785"/>
    </row>
    <row r="52" spans="1:34" ht="15" customHeight="1">
      <c r="A52" s="812"/>
      <c r="B52" s="101" t="s">
        <v>81</v>
      </c>
      <c r="C52" s="102"/>
      <c r="D52" s="103" t="s">
        <v>128</v>
      </c>
      <c r="E52" s="104"/>
      <c r="F52" s="75">
        <f>VLOOKUP(D52,廠價表!$C$1:$E$43,3,0)</f>
        <v>50.289000000000001</v>
      </c>
      <c r="G52" s="202">
        <v>1210</v>
      </c>
      <c r="H52" s="231">
        <f>F52*G52</f>
        <v>60849.69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>K52/J52</f>
        <v>96.235294117647058</v>
      </c>
      <c r="M52" s="108">
        <v>17</v>
      </c>
      <c r="N52" s="234">
        <f>G52/W52*60</f>
        <v>1319.9999999999816</v>
      </c>
      <c r="O52" s="235">
        <f>N52/M52</f>
        <v>77.647058823528326</v>
      </c>
      <c r="P52" s="74">
        <f>M52-J52</f>
        <v>0</v>
      </c>
      <c r="Q52" s="83">
        <f>O52-L52</f>
        <v>-18.588235294118732</v>
      </c>
      <c r="R52" s="72">
        <f t="shared" si="30"/>
        <v>0.80684596577015988</v>
      </c>
      <c r="S52" s="749"/>
      <c r="T52" s="21">
        <v>0.53819444444444398</v>
      </c>
      <c r="U52" s="21">
        <v>0.57638888888888895</v>
      </c>
      <c r="V52" s="30">
        <f>(T52-U51)*24*60</f>
        <v>86.999999999998977</v>
      </c>
      <c r="W52" s="236">
        <f t="shared" si="21"/>
        <v>55.000000000000767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1"/>
        <v>-316.00000000001842</v>
      </c>
      <c r="AG52" s="72">
        <f t="shared" si="32"/>
        <v>0.80684596577015988</v>
      </c>
      <c r="AH52" s="785"/>
    </row>
    <row r="53" spans="1:34" ht="15" customHeight="1">
      <c r="A53" s="812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2899</v>
      </c>
      <c r="H53" s="231">
        <f>F53*G53</f>
        <v>144863.03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>K53/J53</f>
        <v>112.5</v>
      </c>
      <c r="M53" s="108">
        <v>16</v>
      </c>
      <c r="N53" s="234">
        <f>G53/W53*60</f>
        <v>1461.6806722689068</v>
      </c>
      <c r="O53" s="235">
        <f>N53/M53</f>
        <v>91.355042016806678</v>
      </c>
      <c r="P53" s="74">
        <f>M53-J53</f>
        <v>0</v>
      </c>
      <c r="Q53" s="83">
        <f>O53-L53</f>
        <v>-21.144957983193322</v>
      </c>
      <c r="R53" s="72">
        <f t="shared" si="30"/>
        <v>0.81204481792717043</v>
      </c>
      <c r="S53" s="749"/>
      <c r="T53" s="21">
        <v>0.58263888888888904</v>
      </c>
      <c r="U53" s="21">
        <v>0.66527777777777797</v>
      </c>
      <c r="V53" s="30">
        <f>(T53-U52)*24*60</f>
        <v>9.0000000000001279</v>
      </c>
      <c r="W53" s="236">
        <f t="shared" si="21"/>
        <v>119.00000000000006</v>
      </c>
      <c r="X53" s="30"/>
      <c r="Y53" s="151"/>
      <c r="Z53" s="90"/>
      <c r="AA53" s="90"/>
      <c r="AB53" s="789"/>
      <c r="AC53" s="789"/>
      <c r="AD53" s="92"/>
      <c r="AE53" s="92"/>
      <c r="AF53" s="307">
        <f>N53-K53</f>
        <v>-338.31932773109315</v>
      </c>
      <c r="AG53" s="72">
        <f>N53/K53</f>
        <v>0.81204481792717043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231"/>
      <c r="I54" s="232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21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231"/>
      <c r="I55" s="232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21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21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21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3">AVERAGE(J49:J57)</f>
        <v>16.600000000000001</v>
      </c>
      <c r="K58" s="120">
        <f t="shared" si="33"/>
        <v>1734.4</v>
      </c>
      <c r="L58" s="117">
        <f t="shared" si="33"/>
        <v>104.67058823529412</v>
      </c>
      <c r="M58" s="120">
        <f t="shared" si="33"/>
        <v>16.600000000000001</v>
      </c>
      <c r="N58" s="120">
        <f t="shared" si="33"/>
        <v>1441.3903469079953</v>
      </c>
      <c r="O58" s="117">
        <f t="shared" si="33"/>
        <v>86.94743589743598</v>
      </c>
      <c r="P58" s="121">
        <f>M58-J58</f>
        <v>0</v>
      </c>
      <c r="Q58" s="122">
        <f>N58-K58</f>
        <v>-293.00965309200478</v>
      </c>
      <c r="R58" s="123">
        <f t="shared" ref="R58:R63" si="34">O58/L58</f>
        <v>0.83067686313162392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 t="shared" ref="AF58:AF62" si="35">N58-K58</f>
        <v>-293.00965309200478</v>
      </c>
      <c r="AG58" s="124">
        <f t="shared" ref="AG58:AG62" si="36">N58/K58</f>
        <v>0.83105993248846588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3053</v>
      </c>
      <c r="H59" s="243">
        <f>F59*G59</f>
        <v>82400.47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1526.5000000000066</v>
      </c>
      <c r="O59" s="138">
        <f>N59/M59</f>
        <v>101.76666666666711</v>
      </c>
      <c r="P59" s="56">
        <f>M59-J59</f>
        <v>0</v>
      </c>
      <c r="Q59" s="230">
        <f>O59-L59</f>
        <v>-7.2999999999995566</v>
      </c>
      <c r="R59" s="52">
        <f t="shared" si="34"/>
        <v>0.9330684596577058</v>
      </c>
      <c r="S59" s="748">
        <f>R69</f>
        <v>0.92791185484835537</v>
      </c>
      <c r="T59" s="245">
        <v>0.29166666666666702</v>
      </c>
      <c r="U59" s="245">
        <v>0.375</v>
      </c>
      <c r="V59" s="55"/>
      <c r="W59" s="54">
        <f t="shared" si="21"/>
        <v>119.99999999999949</v>
      </c>
      <c r="X59" s="55"/>
      <c r="Y59" s="290"/>
      <c r="Z59" s="169">
        <v>1</v>
      </c>
      <c r="AA59" s="169">
        <v>10</v>
      </c>
      <c r="AB59" s="791" t="s">
        <v>163</v>
      </c>
      <c r="AC59" s="791"/>
      <c r="AD59" s="135"/>
      <c r="AE59" s="135"/>
      <c r="AF59" s="310">
        <f t="shared" si="35"/>
        <v>-109.49999999999341</v>
      </c>
      <c r="AG59" s="246">
        <f t="shared" si="36"/>
        <v>0.9330684596577058</v>
      </c>
      <c r="AH59" s="784">
        <f>AG69</f>
        <v>0.92818687377152098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1245</v>
      </c>
      <c r="H60" s="78">
        <f>F60*G60</f>
        <v>35183.700000000004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1494.0000000000102</v>
      </c>
      <c r="O60" s="81">
        <f>N60/M60</f>
        <v>135.81818181818275</v>
      </c>
      <c r="P60" s="74">
        <f>M60-J60</f>
        <v>0</v>
      </c>
      <c r="Q60" s="83">
        <f>O60-L60</f>
        <v>-12.909090909089969</v>
      </c>
      <c r="R60" s="72">
        <f t="shared" si="34"/>
        <v>0.91320293398533636</v>
      </c>
      <c r="S60" s="829"/>
      <c r="T60" s="22">
        <v>0.38541666666666702</v>
      </c>
      <c r="U60" s="22">
        <v>0.42013888888888901</v>
      </c>
      <c r="V60" s="30">
        <f>(T60-U59)*24*60</f>
        <v>15.000000000000506</v>
      </c>
      <c r="W60" s="248">
        <f t="shared" si="21"/>
        <v>49.999999999999659</v>
      </c>
      <c r="X60" s="232"/>
      <c r="Y60" s="177"/>
      <c r="Z60" s="90"/>
      <c r="AA60" s="90"/>
      <c r="AB60" s="789"/>
      <c r="AC60" s="789"/>
      <c r="AD60" s="92"/>
      <c r="AE60" s="92"/>
      <c r="AF60" s="316">
        <f t="shared" si="35"/>
        <v>-141.99999999998977</v>
      </c>
      <c r="AG60" s="249">
        <f t="shared" si="36"/>
        <v>0.91320293398533636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1071</v>
      </c>
      <c r="H61" s="254">
        <f>F61*G61</f>
        <v>30266.460000000003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1606.5000000000475</v>
      </c>
      <c r="O61" s="238">
        <f>N61/M61</f>
        <v>146.04545454545885</v>
      </c>
      <c r="P61" s="111">
        <f>M61-J61</f>
        <v>0</v>
      </c>
      <c r="Q61" s="255">
        <f>O61-L61</f>
        <v>-2.6818181818138669</v>
      </c>
      <c r="R61" s="85">
        <f t="shared" si="34"/>
        <v>0.98196821515895316</v>
      </c>
      <c r="S61" s="749"/>
      <c r="T61" s="22">
        <v>0.43055555555555602</v>
      </c>
      <c r="U61" s="22">
        <v>0.45833333333333298</v>
      </c>
      <c r="V61" s="30">
        <f>(T61-U60)*24*60</f>
        <v>15.000000000000506</v>
      </c>
      <c r="W61" s="256">
        <f t="shared" si="21"/>
        <v>39.99999999999882</v>
      </c>
      <c r="X61" s="22"/>
      <c r="Y61" s="84"/>
      <c r="Z61" s="90"/>
      <c r="AA61" s="90"/>
      <c r="AB61" s="789"/>
      <c r="AC61" s="789"/>
      <c r="AD61" s="92"/>
      <c r="AE61" s="92"/>
      <c r="AF61" s="317">
        <f t="shared" si="35"/>
        <v>-29.499999999952479</v>
      </c>
      <c r="AG61" s="247">
        <f t="shared" si="36"/>
        <v>0.98196821515895327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1033</v>
      </c>
      <c r="H62" s="254">
        <f>F62*G62</f>
        <v>29192.58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1377.3333333333333</v>
      </c>
      <c r="O62" s="238">
        <f>N62/M62</f>
        <v>125.2121212121212</v>
      </c>
      <c r="P62" s="111">
        <f>M62-J62</f>
        <v>0</v>
      </c>
      <c r="Q62" s="255">
        <f>O62-L62</f>
        <v>-23.515151515151516</v>
      </c>
      <c r="R62" s="85">
        <f t="shared" si="34"/>
        <v>0.84189079054604721</v>
      </c>
      <c r="S62" s="749"/>
      <c r="T62" s="22">
        <v>0.46527777777777801</v>
      </c>
      <c r="U62" s="22">
        <v>0.49652777777777801</v>
      </c>
      <c r="V62" s="30">
        <f>(T62-U61)*24*60</f>
        <v>10.000000000000844</v>
      </c>
      <c r="W62" s="248">
        <f t="shared" si="21"/>
        <v>45</v>
      </c>
      <c r="X62" s="22"/>
      <c r="Y62" s="84"/>
      <c r="Z62" s="90"/>
      <c r="AA62" s="90"/>
      <c r="AB62" s="789"/>
      <c r="AC62" s="789"/>
      <c r="AD62" s="92"/>
      <c r="AE62" s="92"/>
      <c r="AF62" s="317">
        <f t="shared" si="35"/>
        <v>-258.66666666666674</v>
      </c>
      <c r="AG62" s="247">
        <f t="shared" si="36"/>
        <v>0.84189079054604721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2250</v>
      </c>
      <c r="H63" s="254">
        <f>F63*G63</f>
        <v>63585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>K63/J63</f>
        <v>148.72727272727272</v>
      </c>
      <c r="M63" s="68">
        <v>11</v>
      </c>
      <c r="N63" s="107">
        <f>G63/W63*60</f>
        <v>1588.2352941176439</v>
      </c>
      <c r="O63" s="238">
        <f>N63/M63</f>
        <v>144.38502673796762</v>
      </c>
      <c r="P63" s="111">
        <f>M63-J63</f>
        <v>0</v>
      </c>
      <c r="Q63" s="255">
        <f>O63-L63</f>
        <v>-4.3422459893050984</v>
      </c>
      <c r="R63" s="85">
        <f t="shared" si="34"/>
        <v>0.97080396950956227</v>
      </c>
      <c r="S63" s="749"/>
      <c r="T63" s="22">
        <v>0.54861111111111105</v>
      </c>
      <c r="U63" s="22">
        <v>0.60763888888888895</v>
      </c>
      <c r="V63" s="30">
        <f>(T63-U62)*24*60</f>
        <v>74.999999999999574</v>
      </c>
      <c r="W63" s="248">
        <f t="shared" si="21"/>
        <v>85.000000000000171</v>
      </c>
      <c r="X63" s="261"/>
      <c r="Y63" s="291"/>
      <c r="Z63" s="335"/>
      <c r="AA63" s="335"/>
      <c r="AB63" s="789"/>
      <c r="AC63" s="789"/>
      <c r="AD63" s="92"/>
      <c r="AE63" s="92"/>
      <c r="AF63" s="317">
        <f>N63-K63</f>
        <v>-47.764705882356111</v>
      </c>
      <c r="AG63" s="247">
        <f>N63/K63</f>
        <v>0.97080396950956227</v>
      </c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21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21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21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21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21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411"/>
      <c r="G69" s="412"/>
      <c r="H69" s="413"/>
      <c r="I69" s="414"/>
      <c r="J69" s="415">
        <f t="shared" ref="J69:O69" si="37">AVERAGE(J59:J68)</f>
        <v>11.8</v>
      </c>
      <c r="K69" s="415">
        <f t="shared" si="37"/>
        <v>1636</v>
      </c>
      <c r="L69" s="416">
        <f t="shared" si="37"/>
        <v>140.79515151515153</v>
      </c>
      <c r="M69" s="415">
        <f t="shared" si="37"/>
        <v>11.8</v>
      </c>
      <c r="N69" s="415">
        <f t="shared" si="37"/>
        <v>1518.5137254902083</v>
      </c>
      <c r="O69" s="416">
        <f t="shared" si="37"/>
        <v>130.64549019607949</v>
      </c>
      <c r="P69" s="417">
        <f>M69-J69</f>
        <v>0</v>
      </c>
      <c r="Q69" s="418">
        <f>N69-K69</f>
        <v>-117.48627450979166</v>
      </c>
      <c r="R69" s="419">
        <f>O69/L69</f>
        <v>0.92791185484835537</v>
      </c>
      <c r="S69" s="752"/>
      <c r="T69" s="125"/>
      <c r="U69" s="125"/>
      <c r="V69" s="126"/>
      <c r="W69" s="242"/>
      <c r="X69" s="128"/>
      <c r="Y69" s="295"/>
      <c r="Z69" s="334">
        <f>SUM(Z59:Z68)</f>
        <v>1</v>
      </c>
      <c r="AA69" s="334">
        <f>SUM(AA59:AA68)</f>
        <v>10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-117.48627450979166</v>
      </c>
      <c r="AG69" s="124">
        <f>N69/K69</f>
        <v>0.92818687377152098</v>
      </c>
      <c r="AH69" s="787"/>
    </row>
    <row r="70" spans="1:36" ht="15" customHeight="1">
      <c r="A70" s="821" t="s">
        <v>55</v>
      </c>
      <c r="B70" s="75" t="s">
        <v>81</v>
      </c>
      <c r="C70" s="58"/>
      <c r="D70" s="259" t="s">
        <v>135</v>
      </c>
      <c r="E70" s="60"/>
      <c r="F70" s="401">
        <f>VLOOKUP(D70,廠價表!$C$1:$E$43,3,0)</f>
        <v>43.89</v>
      </c>
      <c r="G70" s="273">
        <v>581</v>
      </c>
      <c r="H70" s="403">
        <f t="shared" ref="H70:H71" si="38">F70*G70</f>
        <v>25500.09</v>
      </c>
      <c r="I70" s="92"/>
      <c r="J70" s="404">
        <f>VLOOKUP(D70,產線配置圖!$A$3:$C$40,2,0)</f>
        <v>14</v>
      </c>
      <c r="K70" s="405">
        <f>VLOOKUP(D70,產線配置圖!$A$3:$C$40,3,0)</f>
        <v>1565</v>
      </c>
      <c r="L70" s="406">
        <f t="shared" ref="L70:L71" si="39">K70/J70</f>
        <v>111.78571428571429</v>
      </c>
      <c r="M70" s="94">
        <v>9</v>
      </c>
      <c r="N70" s="405">
        <f t="shared" ref="N70:N71" si="40">G70/W70*60</f>
        <v>917.36842105262713</v>
      </c>
      <c r="O70" s="406">
        <f t="shared" ref="O70:O71" si="41">N70/M70</f>
        <v>101.92982456140301</v>
      </c>
      <c r="P70" s="408">
        <f t="shared" ref="P70:P71" si="42">M70-J70</f>
        <v>-5</v>
      </c>
      <c r="Q70" s="409">
        <f t="shared" ref="Q70:Q71" si="43">O70-L70</f>
        <v>-9.8558897243112824</v>
      </c>
      <c r="R70" s="410">
        <f t="shared" ref="R70:R71" si="44">O70/L70</f>
        <v>0.91183229639593744</v>
      </c>
      <c r="S70" s="817">
        <f>R79</f>
        <v>0.92922876354298545</v>
      </c>
      <c r="T70" s="22">
        <v>0.39374999999999999</v>
      </c>
      <c r="U70" s="22">
        <v>0.42013888888888901</v>
      </c>
      <c r="V70" s="55"/>
      <c r="W70" s="54">
        <f t="shared" si="21"/>
        <v>38.000000000000185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-647.63157894737287</v>
      </c>
      <c r="AG70" s="246">
        <f>N70/K70</f>
        <v>0.58617790482595977</v>
      </c>
      <c r="AH70" s="784">
        <f>AG79</f>
        <v>0.62033678445314699</v>
      </c>
    </row>
    <row r="71" spans="1:36" ht="15" customHeight="1">
      <c r="A71" s="822"/>
      <c r="B71" s="75" t="s">
        <v>81</v>
      </c>
      <c r="C71" s="86"/>
      <c r="D71" s="59" t="s">
        <v>142</v>
      </c>
      <c r="E71" s="87"/>
      <c r="F71" s="401">
        <f>VLOOKUP(D71,廠價表!$C$1:$E$43,3,0)</f>
        <v>43.89</v>
      </c>
      <c r="G71" s="202">
        <v>1673</v>
      </c>
      <c r="H71" s="403">
        <f t="shared" si="38"/>
        <v>73427.97</v>
      </c>
      <c r="I71" s="420"/>
      <c r="J71" s="404">
        <f>VLOOKUP(D71,產線配置圖!$A$3:$C$40,2,0)</f>
        <v>13</v>
      </c>
      <c r="K71" s="405">
        <f>VLOOKUP(D71,產線配置圖!$A$3:$C$40,3,0)</f>
        <v>1565</v>
      </c>
      <c r="L71" s="406">
        <f t="shared" si="39"/>
        <v>120.38461538461539</v>
      </c>
      <c r="M71" s="82">
        <v>9</v>
      </c>
      <c r="N71" s="405">
        <f t="shared" si="40"/>
        <v>1024.2857142857229</v>
      </c>
      <c r="O71" s="406">
        <f t="shared" si="41"/>
        <v>113.80952380952476</v>
      </c>
      <c r="P71" s="408">
        <f t="shared" si="42"/>
        <v>-4</v>
      </c>
      <c r="Q71" s="409">
        <f t="shared" si="43"/>
        <v>-6.5750915750906245</v>
      </c>
      <c r="R71" s="410">
        <f t="shared" si="44"/>
        <v>0.94538262589381594</v>
      </c>
      <c r="S71" s="818"/>
      <c r="T71" s="22">
        <v>0.43055555555555602</v>
      </c>
      <c r="U71" s="22">
        <v>0.49861111111111101</v>
      </c>
      <c r="V71" s="30">
        <f>(T71-U70)*24*60</f>
        <v>15.000000000000506</v>
      </c>
      <c r="W71" s="73">
        <f t="shared" si="21"/>
        <v>97.999999999999176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58"/>
      <c r="D72" s="259"/>
      <c r="E72" s="60"/>
      <c r="F72" s="401"/>
      <c r="G72" s="273"/>
      <c r="H72" s="403"/>
      <c r="I72" s="92"/>
      <c r="J72" s="404"/>
      <c r="K72" s="405"/>
      <c r="L72" s="406"/>
      <c r="M72" s="94"/>
      <c r="N72" s="405"/>
      <c r="O72" s="406"/>
      <c r="P72" s="408"/>
      <c r="Q72" s="409"/>
      <c r="R72" s="410"/>
      <c r="S72" s="749"/>
      <c r="T72" s="22"/>
      <c r="U72" s="22"/>
      <c r="V72" s="30"/>
      <c r="W72" s="73">
        <f t="shared" si="21"/>
        <v>0</v>
      </c>
      <c r="X72" s="272"/>
      <c r="Y72" s="288"/>
      <c r="Z72" s="90"/>
      <c r="AA72" s="90"/>
      <c r="AB72" s="789"/>
      <c r="AC72" s="789"/>
      <c r="AD72" s="92"/>
      <c r="AE72" s="92"/>
      <c r="AF72" s="311"/>
      <c r="AG72" s="99"/>
      <c r="AH72" s="805"/>
    </row>
    <row r="73" spans="1:36" ht="15" customHeight="1">
      <c r="A73" s="822"/>
      <c r="B73" s="75"/>
      <c r="C73" s="86"/>
      <c r="D73" s="59"/>
      <c r="E73" s="87"/>
      <c r="F73" s="401"/>
      <c r="G73" s="202"/>
      <c r="H73" s="403"/>
      <c r="I73" s="420"/>
      <c r="J73" s="404"/>
      <c r="K73" s="405"/>
      <c r="L73" s="406"/>
      <c r="M73" s="82"/>
      <c r="N73" s="405"/>
      <c r="O73" s="406"/>
      <c r="P73" s="408"/>
      <c r="Q73" s="409"/>
      <c r="R73" s="410"/>
      <c r="S73" s="749"/>
      <c r="T73" s="22"/>
      <c r="U73" s="22"/>
      <c r="V73" s="30"/>
      <c r="W73" s="73">
        <f t="shared" si="21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91"/>
      <c r="I74" s="420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2"/>
      <c r="U74" s="22"/>
      <c r="V74" s="30"/>
      <c r="W74" s="73">
        <f t="shared" si="21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231"/>
      <c r="I75" s="39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2"/>
      <c r="U75" s="22"/>
      <c r="V75" s="30"/>
      <c r="W75" s="256">
        <f t="shared" si="21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2"/>
      <c r="U76" s="22"/>
      <c r="V76" s="30"/>
      <c r="W76" s="248">
        <f t="shared" si="21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2"/>
      <c r="U77" s="22"/>
      <c r="V77" s="30"/>
      <c r="W77" s="73">
        <f t="shared" si="21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21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45">AVERAGE(J70:J78)</f>
        <v>13.5</v>
      </c>
      <c r="K79" s="240">
        <f t="shared" si="45"/>
        <v>1565</v>
      </c>
      <c r="L79" s="268">
        <f t="shared" si="45"/>
        <v>116.08516483516485</v>
      </c>
      <c r="M79" s="240">
        <f t="shared" si="45"/>
        <v>9</v>
      </c>
      <c r="N79" s="240">
        <f t="shared" si="45"/>
        <v>970.82706766917499</v>
      </c>
      <c r="O79" s="268">
        <f t="shared" si="45"/>
        <v>107.86967418546388</v>
      </c>
      <c r="P79" s="269">
        <f>M79-J79</f>
        <v>-4.5</v>
      </c>
      <c r="Q79" s="222">
        <f>N79-K79</f>
        <v>-594.17293233082501</v>
      </c>
      <c r="R79" s="223">
        <f>O79/L79</f>
        <v>0.92922876354298545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-594.17293233082501</v>
      </c>
      <c r="AG79" s="124">
        <f>N79/K79</f>
        <v>0.62033678445314699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D37:E37"/>
    <mergeCell ref="AB37:AC3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16:A26"/>
    <mergeCell ref="S16:S26"/>
    <mergeCell ref="AB16:AC16"/>
    <mergeCell ref="D26:E26"/>
    <mergeCell ref="AB26:AC26"/>
    <mergeCell ref="P3:P4"/>
    <mergeCell ref="Q3:Q4"/>
    <mergeCell ref="AB11:AC11"/>
    <mergeCell ref="AB12:AC12"/>
    <mergeCell ref="AB13:AC13"/>
    <mergeCell ref="AH5:AH15"/>
    <mergeCell ref="AB6:AC6"/>
    <mergeCell ref="AB7:AC7"/>
    <mergeCell ref="A5:A15"/>
    <mergeCell ref="S5:S15"/>
    <mergeCell ref="AB5:AC5"/>
    <mergeCell ref="D15:E15"/>
    <mergeCell ref="AB15:AC15"/>
    <mergeCell ref="AB8:AC8"/>
    <mergeCell ref="AB9:AC9"/>
    <mergeCell ref="AB10:AC10"/>
    <mergeCell ref="AB14:AC14"/>
    <mergeCell ref="G3:G4"/>
    <mergeCell ref="A2:B2"/>
    <mergeCell ref="A3:A4"/>
    <mergeCell ref="B3:B4"/>
    <mergeCell ref="D3:E4"/>
    <mergeCell ref="F3:F4"/>
    <mergeCell ref="H3:H4"/>
    <mergeCell ref="I3:I4"/>
    <mergeCell ref="W3:W4"/>
    <mergeCell ref="N3:N4"/>
    <mergeCell ref="O3:O4"/>
    <mergeCell ref="AF1:AH2"/>
    <mergeCell ref="J3:J4"/>
    <mergeCell ref="K3:K4"/>
    <mergeCell ref="L3:L4"/>
    <mergeCell ref="M3:M4"/>
    <mergeCell ref="AG3:AG4"/>
    <mergeCell ref="AH3:AH4"/>
    <mergeCell ref="S3:S4"/>
    <mergeCell ref="J1:L2"/>
    <mergeCell ref="M1:O2"/>
    <mergeCell ref="AD3:AE3"/>
    <mergeCell ref="AF3:AF4"/>
    <mergeCell ref="T3:U3"/>
    <mergeCell ref="V3:V4"/>
    <mergeCell ref="R3:R4"/>
    <mergeCell ref="P1:S2"/>
    <mergeCell ref="T1:Y2"/>
    <mergeCell ref="AB1:AC2"/>
    <mergeCell ref="X3:Y3"/>
    <mergeCell ref="Z3:AA3"/>
    <mergeCell ref="AB3:AC4"/>
  </mergeCells>
  <phoneticPr fontId="0" type="noConversion"/>
  <conditionalFormatting sqref="P5:P79">
    <cfRule type="cellIs" dxfId="188" priority="1" operator="greaterThan">
      <formula>0</formula>
    </cfRule>
  </conditionalFormatting>
  <conditionalFormatting sqref="Q5:Q79 AF5:AF79">
    <cfRule type="cellIs" dxfId="187" priority="4" operator="lessThan">
      <formula>0</formula>
    </cfRule>
  </conditionalFormatting>
  <conditionalFormatting sqref="R5:R79 AG5:AG79">
    <cfRule type="cellIs" dxfId="186" priority="2" operator="greaterThan">
      <formula>1</formula>
    </cfRule>
    <cfRule type="cellIs" dxfId="185" priority="3" operator="lessThan">
      <formula>0.8</formula>
    </cfRule>
  </conditionalFormatting>
  <conditionalFormatting sqref="S5:S10 S37:S62 AH59:AH62 S69:S76 AH69:AH76">
    <cfRule type="cellIs" dxfId="184" priority="7" operator="lessThan">
      <formula>0.8</formula>
    </cfRule>
  </conditionalFormatting>
  <conditionalFormatting sqref="S19:S25 AH19:AH25">
    <cfRule type="cellIs" dxfId="183" priority="6" operator="lessThan">
      <formula>0.8</formula>
    </cfRule>
  </conditionalFormatting>
  <conditionalFormatting sqref="S79">
    <cfRule type="cellIs" dxfId="182" priority="5" operator="lessThan">
      <formula>0.8</formula>
    </cfRule>
  </conditionalFormatting>
  <conditionalFormatting sqref="AH5:AH8 S15:S16 AH15:AH16 AH49 AH79">
    <cfRule type="cellIs" dxfId="181" priority="9" operator="lessThan">
      <formula>0.8</formula>
    </cfRule>
  </conditionalFormatting>
  <conditionalFormatting sqref="AH27 S27:S28">
    <cfRule type="cellIs" dxfId="1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088F69-FCA9-4529-84B4-3B78FDD44E2E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1EFA-8577-4BA2-862B-EDDDA1A549A7}">
  <dimension ref="B1:O26"/>
  <sheetViews>
    <sheetView topLeftCell="B2" zoomScale="70" zoomScaleNormal="70" workbookViewId="0">
      <selection activeCell="N24" sqref="N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DATE(2026,8,14)</f>
        <v>46248</v>
      </c>
      <c r="E3" s="706"/>
      <c r="F3" s="3" t="s">
        <v>72</v>
      </c>
      <c r="G3" s="707">
        <f>'0814'!E1</f>
        <v>43480</v>
      </c>
      <c r="H3" s="707"/>
      <c r="I3" s="3" t="s">
        <v>2</v>
      </c>
      <c r="J3" s="708">
        <f>'0814'!G1</f>
        <v>2002752.7200000002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125.45362075133083</v>
      </c>
      <c r="G6" s="713"/>
      <c r="H6" s="714">
        <f>AVERAGE(D13:H13)</f>
        <v>124.2590057817999</v>
      </c>
      <c r="I6" s="714"/>
      <c r="J6" s="714">
        <f>AVERAGE(I13:J13)</f>
        <v>128.44015817515819</v>
      </c>
      <c r="K6" s="714"/>
      <c r="L6" s="716">
        <f>'0814'!Z2</f>
        <v>2</v>
      </c>
      <c r="M6" s="717">
        <f>'0814'!AA2</f>
        <v>22</v>
      </c>
      <c r="N6" s="718">
        <f>'0814'!AD2</f>
        <v>0</v>
      </c>
      <c r="O6" s="717">
        <f>'0814'!AE2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110.49893958874081</v>
      </c>
      <c r="G7" s="737"/>
      <c r="H7" s="738">
        <f>AVERAGE(D14:H14)</f>
        <v>109.55228617522457</v>
      </c>
      <c r="I7" s="738"/>
      <c r="J7" s="738">
        <f>AVERAGE(I14:J14)</f>
        <v>112.8655731225314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0.88376014746453979</v>
      </c>
      <c r="G8" s="710"/>
      <c r="H8" s="710">
        <f>AVERAGE(D15:H15)</f>
        <v>0.88684406754866674</v>
      </c>
      <c r="I8" s="710"/>
      <c r="J8" s="710">
        <f>AVERAGE(I15:J15)</f>
        <v>0.87605034725422248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VALUE('0814'!L15)</f>
        <v>151.08597285067873</v>
      </c>
      <c r="E13" s="13">
        <f>VALUE('0814'!L26)</f>
        <v>170.19230769230771</v>
      </c>
      <c r="F13" s="13">
        <f>VALUE('0814'!L37)</f>
        <v>94.230392156862735</v>
      </c>
      <c r="G13" s="13">
        <f>VALUE('0814'!L48)</f>
        <v>99.006944444444443</v>
      </c>
      <c r="H13" s="13">
        <f>VALUE('0814'!L58)</f>
        <v>106.77941176470588</v>
      </c>
      <c r="I13" s="13">
        <f>VALUE('0814'!L69)</f>
        <v>140.79515151515153</v>
      </c>
      <c r="J13" s="13">
        <f>'0814'!L79</f>
        <v>116.08516483516485</v>
      </c>
    </row>
    <row r="14" spans="2:15" ht="39.950000000000003" customHeight="1">
      <c r="B14" s="731"/>
      <c r="C14" s="12" t="s">
        <v>100</v>
      </c>
      <c r="D14" s="13">
        <f>VALUE('0814'!O15)</f>
        <v>133.00395200234053</v>
      </c>
      <c r="E14" s="13">
        <f>VALUE('0814'!O26)</f>
        <v>143.82319240693701</v>
      </c>
      <c r="F14" s="13">
        <f>VALUE('0814'!O37)</f>
        <v>83.095314286153297</v>
      </c>
      <c r="G14" s="13">
        <f>VALUE('0814'!O48)</f>
        <v>92.322465170278207</v>
      </c>
      <c r="H14" s="13">
        <f>VALUE('0814'!O58)</f>
        <v>95.516507010413847</v>
      </c>
      <c r="I14" s="13">
        <f>VALUE('0814'!O69)</f>
        <v>127.28121212121334</v>
      </c>
      <c r="J14" s="13">
        <f>'0814'!O79</f>
        <v>98.449934123849474</v>
      </c>
    </row>
    <row r="15" spans="2:15" ht="39.950000000000003" customHeight="1">
      <c r="B15" s="732"/>
      <c r="C15" s="10" t="s">
        <v>26</v>
      </c>
      <c r="D15" s="14">
        <f t="shared" ref="D15:I15" si="0">D14/D13</f>
        <v>0.88031965835631198</v>
      </c>
      <c r="E15" s="14">
        <f t="shared" si="0"/>
        <v>0.84506282544188971</v>
      </c>
      <c r="F15" s="14">
        <f t="shared" si="0"/>
        <v>0.88183135381445532</v>
      </c>
      <c r="G15" s="14">
        <f t="shared" si="0"/>
        <v>0.93248474325033748</v>
      </c>
      <c r="H15" s="14">
        <f t="shared" si="0"/>
        <v>0.89452175688033897</v>
      </c>
      <c r="I15" s="14">
        <f t="shared" si="0"/>
        <v>0.9040170116050914</v>
      </c>
      <c r="J15" s="15">
        <f>'0814'!S70</f>
        <v>0.84808368290335356</v>
      </c>
    </row>
    <row r="16" spans="2:15" ht="17.25" customHeight="1">
      <c r="B16" s="733" t="s">
        <v>101</v>
      </c>
      <c r="C16" s="10" t="s">
        <v>34</v>
      </c>
      <c r="D16" s="16">
        <f>'0814'!T5</f>
        <v>0.29375000000000001</v>
      </c>
      <c r="E16" s="16">
        <f>'0814'!T16</f>
        <v>0.29166666666666702</v>
      </c>
      <c r="F16" s="16">
        <f>'0814'!T27</f>
        <v>0.29166666666666702</v>
      </c>
      <c r="G16" s="16">
        <f>'0814'!T38</f>
        <v>0.33333333333333298</v>
      </c>
      <c r="H16" s="16">
        <f>'0814'!T49</f>
        <v>0.29166666666666702</v>
      </c>
      <c r="I16" s="16">
        <f>'0814'!T59</f>
        <v>0.29166666666666702</v>
      </c>
      <c r="J16" s="17">
        <f>'0814'!T70</f>
        <v>0.30416666666666697</v>
      </c>
    </row>
    <row r="17" spans="2:10" ht="17.25" customHeight="1">
      <c r="B17" s="734"/>
      <c r="C17" s="10" t="s">
        <v>35</v>
      </c>
      <c r="D17" s="16">
        <v>0.55694444444444402</v>
      </c>
      <c r="E17" s="183">
        <v>0.47638888888888897</v>
      </c>
      <c r="F17" s="19">
        <v>0.56805555555555598</v>
      </c>
      <c r="G17" s="328">
        <v>0.47152777777777799</v>
      </c>
      <c r="H17" s="110">
        <v>0.57638888888888895</v>
      </c>
      <c r="I17" s="110">
        <v>0.57638888888888895</v>
      </c>
      <c r="J17" s="22">
        <v>0.390277777777778</v>
      </c>
    </row>
    <row r="18" spans="2:10" ht="17.25" customHeight="1">
      <c r="B18" s="735" t="s">
        <v>102</v>
      </c>
      <c r="C18" s="330" t="s">
        <v>36</v>
      </c>
      <c r="D18" s="386">
        <f>'0814'!Z15</f>
        <v>1</v>
      </c>
      <c r="E18" s="387">
        <f>'0814'!Z26</f>
        <v>1</v>
      </c>
      <c r="F18" s="387">
        <f>'0814'!Z37</f>
        <v>0</v>
      </c>
      <c r="G18" s="388">
        <f>'0814'!Z48</f>
        <v>0</v>
      </c>
      <c r="H18" s="388">
        <f>'0814'!Z58</f>
        <v>0</v>
      </c>
      <c r="I18" s="387">
        <f>'0814'!Z69</f>
        <v>0</v>
      </c>
      <c r="J18" s="387">
        <f>'0814'!AA79</f>
        <v>0</v>
      </c>
    </row>
    <row r="19" spans="2:10" ht="17.25" customHeight="1">
      <c r="B19" s="736"/>
      <c r="C19" s="330" t="s">
        <v>37</v>
      </c>
      <c r="D19" s="386">
        <f>'0814'!AA15</f>
        <v>11</v>
      </c>
      <c r="E19" s="387">
        <f>'0814'!AA26</f>
        <v>11</v>
      </c>
      <c r="F19" s="387">
        <f>'0814'!AA37</f>
        <v>0</v>
      </c>
      <c r="G19" s="388">
        <f>'0814'!AA48</f>
        <v>0</v>
      </c>
      <c r="H19" s="388">
        <f>'0814'!AA58</f>
        <v>0</v>
      </c>
      <c r="I19" s="387">
        <f>'0814'!AA69</f>
        <v>0</v>
      </c>
      <c r="J19" s="387">
        <f>'0814'!AB79</f>
        <v>0</v>
      </c>
    </row>
    <row r="20" spans="2:10" ht="17.25" customHeight="1">
      <c r="B20" s="735" t="s">
        <v>103</v>
      </c>
      <c r="C20" s="330" t="s">
        <v>36</v>
      </c>
      <c r="D20" s="386">
        <f>'0814'!AD15</f>
        <v>0</v>
      </c>
      <c r="E20" s="387">
        <f>'0814'!AD26</f>
        <v>0</v>
      </c>
      <c r="F20" s="387">
        <f>'0814'!AD37</f>
        <v>0</v>
      </c>
      <c r="G20" s="388">
        <f>'0814'!AD48</f>
        <v>0</v>
      </c>
      <c r="H20" s="388">
        <f>'0814'!AD58</f>
        <v>0</v>
      </c>
      <c r="I20" s="387">
        <f>'0814'!AD69</f>
        <v>0</v>
      </c>
      <c r="J20" s="387">
        <f>'0814'!AD79</f>
        <v>0</v>
      </c>
    </row>
    <row r="21" spans="2:10" ht="17.25" customHeight="1">
      <c r="B21" s="736"/>
      <c r="C21" s="330" t="s">
        <v>85</v>
      </c>
      <c r="D21" s="386">
        <f>'0814'!AE15</f>
        <v>0</v>
      </c>
      <c r="E21" s="387">
        <f>'0814'!AE26</f>
        <v>0</v>
      </c>
      <c r="F21" s="387">
        <f>'0814'!AE37</f>
        <v>0</v>
      </c>
      <c r="G21" s="388">
        <f>'0814'!AE48</f>
        <v>0</v>
      </c>
      <c r="H21" s="388">
        <f>'0814'!AE58</f>
        <v>0</v>
      </c>
      <c r="I21" s="387">
        <f>'0814'!AE69</f>
        <v>0</v>
      </c>
      <c r="J21" s="387">
        <f>'0814'!AE79</f>
        <v>0</v>
      </c>
    </row>
    <row r="22" spans="2:10" ht="17.25" customHeight="1">
      <c r="B22" s="719" t="s">
        <v>104</v>
      </c>
      <c r="C22" s="720"/>
      <c r="D22" s="23">
        <f>VALUE('0814'!M15)</f>
        <v>15</v>
      </c>
      <c r="E22" s="23">
        <f>VALUE('0814'!M26)</f>
        <v>13.333333333333334</v>
      </c>
      <c r="F22" s="23">
        <f>VALUE('0814'!M37)</f>
        <v>16.8</v>
      </c>
      <c r="G22" s="23">
        <f>VALUE('0814'!M48)</f>
        <v>16.5</v>
      </c>
      <c r="H22" s="23">
        <f>VALUE('0814'!M58)</f>
        <v>16.5</v>
      </c>
      <c r="I22" s="23">
        <f>VALUE('0814'!M69)</f>
        <v>11.8</v>
      </c>
      <c r="J22" s="23">
        <f>'0814'!M79</f>
        <v>9.5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EEF2-45F2-437B-BA0B-5ABCA889EBF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6" sqref="AB6:AC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43480</v>
      </c>
      <c r="F1" s="30" t="s">
        <v>2</v>
      </c>
      <c r="G1" s="31">
        <f>SUM(H5:H79)</f>
        <v>2002752.7200000002</v>
      </c>
      <c r="H1" s="32" t="s">
        <v>3</v>
      </c>
      <c r="I1" s="33">
        <f>M15+M26+M48+M58+M69+M79+M37</f>
        <v>99.433333333333337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164</v>
      </c>
      <c r="B2" s="739"/>
      <c r="C2" s="28"/>
      <c r="D2" s="28" t="s">
        <v>14</v>
      </c>
      <c r="E2" s="35">
        <f>AVERAGE(O15,O26,O37,O48,O58,O69,O79)</f>
        <v>110.49893958874081</v>
      </c>
      <c r="F2" s="36" t="s">
        <v>15</v>
      </c>
      <c r="G2" s="37">
        <f>G1/E1</f>
        <v>46.061470101195958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2</v>
      </c>
      <c r="AA2" s="339">
        <f>AA15+AA26+AA37+AA48+AA58+AA69+AA79</f>
        <v>22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926</v>
      </c>
      <c r="H5" s="43">
        <f>F5*G5</f>
        <v>52661.619999999995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1587.4285714285443</v>
      </c>
      <c r="O5" s="47">
        <f>N5/M5</f>
        <v>105.82857142856962</v>
      </c>
      <c r="P5" s="49">
        <f>M5-J5</f>
        <v>0</v>
      </c>
      <c r="Q5" s="50">
        <f>O5-L5</f>
        <v>-44.171428571430383</v>
      </c>
      <c r="R5" s="51">
        <f>O5/L5</f>
        <v>0.70552380952379745</v>
      </c>
      <c r="S5" s="748">
        <f>R15</f>
        <v>0.88031965835631198</v>
      </c>
      <c r="T5" s="319">
        <v>0.29375000000000001</v>
      </c>
      <c r="U5" s="320">
        <v>0.31805555555555598</v>
      </c>
      <c r="V5" s="53"/>
      <c r="W5" s="54">
        <f t="shared" ref="W5:W14" si="0">(U5-T5)*24*60</f>
        <v>35.000000000000597</v>
      </c>
      <c r="X5" s="55"/>
      <c r="Y5" s="290"/>
      <c r="Z5" s="169">
        <v>1</v>
      </c>
      <c r="AA5" s="169">
        <v>11</v>
      </c>
      <c r="AB5" s="791" t="s">
        <v>165</v>
      </c>
      <c r="AC5" s="791"/>
      <c r="AD5" s="135"/>
      <c r="AE5" s="135"/>
      <c r="AF5" s="229">
        <f t="shared" ref="AF5:AF11" si="1">N5-K5</f>
        <v>-662.57142857145573</v>
      </c>
      <c r="AG5" s="52">
        <f t="shared" ref="AG5:AG11" si="2">N5/K5</f>
        <v>0.70552380952379745</v>
      </c>
      <c r="AH5" s="784">
        <f>AG15</f>
        <v>0.88010074679196404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1047</v>
      </c>
      <c r="H6" s="63">
        <f>F6*G6</f>
        <v>53051.490000000005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1963.1250000000166</v>
      </c>
      <c r="O6" s="67">
        <f>N6/M6</f>
        <v>115.47794117647156</v>
      </c>
      <c r="P6" s="69">
        <f>M6-J6</f>
        <v>0</v>
      </c>
      <c r="Q6" s="70">
        <f>O6-L6</f>
        <v>-16.874999999999019</v>
      </c>
      <c r="R6" s="71">
        <f>O6/L6</f>
        <v>0.87250000000000738</v>
      </c>
      <c r="S6" s="749"/>
      <c r="T6" s="16">
        <v>0.33055555555555599</v>
      </c>
      <c r="U6" s="16">
        <v>0.35277777777777802</v>
      </c>
      <c r="V6" s="30">
        <f>(T6-U5)*24*60</f>
        <v>18.000000000000014</v>
      </c>
      <c r="W6" s="73">
        <f t="shared" si="0"/>
        <v>31.999999999999726</v>
      </c>
      <c r="X6" s="22"/>
      <c r="Y6" s="84"/>
      <c r="Z6" s="90"/>
      <c r="AA6" s="90"/>
      <c r="AB6" s="788" t="s">
        <v>166</v>
      </c>
      <c r="AC6" s="788"/>
      <c r="AD6" s="149"/>
      <c r="AE6" s="149"/>
      <c r="AF6" s="307">
        <f t="shared" si="1"/>
        <v>-286.8749999999834</v>
      </c>
      <c r="AG6" s="72">
        <f t="shared" si="2"/>
        <v>0.87250000000000738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1818</v>
      </c>
      <c r="H7" s="78">
        <f>F7*G7</f>
        <v>105753.06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1983.2727272727516</v>
      </c>
      <c r="O7" s="81">
        <f>N7/M7</f>
        <v>152.55944055944244</v>
      </c>
      <c r="P7" s="74">
        <f>M7-J7</f>
        <v>0</v>
      </c>
      <c r="Q7" s="83">
        <f>O7-L7</f>
        <v>-20.51748251748063</v>
      </c>
      <c r="R7" s="72">
        <f>O7/L7</f>
        <v>0.88145454545455637</v>
      </c>
      <c r="S7" s="749"/>
      <c r="T7" s="18">
        <v>0.359027777777778</v>
      </c>
      <c r="U7" s="18">
        <v>0.39722222222222198</v>
      </c>
      <c r="V7" s="30">
        <f>(T7-U6)*24*60</f>
        <v>8.999999999999968</v>
      </c>
      <c r="W7" s="73">
        <f t="shared" si="0"/>
        <v>54.999999999999325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-266.72727272724842</v>
      </c>
      <c r="AG7" s="72">
        <f t="shared" si="2"/>
        <v>0.88145454545455626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3735</v>
      </c>
      <c r="H8" s="78">
        <f>F8*G8</f>
        <v>183537.9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15</v>
      </c>
      <c r="N8" s="66">
        <f>G8/W8*60</f>
        <v>2175.7281553398002</v>
      </c>
      <c r="O8" s="67">
        <f>N8/M8</f>
        <v>145.04854368932001</v>
      </c>
      <c r="P8" s="69">
        <f>M8-J8</f>
        <v>0</v>
      </c>
      <c r="Q8" s="70">
        <f>O8-L8</f>
        <v>-4.9514563106799869</v>
      </c>
      <c r="R8" s="71">
        <f>O8/L8</f>
        <v>0.96699029126213343</v>
      </c>
      <c r="S8" s="749"/>
      <c r="T8" s="16">
        <v>0.40486111111111101</v>
      </c>
      <c r="U8" s="16">
        <v>0.47638888888888897</v>
      </c>
      <c r="V8" s="30">
        <f t="shared" ref="V8:V9" si="3">(T8-U7)*24*60</f>
        <v>11.000000000000201</v>
      </c>
      <c r="W8" s="73">
        <f t="shared" si="0"/>
        <v>103.00000000000027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-74.271844660199804</v>
      </c>
      <c r="AG8" s="72">
        <f t="shared" si="2"/>
        <v>0.96699029126213343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694</v>
      </c>
      <c r="H9" s="78">
        <f>F9*G9</f>
        <v>34103.160000000003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15</v>
      </c>
      <c r="N9" s="66">
        <f>G9/W9*60</f>
        <v>2191.578947368484</v>
      </c>
      <c r="O9" s="67">
        <f>N9/M9</f>
        <v>146.10526315789895</v>
      </c>
      <c r="P9" s="69">
        <f>M9-J9</f>
        <v>0</v>
      </c>
      <c r="Q9" s="70">
        <f>O9-L9</f>
        <v>-3.8947368421010538</v>
      </c>
      <c r="R9" s="71">
        <f>O9/L9</f>
        <v>0.97403508771932634</v>
      </c>
      <c r="S9" s="750"/>
      <c r="T9" s="16">
        <v>0.54374999999999996</v>
      </c>
      <c r="U9" s="16">
        <v>0.55694444444444402</v>
      </c>
      <c r="V9" s="30">
        <f t="shared" si="3"/>
        <v>96.999999999999815</v>
      </c>
      <c r="W9" s="73">
        <f t="shared" si="0"/>
        <v>18.999999999999453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-58.421052631515977</v>
      </c>
      <c r="AG9" s="72">
        <f t="shared" si="2"/>
        <v>0.97403508771932623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151.08597285067873</v>
      </c>
      <c r="M15" s="120">
        <f t="shared" si="4"/>
        <v>15</v>
      </c>
      <c r="N15" s="120">
        <f t="shared" si="4"/>
        <v>1980.226680281919</v>
      </c>
      <c r="O15" s="117">
        <f t="shared" si="4"/>
        <v>133.00395200234053</v>
      </c>
      <c r="P15" s="121">
        <f>M15-J15</f>
        <v>0</v>
      </c>
      <c r="Q15" s="122">
        <f>O15-L15</f>
        <v>-18.082020848338203</v>
      </c>
      <c r="R15" s="123">
        <f>O15/L15</f>
        <v>0.88031965835631198</v>
      </c>
      <c r="S15" s="752"/>
      <c r="T15" s="125"/>
      <c r="U15" s="125"/>
      <c r="V15" s="126"/>
      <c r="W15" s="127"/>
      <c r="X15" s="128"/>
      <c r="Y15" s="295"/>
      <c r="Z15" s="334">
        <f>SUM(Z5:Z14)</f>
        <v>1</v>
      </c>
      <c r="AA15" s="334">
        <f>SUM(AA5:AA14)</f>
        <v>11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-269.77331971808098</v>
      </c>
      <c r="AG15" s="124">
        <f>N15/K15</f>
        <v>0.88010074679196404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1250</v>
      </c>
      <c r="H16" s="134">
        <f>F16*G16</f>
        <v>71087.5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1530.6122448979947</v>
      </c>
      <c r="O16" s="141">
        <f>N16/M16</f>
        <v>102.04081632653298</v>
      </c>
      <c r="P16" s="142">
        <f>M16-J16</f>
        <v>0</v>
      </c>
      <c r="Q16" s="143">
        <f>O16-L16</f>
        <v>-47.959183673467024</v>
      </c>
      <c r="R16" s="144">
        <f>O16/L16</f>
        <v>0.68027210884355316</v>
      </c>
      <c r="S16" s="795">
        <f>R26</f>
        <v>0.84506282544188971</v>
      </c>
      <c r="T16" s="145">
        <v>0.29166666666666702</v>
      </c>
      <c r="U16" s="145">
        <v>0.32569444444444401</v>
      </c>
      <c r="V16" s="135"/>
      <c r="W16" s="146">
        <f t="shared" ref="W16:W78" si="5">(U16-T16)*24*60</f>
        <v>48.999999999998863</v>
      </c>
      <c r="X16" s="141"/>
      <c r="Y16" s="296"/>
      <c r="Z16" s="169">
        <v>1</v>
      </c>
      <c r="AA16" s="169">
        <v>11</v>
      </c>
      <c r="AB16" s="791" t="s">
        <v>165</v>
      </c>
      <c r="AC16" s="791"/>
      <c r="AD16" s="135"/>
      <c r="AE16" s="135"/>
      <c r="AF16" s="229">
        <f>N16-K16</f>
        <v>-719.38775510200526</v>
      </c>
      <c r="AG16" s="52">
        <f>N16/K16</f>
        <v>0.68027210884355327</v>
      </c>
      <c r="AH16" s="784">
        <f>AG26</f>
        <v>0.83619360387833841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2922</v>
      </c>
      <c r="H17" s="78">
        <f>F17*G17</f>
        <v>148057.74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2087.1428571428687</v>
      </c>
      <c r="O17" s="96">
        <f>N17/M17</f>
        <v>160.54945054945145</v>
      </c>
      <c r="P17" s="97">
        <f>M17-J17</f>
        <v>0</v>
      </c>
      <c r="Q17" s="98">
        <f>O17-L17</f>
        <v>-12.527472527471616</v>
      </c>
      <c r="R17" s="99">
        <f>O17/L17</f>
        <v>0.92761904761905289</v>
      </c>
      <c r="S17" s="796"/>
      <c r="T17" s="19">
        <v>0.33263888888888898</v>
      </c>
      <c r="U17" s="19">
        <v>0.390972222222222</v>
      </c>
      <c r="V17" s="30">
        <f>(T17-U16)*24*60</f>
        <v>10.000000000000764</v>
      </c>
      <c r="W17" s="149">
        <f t="shared" si="5"/>
        <v>83.999999999999545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-162.85714285713129</v>
      </c>
      <c r="AG17" s="72">
        <f>N17/K17</f>
        <v>0.92761904761905278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3918</v>
      </c>
      <c r="H18" s="78">
        <f>F18*G18</f>
        <v>197428.02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2026.5517241379202</v>
      </c>
      <c r="O18" s="96">
        <f>N18/M18</f>
        <v>168.87931034482668</v>
      </c>
      <c r="P18" s="97">
        <f>M18-J18</f>
        <v>0</v>
      </c>
      <c r="Q18" s="98">
        <f>O18-L18</f>
        <v>-18.620689655173322</v>
      </c>
      <c r="R18" s="99">
        <f>O18/L18</f>
        <v>0.90068965517240895</v>
      </c>
      <c r="S18" s="796"/>
      <c r="T18" s="19">
        <v>0.39583333333333298</v>
      </c>
      <c r="U18" s="19">
        <v>0.47638888888888897</v>
      </c>
      <c r="V18" s="30">
        <f>(T18-U17)*24*60</f>
        <v>6.9999999999998153</v>
      </c>
      <c r="W18" s="149">
        <f t="shared" si="5"/>
        <v>116.00000000000063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-223.44827586207975</v>
      </c>
      <c r="AG18" s="72">
        <f>N18/K18</f>
        <v>0.90068965517240895</v>
      </c>
      <c r="AH18" s="785"/>
    </row>
    <row r="19" spans="1:34" ht="15" customHeight="1">
      <c r="A19" s="80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96"/>
      <c r="T19" s="19"/>
      <c r="U19" s="19"/>
      <c r="V19" s="30"/>
      <c r="W19" s="149">
        <f t="shared" si="5"/>
        <v>0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0</v>
      </c>
      <c r="AG19" s="72" t="e">
        <f>N19/K19</f>
        <v>#DIV/0!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5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6">AVERAGE(J16:J25)</f>
        <v>13.333333333333334</v>
      </c>
      <c r="K26" s="155">
        <f t="shared" si="6"/>
        <v>2250</v>
      </c>
      <c r="L26" s="158">
        <f t="shared" si="6"/>
        <v>170.19230769230771</v>
      </c>
      <c r="M26" s="155">
        <f t="shared" si="6"/>
        <v>13.333333333333334</v>
      </c>
      <c r="N26" s="155">
        <f t="shared" si="6"/>
        <v>1881.4356087262613</v>
      </c>
      <c r="O26" s="158">
        <f t="shared" si="6"/>
        <v>143.82319240693701</v>
      </c>
      <c r="P26" s="159">
        <f t="shared" ref="P26:P31" si="7">M26-J26</f>
        <v>0</v>
      </c>
      <c r="Q26" s="160">
        <f t="shared" ref="Q26:Q31" si="8">O26-L26</f>
        <v>-26.369115285370697</v>
      </c>
      <c r="R26" s="161">
        <f t="shared" ref="R26:R31" si="9">O26/L26</f>
        <v>0.84506282544188971</v>
      </c>
      <c r="S26" s="797"/>
      <c r="T26" s="163"/>
      <c r="U26" s="163"/>
      <c r="V26" s="164"/>
      <c r="W26" s="165"/>
      <c r="X26" s="166"/>
      <c r="Y26" s="299"/>
      <c r="Z26" s="334">
        <f>SUM(Z16:Z25)</f>
        <v>1</v>
      </c>
      <c r="AA26" s="334">
        <f>SUM(AA16:AA25)</f>
        <v>11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0">N26-K26</f>
        <v>-368.56439127373869</v>
      </c>
      <c r="AG26" s="124">
        <f t="shared" ref="AG26:AG31" si="11">N26/K26</f>
        <v>0.83619360387833841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1180</v>
      </c>
      <c r="H27" s="134">
        <f>F27*G27</f>
        <v>54681.200000000004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1416.0000000000098</v>
      </c>
      <c r="O27" s="141">
        <f>N27/M27</f>
        <v>88.500000000000611</v>
      </c>
      <c r="P27" s="142">
        <f t="shared" si="7"/>
        <v>0</v>
      </c>
      <c r="Q27" s="143">
        <f t="shared" si="8"/>
        <v>-13.749999999999389</v>
      </c>
      <c r="R27" s="144">
        <f t="shared" si="9"/>
        <v>0.86552567237164413</v>
      </c>
      <c r="S27" s="795">
        <f>R37</f>
        <v>0.88183135381445532</v>
      </c>
      <c r="T27" s="171">
        <v>0.29166666666666702</v>
      </c>
      <c r="U27" s="171">
        <v>0.32638888888888901</v>
      </c>
      <c r="V27" s="135"/>
      <c r="W27" s="146">
        <f t="shared" si="5"/>
        <v>49.999999999999659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0"/>
        <v>-219.99999999999022</v>
      </c>
      <c r="AG27" s="172">
        <f t="shared" si="11"/>
        <v>0.86552567237164413</v>
      </c>
      <c r="AH27" s="784">
        <f>AG37</f>
        <v>0.8526407963720084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784</v>
      </c>
      <c r="H28" s="91">
        <f>F28*G28</f>
        <v>44852.639999999999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1383.5294117646522</v>
      </c>
      <c r="O28" s="96">
        <f>N28/M28</f>
        <v>81.384083044979548</v>
      </c>
      <c r="P28" s="97">
        <f t="shared" si="7"/>
        <v>-1</v>
      </c>
      <c r="Q28" s="98">
        <f t="shared" si="8"/>
        <v>-9.5048058439093381</v>
      </c>
      <c r="R28" s="99">
        <f t="shared" si="9"/>
        <v>0.89542389658290455</v>
      </c>
      <c r="S28" s="796"/>
      <c r="T28" s="19">
        <v>0.33194444444444399</v>
      </c>
      <c r="U28" s="19">
        <v>0.35555555555555601</v>
      </c>
      <c r="V28" s="92">
        <f>(T28-U27)*24*60</f>
        <v>7.9999999999991722</v>
      </c>
      <c r="W28" s="149">
        <f t="shared" si="5"/>
        <v>34.000000000001322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0"/>
        <v>-252.4705882353478</v>
      </c>
      <c r="AG28" s="99">
        <f t="shared" si="11"/>
        <v>0.84567812455052094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1381</v>
      </c>
      <c r="H29" s="91">
        <f>F29*G29</f>
        <v>68925.709999999992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1336.4516129032115</v>
      </c>
      <c r="O29" s="96">
        <f>N29/M29</f>
        <v>78.614800759012439</v>
      </c>
      <c r="P29" s="97">
        <f t="shared" si="7"/>
        <v>-1</v>
      </c>
      <c r="Q29" s="98">
        <f t="shared" si="8"/>
        <v>-12.274088129876446</v>
      </c>
      <c r="R29" s="99">
        <f t="shared" si="9"/>
        <v>0.86495502057593154</v>
      </c>
      <c r="S29" s="796"/>
      <c r="T29" s="19">
        <v>0.36111111111111099</v>
      </c>
      <c r="U29" s="19">
        <v>0.40416666666666701</v>
      </c>
      <c r="V29" s="92">
        <f>(T29-U28)*24*60</f>
        <v>7.9999999999991722</v>
      </c>
      <c r="W29" s="149">
        <f t="shared" si="5"/>
        <v>62.000000000000661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0"/>
        <v>-299.54838709678847</v>
      </c>
      <c r="AG29" s="99">
        <f t="shared" si="11"/>
        <v>0.81690196387726866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655</v>
      </c>
      <c r="H30" s="91">
        <f t="shared" ref="H30:H31" si="12">F30*G30</f>
        <v>29907.3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3">K30/J30</f>
        <v>96.235294117647058</v>
      </c>
      <c r="M30" s="94">
        <v>17</v>
      </c>
      <c r="N30" s="95">
        <f>G30/W30*60</f>
        <v>1355.1724137930933</v>
      </c>
      <c r="O30" s="96">
        <f>N30/M30</f>
        <v>79.71602434077019</v>
      </c>
      <c r="P30" s="97">
        <f t="shared" si="7"/>
        <v>0</v>
      </c>
      <c r="Q30" s="98">
        <f t="shared" si="8"/>
        <v>-16.519269776876868</v>
      </c>
      <c r="R30" s="99">
        <f t="shared" si="9"/>
        <v>0.82834499620604718</v>
      </c>
      <c r="S30" s="796"/>
      <c r="T30" s="19">
        <v>0.41041666666666698</v>
      </c>
      <c r="U30" s="19">
        <v>0.43055555555555602</v>
      </c>
      <c r="V30" s="92">
        <f>(T30-U29)*24*60</f>
        <v>8.999999999999968</v>
      </c>
      <c r="W30" s="149">
        <f t="shared" si="5"/>
        <v>29.000000000000217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0"/>
        <v>-280.82758620690674</v>
      </c>
      <c r="AG30" s="99">
        <f t="shared" si="11"/>
        <v>0.82834499620604718</v>
      </c>
      <c r="AH30" s="806"/>
    </row>
    <row r="31" spans="1:34" ht="15" customHeight="1">
      <c r="A31" s="793"/>
      <c r="B31" s="75" t="s">
        <v>116</v>
      </c>
      <c r="C31" s="177"/>
      <c r="D31" s="59" t="s">
        <v>117</v>
      </c>
      <c r="E31" s="178"/>
      <c r="F31" s="75">
        <f>VLOOKUP(D31,廠價表!$C$1:$E$43,3,0)</f>
        <v>44.3</v>
      </c>
      <c r="G31" s="90">
        <v>1434</v>
      </c>
      <c r="H31" s="91">
        <f t="shared" si="12"/>
        <v>63526.2</v>
      </c>
      <c r="I31" s="92"/>
      <c r="J31" s="79">
        <f>VLOOKUP(D31,產線配置圖!$A$3:$C$40,2,0)</f>
        <v>18</v>
      </c>
      <c r="K31" s="80">
        <f>VLOOKUP(D31,產線配置圖!$A$3:$C$40,3,0)</f>
        <v>1636</v>
      </c>
      <c r="L31" s="93">
        <f t="shared" si="13"/>
        <v>90.888888888888886</v>
      </c>
      <c r="M31" s="94">
        <v>17</v>
      </c>
      <c r="N31" s="95">
        <f>G31/W31*60</f>
        <v>1483.448275862062</v>
      </c>
      <c r="O31" s="96">
        <f>N31/M31</f>
        <v>87.261663286003653</v>
      </c>
      <c r="P31" s="97">
        <f t="shared" si="7"/>
        <v>-1</v>
      </c>
      <c r="Q31" s="98">
        <f t="shared" si="8"/>
        <v>-3.6272256028852325</v>
      </c>
      <c r="R31" s="99">
        <f t="shared" si="9"/>
        <v>0.96009164984600603</v>
      </c>
      <c r="S31" s="796"/>
      <c r="T31" s="19">
        <v>0.52777777777777801</v>
      </c>
      <c r="U31" s="19">
        <v>0.56805555555555598</v>
      </c>
      <c r="V31" s="92">
        <f>(T31-U30)*24*60</f>
        <v>139.99999999999966</v>
      </c>
      <c r="W31" s="149">
        <f t="shared" si="5"/>
        <v>58.00000000000027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0"/>
        <v>-152.55172413793798</v>
      </c>
      <c r="AG31" s="99">
        <f t="shared" si="11"/>
        <v>0.90675322485456111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5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5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4">AVERAGE(J27:J36)</f>
        <v>17.399999999999999</v>
      </c>
      <c r="K37" s="155">
        <f t="shared" si="14"/>
        <v>1636</v>
      </c>
      <c r="L37" s="158">
        <f t="shared" si="14"/>
        <v>94.230392156862735</v>
      </c>
      <c r="M37" s="155">
        <f t="shared" si="14"/>
        <v>16.8</v>
      </c>
      <c r="N37" s="155">
        <f t="shared" si="14"/>
        <v>1394.9203428646058</v>
      </c>
      <c r="O37" s="158">
        <f t="shared" si="14"/>
        <v>83.095314286153297</v>
      </c>
      <c r="P37" s="159">
        <f>M37-J37</f>
        <v>-0.59999999999999787</v>
      </c>
      <c r="Q37" s="160">
        <f>N37-K37</f>
        <v>-241.0796571353942</v>
      </c>
      <c r="R37" s="161">
        <f>O37/L37</f>
        <v>0.88183135381445532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-241.0796571353942</v>
      </c>
      <c r="AG37" s="124">
        <f>N37/K37</f>
        <v>0.8526407963720084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2011</v>
      </c>
      <c r="H38" s="134">
        <f>F38*G38</f>
        <v>100369.01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1587.6315789473606</v>
      </c>
      <c r="O38" s="141">
        <f>N38/M38</f>
        <v>99.226973684210037</v>
      </c>
      <c r="P38" s="142">
        <f>M38-J38</f>
        <v>0</v>
      </c>
      <c r="Q38" s="143">
        <f>O38-L38</f>
        <v>-7.8980263157899628</v>
      </c>
      <c r="R38" s="144">
        <f>O38/L38</f>
        <v>0.92627279985260247</v>
      </c>
      <c r="S38" s="817">
        <f>R48</f>
        <v>0.93248474325033748</v>
      </c>
      <c r="T38" s="191">
        <v>0.33333333333333298</v>
      </c>
      <c r="U38" s="191">
        <v>0.38611111111111102</v>
      </c>
      <c r="V38" s="192"/>
      <c r="W38" s="193">
        <f t="shared" si="5"/>
        <v>76.000000000000369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-126.36842105263941</v>
      </c>
      <c r="AG38" s="195">
        <f>N38/K38</f>
        <v>0.92627279985260247</v>
      </c>
      <c r="AH38" s="807">
        <f>AG48</f>
        <v>0.90738413197171619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2759</v>
      </c>
      <c r="H39" s="91">
        <f>F39*G39</f>
        <v>122223.7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1452.1052631578887</v>
      </c>
      <c r="O39" s="203">
        <f>N39/M39</f>
        <v>85.417956656346391</v>
      </c>
      <c r="P39" s="97">
        <f>M39-J39</f>
        <v>-1</v>
      </c>
      <c r="Q39" s="98">
        <f>O39-L39</f>
        <v>-5.4709322325424949</v>
      </c>
      <c r="R39" s="99">
        <f>O39/L39</f>
        <v>0.9398063690796058</v>
      </c>
      <c r="S39" s="818"/>
      <c r="T39" s="20">
        <v>0.39236111111111099</v>
      </c>
      <c r="U39" s="20">
        <v>0.47152777777777799</v>
      </c>
      <c r="V39" s="92">
        <f>(T39-U38)*24*60</f>
        <v>8.999999999999968</v>
      </c>
      <c r="W39" s="205">
        <f t="shared" si="5"/>
        <v>114.00000000000047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-183.89473684211134</v>
      </c>
      <c r="AG39" s="206">
        <f>N39/K39</f>
        <v>0.88759490413073883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6">AVERAGE(J38:J47)</f>
        <v>17</v>
      </c>
      <c r="K48" s="155">
        <f t="shared" si="16"/>
        <v>1675</v>
      </c>
      <c r="L48" s="158">
        <f t="shared" si="16"/>
        <v>99.006944444444443</v>
      </c>
      <c r="M48" s="155">
        <f t="shared" si="16"/>
        <v>16.5</v>
      </c>
      <c r="N48" s="155">
        <f t="shared" si="16"/>
        <v>1519.8684210526246</v>
      </c>
      <c r="O48" s="158">
        <f t="shared" si="16"/>
        <v>92.322465170278207</v>
      </c>
      <c r="P48" s="221">
        <f>M48-J48</f>
        <v>-0.5</v>
      </c>
      <c r="Q48" s="222">
        <f>N48-K48</f>
        <v>-155.13157894737537</v>
      </c>
      <c r="R48" s="223">
        <f>O48/L48</f>
        <v>0.93248474325033748</v>
      </c>
      <c r="S48" s="752"/>
      <c r="T48" s="224"/>
      <c r="U48" s="224"/>
      <c r="V48" s="225"/>
      <c r="W48" s="226">
        <f t="shared" si="1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7">N48-K48</f>
        <v>-155.13157894737537</v>
      </c>
      <c r="AG48" s="162">
        <f t="shared" ref="AG48:AG53" si="18">N48/K48</f>
        <v>0.90738413197171619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1884</v>
      </c>
      <c r="H49" s="134">
        <f>F49*G49</f>
        <v>93295.680000000008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1638.2608695652405</v>
      </c>
      <c r="O49" s="141">
        <f>N49/M49</f>
        <v>96.368286445014149</v>
      </c>
      <c r="P49" s="229">
        <f>M49-J49</f>
        <v>0</v>
      </c>
      <c r="Q49" s="230">
        <f>O49-L49</f>
        <v>-9.5140664961623145</v>
      </c>
      <c r="R49" s="52">
        <f>O49/L49</f>
        <v>0.91014492753624476</v>
      </c>
      <c r="S49" s="748">
        <f>R58</f>
        <v>0.89452175688033897</v>
      </c>
      <c r="T49" s="191">
        <v>0.29166666666666702</v>
      </c>
      <c r="U49" s="191">
        <v>0.33958333333333302</v>
      </c>
      <c r="V49" s="55"/>
      <c r="W49" s="193">
        <f t="shared" si="5"/>
        <v>68.999999999999034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7"/>
        <v>-161.73913043475955</v>
      </c>
      <c r="AG49" s="52">
        <f t="shared" si="18"/>
        <v>0.91014492753624465</v>
      </c>
      <c r="AH49" s="784">
        <f>AG58</f>
        <v>0.8952976749564886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1630</v>
      </c>
      <c r="H50" s="231">
        <f>F50*G50</f>
        <v>81971.070000000007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1528.125000000015</v>
      </c>
      <c r="O50" s="235">
        <f>N50/M50</f>
        <v>89.889705882353823</v>
      </c>
      <c r="P50" s="74">
        <f>M50-J50</f>
        <v>0</v>
      </c>
      <c r="Q50" s="83">
        <f>O50-L50</f>
        <v>-6.3455882352932349</v>
      </c>
      <c r="R50" s="72">
        <f>O50/L50</f>
        <v>0.93406173594132946</v>
      </c>
      <c r="S50" s="749"/>
      <c r="T50" s="21">
        <v>0.35</v>
      </c>
      <c r="U50" s="21">
        <v>0.39444444444444399</v>
      </c>
      <c r="V50" s="30">
        <f>(T50-U49)*24*60</f>
        <v>15.000000000000426</v>
      </c>
      <c r="W50" s="236">
        <f t="shared" si="5"/>
        <v>63.999999999999375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7"/>
        <v>-107.87499999998499</v>
      </c>
      <c r="AG50" s="72">
        <f t="shared" si="18"/>
        <v>0.93406173594132946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1982</v>
      </c>
      <c r="H51" s="231">
        <f>F51*G51</f>
        <v>99040.54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1486.5000000000155</v>
      </c>
      <c r="O51" s="235">
        <f>N51/M51</f>
        <v>92.906250000000966</v>
      </c>
      <c r="P51" s="74">
        <f>M51-J51</f>
        <v>0</v>
      </c>
      <c r="Q51" s="83">
        <f>O51-L51</f>
        <v>-19.593749999999034</v>
      </c>
      <c r="R51" s="72">
        <f>O51/L51</f>
        <v>0.82583333333334197</v>
      </c>
      <c r="S51" s="749"/>
      <c r="T51" s="21">
        <v>0.40277777777777801</v>
      </c>
      <c r="U51" s="19">
        <v>0.45833333333333298</v>
      </c>
      <c r="V51" s="30">
        <f>(T51-U50)*24*60</f>
        <v>12.000000000000997</v>
      </c>
      <c r="W51" s="236">
        <f t="shared" si="5"/>
        <v>79.999999999999162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7"/>
        <v>-313.49999999998454</v>
      </c>
      <c r="AG51" s="72">
        <f t="shared" si="18"/>
        <v>0.82583333333334197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2305</v>
      </c>
      <c r="H52" s="231">
        <f>F52*G52</f>
        <v>115180.84999999999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1646.4285714285838</v>
      </c>
      <c r="O52" s="235">
        <f>N52/M52</f>
        <v>102.90178571428649</v>
      </c>
      <c r="P52" s="74">
        <f>M52-J52</f>
        <v>0</v>
      </c>
      <c r="Q52" s="83">
        <f>O52-L52</f>
        <v>-9.5982142857135102</v>
      </c>
      <c r="R52" s="72">
        <f>O52/L52</f>
        <v>0.91468253968254654</v>
      </c>
      <c r="S52" s="749"/>
      <c r="T52" s="21">
        <v>0.51805555555555605</v>
      </c>
      <c r="U52" s="21">
        <v>0.57638888888888895</v>
      </c>
      <c r="V52" s="30">
        <f>(T52-U51)*24*60</f>
        <v>86.000000000001208</v>
      </c>
      <c r="W52" s="236">
        <f t="shared" si="5"/>
        <v>83.999999999999375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7"/>
        <v>-153.57142857141616</v>
      </c>
      <c r="AG52" s="72">
        <f t="shared" si="18"/>
        <v>0.91468253968254654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5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7"/>
        <v>0</v>
      </c>
      <c r="AG53" s="72" t="e">
        <f t="shared" si="1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19">AVERAGE(J49:J57)</f>
        <v>16.5</v>
      </c>
      <c r="K58" s="120">
        <f t="shared" si="19"/>
        <v>1759</v>
      </c>
      <c r="L58" s="117">
        <f t="shared" si="19"/>
        <v>106.77941176470588</v>
      </c>
      <c r="M58" s="120">
        <f t="shared" si="19"/>
        <v>16.5</v>
      </c>
      <c r="N58" s="120">
        <f t="shared" si="19"/>
        <v>1574.8286102484635</v>
      </c>
      <c r="O58" s="117">
        <f t="shared" si="19"/>
        <v>95.516507010413847</v>
      </c>
      <c r="P58" s="121">
        <f>M58-J58</f>
        <v>0</v>
      </c>
      <c r="Q58" s="122">
        <f>N58-K58</f>
        <v>-184.17138975153648</v>
      </c>
      <c r="R58" s="123">
        <f>O58/L58</f>
        <v>0.89452175688033897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-184.17138975153648</v>
      </c>
      <c r="AG58" s="124">
        <f>N58/K58</f>
        <v>0.8952976749564886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2700</v>
      </c>
      <c r="H59" s="243">
        <f>F59*G59</f>
        <v>72873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1472.7272727272705</v>
      </c>
      <c r="O59" s="138">
        <f>N59/M59</f>
        <v>98.181818181818031</v>
      </c>
      <c r="P59" s="56">
        <f>M59-J59</f>
        <v>0</v>
      </c>
      <c r="Q59" s="230">
        <f>O59-L59</f>
        <v>-10.884848484848632</v>
      </c>
      <c r="R59" s="52">
        <f>O59/L59</f>
        <v>0.90020004445432178</v>
      </c>
      <c r="S59" s="748">
        <f>R69</f>
        <v>0.9040170116050914</v>
      </c>
      <c r="T59" s="245">
        <v>0.29166666666666702</v>
      </c>
      <c r="U59" s="245">
        <v>0.36805555555555602</v>
      </c>
      <c r="V59" s="55"/>
      <c r="W59" s="54">
        <f t="shared" si="5"/>
        <v>110.00000000000017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-163.27272727272953</v>
      </c>
      <c r="AG59" s="246">
        <f>N59/K59</f>
        <v>0.90020004445432178</v>
      </c>
      <c r="AH59" s="784">
        <f>AG69</f>
        <v>0.90381344002371711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1106</v>
      </c>
      <c r="H60" s="78">
        <f>F60*G60</f>
        <v>31255.56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1474.6666666666667</v>
      </c>
      <c r="O60" s="81">
        <f>N60/M60</f>
        <v>134.06060606060606</v>
      </c>
      <c r="P60" s="74">
        <f>M60-J60</f>
        <v>0</v>
      </c>
      <c r="Q60" s="83">
        <f>O60-L60</f>
        <v>-14.666666666666657</v>
      </c>
      <c r="R60" s="72">
        <f>O60/L60</f>
        <v>0.90138549307253468</v>
      </c>
      <c r="S60" s="829"/>
      <c r="T60" s="22">
        <v>0.375</v>
      </c>
      <c r="U60" s="22">
        <v>0.40625</v>
      </c>
      <c r="V60" s="30">
        <f>(T60-U59)*24*60</f>
        <v>9.999999999999325</v>
      </c>
      <c r="W60" s="248">
        <f t="shared" si="5"/>
        <v>45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-161.33333333333326</v>
      </c>
      <c r="AG60" s="249">
        <f>N60/K60</f>
        <v>0.90138549307253468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826</v>
      </c>
      <c r="H61" s="254">
        <f>F61*G61</f>
        <v>23342.760000000002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80">
        <f t="shared" ref="N61:N63" si="20">G61/W61*60</f>
        <v>1416.0000000000341</v>
      </c>
      <c r="O61" s="81">
        <f t="shared" ref="O61:O63" si="21">N61/M61</f>
        <v>128.72727272727582</v>
      </c>
      <c r="P61" s="74">
        <f t="shared" ref="P61:P63" si="22">M61-J61</f>
        <v>0</v>
      </c>
      <c r="Q61" s="83">
        <f t="shared" ref="Q61:Q63" si="23">O61-L61</f>
        <v>-19.999999999996902</v>
      </c>
      <c r="R61" s="72">
        <f t="shared" ref="R61:R63" si="24">O61/L61</f>
        <v>0.86552567237165901</v>
      </c>
      <c r="S61" s="749"/>
      <c r="T61" s="22">
        <v>0.41666666666666702</v>
      </c>
      <c r="U61" s="22">
        <v>0.44097222222222199</v>
      </c>
      <c r="V61" s="30">
        <f>(T61-U60)*24*60</f>
        <v>15.000000000000506</v>
      </c>
      <c r="W61" s="256">
        <f t="shared" si="5"/>
        <v>34.999999999999154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-219.99999999996589</v>
      </c>
      <c r="AG61" s="247">
        <f>N61/K61</f>
        <v>0.86552567237165901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1483</v>
      </c>
      <c r="H62" s="254">
        <f t="shared" ref="H62:H63" si="25">F62*G62</f>
        <v>41909.58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6">K62/J62</f>
        <v>148.72727272727272</v>
      </c>
      <c r="M62" s="108">
        <v>11</v>
      </c>
      <c r="N62" s="80">
        <f t="shared" si="20"/>
        <v>1483.0000000000248</v>
      </c>
      <c r="O62" s="81">
        <f t="shared" si="21"/>
        <v>134.81818181818406</v>
      </c>
      <c r="P62" s="74">
        <f t="shared" si="22"/>
        <v>0</v>
      </c>
      <c r="Q62" s="83">
        <f t="shared" si="23"/>
        <v>-13.909090909088661</v>
      </c>
      <c r="R62" s="72">
        <f t="shared" si="24"/>
        <v>0.90647921760392713</v>
      </c>
      <c r="S62" s="749"/>
      <c r="T62" s="22">
        <v>0.44791666666666702</v>
      </c>
      <c r="U62" s="22">
        <v>0.48958333333333298</v>
      </c>
      <c r="V62" s="30">
        <f t="shared" ref="V62:V63" si="27">(T62-U61)*24*60</f>
        <v>10.000000000000844</v>
      </c>
      <c r="W62" s="248">
        <f t="shared" si="5"/>
        <v>59.999999999998991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-152.99999999997522</v>
      </c>
      <c r="AG62" s="247">
        <f>N62/K62</f>
        <v>0.90647921760392713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1289</v>
      </c>
      <c r="H63" s="254">
        <f t="shared" si="25"/>
        <v>36427.14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6"/>
        <v>148.72727272727272</v>
      </c>
      <c r="M63" s="68">
        <v>11</v>
      </c>
      <c r="N63" s="80">
        <f t="shared" si="20"/>
        <v>1546.8000000000104</v>
      </c>
      <c r="O63" s="81">
        <f t="shared" si="21"/>
        <v>140.61818181818276</v>
      </c>
      <c r="P63" s="74">
        <f t="shared" si="22"/>
        <v>0</v>
      </c>
      <c r="Q63" s="83">
        <f t="shared" si="23"/>
        <v>-8.1090909090899572</v>
      </c>
      <c r="R63" s="72">
        <f t="shared" si="24"/>
        <v>0.94547677261614327</v>
      </c>
      <c r="S63" s="749"/>
      <c r="T63" s="22">
        <v>0.54166666666666696</v>
      </c>
      <c r="U63" s="22">
        <v>0.57638888888888895</v>
      </c>
      <c r="V63" s="30">
        <f t="shared" si="27"/>
        <v>75.000000000000938</v>
      </c>
      <c r="W63" s="248">
        <f t="shared" si="5"/>
        <v>49.999999999999659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8">AVERAGE(J59:J68)</f>
        <v>11.8</v>
      </c>
      <c r="K69" s="240">
        <f t="shared" si="28"/>
        <v>1636</v>
      </c>
      <c r="L69" s="268">
        <f t="shared" si="28"/>
        <v>140.79515151515153</v>
      </c>
      <c r="M69" s="240">
        <f t="shared" si="28"/>
        <v>11.8</v>
      </c>
      <c r="N69" s="240">
        <f t="shared" si="28"/>
        <v>1478.6387878788012</v>
      </c>
      <c r="O69" s="268">
        <f t="shared" si="28"/>
        <v>127.28121212121334</v>
      </c>
      <c r="P69" s="269">
        <f>M69-J69</f>
        <v>0</v>
      </c>
      <c r="Q69" s="222">
        <f>N69-K69</f>
        <v>-157.36121212119883</v>
      </c>
      <c r="R69" s="123">
        <f>O69/L69</f>
        <v>0.9040170116050914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-157.36121212119883</v>
      </c>
      <c r="AG69" s="124">
        <f>N69/K69</f>
        <v>0.90381344002371711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346</v>
      </c>
      <c r="H70" s="243">
        <f>F70*G70</f>
        <v>15185.94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10</v>
      </c>
      <c r="N70" s="137">
        <f>G70/W70*60</f>
        <v>943.63636363641149</v>
      </c>
      <c r="O70" s="138">
        <f>N70/M70</f>
        <v>94.363636363641149</v>
      </c>
      <c r="P70" s="56">
        <f>M70-J70</f>
        <v>-4</v>
      </c>
      <c r="Q70" s="230">
        <f>O70-L70</f>
        <v>-17.422077922073143</v>
      </c>
      <c r="R70" s="52">
        <f>O70/L70</f>
        <v>0.84414754574503259</v>
      </c>
      <c r="S70" s="748">
        <f>R79</f>
        <v>0.84808368290335356</v>
      </c>
      <c r="T70" s="245">
        <v>0.30416666666666697</v>
      </c>
      <c r="U70" s="245">
        <v>0.31944444444444398</v>
      </c>
      <c r="V70" s="55"/>
      <c r="W70" s="54">
        <f t="shared" si="5"/>
        <v>21.999999999998884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-621.36363636358851</v>
      </c>
      <c r="AG70" s="246">
        <f>N70/K70</f>
        <v>0.60296253267502331</v>
      </c>
      <c r="AH70" s="784">
        <f>AG79</f>
        <v>0.59631388197857238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1415</v>
      </c>
      <c r="H71" s="254">
        <f>F71*G71</f>
        <v>62104.35</v>
      </c>
      <c r="I71" s="182"/>
      <c r="J71" s="106">
        <f>VLOOKUP(D71,產線配置圖!$A$3:$C$40,2,0)</f>
        <v>13</v>
      </c>
      <c r="K71" s="107">
        <f>VLOOKUP(D71,產線配置圖!$A$3:$C$40,3,0)</f>
        <v>1565</v>
      </c>
      <c r="L71" s="238">
        <f>K71/J71</f>
        <v>120.38461538461539</v>
      </c>
      <c r="M71" s="82">
        <v>9</v>
      </c>
      <c r="N71" s="80">
        <f>G71/W71*60</f>
        <v>922.82608695652016</v>
      </c>
      <c r="O71" s="81">
        <f>N71/M71</f>
        <v>102.5362318840578</v>
      </c>
      <c r="P71" s="74">
        <f>M71-J71</f>
        <v>-4</v>
      </c>
      <c r="Q71" s="83">
        <f>O71-L71</f>
        <v>-17.848383500557588</v>
      </c>
      <c r="R71" s="72">
        <f>O71/L71</f>
        <v>0.85173866740750881</v>
      </c>
      <c r="S71" s="749"/>
      <c r="T71" s="22">
        <v>0.32638888888888901</v>
      </c>
      <c r="U71" s="22">
        <v>0.390277777777778</v>
      </c>
      <c r="V71" s="30">
        <f>(T71-U70)*24*60</f>
        <v>10.000000000000844</v>
      </c>
      <c r="W71" s="73">
        <f t="shared" si="5"/>
        <v>92.000000000000156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29">AVERAGE(J70:J78)</f>
        <v>13.5</v>
      </c>
      <c r="K79" s="240">
        <f t="shared" si="29"/>
        <v>1565</v>
      </c>
      <c r="L79" s="268">
        <f t="shared" si="29"/>
        <v>116.08516483516485</v>
      </c>
      <c r="M79" s="240">
        <f t="shared" si="29"/>
        <v>9.5</v>
      </c>
      <c r="N79" s="240">
        <f t="shared" si="29"/>
        <v>933.23122529646582</v>
      </c>
      <c r="O79" s="268">
        <f t="shared" si="29"/>
        <v>98.449934123849474</v>
      </c>
      <c r="P79" s="269">
        <f>M79-J79</f>
        <v>-4</v>
      </c>
      <c r="Q79" s="222">
        <f>N79-K79</f>
        <v>-631.76877470353418</v>
      </c>
      <c r="R79" s="223">
        <f>O79/L79</f>
        <v>0.84808368290335356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-631.76877470353418</v>
      </c>
      <c r="AG79" s="124">
        <f>N79/K79</f>
        <v>0.59631388197857238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78" priority="1" operator="greaterThan">
      <formula>0</formula>
    </cfRule>
  </conditionalFormatting>
  <conditionalFormatting sqref="Q5:Q79 AF5:AF79">
    <cfRule type="cellIs" dxfId="177" priority="4" operator="lessThan">
      <formula>0</formula>
    </cfRule>
  </conditionalFormatting>
  <conditionalFormatting sqref="R5:R79 AG5:AG79">
    <cfRule type="cellIs" dxfId="176" priority="2" operator="greaterThan">
      <formula>1</formula>
    </cfRule>
    <cfRule type="cellIs" dxfId="175" priority="3" operator="lessThan">
      <formula>0.8</formula>
    </cfRule>
  </conditionalFormatting>
  <conditionalFormatting sqref="S5:S10 S37:S62 AH59:AH62 S69:S76 AH69:AH76">
    <cfRule type="cellIs" dxfId="174" priority="7" operator="lessThan">
      <formula>0.8</formula>
    </cfRule>
  </conditionalFormatting>
  <conditionalFormatting sqref="S19:S25 AH19:AH25">
    <cfRule type="cellIs" dxfId="173" priority="6" operator="lessThan">
      <formula>0.8</formula>
    </cfRule>
  </conditionalFormatting>
  <conditionalFormatting sqref="S79">
    <cfRule type="cellIs" dxfId="172" priority="5" operator="lessThan">
      <formula>0.8</formula>
    </cfRule>
  </conditionalFormatting>
  <conditionalFormatting sqref="AH5:AH8 S15:S16 AH15:AH16 AH49 AH79">
    <cfRule type="cellIs" dxfId="171" priority="9" operator="lessThan">
      <formula>0.8</formula>
    </cfRule>
  </conditionalFormatting>
  <conditionalFormatting sqref="AH27 S27:S28">
    <cfRule type="cellIs" dxfId="1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5690-749C-479F-B826-E2AB661A9117}">
  <dimension ref="B1:O26"/>
  <sheetViews>
    <sheetView topLeftCell="B1" zoomScale="70" zoomScaleNormal="70" workbookViewId="0">
      <selection activeCell="V19" sqref="V1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DATE(2026,8,15)</f>
        <v>46249</v>
      </c>
      <c r="E3" s="706"/>
      <c r="F3" s="3" t="s">
        <v>72</v>
      </c>
      <c r="G3" s="707">
        <f>'0815'!E1</f>
        <v>47222</v>
      </c>
      <c r="H3" s="707"/>
      <c r="I3" s="3" t="s">
        <v>2</v>
      </c>
      <c r="J3" s="708">
        <f>'0815'!G1</f>
        <v>2178850.9440000001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125.97608208629217</v>
      </c>
      <c r="G6" s="713"/>
      <c r="H6" s="714">
        <f>AVERAGE(D13:H13)</f>
        <v>124.99045165074577</v>
      </c>
      <c r="I6" s="714"/>
      <c r="J6" s="714">
        <f>AVERAGE(I13:J13)</f>
        <v>128.44015817515819</v>
      </c>
      <c r="K6" s="714"/>
      <c r="L6" s="716">
        <f>'0815'!Z2</f>
        <v>26</v>
      </c>
      <c r="M6" s="717">
        <f>'0815'!AA2</f>
        <v>32</v>
      </c>
      <c r="N6" s="718">
        <f>'0815'!AD2</f>
        <v>0</v>
      </c>
      <c r="O6" s="717">
        <f>'0815'!AE2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112.60468947278331</v>
      </c>
      <c r="G7" s="737"/>
      <c r="H7" s="738">
        <f>AVERAGE(D14:H14)</f>
        <v>112.83525094658235</v>
      </c>
      <c r="I7" s="738"/>
      <c r="J7" s="738">
        <f>AVERAGE(I14:J14)</f>
        <v>112.0282857882857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0.89437368704290177</v>
      </c>
      <c r="G8" s="710"/>
      <c r="H8" s="710">
        <f>AVERAGE(D15:H15)</f>
        <v>0.90419541071278942</v>
      </c>
      <c r="I8" s="710"/>
      <c r="J8" s="710">
        <f>AVERAGE(I15:J15)</f>
        <v>0.86981937786818264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VALUE('0815'!L15)</f>
        <v>141.05312552371376</v>
      </c>
      <c r="E13" s="13">
        <f>VALUE('0815'!L26)</f>
        <v>174.51923076923077</v>
      </c>
      <c r="F13" s="13">
        <f>VALUE('0815'!L37)</f>
        <v>103.593545751634</v>
      </c>
      <c r="G13" s="13">
        <f>VALUE('0815'!L48)</f>
        <v>99.006944444444443</v>
      </c>
      <c r="H13" s="13">
        <f>VALUE('0815'!L58)</f>
        <v>106.77941176470588</v>
      </c>
      <c r="I13" s="13">
        <f>VALUE('0815'!L69)</f>
        <v>140.79515151515153</v>
      </c>
      <c r="J13" s="13">
        <f>'0815'!L79</f>
        <v>116.08516483516485</v>
      </c>
    </row>
    <row r="14" spans="2:15" ht="39.950000000000003" customHeight="1">
      <c r="B14" s="731"/>
      <c r="C14" s="12" t="s">
        <v>100</v>
      </c>
      <c r="D14" s="13">
        <f>VALUE('0815'!O15)</f>
        <v>128.32861301511457</v>
      </c>
      <c r="E14" s="13">
        <f>VALUE('0815'!O26)</f>
        <v>155.61999780773291</v>
      </c>
      <c r="F14" s="13">
        <f>VALUE('0815'!O37)</f>
        <v>92.018229166666515</v>
      </c>
      <c r="G14" s="13">
        <f>VALUE('0815'!O48)</f>
        <v>93.333133012819971</v>
      </c>
      <c r="H14" s="13">
        <f>VALUE('0815'!O58)</f>
        <v>94.876281730577716</v>
      </c>
      <c r="I14" s="13">
        <f>VALUE('0815'!O69)</f>
        <v>125.98249750249791</v>
      </c>
      <c r="J14" s="13">
        <f>'0815'!O79</f>
        <v>98.074074074073479</v>
      </c>
    </row>
    <row r="15" spans="2:15" ht="39.950000000000003" customHeight="1">
      <c r="B15" s="732"/>
      <c r="C15" s="10" t="s">
        <v>26</v>
      </c>
      <c r="D15" s="14">
        <f t="shared" ref="D15:I15" si="0">D14/D13</f>
        <v>0.90978921976131644</v>
      </c>
      <c r="E15" s="14">
        <f t="shared" si="0"/>
        <v>0.89170687449059083</v>
      </c>
      <c r="F15" s="14">
        <f t="shared" si="0"/>
        <v>0.8882621837009097</v>
      </c>
      <c r="G15" s="14">
        <f t="shared" si="0"/>
        <v>0.94269279328372557</v>
      </c>
      <c r="H15" s="14">
        <f t="shared" si="0"/>
        <v>0.88852598232740454</v>
      </c>
      <c r="I15" s="14">
        <f t="shared" si="0"/>
        <v>0.89479286855229834</v>
      </c>
      <c r="J15" s="15">
        <f>'0815'!S70</f>
        <v>0.84484588718406683</v>
      </c>
    </row>
    <row r="16" spans="2:15" ht="17.25" customHeight="1">
      <c r="B16" s="733" t="s">
        <v>101</v>
      </c>
      <c r="C16" s="10" t="s">
        <v>34</v>
      </c>
      <c r="D16" s="16">
        <f>'0815'!T5</f>
        <v>0.29375000000000001</v>
      </c>
      <c r="E16" s="16">
        <f>'0815'!T16</f>
        <v>0.29166666666666702</v>
      </c>
      <c r="F16" s="16">
        <f>'0815'!T27</f>
        <v>0.29166666666666702</v>
      </c>
      <c r="G16" s="16">
        <f>'0815'!T38</f>
        <v>0.33333333333333298</v>
      </c>
      <c r="H16" s="16">
        <f>'0815'!T49</f>
        <v>0.29166666666666702</v>
      </c>
      <c r="I16" s="16">
        <f>'0815'!T59</f>
        <v>0.29166666666666702</v>
      </c>
      <c r="J16" s="17">
        <f>'0815'!T70</f>
        <v>0.297222222222222</v>
      </c>
    </row>
    <row r="17" spans="2:10" ht="17.25" customHeight="1">
      <c r="B17" s="734"/>
      <c r="C17" s="10" t="s">
        <v>35</v>
      </c>
      <c r="D17" s="22">
        <v>0.624305555555556</v>
      </c>
      <c r="E17" s="183">
        <v>0.5625</v>
      </c>
      <c r="F17" s="19">
        <v>0.42013888888888901</v>
      </c>
      <c r="G17" s="328">
        <v>0.48611111111111099</v>
      </c>
      <c r="H17" s="21">
        <v>0.59513888888888899</v>
      </c>
      <c r="I17" s="110">
        <v>0.58680555555555602</v>
      </c>
      <c r="J17" s="22">
        <v>0.38541666666666702</v>
      </c>
    </row>
    <row r="18" spans="2:10" ht="17.25" customHeight="1">
      <c r="B18" s="735" t="s">
        <v>102</v>
      </c>
      <c r="C18" s="330" t="s">
        <v>36</v>
      </c>
      <c r="D18" s="386">
        <f>'0815'!Z15</f>
        <v>11</v>
      </c>
      <c r="E18" s="387">
        <f>'0815'!Z26</f>
        <v>15</v>
      </c>
      <c r="F18" s="387">
        <f>'0815'!Z37</f>
        <v>0</v>
      </c>
      <c r="G18" s="388">
        <f>'0815'!Z48</f>
        <v>0</v>
      </c>
      <c r="H18" s="388">
        <f>'0815'!Z58</f>
        <v>0</v>
      </c>
      <c r="I18" s="387">
        <f>'0815'!Z69</f>
        <v>0</v>
      </c>
      <c r="J18" s="387">
        <f>'0815'!AA79</f>
        <v>0</v>
      </c>
    </row>
    <row r="19" spans="2:10" ht="17.25" customHeight="1">
      <c r="B19" s="736"/>
      <c r="C19" s="330" t="s">
        <v>37</v>
      </c>
      <c r="D19" s="386">
        <f>'0815'!AA15</f>
        <v>15</v>
      </c>
      <c r="E19" s="387">
        <f>'0815'!AA26</f>
        <v>17</v>
      </c>
      <c r="F19" s="387">
        <f>'0815'!AA37</f>
        <v>0</v>
      </c>
      <c r="G19" s="388">
        <f>'0815'!AA48</f>
        <v>0</v>
      </c>
      <c r="H19" s="388">
        <f>'0815'!AA58</f>
        <v>0</v>
      </c>
      <c r="I19" s="387">
        <f>'0815'!AA69</f>
        <v>0</v>
      </c>
      <c r="J19" s="387">
        <f>'0815'!AB79</f>
        <v>0</v>
      </c>
    </row>
    <row r="20" spans="2:10" ht="17.25" customHeight="1">
      <c r="B20" s="735" t="s">
        <v>103</v>
      </c>
      <c r="C20" s="330" t="s">
        <v>36</v>
      </c>
      <c r="D20" s="386">
        <f>'0815'!AD15</f>
        <v>0</v>
      </c>
      <c r="E20" s="387">
        <f>'0815'!AD26</f>
        <v>0</v>
      </c>
      <c r="F20" s="387">
        <f>'0815'!AD37</f>
        <v>0</v>
      </c>
      <c r="G20" s="388">
        <f>'0815'!AD48</f>
        <v>0</v>
      </c>
      <c r="H20" s="388">
        <f>'0815'!AD58</f>
        <v>0</v>
      </c>
      <c r="I20" s="387">
        <f>'0815'!AD69</f>
        <v>0</v>
      </c>
      <c r="J20" s="387">
        <f>'0815'!AD79</f>
        <v>0</v>
      </c>
    </row>
    <row r="21" spans="2:10" ht="17.25" customHeight="1">
      <c r="B21" s="736"/>
      <c r="C21" s="330" t="s">
        <v>85</v>
      </c>
      <c r="D21" s="386">
        <f>'0815'!AE15</f>
        <v>0</v>
      </c>
      <c r="E21" s="387">
        <f>'0815'!AE26</f>
        <v>0</v>
      </c>
      <c r="F21" s="387">
        <f>'0815'!AE37</f>
        <v>0</v>
      </c>
      <c r="G21" s="388">
        <f>'0815'!AE48</f>
        <v>0</v>
      </c>
      <c r="H21" s="388">
        <f>'0815'!AE58</f>
        <v>0</v>
      </c>
      <c r="I21" s="387">
        <f>'0815'!AE69</f>
        <v>0</v>
      </c>
      <c r="J21" s="387">
        <f>'0815'!AE79</f>
        <v>0</v>
      </c>
    </row>
    <row r="22" spans="2:10" ht="17.25" customHeight="1">
      <c r="B22" s="719" t="s">
        <v>104</v>
      </c>
      <c r="C22" s="720"/>
      <c r="D22" s="23">
        <f>VALUE('0815'!M15)</f>
        <v>15.5</v>
      </c>
      <c r="E22" s="23">
        <f>VALUE('0815'!M26)</f>
        <v>12.75</v>
      </c>
      <c r="F22" s="23">
        <f>VALUE('0815'!M37)</f>
        <v>16</v>
      </c>
      <c r="G22" s="23">
        <f>VALUE('0815'!M48)</f>
        <v>17</v>
      </c>
      <c r="H22" s="23">
        <f>VALUE('0815'!M58)</f>
        <v>16.5</v>
      </c>
      <c r="I22" s="23">
        <f>VALUE('0815'!M69)</f>
        <v>11.4</v>
      </c>
      <c r="J22" s="23">
        <f>'0815'!M79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8894-37EB-4412-94C6-FC17C2386A9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0" sqref="U10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47222</v>
      </c>
      <c r="F1" s="30" t="s">
        <v>2</v>
      </c>
      <c r="G1" s="31">
        <f>SUM(H5:H79)</f>
        <v>2178850.9440000001</v>
      </c>
      <c r="H1" s="32" t="s">
        <v>3</v>
      </c>
      <c r="I1" s="33">
        <f>M15+M26+M48+M58+M69+M79+M37</f>
        <v>98.15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167</v>
      </c>
      <c r="B2" s="739"/>
      <c r="C2" s="28"/>
      <c r="D2" s="28" t="s">
        <v>14</v>
      </c>
      <c r="E2" s="35">
        <f>AVERAGE(O15,O26,O37,O48,O58,O69,O79)</f>
        <v>112.60468947278331</v>
      </c>
      <c r="F2" s="36" t="s">
        <v>15</v>
      </c>
      <c r="G2" s="37">
        <f>G1/E1</f>
        <v>46.140590063953248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26</v>
      </c>
      <c r="AA2" s="339">
        <f>AA15+AA26+AA37+AA48+AA58+AA69+AA79</f>
        <v>32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890</v>
      </c>
      <c r="H5" s="43">
        <f>F5*G5</f>
        <v>50614.299999999996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2136.0000000000146</v>
      </c>
      <c r="O5" s="47">
        <f>N5/M5</f>
        <v>142.40000000000097</v>
      </c>
      <c r="P5" s="49">
        <f>M5-J5</f>
        <v>0</v>
      </c>
      <c r="Q5" s="50">
        <f>O5-L5</f>
        <v>-7.599999999999028</v>
      </c>
      <c r="R5" s="51">
        <f>O5/L5</f>
        <v>0.9493333333333398</v>
      </c>
      <c r="S5" s="748">
        <f>R15</f>
        <v>0.90978921976131644</v>
      </c>
      <c r="T5" s="319">
        <v>0.29375000000000001</v>
      </c>
      <c r="U5" s="320">
        <v>0.31111111111111101</v>
      </c>
      <c r="V5" s="53"/>
      <c r="W5" s="54">
        <f t="shared" ref="W5:W14" si="0">(U5-T5)*24*60</f>
        <v>24.999999999999829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-113.99999999998545</v>
      </c>
      <c r="AG5" s="52">
        <f t="shared" ref="AG5:AG11" si="2">N5/K5</f>
        <v>0.9493333333333398</v>
      </c>
      <c r="AH5" s="784">
        <f>AG15</f>
        <v>0.90657147750208666</v>
      </c>
    </row>
    <row r="6" spans="1:34" ht="15" customHeight="1">
      <c r="A6" s="755"/>
      <c r="B6" s="57" t="s">
        <v>81</v>
      </c>
      <c r="C6" s="58"/>
      <c r="D6" s="59" t="s">
        <v>114</v>
      </c>
      <c r="E6" s="60"/>
      <c r="F6" s="61">
        <f>VLOOKUP(D6,廠價表!$C$1:$E$43,3,0)</f>
        <v>58.17</v>
      </c>
      <c r="G6" s="62">
        <v>1890</v>
      </c>
      <c r="H6" s="63">
        <f>F6*G6</f>
        <v>109941.3</v>
      </c>
      <c r="I6" s="64"/>
      <c r="J6" s="65">
        <f>VLOOKUP(D6,產線配置圖!$A$3:$C$40,2,0)</f>
        <v>13</v>
      </c>
      <c r="K6" s="66">
        <f>VLOOKUP(D6,產線配置圖!$A$3:$C$40,3,0)</f>
        <v>2250</v>
      </c>
      <c r="L6" s="67">
        <f>K6/J6</f>
        <v>173.07692307692307</v>
      </c>
      <c r="M6" s="68">
        <v>13</v>
      </c>
      <c r="N6" s="66">
        <f>G6/W6*60</f>
        <v>2139.622641509467</v>
      </c>
      <c r="O6" s="67">
        <f>N6/M6</f>
        <v>164.58635703918978</v>
      </c>
      <c r="P6" s="69">
        <f>M6-J6</f>
        <v>0</v>
      </c>
      <c r="Q6" s="70">
        <f>O6-L6</f>
        <v>-8.4905660377332879</v>
      </c>
      <c r="R6" s="71">
        <f>O6/L6</f>
        <v>0.95094339622642987</v>
      </c>
      <c r="S6" s="749"/>
      <c r="T6" s="16">
        <v>0.32152777777777802</v>
      </c>
      <c r="U6" s="16">
        <v>0.358333333333333</v>
      </c>
      <c r="V6" s="30">
        <f>(T6-U5)*24*60</f>
        <v>15.000000000000506</v>
      </c>
      <c r="W6" s="73">
        <f t="shared" si="0"/>
        <v>52.999999999999176</v>
      </c>
      <c r="X6" s="22"/>
      <c r="Y6" s="84"/>
      <c r="Z6" s="90"/>
      <c r="AA6" s="90"/>
      <c r="AB6" s="871" t="s">
        <v>168</v>
      </c>
      <c r="AC6" s="788"/>
      <c r="AD6" s="149"/>
      <c r="AE6" s="149"/>
      <c r="AF6" s="307">
        <f t="shared" si="1"/>
        <v>-110.37735849053297</v>
      </c>
      <c r="AG6" s="72">
        <f t="shared" si="2"/>
        <v>0.95094339622642976</v>
      </c>
      <c r="AH6" s="785"/>
    </row>
    <row r="7" spans="1:34" ht="15" customHeight="1">
      <c r="A7" s="755"/>
      <c r="B7" s="75" t="s">
        <v>81</v>
      </c>
      <c r="C7" s="76"/>
      <c r="D7" s="59" t="s">
        <v>113</v>
      </c>
      <c r="E7" s="77"/>
      <c r="F7" s="75">
        <f>VLOOKUP(D7,廠價表!$C$1:$E$43,3,0)</f>
        <v>50.67</v>
      </c>
      <c r="G7" s="66">
        <v>961</v>
      </c>
      <c r="H7" s="78">
        <f>F7*G7</f>
        <v>48693.87</v>
      </c>
      <c r="I7" s="73"/>
      <c r="J7" s="79">
        <f>VLOOKUP(D7,產線配置圖!$A$3:$C$40,2,0)</f>
        <v>17</v>
      </c>
      <c r="K7" s="80">
        <f>VLOOKUP(D7,產線配置圖!$A$3:$C$40,3,0)</f>
        <v>2250</v>
      </c>
      <c r="L7" s="81">
        <f>K7/J7</f>
        <v>132.35294117647058</v>
      </c>
      <c r="M7" s="82">
        <v>17</v>
      </c>
      <c r="N7" s="80">
        <f>G7/W7*60</f>
        <v>1801.87500000002</v>
      </c>
      <c r="O7" s="81">
        <f>N7/M7</f>
        <v>105.9926470588247</v>
      </c>
      <c r="P7" s="74">
        <f>M7-J7</f>
        <v>0</v>
      </c>
      <c r="Q7" s="83">
        <f>O7-L7</f>
        <v>-26.360294117645878</v>
      </c>
      <c r="R7" s="72">
        <f>O7/L7</f>
        <v>0.80083333333334228</v>
      </c>
      <c r="S7" s="749"/>
      <c r="T7" s="18">
        <v>0.36805555555555602</v>
      </c>
      <c r="U7" s="18">
        <v>0.390277777777778</v>
      </c>
      <c r="V7" s="30">
        <f t="shared" ref="V7:V10" si="3">(T7-U6)*24*60</f>
        <v>14.000000000001149</v>
      </c>
      <c r="W7" s="73">
        <f t="shared" si="0"/>
        <v>31.999999999999645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-448.12499999997999</v>
      </c>
      <c r="AG7" s="72">
        <f t="shared" si="2"/>
        <v>0.80083333333334228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3660</v>
      </c>
      <c r="H8" s="78">
        <f t="shared" ref="H8:H10" si="4">F8*G8</f>
        <v>179852.4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5">K8/J8</f>
        <v>150</v>
      </c>
      <c r="M8" s="82">
        <v>15</v>
      </c>
      <c r="N8" s="80">
        <f t="shared" ref="N8:N10" si="6">G8/W8*60</f>
        <v>1960.7142857142817</v>
      </c>
      <c r="O8" s="81">
        <f t="shared" ref="O8:O10" si="7">N8/M8</f>
        <v>130.71428571428544</v>
      </c>
      <c r="P8" s="74">
        <f t="shared" ref="P8:P10" si="8">M8-J8</f>
        <v>0</v>
      </c>
      <c r="Q8" s="83">
        <f t="shared" ref="Q8:Q10" si="9">O8-L8</f>
        <v>-19.285714285714562</v>
      </c>
      <c r="R8" s="72">
        <f t="shared" ref="R8:R10" si="10">O8/L8</f>
        <v>0.87142857142856955</v>
      </c>
      <c r="S8" s="749"/>
      <c r="T8" s="16">
        <v>0.39861111111111103</v>
      </c>
      <c r="U8" s="16">
        <v>0.47638888888888897</v>
      </c>
      <c r="V8" s="30">
        <f t="shared" si="3"/>
        <v>11.999999999999558</v>
      </c>
      <c r="W8" s="73">
        <f t="shared" si="0"/>
        <v>112.00000000000024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-289.28571428571831</v>
      </c>
      <c r="AG8" s="72">
        <f t="shared" si="2"/>
        <v>0.87142857142856966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1502</v>
      </c>
      <c r="H9" s="78">
        <f t="shared" si="4"/>
        <v>73808.28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5"/>
        <v>150</v>
      </c>
      <c r="M9" s="82">
        <v>15</v>
      </c>
      <c r="N9" s="80">
        <f t="shared" si="6"/>
        <v>2145.7142857142608</v>
      </c>
      <c r="O9" s="81">
        <f t="shared" si="7"/>
        <v>143.04761904761739</v>
      </c>
      <c r="P9" s="74">
        <f t="shared" si="8"/>
        <v>0</v>
      </c>
      <c r="Q9" s="83">
        <f t="shared" si="9"/>
        <v>-6.9523809523826117</v>
      </c>
      <c r="R9" s="72">
        <f t="shared" si="10"/>
        <v>0.95365079365078254</v>
      </c>
      <c r="S9" s="750"/>
      <c r="T9" s="16">
        <v>0.54374999999999996</v>
      </c>
      <c r="U9" s="16">
        <v>0.57291666666666696</v>
      </c>
      <c r="V9" s="30">
        <f t="shared" si="3"/>
        <v>96.999999999999815</v>
      </c>
      <c r="W9" s="73">
        <f t="shared" si="0"/>
        <v>42.00000000000049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-104.28571428573923</v>
      </c>
      <c r="AG9" s="72">
        <f t="shared" si="2"/>
        <v>0.95365079365078254</v>
      </c>
      <c r="AH9" s="786"/>
    </row>
    <row r="10" spans="1:34" ht="15" customHeight="1">
      <c r="A10" s="756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1623</v>
      </c>
      <c r="H10" s="78">
        <f t="shared" si="4"/>
        <v>71898.899999999994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5"/>
        <v>90.888888888888886</v>
      </c>
      <c r="M10" s="82">
        <v>18</v>
      </c>
      <c r="N10" s="80">
        <f t="shared" si="6"/>
        <v>1498.1538461538441</v>
      </c>
      <c r="O10" s="81">
        <f t="shared" si="7"/>
        <v>83.230769230769113</v>
      </c>
      <c r="P10" s="74">
        <f t="shared" si="8"/>
        <v>0</v>
      </c>
      <c r="Q10" s="83">
        <f t="shared" si="9"/>
        <v>-7.658119658119773</v>
      </c>
      <c r="R10" s="72">
        <f t="shared" si="10"/>
        <v>0.91574195975173844</v>
      </c>
      <c r="S10" s="750"/>
      <c r="T10" s="22">
        <v>0.57916666666666705</v>
      </c>
      <c r="U10" s="22">
        <v>0.624305555555556</v>
      </c>
      <c r="V10" s="30">
        <f t="shared" si="3"/>
        <v>9.0000000000001279</v>
      </c>
      <c r="W10" s="73">
        <f t="shared" si="0"/>
        <v>65.000000000000085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-137.84615384615586</v>
      </c>
      <c r="AG10" s="72">
        <f t="shared" si="2"/>
        <v>0.91574195975173844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>
        <v>11</v>
      </c>
      <c r="AA11" s="90">
        <v>15</v>
      </c>
      <c r="AB11" s="788" t="s">
        <v>169</v>
      </c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15.5</v>
      </c>
      <c r="K15" s="120">
        <f t="shared" si="11"/>
        <v>2147.6666666666665</v>
      </c>
      <c r="L15" s="117">
        <f t="shared" si="11"/>
        <v>141.05312552371376</v>
      </c>
      <c r="M15" s="120">
        <f t="shared" si="11"/>
        <v>15.5</v>
      </c>
      <c r="N15" s="120">
        <f t="shared" si="11"/>
        <v>1947.0133431819813</v>
      </c>
      <c r="O15" s="117">
        <f t="shared" si="11"/>
        <v>128.32861301511457</v>
      </c>
      <c r="P15" s="121">
        <f>M15-J15</f>
        <v>0</v>
      </c>
      <c r="Q15" s="122">
        <f>O15-L15</f>
        <v>-12.72451250859919</v>
      </c>
      <c r="R15" s="123">
        <f>O15/L15</f>
        <v>0.90978921976131644</v>
      </c>
      <c r="S15" s="752"/>
      <c r="T15" s="125"/>
      <c r="U15" s="125"/>
      <c r="V15" s="126"/>
      <c r="W15" s="127"/>
      <c r="X15" s="128"/>
      <c r="Y15" s="295"/>
      <c r="Z15" s="334">
        <f>SUM(Z5:Z14)</f>
        <v>11</v>
      </c>
      <c r="AA15" s="334">
        <f>SUM(AA5:AA14)</f>
        <v>15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-200.65332348468519</v>
      </c>
      <c r="AG15" s="124">
        <f>N15/K15</f>
        <v>0.90657147750208666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1369</v>
      </c>
      <c r="H16" s="134">
        <f>F16*G16</f>
        <v>77855.03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1910.2325581395419</v>
      </c>
      <c r="O16" s="141">
        <f>N16/M16</f>
        <v>136.44518272425299</v>
      </c>
      <c r="P16" s="142">
        <f>M16-J16</f>
        <v>-1</v>
      </c>
      <c r="Q16" s="143">
        <f>O16-L16</f>
        <v>-13.554817275747013</v>
      </c>
      <c r="R16" s="144">
        <f>O16/L16</f>
        <v>0.90963455149501993</v>
      </c>
      <c r="S16" s="795">
        <f>R26</f>
        <v>0.89170687449059083</v>
      </c>
      <c r="T16" s="145">
        <v>0.29166666666666702</v>
      </c>
      <c r="U16" s="145">
        <v>0.32152777777777802</v>
      </c>
      <c r="V16" s="135"/>
      <c r="W16" s="146">
        <f t="shared" ref="W16:W78" si="12">(U16-T16)*24*60</f>
        <v>42.999999999999844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-339.76744186045812</v>
      </c>
      <c r="AG16" s="52">
        <f>N16/K16</f>
        <v>0.84899224806201856</v>
      </c>
      <c r="AH16" s="784">
        <f>AG26</f>
        <v>0.87880906221715915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3141</v>
      </c>
      <c r="H17" s="78">
        <f>F17*G17</f>
        <v>159154.47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2166.2068965517119</v>
      </c>
      <c r="O17" s="96">
        <f>N17/M17</f>
        <v>166.63129973474707</v>
      </c>
      <c r="P17" s="97">
        <f>M17-J17</f>
        <v>0</v>
      </c>
      <c r="Q17" s="98">
        <f>O17-L17</f>
        <v>-6.4456233421759919</v>
      </c>
      <c r="R17" s="99">
        <f>O17/L17</f>
        <v>0.96275862068964979</v>
      </c>
      <c r="S17" s="796"/>
      <c r="T17" s="19">
        <v>0.327083333333333</v>
      </c>
      <c r="U17" s="19">
        <v>0.38750000000000001</v>
      </c>
      <c r="V17" s="30">
        <f>(T17-U16)*24*60</f>
        <v>7.9999999999991722</v>
      </c>
      <c r="W17" s="149">
        <f t="shared" si="12"/>
        <v>87.000000000000483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-83.793103448288093</v>
      </c>
      <c r="AG17" s="72">
        <f>N17/K17</f>
        <v>0.96275862068964979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3509</v>
      </c>
      <c r="H18" s="78">
        <f>F18*G18</f>
        <v>176818.51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1846.8421052631502</v>
      </c>
      <c r="O18" s="96">
        <f>N18/M18</f>
        <v>153.90350877192918</v>
      </c>
      <c r="P18" s="97">
        <f>M18-J18</f>
        <v>0</v>
      </c>
      <c r="Q18" s="98">
        <f>O18-L18</f>
        <v>-33.596491228070818</v>
      </c>
      <c r="R18" s="99">
        <f>O18/L18</f>
        <v>0.82081871345028901</v>
      </c>
      <c r="S18" s="796"/>
      <c r="T18" s="19">
        <v>0.39583333333333298</v>
      </c>
      <c r="U18" s="19">
        <v>0.47499999999999998</v>
      </c>
      <c r="V18" s="30">
        <f>(T18-U17)*24*60</f>
        <v>11.999999999999478</v>
      </c>
      <c r="W18" s="149">
        <f t="shared" si="12"/>
        <v>114.00000000000047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-403.15789473684981</v>
      </c>
      <c r="AG18" s="72">
        <f>N18/K18</f>
        <v>0.82081871345028901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993</v>
      </c>
      <c r="H19" s="78">
        <f>F19*G19</f>
        <v>50037.270000000004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1986.0000000000282</v>
      </c>
      <c r="O19" s="96">
        <f>N19/M19</f>
        <v>165.50000000000236</v>
      </c>
      <c r="P19" s="97">
        <f>M19-J19</f>
        <v>0</v>
      </c>
      <c r="Q19" s="98">
        <f>O19-L19</f>
        <v>-21.999999999997641</v>
      </c>
      <c r="R19" s="99">
        <f>O19/L19</f>
        <v>0.88266666666667926</v>
      </c>
      <c r="S19" s="796"/>
      <c r="T19" s="19">
        <v>0.54166666666666696</v>
      </c>
      <c r="U19" s="19">
        <v>0.5625</v>
      </c>
      <c r="V19" s="30">
        <f>(T19-U18)*24*60</f>
        <v>96.000000000000455</v>
      </c>
      <c r="W19" s="149">
        <f t="shared" si="12"/>
        <v>29.999999999999574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-263.99999999997181</v>
      </c>
      <c r="AG19" s="72">
        <f>N19/K19</f>
        <v>0.88266666666667914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>
        <v>15</v>
      </c>
      <c r="AA21" s="90">
        <v>17</v>
      </c>
      <c r="AB21" s="788" t="s">
        <v>169</v>
      </c>
      <c r="AC21" s="788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12.75</v>
      </c>
      <c r="N26" s="155">
        <f t="shared" si="13"/>
        <v>1977.320389988608</v>
      </c>
      <c r="O26" s="158">
        <f t="shared" si="13"/>
        <v>155.61999780773291</v>
      </c>
      <c r="P26" s="159">
        <f>M26-J26</f>
        <v>-0.25</v>
      </c>
      <c r="Q26" s="160">
        <f>O26-L26</f>
        <v>-18.899232961497859</v>
      </c>
      <c r="R26" s="161">
        <f>O26/L26</f>
        <v>0.89170687449059083</v>
      </c>
      <c r="S26" s="797"/>
      <c r="T26" s="163"/>
      <c r="U26" s="163"/>
      <c r="V26" s="164"/>
      <c r="W26" s="165"/>
      <c r="X26" s="166"/>
      <c r="Y26" s="299"/>
      <c r="Z26" s="334">
        <f>SUM(Z16:Z25)</f>
        <v>15</v>
      </c>
      <c r="AA26" s="334">
        <f>SUM(AA16:AA25)</f>
        <v>17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-272.67961001139201</v>
      </c>
      <c r="AG26" s="124">
        <f t="shared" ref="AG26:AG31" si="15">N26/K26</f>
        <v>0.87880906221715915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1174</v>
      </c>
      <c r="H27" s="134">
        <f>F27*G27</f>
        <v>54403.16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1565.3333333333333</v>
      </c>
      <c r="O27" s="141">
        <f>N27/M27</f>
        <v>97.833333333333329</v>
      </c>
      <c r="P27" s="142">
        <f>M27-J27</f>
        <v>0</v>
      </c>
      <c r="Q27" s="143">
        <f>O27-L27</f>
        <v>-4.4166666666666714</v>
      </c>
      <c r="R27" s="144">
        <f>O27/L27</f>
        <v>0.9568052159739201</v>
      </c>
      <c r="S27" s="795">
        <f>R37</f>
        <v>0.8882621837009097</v>
      </c>
      <c r="T27" s="171">
        <v>0.29166666666666702</v>
      </c>
      <c r="U27" s="171">
        <v>0.32291666666666702</v>
      </c>
      <c r="V27" s="135"/>
      <c r="W27" s="146">
        <f t="shared" si="12"/>
        <v>45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-70.666666666666742</v>
      </c>
      <c r="AG27" s="172">
        <f t="shared" si="15"/>
        <v>0.9568052159739201</v>
      </c>
      <c r="AH27" s="784">
        <f>AG37</f>
        <v>0.82273912638539493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783</v>
      </c>
      <c r="H28" s="91">
        <f>F28*G28</f>
        <v>44795.43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1174.49999999999</v>
      </c>
      <c r="O28" s="96">
        <f>N28/M28</f>
        <v>73.406249999999375</v>
      </c>
      <c r="P28" s="97">
        <f>M28-J28</f>
        <v>-2</v>
      </c>
      <c r="Q28" s="98">
        <f>O28-L28</f>
        <v>-17.482638888889511</v>
      </c>
      <c r="R28" s="99">
        <f>O28/L28</f>
        <v>0.80764822738385622</v>
      </c>
      <c r="S28" s="796"/>
      <c r="T28" s="19">
        <v>0.328472222222222</v>
      </c>
      <c r="U28" s="19">
        <v>0.35625000000000001</v>
      </c>
      <c r="V28" s="92">
        <f>(T28-U27)*24*60</f>
        <v>7.9999999999991722</v>
      </c>
      <c r="W28" s="149">
        <f t="shared" si="12"/>
        <v>40.000000000000341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-461.50000000001</v>
      </c>
      <c r="AG28" s="99">
        <f t="shared" si="15"/>
        <v>0.71790953545231662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1247</v>
      </c>
      <c r="H29" s="91">
        <f>F29*G29</f>
        <v>62237.77</v>
      </c>
      <c r="I29" s="92"/>
      <c r="J29" s="79">
        <f>VLOOKUP(D29,產線配置圖!$A$3:$C$40,2,0)</f>
        <v>18</v>
      </c>
      <c r="K29" s="80">
        <f>VLOOKUP(D29,產線配置圖!$A$3:$C$40,3,0)</f>
        <v>2250</v>
      </c>
      <c r="L29" s="93">
        <f>K29/J29</f>
        <v>125</v>
      </c>
      <c r="M29" s="94">
        <v>16</v>
      </c>
      <c r="N29" s="95">
        <f>G29/W29*60</f>
        <v>1662.6666666666667</v>
      </c>
      <c r="O29" s="96">
        <f>N29/M29</f>
        <v>103.91666666666667</v>
      </c>
      <c r="P29" s="97">
        <f>M29-J29</f>
        <v>-2</v>
      </c>
      <c r="Q29" s="98">
        <f>O29-L29</f>
        <v>-21.083333333333329</v>
      </c>
      <c r="R29" s="99">
        <f>O29/L29</f>
        <v>0.83133333333333337</v>
      </c>
      <c r="S29" s="796"/>
      <c r="T29" s="19">
        <v>0.36319444444444399</v>
      </c>
      <c r="U29" s="19">
        <v>0.39444444444444399</v>
      </c>
      <c r="V29" s="92">
        <f>(T29-U28)*24*60</f>
        <v>9.999999999999325</v>
      </c>
      <c r="W29" s="149">
        <f t="shared" si="12"/>
        <v>45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-587.33333333333326</v>
      </c>
      <c r="AG29" s="99">
        <f t="shared" si="15"/>
        <v>0.73896296296296304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669</v>
      </c>
      <c r="H30" s="91">
        <f>F30*G30</f>
        <v>30546.539999999997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16</v>
      </c>
      <c r="N30" s="95">
        <f>G30/W30*60</f>
        <v>1486.6666666666674</v>
      </c>
      <c r="O30" s="96">
        <f>N30/M30</f>
        <v>92.916666666666714</v>
      </c>
      <c r="P30" s="97">
        <f>M30-J30</f>
        <v>-1</v>
      </c>
      <c r="Q30" s="98">
        <f>O30-L30</f>
        <v>-3.318627450980344</v>
      </c>
      <c r="R30" s="99">
        <f>O30/L30</f>
        <v>0.96551548492257588</v>
      </c>
      <c r="S30" s="796"/>
      <c r="T30" s="19">
        <v>0.40138888888888902</v>
      </c>
      <c r="U30" s="19">
        <v>0.42013888888888901</v>
      </c>
      <c r="V30" s="92">
        <f>(T30-U29)*24*60</f>
        <v>10.000000000000844</v>
      </c>
      <c r="W30" s="149">
        <f t="shared" si="12"/>
        <v>26.999999999999986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-149.33333333333258</v>
      </c>
      <c r="AG30" s="99">
        <f t="shared" si="15"/>
        <v>0.90872045639771848</v>
      </c>
      <c r="AH30" s="806"/>
    </row>
    <row r="31" spans="1:34" ht="15" customHeight="1">
      <c r="A31" s="793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0</v>
      </c>
      <c r="AG31" s="99" t="e">
        <f t="shared" si="15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6">AVERAGE(J27:J36)</f>
        <v>17.25</v>
      </c>
      <c r="K37" s="155">
        <f t="shared" si="16"/>
        <v>1789.5</v>
      </c>
      <c r="L37" s="158">
        <f t="shared" si="16"/>
        <v>103.593545751634</v>
      </c>
      <c r="M37" s="155">
        <f t="shared" si="16"/>
        <v>16</v>
      </c>
      <c r="N37" s="155">
        <f t="shared" si="16"/>
        <v>1472.2916666666642</v>
      </c>
      <c r="O37" s="158">
        <f t="shared" si="16"/>
        <v>92.018229166666515</v>
      </c>
      <c r="P37" s="159">
        <f>M37-J37</f>
        <v>-1.25</v>
      </c>
      <c r="Q37" s="160">
        <f>N37-K37</f>
        <v>-317.20833333333576</v>
      </c>
      <c r="R37" s="161">
        <f>O37/L37</f>
        <v>0.8882621837009097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-317.20833333333576</v>
      </c>
      <c r="AG37" s="124">
        <f>N37/K37</f>
        <v>0.82273912638539493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2147</v>
      </c>
      <c r="H38" s="134">
        <f>F38*G38</f>
        <v>107156.76999999999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1610.2499999999864</v>
      </c>
      <c r="O38" s="141">
        <f>N38/M38</f>
        <v>100.64062499999915</v>
      </c>
      <c r="P38" s="142">
        <f>M38-J38</f>
        <v>0</v>
      </c>
      <c r="Q38" s="143">
        <f>O38-L38</f>
        <v>-6.4843750000008527</v>
      </c>
      <c r="R38" s="144">
        <f>O38/L38</f>
        <v>0.93946907817968861</v>
      </c>
      <c r="S38" s="817">
        <f>R48</f>
        <v>0.94269279328372557</v>
      </c>
      <c r="T38" s="191">
        <v>0.33333333333333298</v>
      </c>
      <c r="U38" s="191">
        <v>0.38888888888888901</v>
      </c>
      <c r="V38" s="192"/>
      <c r="W38" s="193">
        <f t="shared" si="12"/>
        <v>80.000000000000682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-103.75000000001364</v>
      </c>
      <c r="AG38" s="195">
        <f>N38/K38</f>
        <v>0.93946907817968861</v>
      </c>
      <c r="AH38" s="807">
        <f>AG48</f>
        <v>0.94289896670493156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3355</v>
      </c>
      <c r="H39" s="91">
        <f>F39*G39</f>
        <v>148626.5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1548.4615384615342</v>
      </c>
      <c r="O39" s="203">
        <f>N39/M39</f>
        <v>86.025641025640795</v>
      </c>
      <c r="P39" s="97">
        <f>M39-J39</f>
        <v>0</v>
      </c>
      <c r="Q39" s="98">
        <f>O39-L39</f>
        <v>-4.8632478632480911</v>
      </c>
      <c r="R39" s="99">
        <f>O39/L39</f>
        <v>0.94649238292269822</v>
      </c>
      <c r="S39" s="818"/>
      <c r="T39" s="20">
        <v>0.39583333333333298</v>
      </c>
      <c r="U39" s="20">
        <v>0.48611111111111099</v>
      </c>
      <c r="V39" s="92">
        <f>(T39-U38)*24*60</f>
        <v>9.999999999999325</v>
      </c>
      <c r="W39" s="205">
        <f t="shared" si="12"/>
        <v>130.00000000000034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-87.538461538465754</v>
      </c>
      <c r="AG39" s="206">
        <f>N39/K39</f>
        <v>0.94649238292269822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8">AVERAGE(J38:J47)</f>
        <v>17</v>
      </c>
      <c r="K48" s="155">
        <f t="shared" si="18"/>
        <v>1675</v>
      </c>
      <c r="L48" s="158">
        <f t="shared" si="18"/>
        <v>99.006944444444443</v>
      </c>
      <c r="M48" s="155">
        <f t="shared" si="18"/>
        <v>17</v>
      </c>
      <c r="N48" s="155">
        <f t="shared" si="18"/>
        <v>1579.3557692307604</v>
      </c>
      <c r="O48" s="158">
        <f t="shared" si="18"/>
        <v>93.333133012819971</v>
      </c>
      <c r="P48" s="221">
        <f>M48-J48</f>
        <v>0</v>
      </c>
      <c r="Q48" s="222">
        <f>N48-K48</f>
        <v>-95.644230769239584</v>
      </c>
      <c r="R48" s="223">
        <f>O48/L48</f>
        <v>0.94269279328372557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9">N48-K48</f>
        <v>-95.644230769239584</v>
      </c>
      <c r="AG48" s="162">
        <f t="shared" ref="AG48:AG53" si="20">N48/K48</f>
        <v>0.94289896670493156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1812</v>
      </c>
      <c r="H49" s="134">
        <f>F49*G49</f>
        <v>89730.240000000005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1575.6521739130656</v>
      </c>
      <c r="O49" s="141">
        <f>N49/M49</f>
        <v>92.685421994886212</v>
      </c>
      <c r="P49" s="229">
        <f>M49-J49</f>
        <v>0</v>
      </c>
      <c r="Q49" s="230">
        <f>O49-L49</f>
        <v>-13.196930946290252</v>
      </c>
      <c r="R49" s="52">
        <f>O49/L49</f>
        <v>0.87536231884059201</v>
      </c>
      <c r="S49" s="748">
        <f>R58</f>
        <v>0.88852598232740454</v>
      </c>
      <c r="T49" s="191">
        <v>0.29166666666666702</v>
      </c>
      <c r="U49" s="191">
        <v>0.33958333333333302</v>
      </c>
      <c r="V49" s="55"/>
      <c r="W49" s="193">
        <f t="shared" si="12"/>
        <v>68.999999999999034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9"/>
        <v>-224.34782608693445</v>
      </c>
      <c r="AG49" s="52">
        <f t="shared" si="20"/>
        <v>0.87536231884059201</v>
      </c>
      <c r="AH49" s="784">
        <f>AG58</f>
        <v>0.88787518991624703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1796</v>
      </c>
      <c r="H50" s="231">
        <f>F50*G50</f>
        <v>90319.044000000009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1399.4805194804983</v>
      </c>
      <c r="O50" s="235">
        <f>N50/M50</f>
        <v>82.322383498852844</v>
      </c>
      <c r="P50" s="74">
        <f>M50-J50</f>
        <v>0</v>
      </c>
      <c r="Q50" s="83">
        <f>O50-L50</f>
        <v>-13.912910618794214</v>
      </c>
      <c r="R50" s="72">
        <f>O50/L50</f>
        <v>0.85542819039150264</v>
      </c>
      <c r="S50" s="749"/>
      <c r="T50" s="21">
        <v>0.34583333333333299</v>
      </c>
      <c r="U50" s="21">
        <v>0.39930555555555602</v>
      </c>
      <c r="V50" s="30">
        <f>(T50-U49)*24*60</f>
        <v>8.999999999999968</v>
      </c>
      <c r="W50" s="236">
        <f t="shared" si="12"/>
        <v>77.000000000001165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9"/>
        <v>-236.51948051950171</v>
      </c>
      <c r="AG50" s="72">
        <f t="shared" si="20"/>
        <v>0.85542819039150264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1927</v>
      </c>
      <c r="H51" s="231">
        <f>F51*G51</f>
        <v>96292.19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1541.6000000000106</v>
      </c>
      <c r="O51" s="235">
        <f>N51/M51</f>
        <v>96.350000000000662</v>
      </c>
      <c r="P51" s="74">
        <f>M51-J51</f>
        <v>0</v>
      </c>
      <c r="Q51" s="83">
        <f>O51-L51</f>
        <v>-16.149999999999338</v>
      </c>
      <c r="R51" s="72">
        <f>O51/L51</f>
        <v>0.85644444444445034</v>
      </c>
      <c r="S51" s="749"/>
      <c r="T51" s="21">
        <v>0.40625</v>
      </c>
      <c r="U51" s="19">
        <v>0.45833333333333298</v>
      </c>
      <c r="V51" s="30">
        <f>(T51-U50)*24*60</f>
        <v>9.999999999999325</v>
      </c>
      <c r="W51" s="236">
        <f t="shared" si="12"/>
        <v>74.999999999999488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9"/>
        <v>-258.3999999999894</v>
      </c>
      <c r="AG51" s="72">
        <f t="shared" si="20"/>
        <v>0.85644444444445034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3230</v>
      </c>
      <c r="H52" s="231">
        <f>F52*G52</f>
        <v>161403.1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1730.357142857139</v>
      </c>
      <c r="O52" s="235">
        <f>N52/M52</f>
        <v>108.14732142857119</v>
      </c>
      <c r="P52" s="74">
        <f>M52-J52</f>
        <v>0</v>
      </c>
      <c r="Q52" s="83">
        <f>O52-L52</f>
        <v>-4.352678571428811</v>
      </c>
      <c r="R52" s="72">
        <f>O52/L52</f>
        <v>0.96130952380952173</v>
      </c>
      <c r="S52" s="749"/>
      <c r="T52" s="21">
        <v>0.51736111111111105</v>
      </c>
      <c r="U52" s="21">
        <v>0.59513888888888899</v>
      </c>
      <c r="V52" s="30">
        <f>(T52-U51)*24*60</f>
        <v>85.000000000000412</v>
      </c>
      <c r="W52" s="236">
        <f t="shared" si="12"/>
        <v>112.00000000000024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9"/>
        <v>-69.642857142860976</v>
      </c>
      <c r="AG52" s="72">
        <f t="shared" si="20"/>
        <v>0.96130952380952173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9"/>
        <v>0</v>
      </c>
      <c r="AG53" s="72" t="e">
        <f t="shared" si="20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1">AVERAGE(J49:J57)</f>
        <v>16.5</v>
      </c>
      <c r="K58" s="120">
        <f t="shared" si="21"/>
        <v>1759</v>
      </c>
      <c r="L58" s="117">
        <f t="shared" si="21"/>
        <v>106.77941176470588</v>
      </c>
      <c r="M58" s="120">
        <f t="shared" si="21"/>
        <v>16.5</v>
      </c>
      <c r="N58" s="120">
        <f t="shared" si="21"/>
        <v>1561.7724590626785</v>
      </c>
      <c r="O58" s="117">
        <f t="shared" si="21"/>
        <v>94.876281730577716</v>
      </c>
      <c r="P58" s="121">
        <f>M58-J58</f>
        <v>0</v>
      </c>
      <c r="Q58" s="122">
        <f>N58-K58</f>
        <v>-197.22754093732146</v>
      </c>
      <c r="R58" s="123">
        <f>O58/L58</f>
        <v>0.88852598232740454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-197.22754093732146</v>
      </c>
      <c r="AG58" s="124">
        <f>N58/K58</f>
        <v>0.88787518991624703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2899</v>
      </c>
      <c r="H59" s="243">
        <f>F59*G59</f>
        <v>78244.009999999995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1581.2727272727248</v>
      </c>
      <c r="O59" s="138">
        <f>N59/M59</f>
        <v>105.41818181818165</v>
      </c>
      <c r="P59" s="56">
        <f>M59-J59</f>
        <v>0</v>
      </c>
      <c r="Q59" s="230">
        <f>O59-L59</f>
        <v>-3.6484848484850119</v>
      </c>
      <c r="R59" s="52">
        <f>O59/L59</f>
        <v>0.96654812180484406</v>
      </c>
      <c r="S59" s="748">
        <f>R69</f>
        <v>0.89479286855229834</v>
      </c>
      <c r="T59" s="245">
        <v>0.29166666666666702</v>
      </c>
      <c r="U59" s="245">
        <v>0.36805555555555602</v>
      </c>
      <c r="V59" s="55"/>
      <c r="W59" s="54">
        <f t="shared" si="12"/>
        <v>110.00000000000017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-54.727272727275249</v>
      </c>
      <c r="AG59" s="246">
        <f>N59/K59</f>
        <v>0.96654812180484395</v>
      </c>
      <c r="AH59" s="784">
        <f>AG69</f>
        <v>0.86488650713589865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1137</v>
      </c>
      <c r="H60" s="78">
        <f>F60*G60</f>
        <v>32131.620000000003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1364.4000000000092</v>
      </c>
      <c r="O60" s="81">
        <f>N60/M60</f>
        <v>124.03636363636447</v>
      </c>
      <c r="P60" s="74">
        <f>M60-J60</f>
        <v>0</v>
      </c>
      <c r="Q60" s="83">
        <f>O60-L60</f>
        <v>-24.690909090908249</v>
      </c>
      <c r="R60" s="72">
        <f>O60/L60</f>
        <v>0.83398533007335529</v>
      </c>
      <c r="S60" s="829"/>
      <c r="T60" s="22">
        <v>0.375</v>
      </c>
      <c r="U60" s="22">
        <v>0.40972222222222199</v>
      </c>
      <c r="V60" s="30">
        <f>(T60-U59)*24*60</f>
        <v>9.999999999999325</v>
      </c>
      <c r="W60" s="248">
        <f t="shared" si="12"/>
        <v>49.999999999999659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-271.59999999999081</v>
      </c>
      <c r="AG60" s="249">
        <f>N60/K60</f>
        <v>0.83398533007335529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799</v>
      </c>
      <c r="H61" s="78">
        <f t="shared" ref="H61:H63" si="22">F61*G61</f>
        <v>22579.74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23">K61/J61</f>
        <v>148.72727272727272</v>
      </c>
      <c r="M61" s="108">
        <v>11</v>
      </c>
      <c r="N61" s="107">
        <f>G61/W61*60</f>
        <v>1369.7142857143187</v>
      </c>
      <c r="O61" s="238">
        <f>N61/M61</f>
        <v>124.51948051948352</v>
      </c>
      <c r="P61" s="111">
        <f>M61-J61</f>
        <v>0</v>
      </c>
      <c r="Q61" s="255">
        <f>O61-L61</f>
        <v>-24.207792207789197</v>
      </c>
      <c r="R61" s="85">
        <f>O61/L61</f>
        <v>0.8372336709745225</v>
      </c>
      <c r="S61" s="749"/>
      <c r="T61" s="22">
        <v>0.41666666666666702</v>
      </c>
      <c r="U61" s="22">
        <v>0.44097222222222199</v>
      </c>
      <c r="V61" s="30">
        <f t="shared" ref="V61:V63" si="24">(T61-U60)*24*60</f>
        <v>10.000000000000844</v>
      </c>
      <c r="W61" s="256">
        <f t="shared" si="12"/>
        <v>34.999999999999154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-266.28571428568125</v>
      </c>
      <c r="AG61" s="247">
        <f>N61/K61</f>
        <v>0.8372336709745225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1529</v>
      </c>
      <c r="H62" s="78">
        <f t="shared" si="22"/>
        <v>43209.54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23"/>
        <v>148.72727272727272</v>
      </c>
      <c r="M62" s="108">
        <v>10</v>
      </c>
      <c r="N62" s="107">
        <f t="shared" ref="N62:N63" si="25">G62/W62*60</f>
        <v>1411.3846153846116</v>
      </c>
      <c r="O62" s="238">
        <f t="shared" ref="O62:O63" si="26">N62/M62</f>
        <v>141.13846153846117</v>
      </c>
      <c r="P62" s="111">
        <f t="shared" ref="P62:P63" si="27">M62-J62</f>
        <v>-1</v>
      </c>
      <c r="Q62" s="255">
        <f t="shared" ref="Q62:Q63" si="28">O62-L62</f>
        <v>-7.5888111888115475</v>
      </c>
      <c r="R62" s="85">
        <f t="shared" ref="R62:R63" si="29">O62/L62</f>
        <v>0.94897498589429885</v>
      </c>
      <c r="S62" s="749"/>
      <c r="T62" s="22">
        <v>0.44791666666666702</v>
      </c>
      <c r="U62" s="22">
        <v>0.49305555555555602</v>
      </c>
      <c r="V62" s="30">
        <f t="shared" si="24"/>
        <v>10.000000000000844</v>
      </c>
      <c r="W62" s="248">
        <f t="shared" si="12"/>
        <v>65.000000000000171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-224.61538461538839</v>
      </c>
      <c r="AG62" s="247">
        <f>N62/K62</f>
        <v>0.86270453263118074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1348</v>
      </c>
      <c r="H63" s="78">
        <f t="shared" si="22"/>
        <v>38094.480000000003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23"/>
        <v>148.72727272727272</v>
      </c>
      <c r="M63" s="68">
        <v>10</v>
      </c>
      <c r="N63" s="107">
        <f t="shared" si="25"/>
        <v>1347.9999999999868</v>
      </c>
      <c r="O63" s="238">
        <f t="shared" si="26"/>
        <v>134.79999999999868</v>
      </c>
      <c r="P63" s="111">
        <f t="shared" si="27"/>
        <v>-1</v>
      </c>
      <c r="Q63" s="255">
        <f t="shared" si="28"/>
        <v>-13.927272727274044</v>
      </c>
      <c r="R63" s="85">
        <f t="shared" si="29"/>
        <v>0.90635696821515011</v>
      </c>
      <c r="S63" s="749"/>
      <c r="T63" s="22">
        <v>0.54513888888888895</v>
      </c>
      <c r="U63" s="22">
        <v>0.58680555555555602</v>
      </c>
      <c r="V63" s="30">
        <f t="shared" si="24"/>
        <v>74.999999999999417</v>
      </c>
      <c r="W63" s="248">
        <f t="shared" si="12"/>
        <v>60.000000000000583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0">AVERAGE(J59:J68)</f>
        <v>11.8</v>
      </c>
      <c r="K69" s="240">
        <f t="shared" si="30"/>
        <v>1636</v>
      </c>
      <c r="L69" s="268">
        <f t="shared" si="30"/>
        <v>140.79515151515153</v>
      </c>
      <c r="M69" s="240">
        <f t="shared" si="30"/>
        <v>11.4</v>
      </c>
      <c r="N69" s="240">
        <f t="shared" si="30"/>
        <v>1414.9543256743302</v>
      </c>
      <c r="O69" s="268">
        <f t="shared" si="30"/>
        <v>125.98249750249791</v>
      </c>
      <c r="P69" s="269">
        <f>M69-J69</f>
        <v>-0.40000000000000036</v>
      </c>
      <c r="Q69" s="222">
        <f>N69-K69</f>
        <v>-221.04567432566978</v>
      </c>
      <c r="R69" s="123">
        <f>O69/L69</f>
        <v>0.89479286855229834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-221.04567432566978</v>
      </c>
      <c r="AG69" s="124">
        <f>N69/K69</f>
        <v>0.86488650713589865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264</v>
      </c>
      <c r="H70" s="243">
        <f>F70*G70</f>
        <v>11586.960000000001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9</v>
      </c>
      <c r="N70" s="137">
        <f>G70/W70*60</f>
        <v>719.99999999998954</v>
      </c>
      <c r="O70" s="138">
        <f>N70/M70</f>
        <v>79.999999999998835</v>
      </c>
      <c r="P70" s="56">
        <f>M70-J70</f>
        <v>-5</v>
      </c>
      <c r="Q70" s="230">
        <f>O70-L70</f>
        <v>-31.785714285715457</v>
      </c>
      <c r="R70" s="52">
        <f>O70/L70</f>
        <v>0.71565495207666685</v>
      </c>
      <c r="S70" s="748">
        <f>R79</f>
        <v>0.84484588718406683</v>
      </c>
      <c r="T70" s="245">
        <v>0.297222222222222</v>
      </c>
      <c r="U70" s="245">
        <v>0.3125</v>
      </c>
      <c r="V70" s="55"/>
      <c r="W70" s="54">
        <f t="shared" si="12"/>
        <v>22.00000000000032</v>
      </c>
      <c r="X70" s="270"/>
      <c r="Y70" s="292"/>
      <c r="Z70" s="169"/>
      <c r="AA70" s="169"/>
      <c r="AB70" s="791" t="s">
        <v>149</v>
      </c>
      <c r="AC70" s="791"/>
      <c r="AD70" s="135"/>
      <c r="AE70" s="135"/>
      <c r="AF70" s="310">
        <f>N70-K70</f>
        <v>-845.00000000001046</v>
      </c>
      <c r="AG70" s="246">
        <f>N70/K70</f>
        <v>0.46006389776357159</v>
      </c>
      <c r="AH70" s="784">
        <f>AG79</f>
        <v>0.56400425985090186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1568</v>
      </c>
      <c r="H71" s="78">
        <f>F71*G71</f>
        <v>68819.520000000004</v>
      </c>
      <c r="I71" s="30"/>
      <c r="J71" s="79">
        <f>VLOOKUP(D71,產線配置圖!$A$3:$C$40,2,0)</f>
        <v>13</v>
      </c>
      <c r="K71" s="80">
        <f>VLOOKUP(D71,產線配置圖!$A$3:$C$40,3,0)</f>
        <v>1565</v>
      </c>
      <c r="L71" s="81">
        <f>K71/J71</f>
        <v>120.38461538461539</v>
      </c>
      <c r="M71" s="82">
        <v>9</v>
      </c>
      <c r="N71" s="107">
        <f>G71/W71*60</f>
        <v>1045.3333333333333</v>
      </c>
      <c r="O71" s="238">
        <f>N71/M71</f>
        <v>116.14814814814814</v>
      </c>
      <c r="P71" s="111">
        <f>M71-J71</f>
        <v>-4</v>
      </c>
      <c r="Q71" s="255">
        <f>O71-L71</f>
        <v>-4.2364672364672487</v>
      </c>
      <c r="R71" s="85">
        <f>O71/L71</f>
        <v>0.9648088983552241</v>
      </c>
      <c r="S71" s="749"/>
      <c r="T71" s="22">
        <v>0.32291666666666702</v>
      </c>
      <c r="U71" s="22">
        <v>0.38541666666666702</v>
      </c>
      <c r="V71" s="30">
        <f>(T71-U70)*24*60</f>
        <v>15.000000000000506</v>
      </c>
      <c r="W71" s="73">
        <f t="shared" si="12"/>
        <v>90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1">AVERAGE(J70:J78)</f>
        <v>13.5</v>
      </c>
      <c r="K79" s="240">
        <f t="shared" si="31"/>
        <v>1565</v>
      </c>
      <c r="L79" s="268">
        <f t="shared" si="31"/>
        <v>116.08516483516485</v>
      </c>
      <c r="M79" s="240">
        <f t="shared" si="31"/>
        <v>9</v>
      </c>
      <c r="N79" s="240">
        <f t="shared" si="31"/>
        <v>882.6666666666614</v>
      </c>
      <c r="O79" s="268">
        <f t="shared" si="31"/>
        <v>98.074074074073479</v>
      </c>
      <c r="P79" s="269">
        <f>M79-J79</f>
        <v>-4.5</v>
      </c>
      <c r="Q79" s="222">
        <f>N79-K79</f>
        <v>-682.3333333333386</v>
      </c>
      <c r="R79" s="223">
        <f>O79/L79</f>
        <v>0.84484588718406683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-682.3333333333386</v>
      </c>
      <c r="AG79" s="124">
        <f>N79/K79</f>
        <v>0.56400425985090186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68" priority="1" operator="greaterThan">
      <formula>0</formula>
    </cfRule>
  </conditionalFormatting>
  <conditionalFormatting sqref="Q5:Q79 AF5:AF79">
    <cfRule type="cellIs" dxfId="167" priority="4" operator="lessThan">
      <formula>0</formula>
    </cfRule>
  </conditionalFormatting>
  <conditionalFormatting sqref="R5:R79 AG5:AG79">
    <cfRule type="cellIs" dxfId="166" priority="2" operator="greaterThan">
      <formula>1</formula>
    </cfRule>
    <cfRule type="cellIs" dxfId="165" priority="3" operator="lessThan">
      <formula>0.8</formula>
    </cfRule>
  </conditionalFormatting>
  <conditionalFormatting sqref="S5:S10 S37:S62 AH59:AH62 S69:S76 AH69:AH76">
    <cfRule type="cellIs" dxfId="164" priority="7" operator="lessThan">
      <formula>0.8</formula>
    </cfRule>
  </conditionalFormatting>
  <conditionalFormatting sqref="S19:S25 AH19:AH25">
    <cfRule type="cellIs" dxfId="163" priority="6" operator="lessThan">
      <formula>0.8</formula>
    </cfRule>
  </conditionalFormatting>
  <conditionalFormatting sqref="S79">
    <cfRule type="cellIs" dxfId="162" priority="5" operator="lessThan">
      <formula>0.8</formula>
    </cfRule>
  </conditionalFormatting>
  <conditionalFormatting sqref="AH5:AH8 S15:S16 AH15:AH16 AH49 AH79">
    <cfRule type="cellIs" dxfId="161" priority="9" operator="lessThan">
      <formula>0.8</formula>
    </cfRule>
  </conditionalFormatting>
  <conditionalFormatting sqref="AH27 S27:S28">
    <cfRule type="cellIs" dxfId="1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6EE2-AB5B-463F-AA5D-A20ECE1CD0AE}">
  <dimension ref="B1:O26"/>
  <sheetViews>
    <sheetView topLeftCell="B1" zoomScale="70" zoomScaleNormal="70" workbookViewId="0">
      <selection activeCell="T12" sqref="T12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DATE(2026,8,16)</f>
        <v>46250</v>
      </c>
      <c r="E3" s="706"/>
      <c r="F3" s="3" t="s">
        <v>72</v>
      </c>
      <c r="G3" s="707">
        <f>'0816'!E1</f>
        <v>62468</v>
      </c>
      <c r="H3" s="707"/>
      <c r="I3" s="3" t="s">
        <v>2</v>
      </c>
      <c r="J3" s="708">
        <f>'0816'!G1</f>
        <v>2897553.361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124.97747419091957</v>
      </c>
      <c r="G6" s="713"/>
      <c r="H6" s="714">
        <f>AVERAGE(D13:H13)</f>
        <v>124.65001675884028</v>
      </c>
      <c r="I6" s="714"/>
      <c r="J6" s="714">
        <f>AVERAGE(I13:J13)</f>
        <v>125.79611777111778</v>
      </c>
      <c r="K6" s="714"/>
      <c r="L6" s="716">
        <f>'0816'!Z2</f>
        <v>0</v>
      </c>
      <c r="M6" s="717">
        <f>'0816'!AA2</f>
        <v>0</v>
      </c>
      <c r="N6" s="718">
        <f>'0816'!AD2</f>
        <v>0</v>
      </c>
      <c r="O6" s="717">
        <f>'0816'!AE2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110.99213702619947</v>
      </c>
      <c r="G7" s="737"/>
      <c r="H7" s="738">
        <f>AVERAGE(D14:H14)</f>
        <v>112.70737544759922</v>
      </c>
      <c r="I7" s="738"/>
      <c r="J7" s="738">
        <f>AVERAGE(I14:J14)</f>
        <v>106.70404097270014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0.88570184857182055</v>
      </c>
      <c r="G8" s="710"/>
      <c r="H8" s="710">
        <f>AVERAGE(D15:H15)</f>
        <v>0.90410238405875842</v>
      </c>
      <c r="I8" s="710"/>
      <c r="J8" s="710">
        <f>AVERAGE(I15:J15)</f>
        <v>0.83970050985447575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VALUE('0816'!L15)</f>
        <v>151.08597285067873</v>
      </c>
      <c r="E13" s="13">
        <f>VALUE('0816'!L26)</f>
        <v>174.51923076923077</v>
      </c>
      <c r="F13" s="13">
        <f>VALUE('0816'!L37)</f>
        <v>94.564542483660134</v>
      </c>
      <c r="G13" s="13">
        <f>VALUE('0816'!L48)</f>
        <v>96.300925925925924</v>
      </c>
      <c r="H13" s="13">
        <f>VALUE('0816'!L58)</f>
        <v>106.77941176470588</v>
      </c>
      <c r="I13" s="13">
        <f>VALUE('0816'!L69)</f>
        <v>135.50707070707071</v>
      </c>
      <c r="J13" s="13">
        <f>'0816'!L79</f>
        <v>116.08516483516485</v>
      </c>
    </row>
    <row r="14" spans="2:15" ht="39.950000000000003" customHeight="1">
      <c r="B14" s="731"/>
      <c r="C14" s="12" t="s">
        <v>100</v>
      </c>
      <c r="D14" s="13">
        <f>VALUE('0816'!O15)</f>
        <v>134.60519254633954</v>
      </c>
      <c r="E14" s="13">
        <f>VALUE('0816'!O26)</f>
        <v>160.40047214791713</v>
      </c>
      <c r="F14" s="13">
        <f>VALUE('0816'!O37)</f>
        <v>87.475279526593567</v>
      </c>
      <c r="G14" s="13">
        <f>VALUE('0816'!O48)</f>
        <v>88.178535353535196</v>
      </c>
      <c r="H14" s="13">
        <f>VALUE('0816'!O58)</f>
        <v>92.877397663610736</v>
      </c>
      <c r="I14" s="13">
        <f>VALUE('0816'!O69)</f>
        <v>128.75772171881545</v>
      </c>
      <c r="J14" s="13">
        <f>'0816'!O79</f>
        <v>84.650360226584837</v>
      </c>
    </row>
    <row r="15" spans="2:15" ht="39.950000000000003" customHeight="1">
      <c r="B15" s="732"/>
      <c r="C15" s="10" t="s">
        <v>26</v>
      </c>
      <c r="D15" s="14">
        <f t="shared" ref="D15:I15" si="0">D14/D13</f>
        <v>0.89091786620967472</v>
      </c>
      <c r="E15" s="14">
        <f t="shared" si="0"/>
        <v>0.91909912415335437</v>
      </c>
      <c r="F15" s="14">
        <f t="shared" si="0"/>
        <v>0.9250325463342508</v>
      </c>
      <c r="G15" s="14">
        <f t="shared" si="0"/>
        <v>0.91565615289474556</v>
      </c>
      <c r="H15" s="14">
        <f t="shared" si="0"/>
        <v>0.86980623070176699</v>
      </c>
      <c r="I15" s="14">
        <f t="shared" si="0"/>
        <v>0.95019190546266397</v>
      </c>
      <c r="J15" s="15">
        <f>'0816'!S70</f>
        <v>0.72920911424628754</v>
      </c>
    </row>
    <row r="16" spans="2:15" ht="17.25" customHeight="1">
      <c r="B16" s="733" t="s">
        <v>101</v>
      </c>
      <c r="C16" s="10" t="s">
        <v>34</v>
      </c>
      <c r="D16" s="16">
        <f>'0816'!T5</f>
        <v>0.29305555555555601</v>
      </c>
      <c r="E16" s="16">
        <f>'0816'!T16</f>
        <v>0.29166666666666702</v>
      </c>
      <c r="F16" s="16">
        <f>'0816'!T27</f>
        <v>0.29166666666666702</v>
      </c>
      <c r="G16" s="16">
        <f>'0816'!T38</f>
        <v>0.33333333333333298</v>
      </c>
      <c r="H16" s="16">
        <f>'0816'!T49</f>
        <v>0.29166666666666702</v>
      </c>
      <c r="I16" s="16">
        <f>'0816'!T59</f>
        <v>0.29166666666666702</v>
      </c>
      <c r="J16" s="17">
        <f>'0816'!T70</f>
        <v>0.30416666666666697</v>
      </c>
    </row>
    <row r="17" spans="2:10" ht="17.25" customHeight="1">
      <c r="B17" s="734"/>
      <c r="C17" s="10" t="s">
        <v>35</v>
      </c>
      <c r="D17" s="327">
        <v>0.63194444444444398</v>
      </c>
      <c r="E17" s="19">
        <v>0.60694444444444395</v>
      </c>
      <c r="F17" s="183">
        <v>0.57152777777777797</v>
      </c>
      <c r="G17" s="21">
        <v>0.65625</v>
      </c>
      <c r="H17" s="21">
        <v>0.65625</v>
      </c>
      <c r="I17" s="110">
        <v>0.62847222222222199</v>
      </c>
      <c r="J17" s="22">
        <v>0.41666666666666702</v>
      </c>
    </row>
    <row r="18" spans="2:10" ht="17.25" customHeight="1">
      <c r="B18" s="735" t="s">
        <v>102</v>
      </c>
      <c r="C18" s="330" t="s">
        <v>36</v>
      </c>
      <c r="D18" s="386">
        <f>'0816'!Z15</f>
        <v>0</v>
      </c>
      <c r="E18" s="387">
        <f>'0816'!Z26</f>
        <v>0</v>
      </c>
      <c r="F18" s="387">
        <f>'0816'!Z37</f>
        <v>0</v>
      </c>
      <c r="G18" s="388">
        <f>'0816'!Z48</f>
        <v>0</v>
      </c>
      <c r="H18" s="388">
        <f>'0816'!Z58</f>
        <v>0</v>
      </c>
      <c r="I18" s="387">
        <f>'0816'!Z69</f>
        <v>0</v>
      </c>
      <c r="J18" s="387">
        <f>'0816'!AA79</f>
        <v>0</v>
      </c>
    </row>
    <row r="19" spans="2:10" ht="17.25" customHeight="1">
      <c r="B19" s="736"/>
      <c r="C19" s="330" t="s">
        <v>37</v>
      </c>
      <c r="D19" s="386">
        <f>'0816'!AA15</f>
        <v>0</v>
      </c>
      <c r="E19" s="387">
        <f>'0816'!AA26</f>
        <v>0</v>
      </c>
      <c r="F19" s="387">
        <f>'0816'!AA37</f>
        <v>0</v>
      </c>
      <c r="G19" s="388">
        <f>'0816'!AA48</f>
        <v>0</v>
      </c>
      <c r="H19" s="388">
        <f>'0816'!AA58</f>
        <v>0</v>
      </c>
      <c r="I19" s="387">
        <f>'0816'!AA69</f>
        <v>0</v>
      </c>
      <c r="J19" s="387">
        <f>'0816'!AB79</f>
        <v>0</v>
      </c>
    </row>
    <row r="20" spans="2:10" ht="17.25" customHeight="1">
      <c r="B20" s="735" t="s">
        <v>103</v>
      </c>
      <c r="C20" s="330" t="s">
        <v>36</v>
      </c>
      <c r="D20" s="386">
        <f>'0816'!AD15</f>
        <v>0</v>
      </c>
      <c r="E20" s="387">
        <f>'0816'!AD26</f>
        <v>0</v>
      </c>
      <c r="F20" s="387">
        <f>'0816'!AD37</f>
        <v>0</v>
      </c>
      <c r="G20" s="388">
        <f>'0816'!AD48</f>
        <v>0</v>
      </c>
      <c r="H20" s="388">
        <f>'0816'!AD58</f>
        <v>0</v>
      </c>
      <c r="I20" s="387">
        <f>'0816'!AD69</f>
        <v>0</v>
      </c>
      <c r="J20" s="387">
        <f>'0816'!AD79</f>
        <v>0</v>
      </c>
    </row>
    <row r="21" spans="2:10" ht="17.25" customHeight="1">
      <c r="B21" s="736"/>
      <c r="C21" s="330" t="s">
        <v>85</v>
      </c>
      <c r="D21" s="386">
        <f>'0816'!AE15</f>
        <v>0</v>
      </c>
      <c r="E21" s="387">
        <f>'0816'!AE26</f>
        <v>0</v>
      </c>
      <c r="F21" s="387">
        <f>'0816'!AE37</f>
        <v>0</v>
      </c>
      <c r="G21" s="388">
        <f>'0816'!AE48</f>
        <v>0</v>
      </c>
      <c r="H21" s="388">
        <f>'0816'!AE58</f>
        <v>0</v>
      </c>
      <c r="I21" s="387">
        <f>'0816'!AE69</f>
        <v>0</v>
      </c>
      <c r="J21" s="387">
        <f>'0816'!AE79</f>
        <v>0</v>
      </c>
    </row>
    <row r="22" spans="2:10" ht="17.25" customHeight="1">
      <c r="B22" s="719" t="s">
        <v>104</v>
      </c>
      <c r="C22" s="720"/>
      <c r="D22" s="23">
        <f>VALUE('0816'!M15)</f>
        <v>15</v>
      </c>
      <c r="E22" s="23">
        <f>VALUE('0816'!M26)</f>
        <v>13</v>
      </c>
      <c r="F22" s="23">
        <f>VALUE('0816'!M37)</f>
        <v>17.166666666666668</v>
      </c>
      <c r="G22" s="23">
        <f>VALUE('0816'!M48)</f>
        <v>17.333333333333332</v>
      </c>
      <c r="H22" s="23">
        <f>VALUE('0816'!M58)</f>
        <v>16.5</v>
      </c>
      <c r="I22" s="23">
        <f>VALUE('0816'!M69)</f>
        <v>12.166666666666666</v>
      </c>
      <c r="J22" s="23">
        <f>'0816'!M79</f>
        <v>10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A31-CE74-4AC5-BE3D-EC67DA36C1CB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62468</v>
      </c>
      <c r="F1" s="30" t="s">
        <v>2</v>
      </c>
      <c r="G1" s="31">
        <f>SUM(H5:H79)</f>
        <v>2897553.361</v>
      </c>
      <c r="H1" s="32" t="s">
        <v>3</v>
      </c>
      <c r="I1" s="33">
        <f>M15+M26+M48+M58+M69+M79+M37</f>
        <v>101.16666666666667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170</v>
      </c>
      <c r="B2" s="739"/>
      <c r="C2" s="28"/>
      <c r="D2" s="28" t="s">
        <v>14</v>
      </c>
      <c r="E2" s="35">
        <f>AVERAGE(O15,O26,O37,O48,O58,O69,O79)</f>
        <v>110.99213702619947</v>
      </c>
      <c r="F2" s="36" t="s">
        <v>15</v>
      </c>
      <c r="G2" s="37">
        <f>G1/E1</f>
        <v>46.384602692578603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1514</v>
      </c>
      <c r="H5" s="43">
        <f>F5*G5</f>
        <v>86101.18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2064.5454545454918</v>
      </c>
      <c r="O5" s="47">
        <f>N5/M5</f>
        <v>137.63636363636613</v>
      </c>
      <c r="P5" s="49">
        <f>M5-J5</f>
        <v>0</v>
      </c>
      <c r="Q5" s="50">
        <f>O5-L5</f>
        <v>-12.363636363633873</v>
      </c>
      <c r="R5" s="51">
        <f>O5/L5</f>
        <v>0.91757575757577414</v>
      </c>
      <c r="S5" s="748">
        <f>R15</f>
        <v>0.89091786620967472</v>
      </c>
      <c r="T5" s="319">
        <v>0.29305555555555601</v>
      </c>
      <c r="U5" s="320">
        <v>0.32361111111111102</v>
      </c>
      <c r="V5" s="53"/>
      <c r="W5" s="54">
        <f t="shared" ref="W5:W14" si="0">(U5-T5)*24*60</f>
        <v>43.999999999999204</v>
      </c>
      <c r="X5" s="55"/>
      <c r="Y5" s="290"/>
      <c r="Z5" s="169"/>
      <c r="AA5" s="169"/>
      <c r="AB5" s="791" t="s">
        <v>171</v>
      </c>
      <c r="AC5" s="791"/>
      <c r="AD5" s="135"/>
      <c r="AE5" s="135"/>
      <c r="AF5" s="229">
        <f t="shared" ref="AF5:AF11" si="1">N5-K5</f>
        <v>-185.45454545450821</v>
      </c>
      <c r="AG5" s="52">
        <f t="shared" ref="AG5:AG11" si="2">N5/K5</f>
        <v>0.91757575757577414</v>
      </c>
      <c r="AH5" s="784">
        <f>AG15</f>
        <v>0.89142507401311322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1420</v>
      </c>
      <c r="H6" s="63">
        <f>F6*G6</f>
        <v>71951.400000000009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2028.5714285714746</v>
      </c>
      <c r="O6" s="67">
        <f>N6/M6</f>
        <v>119.32773109243968</v>
      </c>
      <c r="P6" s="69">
        <f>M6-J6</f>
        <v>0</v>
      </c>
      <c r="Q6" s="70">
        <f>O6-L6</f>
        <v>-13.025210084030903</v>
      </c>
      <c r="R6" s="71">
        <f>O6/L6</f>
        <v>0.90158730158732203</v>
      </c>
      <c r="S6" s="749"/>
      <c r="T6" s="16">
        <v>0.33541666666666697</v>
      </c>
      <c r="U6" s="16">
        <v>0.36458333333333298</v>
      </c>
      <c r="V6" s="30">
        <f>(T6-U5)*24*60</f>
        <v>17.000000000000579</v>
      </c>
      <c r="W6" s="73">
        <f t="shared" si="0"/>
        <v>41.999999999999048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-221.4285714285254</v>
      </c>
      <c r="AG6" s="72">
        <f t="shared" si="2"/>
        <v>0.90158730158732203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2383</v>
      </c>
      <c r="H7" s="78">
        <f>F7*G7</f>
        <v>138619.11000000002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1985.8333333333337</v>
      </c>
      <c r="O7" s="81">
        <f>N7/M7</f>
        <v>152.75641025641028</v>
      </c>
      <c r="P7" s="74">
        <f>M7-J7</f>
        <v>0</v>
      </c>
      <c r="Q7" s="83">
        <f>O7-L7</f>
        <v>-20.320512820512789</v>
      </c>
      <c r="R7" s="72">
        <f>O7/L7</f>
        <v>0.88259259259259282</v>
      </c>
      <c r="S7" s="749"/>
      <c r="T7" s="18">
        <v>0.37083333333333302</v>
      </c>
      <c r="U7" s="18">
        <v>0.420833333333333</v>
      </c>
      <c r="V7" s="30">
        <f>(T7-U6)*24*60</f>
        <v>9.000000000000048</v>
      </c>
      <c r="W7" s="73">
        <f t="shared" si="0"/>
        <v>71.999999999999986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-264.16666666666629</v>
      </c>
      <c r="AG7" s="72">
        <f t="shared" si="2"/>
        <v>0.88259259259259271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2476</v>
      </c>
      <c r="H8" s="78">
        <f t="shared" ref="H8:H9" si="3">F8*G8</f>
        <v>121670.64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2092.3943661972048</v>
      </c>
      <c r="O8" s="81">
        <f t="shared" ref="O8:O9" si="6">N8/M8</f>
        <v>139.49295774648033</v>
      </c>
      <c r="P8" s="74">
        <f t="shared" ref="P8:P9" si="7">M8-J8</f>
        <v>0</v>
      </c>
      <c r="Q8" s="83">
        <f t="shared" ref="Q8:Q9" si="8">O8-L8</f>
        <v>-10.507042253519671</v>
      </c>
      <c r="R8" s="72">
        <f t="shared" ref="R8:R9" si="9">O8/L8</f>
        <v>0.92995305164320219</v>
      </c>
      <c r="S8" s="749"/>
      <c r="T8" s="16">
        <v>0.42777777777777798</v>
      </c>
      <c r="U8" s="16">
        <v>0.47708333333333303</v>
      </c>
      <c r="V8" s="30">
        <f t="shared" ref="V8:V9" si="10">(T8-U7)*24*60</f>
        <v>10.000000000000764</v>
      </c>
      <c r="W8" s="73">
        <f t="shared" si="0"/>
        <v>70.999999999999261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-157.60563380279518</v>
      </c>
      <c r="AG8" s="72">
        <f t="shared" si="2"/>
        <v>0.92995305164320219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3962</v>
      </c>
      <c r="H9" s="78">
        <f t="shared" si="3"/>
        <v>194692.68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1857.1875000000182</v>
      </c>
      <c r="O9" s="81">
        <f t="shared" si="6"/>
        <v>123.81250000000121</v>
      </c>
      <c r="P9" s="74">
        <f t="shared" si="7"/>
        <v>0</v>
      </c>
      <c r="Q9" s="83">
        <f t="shared" si="8"/>
        <v>-26.187499999998792</v>
      </c>
      <c r="R9" s="72">
        <f t="shared" si="9"/>
        <v>0.82541666666667468</v>
      </c>
      <c r="S9" s="750"/>
      <c r="T9" s="16">
        <v>0.54305555555555596</v>
      </c>
      <c r="U9" s="16">
        <v>0.63194444444444398</v>
      </c>
      <c r="V9" s="30">
        <f t="shared" si="10"/>
        <v>95.000000000001023</v>
      </c>
      <c r="W9" s="73">
        <f t="shared" si="0"/>
        <v>127.99999999999875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-392.81249999998181</v>
      </c>
      <c r="AG9" s="72">
        <f t="shared" si="2"/>
        <v>0.82541666666667479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2005.7064165295046</v>
      </c>
      <c r="O15" s="117">
        <f t="shared" si="11"/>
        <v>134.60519254633954</v>
      </c>
      <c r="P15" s="121">
        <f>M15-J15</f>
        <v>0</v>
      </c>
      <c r="Q15" s="122">
        <f>O15-L15</f>
        <v>-16.480780304339191</v>
      </c>
      <c r="R15" s="123">
        <f>O15/L15</f>
        <v>0.89091786620967472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-244.29358347049538</v>
      </c>
      <c r="AG15" s="124">
        <f>N15/K15</f>
        <v>0.89142507401311322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1654</v>
      </c>
      <c r="H16" s="134">
        <f>F16*G16</f>
        <v>94062.98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1945.8823529412139</v>
      </c>
      <c r="O16" s="141">
        <f>N16/M16</f>
        <v>129.72549019608093</v>
      </c>
      <c r="P16" s="142">
        <f>M16-J16</f>
        <v>0</v>
      </c>
      <c r="Q16" s="143">
        <f>O16-L16</f>
        <v>-20.274509803919074</v>
      </c>
      <c r="R16" s="144">
        <f>O16/L16</f>
        <v>0.86483660130720619</v>
      </c>
      <c r="S16" s="795">
        <f>R26</f>
        <v>0.91909912415335437</v>
      </c>
      <c r="T16" s="145">
        <v>0.29166666666666702</v>
      </c>
      <c r="U16" s="145">
        <v>0.327083333333333</v>
      </c>
      <c r="V16" s="135"/>
      <c r="W16" s="146">
        <f t="shared" ref="W16:W78" si="12">(U16-T16)*24*60</f>
        <v>50.999999999999019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-304.11764705878613</v>
      </c>
      <c r="AG16" s="52">
        <f>N16/K16</f>
        <v>0.86483660130720619</v>
      </c>
      <c r="AH16" s="784">
        <f>AG26</f>
        <v>0.91594529055006568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3932</v>
      </c>
      <c r="H17" s="78">
        <f>F17*G17</f>
        <v>199234.44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2016.4102564102557</v>
      </c>
      <c r="O17" s="96">
        <f>N17/M17</f>
        <v>155.10848126232736</v>
      </c>
      <c r="P17" s="97">
        <f>M17-J17</f>
        <v>0</v>
      </c>
      <c r="Q17" s="98">
        <f>O17-L17</f>
        <v>-17.968441814595707</v>
      </c>
      <c r="R17" s="99">
        <f>O17/L17</f>
        <v>0.89618233618233589</v>
      </c>
      <c r="S17" s="796"/>
      <c r="T17" s="19">
        <v>0.33472222222222198</v>
      </c>
      <c r="U17" s="19">
        <v>0.41597222222222202</v>
      </c>
      <c r="V17" s="30">
        <f>(T17-U16)*24*60</f>
        <v>11.000000000000121</v>
      </c>
      <c r="W17" s="149">
        <f t="shared" si="12"/>
        <v>117.00000000000006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-233.58974358974433</v>
      </c>
      <c r="AG17" s="72">
        <f>N17/K17</f>
        <v>0.89618233618233589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2737</v>
      </c>
      <c r="H18" s="78">
        <f>F18*G18</f>
        <v>137917.43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2160.7894736842027</v>
      </c>
      <c r="O18" s="96">
        <f>N18/M18</f>
        <v>180.06578947368357</v>
      </c>
      <c r="P18" s="97">
        <f>M18-J18</f>
        <v>0</v>
      </c>
      <c r="Q18" s="98">
        <f>O18-L18</f>
        <v>-7.4342105263164342</v>
      </c>
      <c r="R18" s="99">
        <f>O18/L18</f>
        <v>0.96035087719297907</v>
      </c>
      <c r="S18" s="796"/>
      <c r="T18" s="19">
        <v>0.42361111111111099</v>
      </c>
      <c r="U18" s="19">
        <v>0.47638888888888897</v>
      </c>
      <c r="V18" s="30">
        <f>(T18-U17)*24*60</f>
        <v>11.000000000000121</v>
      </c>
      <c r="W18" s="149">
        <f t="shared" si="12"/>
        <v>76.000000000000284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-89.210526315797324</v>
      </c>
      <c r="AG18" s="72">
        <f>N18/K18</f>
        <v>0.96035087719297896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3322</v>
      </c>
      <c r="H19" s="78">
        <f>F19*G19</f>
        <v>167395.58000000002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2120.4255319149192</v>
      </c>
      <c r="O19" s="96">
        <f>N19/M19</f>
        <v>176.7021276595766</v>
      </c>
      <c r="P19" s="97">
        <f>M19-J19</f>
        <v>0</v>
      </c>
      <c r="Q19" s="98">
        <f>O19-L19</f>
        <v>-10.797872340423396</v>
      </c>
      <c r="R19" s="99">
        <f>O19/L19</f>
        <v>0.94241134751774192</v>
      </c>
      <c r="S19" s="796"/>
      <c r="T19" s="19">
        <v>0.54166666666666696</v>
      </c>
      <c r="U19" s="19">
        <v>0.60694444444444395</v>
      </c>
      <c r="V19" s="30">
        <f>(T19-U18)*24*60</f>
        <v>94.000000000000313</v>
      </c>
      <c r="W19" s="149">
        <f t="shared" si="12"/>
        <v>93.999999999998863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-129.57446808508075</v>
      </c>
      <c r="AG19" s="72">
        <f>N19/K19</f>
        <v>0.94241134751774192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13</v>
      </c>
      <c r="N26" s="155">
        <f t="shared" si="13"/>
        <v>2060.8769037376478</v>
      </c>
      <c r="O26" s="158">
        <f t="shared" si="13"/>
        <v>160.40047214791713</v>
      </c>
      <c r="P26" s="159">
        <f>M26-J26</f>
        <v>0</v>
      </c>
      <c r="Q26" s="160">
        <f>O26-L26</f>
        <v>-14.118758621313646</v>
      </c>
      <c r="R26" s="161">
        <f>O26/L26</f>
        <v>0.91909912415335437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-189.12309626235219</v>
      </c>
      <c r="AG26" s="124">
        <f t="shared" ref="AG26:AG31" si="15">N26/K26</f>
        <v>0.91594529055006568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1817</v>
      </c>
      <c r="H27" s="134">
        <f>F27*G27</f>
        <v>84199.780000000013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1535.4929577464964</v>
      </c>
      <c r="O27" s="141">
        <f>N27/M27</f>
        <v>95.968309859156022</v>
      </c>
      <c r="P27" s="142">
        <f>M27-J27</f>
        <v>0</v>
      </c>
      <c r="Q27" s="143">
        <f>O27-L27</f>
        <v>-6.2816901408439776</v>
      </c>
      <c r="R27" s="144">
        <f>O27/L27</f>
        <v>0.93856537759565795</v>
      </c>
      <c r="S27" s="795">
        <f>R37</f>
        <v>0.9250325463342508</v>
      </c>
      <c r="T27" s="171">
        <v>0.29166666666666702</v>
      </c>
      <c r="U27" s="171">
        <v>0.34097222222222201</v>
      </c>
      <c r="V27" s="135"/>
      <c r="W27" s="146">
        <f t="shared" si="12"/>
        <v>70.99999999999919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-100.50704225350364</v>
      </c>
      <c r="AG27" s="172">
        <f t="shared" si="15"/>
        <v>0.93856537759565795</v>
      </c>
      <c r="AH27" s="784">
        <f>AG37</f>
        <v>0.91618815392626551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1209</v>
      </c>
      <c r="H28" s="91">
        <f>F28*G28</f>
        <v>69166.89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1480.4081632652969</v>
      </c>
      <c r="O28" s="96">
        <f>N28/M28</f>
        <v>87.082833133252763</v>
      </c>
      <c r="P28" s="97">
        <f>M28-J28</f>
        <v>-1</v>
      </c>
      <c r="Q28" s="98">
        <f>O28-L28</f>
        <v>-3.8060557556361232</v>
      </c>
      <c r="R28" s="99">
        <f>O28/L28</f>
        <v>0.95812408092820889</v>
      </c>
      <c r="S28" s="796"/>
      <c r="T28" s="19">
        <v>0.34583333333333299</v>
      </c>
      <c r="U28" s="19">
        <v>0.37986111111111098</v>
      </c>
      <c r="V28" s="92">
        <f>(T28-U27)*24*60</f>
        <v>6.9999999999998153</v>
      </c>
      <c r="W28" s="149">
        <f t="shared" si="12"/>
        <v>49.000000000000306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-155.59183673470307</v>
      </c>
      <c r="AG28" s="99">
        <f t="shared" si="15"/>
        <v>0.90489496532108615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1654</v>
      </c>
      <c r="H29" s="91">
        <f>F29*G29</f>
        <v>82551.14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1459.4117647058895</v>
      </c>
      <c r="O29" s="96">
        <f>N29/M29</f>
        <v>81.078431372549417</v>
      </c>
      <c r="P29" s="97">
        <f>M29-J29</f>
        <v>0</v>
      </c>
      <c r="Q29" s="98">
        <f>O29-L29</f>
        <v>-9.8104575163394685</v>
      </c>
      <c r="R29" s="99">
        <f>O29/L29</f>
        <v>0.8920609808715706</v>
      </c>
      <c r="S29" s="796"/>
      <c r="T29" s="19">
        <v>0.38472222222222202</v>
      </c>
      <c r="U29" s="19">
        <v>0.43194444444444402</v>
      </c>
      <c r="V29" s="92">
        <f>(T29-U28)*24*60</f>
        <v>6.9999999999998952</v>
      </c>
      <c r="W29" s="149">
        <f t="shared" si="12"/>
        <v>67.999999999999673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-176.58823529411052</v>
      </c>
      <c r="AG29" s="99">
        <f t="shared" si="15"/>
        <v>0.8920609808715706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1114</v>
      </c>
      <c r="H30" s="91">
        <f t="shared" ref="H30:H32" si="16">F30*G30</f>
        <v>50865.24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ref="N30:N32" si="18">G30/W30*60</f>
        <v>1554.4186046511686</v>
      </c>
      <c r="O30" s="96">
        <f t="shared" ref="O30:O32" si="19">N30/M30</f>
        <v>91.436388508892264</v>
      </c>
      <c r="P30" s="97">
        <f t="shared" ref="P30:P32" si="20">M30-J30</f>
        <v>0</v>
      </c>
      <c r="Q30" s="98">
        <f t="shared" ref="Q30:Q32" si="21">O30-L30</f>
        <v>-4.7989056087547937</v>
      </c>
      <c r="R30" s="99">
        <f t="shared" ref="R30:R32" si="22">O30/L30</f>
        <v>0.95013362142491964</v>
      </c>
      <c r="S30" s="796"/>
      <c r="T30" s="19">
        <v>0.4375</v>
      </c>
      <c r="U30" s="19">
        <v>0.46736111111111101</v>
      </c>
      <c r="V30" s="92">
        <f>(T30-U29)*24*60</f>
        <v>8.0000000000006111</v>
      </c>
      <c r="W30" s="149">
        <f t="shared" si="12"/>
        <v>42.999999999999844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-81.581395348831393</v>
      </c>
      <c r="AG30" s="99">
        <f t="shared" si="15"/>
        <v>0.95013362142491964</v>
      </c>
      <c r="AH30" s="806"/>
    </row>
    <row r="31" spans="1:34" ht="15" customHeight="1">
      <c r="A31" s="793"/>
      <c r="B31" s="75" t="s">
        <v>81</v>
      </c>
      <c r="C31" s="88"/>
      <c r="D31" s="59" t="s">
        <v>123</v>
      </c>
      <c r="E31" s="89"/>
      <c r="F31" s="75">
        <f>VLOOKUP(D31,廠價表!$C$1:$E$43,3,0)</f>
        <v>49.91</v>
      </c>
      <c r="G31" s="90">
        <v>900</v>
      </c>
      <c r="H31" s="91">
        <f t="shared" si="16"/>
        <v>44919</v>
      </c>
      <c r="I31" s="92"/>
      <c r="J31" s="79">
        <f>VLOOKUP(D31,產線配置圖!$A$3:$C$40,2,0)</f>
        <v>18</v>
      </c>
      <c r="K31" s="80">
        <v>1636</v>
      </c>
      <c r="L31" s="93">
        <f t="shared" si="17"/>
        <v>90.888888888888886</v>
      </c>
      <c r="M31" s="94">
        <v>18</v>
      </c>
      <c r="N31" s="95">
        <f t="shared" si="18"/>
        <v>1542.8571428571204</v>
      </c>
      <c r="O31" s="96">
        <f t="shared" si="19"/>
        <v>85.714285714284472</v>
      </c>
      <c r="P31" s="97">
        <f t="shared" si="20"/>
        <v>0</v>
      </c>
      <c r="Q31" s="98">
        <f t="shared" si="21"/>
        <v>-5.1746031746044139</v>
      </c>
      <c r="R31" s="99">
        <f t="shared" si="22"/>
        <v>0.94306671323784874</v>
      </c>
      <c r="S31" s="796"/>
      <c r="T31" s="19">
        <v>0.52083333333333304</v>
      </c>
      <c r="U31" s="19">
        <v>0.54513888888888895</v>
      </c>
      <c r="V31" s="92">
        <f t="shared" ref="V31:V32" si="23">(T31-U30)*24*60</f>
        <v>76.99999999999973</v>
      </c>
      <c r="W31" s="149">
        <f t="shared" si="12"/>
        <v>35.000000000000512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-93.14285714287962</v>
      </c>
      <c r="AG31" s="99">
        <f t="shared" si="15"/>
        <v>0.94306671323784863</v>
      </c>
      <c r="AH31" s="786"/>
    </row>
    <row r="32" spans="1:34" ht="15" customHeight="1">
      <c r="A32" s="793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663</v>
      </c>
      <c r="H32" s="91">
        <f t="shared" si="16"/>
        <v>33341.607000000004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7"/>
        <v>96.235294117647058</v>
      </c>
      <c r="M32" s="94">
        <v>17</v>
      </c>
      <c r="N32" s="95">
        <f t="shared" si="18"/>
        <v>1420.7142857142503</v>
      </c>
      <c r="O32" s="96">
        <f t="shared" si="19"/>
        <v>83.571428571426495</v>
      </c>
      <c r="P32" s="97">
        <f t="shared" si="20"/>
        <v>0</v>
      </c>
      <c r="Q32" s="98">
        <f t="shared" si="21"/>
        <v>-12.663865546220563</v>
      </c>
      <c r="R32" s="99">
        <f t="shared" si="22"/>
        <v>0.86840726510651001</v>
      </c>
      <c r="S32" s="796"/>
      <c r="T32" s="19">
        <v>0.55208333333333304</v>
      </c>
      <c r="U32" s="19">
        <v>0.57152777777777797</v>
      </c>
      <c r="V32" s="92">
        <f t="shared" si="23"/>
        <v>9.9999999999994849</v>
      </c>
      <c r="W32" s="149">
        <f t="shared" si="12"/>
        <v>28.0000000000007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4">AVERAGE(J27:J36)</f>
        <v>17.333333333333332</v>
      </c>
      <c r="K37" s="155">
        <f t="shared" si="24"/>
        <v>1636</v>
      </c>
      <c r="L37" s="158">
        <f t="shared" si="24"/>
        <v>94.564542483660134</v>
      </c>
      <c r="M37" s="155">
        <f t="shared" si="24"/>
        <v>17.166666666666668</v>
      </c>
      <c r="N37" s="155">
        <f t="shared" si="24"/>
        <v>1498.8838198233705</v>
      </c>
      <c r="O37" s="158">
        <f t="shared" si="24"/>
        <v>87.475279526593567</v>
      </c>
      <c r="P37" s="159">
        <f>M37-J37</f>
        <v>-0.1666666666666643</v>
      </c>
      <c r="Q37" s="160">
        <f>N37-K37</f>
        <v>-137.11618017662954</v>
      </c>
      <c r="R37" s="161">
        <f>O37/L37</f>
        <v>0.9250325463342508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-137.11618017662954</v>
      </c>
      <c r="AG37" s="124">
        <f>N37/K37</f>
        <v>0.91618815392626551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2903</v>
      </c>
      <c r="H38" s="134">
        <f>F38*G38</f>
        <v>144888.72999999998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1583.454545454543</v>
      </c>
      <c r="O38" s="141">
        <f>N38/M38</f>
        <v>98.965909090908937</v>
      </c>
      <c r="P38" s="142">
        <f>M38-J38</f>
        <v>0</v>
      </c>
      <c r="Q38" s="143">
        <f>O38-L38</f>
        <v>-8.1590909090910628</v>
      </c>
      <c r="R38" s="144">
        <f>O38/L38</f>
        <v>0.923835790813619</v>
      </c>
      <c r="S38" s="817">
        <f>R48</f>
        <v>0.91565615289474556</v>
      </c>
      <c r="T38" s="191">
        <v>0.33333333333333298</v>
      </c>
      <c r="U38" s="191">
        <v>0.40972222222222199</v>
      </c>
      <c r="V38" s="192"/>
      <c r="W38" s="193">
        <f t="shared" si="12"/>
        <v>110.00000000000017</v>
      </c>
      <c r="X38" s="194"/>
      <c r="Y38" s="302"/>
      <c r="Z38" s="336"/>
      <c r="AA38" s="336"/>
      <c r="AB38" s="819" t="s">
        <v>172</v>
      </c>
      <c r="AC38" s="819"/>
      <c r="AD38" s="192"/>
      <c r="AE38" s="192"/>
      <c r="AF38" s="313">
        <f>N38-K38</f>
        <v>-130.54545454545701</v>
      </c>
      <c r="AG38" s="195">
        <f>N38/K38</f>
        <v>0.923835790813619</v>
      </c>
      <c r="AH38" s="807">
        <f>AG48</f>
        <v>0.91530467126134818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2749</v>
      </c>
      <c r="H39" s="91">
        <f>F39*G39</f>
        <v>121780.7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1499.4545454545432</v>
      </c>
      <c r="O39" s="203">
        <f>N39/M39</f>
        <v>83.303030303030184</v>
      </c>
      <c r="P39" s="97">
        <f>M39-J39</f>
        <v>0</v>
      </c>
      <c r="Q39" s="98">
        <f>O39-L39</f>
        <v>-7.585858585858702</v>
      </c>
      <c r="R39" s="99">
        <f>O39/L39</f>
        <v>0.91653700822404849</v>
      </c>
      <c r="S39" s="818"/>
      <c r="T39" s="20">
        <v>0.42013888888888901</v>
      </c>
      <c r="U39" s="20">
        <v>0.49652777777777801</v>
      </c>
      <c r="V39" s="92">
        <f>(T39-U38)*24*60</f>
        <v>15.000000000000506</v>
      </c>
      <c r="W39" s="205">
        <f t="shared" si="12"/>
        <v>110.00000000000017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-136.54545454545678</v>
      </c>
      <c r="AG39" s="206">
        <f>N39/K39</f>
        <v>0.91653700822404838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3702</v>
      </c>
      <c r="H40" s="91">
        <f>F40*G40</f>
        <v>163998.59999999998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1480.7999999999956</v>
      </c>
      <c r="O40" s="203">
        <f>N40/M40</f>
        <v>82.266666666666424</v>
      </c>
      <c r="P40" s="97">
        <f>M40-J40</f>
        <v>0</v>
      </c>
      <c r="Q40" s="98">
        <f>O40-L40</f>
        <v>-8.6222222222224616</v>
      </c>
      <c r="R40" s="99">
        <f>O40/L40</f>
        <v>0.90513447432762573</v>
      </c>
      <c r="S40" s="749"/>
      <c r="T40" s="20">
        <v>0.55208333333333304</v>
      </c>
      <c r="U40" s="210">
        <v>0.65625</v>
      </c>
      <c r="V40" s="92">
        <f>(T40-U39)*24*60</f>
        <v>79.999999999999233</v>
      </c>
      <c r="W40" s="205">
        <f t="shared" si="12"/>
        <v>150.00000000000043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-155.20000000000437</v>
      </c>
      <c r="AG40" s="206">
        <f>N40/K40</f>
        <v>0.90513447432762573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6">AVERAGE(J38:J47)</f>
        <v>17.333333333333332</v>
      </c>
      <c r="K48" s="155">
        <f t="shared" si="26"/>
        <v>1662</v>
      </c>
      <c r="L48" s="158">
        <f t="shared" si="26"/>
        <v>96.300925925925924</v>
      </c>
      <c r="M48" s="155">
        <f t="shared" si="26"/>
        <v>17.333333333333332</v>
      </c>
      <c r="N48" s="155">
        <f t="shared" si="26"/>
        <v>1521.2363636363607</v>
      </c>
      <c r="O48" s="158">
        <f t="shared" si="26"/>
        <v>88.178535353535196</v>
      </c>
      <c r="P48" s="221">
        <f>M48-J48</f>
        <v>0</v>
      </c>
      <c r="Q48" s="222">
        <f>N48-K48</f>
        <v>-140.76363636363931</v>
      </c>
      <c r="R48" s="223">
        <f>O48/L48</f>
        <v>0.91565615289474556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7">N48-K48</f>
        <v>-140.76363636363931</v>
      </c>
      <c r="AG48" s="162">
        <f t="shared" ref="AG48:AG53" si="28">N48/K48</f>
        <v>0.91530467126134818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2426</v>
      </c>
      <c r="H49" s="134">
        <f>F49*G49</f>
        <v>120135.52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1455.6000000000099</v>
      </c>
      <c r="O49" s="141">
        <f>N49/M49</f>
        <v>85.62352941176529</v>
      </c>
      <c r="P49" s="229">
        <f>M49-J49</f>
        <v>0</v>
      </c>
      <c r="Q49" s="230">
        <f>O49-L49</f>
        <v>-20.258823529411174</v>
      </c>
      <c r="R49" s="52">
        <f>O49/L49</f>
        <v>0.8086666666666722</v>
      </c>
      <c r="S49" s="748">
        <f>R58</f>
        <v>0.86980623070176699</v>
      </c>
      <c r="T49" s="191">
        <v>0.29166666666666702</v>
      </c>
      <c r="U49" s="191">
        <v>0.36111111111111099</v>
      </c>
      <c r="V49" s="55"/>
      <c r="W49" s="193">
        <f t="shared" si="12"/>
        <v>99.999999999999318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7"/>
        <v>-344.39999999999009</v>
      </c>
      <c r="AG49" s="52">
        <f t="shared" si="28"/>
        <v>0.8086666666666722</v>
      </c>
      <c r="AH49" s="784">
        <f>AG58</f>
        <v>0.86985952270204547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1796</v>
      </c>
      <c r="H50" s="231">
        <f>F50*G50</f>
        <v>90319.044000000009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1539.4285714285752</v>
      </c>
      <c r="O50" s="235">
        <f>N50/M50</f>
        <v>90.554621848739714</v>
      </c>
      <c r="P50" s="74">
        <f>M50-J50</f>
        <v>0</v>
      </c>
      <c r="Q50" s="83">
        <f>O50-L50</f>
        <v>-5.6806722689073439</v>
      </c>
      <c r="R50" s="72">
        <f>O50/L50</f>
        <v>0.94097100943066936</v>
      </c>
      <c r="S50" s="749"/>
      <c r="T50" s="21">
        <v>0.37083333333333302</v>
      </c>
      <c r="U50" s="21">
        <v>0.41944444444444401</v>
      </c>
      <c r="V50" s="30">
        <f>(T50-U49)*24*60</f>
        <v>13.99999999999971</v>
      </c>
      <c r="W50" s="236">
        <f t="shared" si="12"/>
        <v>69.999999999999829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7"/>
        <v>-96.571428571424804</v>
      </c>
      <c r="AG50" s="72">
        <f t="shared" si="28"/>
        <v>0.94097100943066947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1764</v>
      </c>
      <c r="H51" s="231">
        <f>F51*G51</f>
        <v>88147.08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1603.6363636363401</v>
      </c>
      <c r="O51" s="235">
        <f>N51/M51</f>
        <v>100.22727272727126</v>
      </c>
      <c r="P51" s="74">
        <f>M51-J51</f>
        <v>0</v>
      </c>
      <c r="Q51" s="83">
        <f>O51-L51</f>
        <v>-12.272727272728744</v>
      </c>
      <c r="R51" s="72">
        <f>O51/L51</f>
        <v>0.89090909090907788</v>
      </c>
      <c r="S51" s="749"/>
      <c r="T51" s="21">
        <v>0.42569444444444399</v>
      </c>
      <c r="U51" s="19">
        <v>0.47152777777777799</v>
      </c>
      <c r="V51" s="30">
        <f>(T51-U50)*24*60</f>
        <v>8.999999999999968</v>
      </c>
      <c r="W51" s="236">
        <f t="shared" si="12"/>
        <v>66.000000000000966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7"/>
        <v>-196.36363636365991</v>
      </c>
      <c r="AG51" s="72">
        <f t="shared" si="28"/>
        <v>0.89090909090907788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4565</v>
      </c>
      <c r="H52" s="231">
        <f>F52*G52</f>
        <v>228113.05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1521.6666666666667</v>
      </c>
      <c r="O52" s="235">
        <f>N52/M52</f>
        <v>95.104166666666671</v>
      </c>
      <c r="P52" s="74">
        <f>M52-J52</f>
        <v>0</v>
      </c>
      <c r="Q52" s="83">
        <f>O52-L52</f>
        <v>-17.395833333333329</v>
      </c>
      <c r="R52" s="72">
        <f>O52/L52</f>
        <v>0.84537037037037044</v>
      </c>
      <c r="S52" s="749"/>
      <c r="T52" s="21">
        <v>0.53125</v>
      </c>
      <c r="U52" s="21">
        <v>0.65625</v>
      </c>
      <c r="V52" s="30">
        <f>(T52-U51)*24*60</f>
        <v>85.999999999999687</v>
      </c>
      <c r="W52" s="236">
        <f t="shared" si="12"/>
        <v>180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7"/>
        <v>-278.33333333333326</v>
      </c>
      <c r="AG52" s="72">
        <f t="shared" si="28"/>
        <v>0.84537037037037044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7"/>
        <v>0</v>
      </c>
      <c r="AG53" s="72" t="e">
        <f t="shared" si="2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1530.082900432898</v>
      </c>
      <c r="O58" s="117">
        <f t="shared" si="29"/>
        <v>92.877397663610736</v>
      </c>
      <c r="P58" s="121">
        <f>M58-J58</f>
        <v>0</v>
      </c>
      <c r="Q58" s="122">
        <f>N58-K58</f>
        <v>-228.91709956710201</v>
      </c>
      <c r="R58" s="123">
        <f>O58/L58</f>
        <v>0.86980623070176699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-228.91709956710201</v>
      </c>
      <c r="AG58" s="124">
        <f>N58/K58</f>
        <v>0.86985952270204547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2534</v>
      </c>
      <c r="H59" s="243">
        <f>F59*G59</f>
        <v>68392.659999999989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1520.4000000000106</v>
      </c>
      <c r="O59" s="138">
        <f>N59/M59</f>
        <v>101.36000000000071</v>
      </c>
      <c r="P59" s="56">
        <f>M59-J59</f>
        <v>0</v>
      </c>
      <c r="Q59" s="230">
        <f>O59-L59</f>
        <v>-7.7066666666659529</v>
      </c>
      <c r="R59" s="52">
        <f>O59/L59</f>
        <v>0.92933985330074009</v>
      </c>
      <c r="S59" s="748">
        <f>R69</f>
        <v>0.95019190546266397</v>
      </c>
      <c r="T59" s="245">
        <v>0.29166666666666702</v>
      </c>
      <c r="U59" s="245">
        <v>0.36111111111111099</v>
      </c>
      <c r="V59" s="55"/>
      <c r="W59" s="54">
        <f t="shared" si="12"/>
        <v>99.999999999999318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-115.59999999998945</v>
      </c>
      <c r="AG59" s="246">
        <f>N59/K59</f>
        <v>0.92933985330073998</v>
      </c>
      <c r="AH59" s="784">
        <f>AG69</f>
        <v>0.93917725337776192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1372</v>
      </c>
      <c r="H60" s="78">
        <f>F60*G60</f>
        <v>38772.720000000001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1553.2075471698354</v>
      </c>
      <c r="O60" s="81">
        <f>N60/M60</f>
        <v>141.20068610634868</v>
      </c>
      <c r="P60" s="74">
        <f>M60-J60</f>
        <v>0</v>
      </c>
      <c r="Q60" s="83">
        <f>O60-L60</f>
        <v>-7.5265866209240357</v>
      </c>
      <c r="R60" s="72">
        <f>O60/L60</f>
        <v>0.94939336624073078</v>
      </c>
      <c r="S60" s="829"/>
      <c r="T60" s="22">
        <v>0.36805555555555602</v>
      </c>
      <c r="U60" s="22">
        <v>0.40486111111111101</v>
      </c>
      <c r="V60" s="30">
        <f>(T60-U59)*24*60</f>
        <v>10.000000000000844</v>
      </c>
      <c r="W60" s="248">
        <f t="shared" si="12"/>
        <v>52.999999999999176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-82.792452830164621</v>
      </c>
      <c r="AG60" s="249">
        <f>N60/K60</f>
        <v>0.94939336624073067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1050</v>
      </c>
      <c r="H61" s="254">
        <f>F61*G61</f>
        <v>29673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1575.0000000000432</v>
      </c>
      <c r="O61" s="238">
        <f>N61/M61</f>
        <v>143.18181818182211</v>
      </c>
      <c r="P61" s="111">
        <f>M61-J61</f>
        <v>0</v>
      </c>
      <c r="Q61" s="255">
        <f>O61-L61</f>
        <v>-5.5454545454506103</v>
      </c>
      <c r="R61" s="85">
        <f>O61/L61</f>
        <v>0.96271393643034431</v>
      </c>
      <c r="S61" s="749"/>
      <c r="T61" s="22">
        <v>0.41180555555555598</v>
      </c>
      <c r="U61" s="22">
        <v>0.43958333333333299</v>
      </c>
      <c r="V61" s="30">
        <f>(T61-U60)*24*60</f>
        <v>10.000000000000764</v>
      </c>
      <c r="W61" s="256">
        <f t="shared" si="12"/>
        <v>39.999999999998899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-60.999999999956799</v>
      </c>
      <c r="AG61" s="247">
        <f>N61/K61</f>
        <v>0.96271393643034431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1670</v>
      </c>
      <c r="H62" s="78">
        <f t="shared" ref="H62:H64" si="30">F62*G62</f>
        <v>47194.200000000004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ref="L62:L64" si="31">K62/J62</f>
        <v>148.72727272727272</v>
      </c>
      <c r="M62" s="108">
        <v>11</v>
      </c>
      <c r="N62" s="107">
        <f t="shared" ref="N62:N64" si="32">G62/W62*60</f>
        <v>1541.5384615384594</v>
      </c>
      <c r="O62" s="238">
        <f t="shared" ref="O62:O64" si="33">N62/M62</f>
        <v>140.13986013985993</v>
      </c>
      <c r="P62" s="111">
        <f t="shared" ref="P62:P64" si="34">M62-J62</f>
        <v>0</v>
      </c>
      <c r="Q62" s="255">
        <f t="shared" ref="Q62:Q64" si="35">O62-L62</f>
        <v>-8.5874125874127856</v>
      </c>
      <c r="R62" s="85">
        <f t="shared" ref="R62:R64" si="36">O62/L62</f>
        <v>0.94226067331201668</v>
      </c>
      <c r="S62" s="749"/>
      <c r="T62" s="22">
        <v>0.44652777777777802</v>
      </c>
      <c r="U62" s="22">
        <v>0.49166666666666697</v>
      </c>
      <c r="V62" s="30">
        <f t="shared" ref="V62:V64" si="37">(T62-U61)*24*60</f>
        <v>10.000000000000844</v>
      </c>
      <c r="W62" s="248">
        <f t="shared" si="12"/>
        <v>65.000000000000085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-94.461538461540613</v>
      </c>
      <c r="AG62" s="247">
        <f>N62/K62</f>
        <v>0.94226067331201679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1738</v>
      </c>
      <c r="H63" s="254">
        <f t="shared" si="30"/>
        <v>49115.880000000005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1"/>
        <v>148.72727272727272</v>
      </c>
      <c r="M63" s="68">
        <v>11</v>
      </c>
      <c r="N63" s="107">
        <f t="shared" si="32"/>
        <v>1556.4179104477519</v>
      </c>
      <c r="O63" s="238">
        <f t="shared" si="33"/>
        <v>141.492537313432</v>
      </c>
      <c r="P63" s="111">
        <f t="shared" si="34"/>
        <v>0</v>
      </c>
      <c r="Q63" s="255">
        <f t="shared" si="35"/>
        <v>-7.234735413840724</v>
      </c>
      <c r="R63" s="85">
        <f t="shared" si="36"/>
        <v>0.95135569098273354</v>
      </c>
      <c r="S63" s="749"/>
      <c r="T63" s="22">
        <v>0.54027777777777797</v>
      </c>
      <c r="U63" s="22">
        <v>0.58680555555555602</v>
      </c>
      <c r="V63" s="30">
        <f t="shared" si="37"/>
        <v>69.999999999999829</v>
      </c>
      <c r="W63" s="248">
        <f t="shared" si="12"/>
        <v>67.000000000000398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 t="s">
        <v>130</v>
      </c>
      <c r="C64" s="76"/>
      <c r="D64" s="175" t="s">
        <v>131</v>
      </c>
      <c r="E64" s="77"/>
      <c r="F64" s="250">
        <f>VLOOKUP(D64,廠價表!$C$1:$E$43,3,0)</f>
        <v>26.99</v>
      </c>
      <c r="G64" s="30">
        <v>1227</v>
      </c>
      <c r="H64" s="78">
        <f t="shared" si="30"/>
        <v>33116.729999999996</v>
      </c>
      <c r="I64" s="30"/>
      <c r="J64" s="79">
        <f>VLOOKUP(D64,產線配置圖!$A$3:$C$40,2,0)</f>
        <v>15</v>
      </c>
      <c r="K64" s="80">
        <f>VLOOKUP(D64,產線配置圖!$A$3:$C$40,3,0)</f>
        <v>1636</v>
      </c>
      <c r="L64" s="81">
        <f t="shared" si="31"/>
        <v>109.06666666666666</v>
      </c>
      <c r="M64" s="82">
        <v>14</v>
      </c>
      <c r="N64" s="107">
        <f t="shared" si="32"/>
        <v>1472.4000000000099</v>
      </c>
      <c r="O64" s="238">
        <f t="shared" si="33"/>
        <v>105.17142857142927</v>
      </c>
      <c r="P64" s="111">
        <f t="shared" si="34"/>
        <v>-1</v>
      </c>
      <c r="Q64" s="255">
        <f t="shared" si="35"/>
        <v>-3.8952380952373886</v>
      </c>
      <c r="R64" s="85">
        <f t="shared" si="36"/>
        <v>0.96428571428572074</v>
      </c>
      <c r="S64" s="749"/>
      <c r="T64" s="22">
        <v>0.59375</v>
      </c>
      <c r="U64" s="22">
        <v>0.62847222222222199</v>
      </c>
      <c r="V64" s="30">
        <f t="shared" si="37"/>
        <v>9.999999999999325</v>
      </c>
      <c r="W64" s="73">
        <f t="shared" si="12"/>
        <v>49.999999999999659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8">AVERAGE(J59:J68)</f>
        <v>12.333333333333334</v>
      </c>
      <c r="K69" s="240">
        <f t="shared" si="38"/>
        <v>1636</v>
      </c>
      <c r="L69" s="268">
        <f t="shared" si="38"/>
        <v>135.50707070707071</v>
      </c>
      <c r="M69" s="240">
        <f t="shared" si="38"/>
        <v>12.166666666666666</v>
      </c>
      <c r="N69" s="240">
        <f t="shared" si="38"/>
        <v>1536.4939865260185</v>
      </c>
      <c r="O69" s="268">
        <f t="shared" si="38"/>
        <v>128.75772171881545</v>
      </c>
      <c r="P69" s="269">
        <f>M69-J69</f>
        <v>-0.16666666666666785</v>
      </c>
      <c r="Q69" s="222">
        <f>N69-K69</f>
        <v>-99.506013473981511</v>
      </c>
      <c r="R69" s="123">
        <f>O69/L69</f>
        <v>0.95019190546266397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-99.506013473981511</v>
      </c>
      <c r="AG69" s="124">
        <f>N69/K69</f>
        <v>0.93917725337776192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135</v>
      </c>
      <c r="E70" s="132"/>
      <c r="F70" s="129">
        <f>VLOOKUP(D70,廠價表!$C$1:$E$43,3,0)</f>
        <v>43.89</v>
      </c>
      <c r="G70" s="55">
        <v>488</v>
      </c>
      <c r="H70" s="243">
        <f>F70*G70</f>
        <v>21418.32</v>
      </c>
      <c r="I70" s="55"/>
      <c r="J70" s="136">
        <f>VLOOKUP(D70,產線配置圖!$A$3:$C$40,2,0)</f>
        <v>14</v>
      </c>
      <c r="K70" s="137">
        <f>VLOOKUP(D70,產線配置圖!$A$3:$C$40,3,0)</f>
        <v>1565</v>
      </c>
      <c r="L70" s="138">
        <f>K70/J70</f>
        <v>111.78571428571429</v>
      </c>
      <c r="M70" s="244">
        <v>11</v>
      </c>
      <c r="N70" s="137">
        <f>G70/W70*60</f>
        <v>770.52631578946989</v>
      </c>
      <c r="O70" s="138">
        <f>N70/M70</f>
        <v>70.047846889951813</v>
      </c>
      <c r="P70" s="56">
        <f>M70-J70</f>
        <v>-3</v>
      </c>
      <c r="Q70" s="230">
        <f>O70-L70</f>
        <v>-41.737867395762478</v>
      </c>
      <c r="R70" s="52">
        <f>O70/L70</f>
        <v>0.62662610636378613</v>
      </c>
      <c r="S70" s="748">
        <f>R79</f>
        <v>0.72920911424628754</v>
      </c>
      <c r="T70" s="245">
        <v>0.30416666666666697</v>
      </c>
      <c r="U70" s="245">
        <v>0.33055555555555599</v>
      </c>
      <c r="V70" s="55"/>
      <c r="W70" s="54">
        <f t="shared" si="12"/>
        <v>38.000000000000185</v>
      </c>
      <c r="X70" s="270"/>
      <c r="Y70" s="292"/>
      <c r="Z70" s="169"/>
      <c r="AA70" s="169"/>
      <c r="AB70" s="791" t="s">
        <v>149</v>
      </c>
      <c r="AC70" s="791"/>
      <c r="AD70" s="135"/>
      <c r="AE70" s="135"/>
      <c r="AF70" s="310">
        <f>N70-K70</f>
        <v>-794.47368421053011</v>
      </c>
      <c r="AG70" s="246">
        <f>N70/K70</f>
        <v>0.49234908357154628</v>
      </c>
      <c r="AH70" s="784">
        <f>AG79</f>
        <v>0.53156619100908331</v>
      </c>
    </row>
    <row r="71" spans="1:36" ht="15" customHeight="1">
      <c r="A71" s="822"/>
      <c r="B71" s="75" t="s">
        <v>81</v>
      </c>
      <c r="C71" s="76"/>
      <c r="D71" s="59" t="s">
        <v>142</v>
      </c>
      <c r="E71" s="77"/>
      <c r="F71" s="250">
        <f>VLOOKUP(D71,廠價表!$C$1:$E$43,3,0)</f>
        <v>43.89</v>
      </c>
      <c r="G71" s="30">
        <v>1727</v>
      </c>
      <c r="H71" s="78">
        <f>F71*G71</f>
        <v>75798.03</v>
      </c>
      <c r="I71" s="30"/>
      <c r="J71" s="79">
        <f>VLOOKUP(D71,產線配置圖!$A$3:$C$40,2,0)</f>
        <v>13</v>
      </c>
      <c r="K71" s="80">
        <f>VLOOKUP(D71,產線配置圖!$A$3:$C$40,3,0)</f>
        <v>1565</v>
      </c>
      <c r="L71" s="81">
        <f>K71/J71</f>
        <v>120.38461538461539</v>
      </c>
      <c r="M71" s="82">
        <v>9</v>
      </c>
      <c r="N71" s="107">
        <f>G71/W71*60</f>
        <v>893.27586206896069</v>
      </c>
      <c r="O71" s="238">
        <f>N71/M71</f>
        <v>99.252873563217861</v>
      </c>
      <c r="P71" s="111">
        <f>M71-J71</f>
        <v>-4</v>
      </c>
      <c r="Q71" s="255">
        <f>O71-L71</f>
        <v>-21.131741821397526</v>
      </c>
      <c r="R71" s="85">
        <f>O71/L71</f>
        <v>0.82446476442289596</v>
      </c>
      <c r="S71" s="749"/>
      <c r="T71" s="22">
        <v>0.33611111111111103</v>
      </c>
      <c r="U71" s="22">
        <v>0.41666666666666702</v>
      </c>
      <c r="V71" s="30">
        <f>(T71-U70)*24*60</f>
        <v>7.9999999999992522</v>
      </c>
      <c r="W71" s="73">
        <f t="shared" si="12"/>
        <v>116.00000000000063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9">AVERAGE(J70:J78)</f>
        <v>13.5</v>
      </c>
      <c r="K79" s="240">
        <f t="shared" si="39"/>
        <v>1565</v>
      </c>
      <c r="L79" s="268">
        <f t="shared" si="39"/>
        <v>116.08516483516485</v>
      </c>
      <c r="M79" s="240">
        <f t="shared" si="39"/>
        <v>10</v>
      </c>
      <c r="N79" s="240">
        <f t="shared" si="39"/>
        <v>831.90108892921535</v>
      </c>
      <c r="O79" s="268">
        <f t="shared" si="39"/>
        <v>84.650360226584837</v>
      </c>
      <c r="P79" s="269">
        <f>M79-J79</f>
        <v>-3.5</v>
      </c>
      <c r="Q79" s="222">
        <f>N79-K79</f>
        <v>-733.09891107078465</v>
      </c>
      <c r="R79" s="223">
        <f>O79/L79</f>
        <v>0.72920911424628754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-733.09891107078465</v>
      </c>
      <c r="AG79" s="124">
        <f>N79/K79</f>
        <v>0.53156619100908331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58" priority="1" operator="greaterThan">
      <formula>0</formula>
    </cfRule>
  </conditionalFormatting>
  <conditionalFormatting sqref="Q5:Q79 AF5:AF79">
    <cfRule type="cellIs" dxfId="157" priority="4" operator="lessThan">
      <formula>0</formula>
    </cfRule>
  </conditionalFormatting>
  <conditionalFormatting sqref="R5:R79 AG5:AG79">
    <cfRule type="cellIs" dxfId="156" priority="2" operator="greaterThan">
      <formula>1</formula>
    </cfRule>
    <cfRule type="cellIs" dxfId="155" priority="3" operator="lessThan">
      <formula>0.8</formula>
    </cfRule>
  </conditionalFormatting>
  <conditionalFormatting sqref="S5:S10 S37:S62 AH59:AH62 S69:S76 AH69:AH76">
    <cfRule type="cellIs" dxfId="154" priority="7" operator="lessThan">
      <formula>0.8</formula>
    </cfRule>
  </conditionalFormatting>
  <conditionalFormatting sqref="S19:S25 AH19:AH25">
    <cfRule type="cellIs" dxfId="153" priority="6" operator="lessThan">
      <formula>0.8</formula>
    </cfRule>
  </conditionalFormatting>
  <conditionalFormatting sqref="S79">
    <cfRule type="cellIs" dxfId="152" priority="5" operator="lessThan">
      <formula>0.8</formula>
    </cfRule>
  </conditionalFormatting>
  <conditionalFormatting sqref="AH5:AH8 S15:S16 AH15:AH16 AH49 AH79">
    <cfRule type="cellIs" dxfId="151" priority="9" operator="lessThan">
      <formula>0.8</formula>
    </cfRule>
  </conditionalFormatting>
  <conditionalFormatting sqref="AH27 S27:S28">
    <cfRule type="cellIs" dxfId="1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29F11-6270-4208-B269-41365296EA6D}">
  <dimension ref="B1:O26"/>
  <sheetViews>
    <sheetView topLeftCell="B1" zoomScale="70" zoomScaleNormal="70" workbookViewId="0">
      <selection activeCell="V18" sqref="V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DATE(2026,8,17)</f>
        <v>46251</v>
      </c>
      <c r="E3" s="706"/>
      <c r="F3" s="3" t="s">
        <v>72</v>
      </c>
      <c r="G3" s="707">
        <f>'0817'!E1</f>
        <v>63982</v>
      </c>
      <c r="H3" s="707"/>
      <c r="I3" s="3" t="s">
        <v>2</v>
      </c>
      <c r="J3" s="708">
        <f>'0817'!G1</f>
        <v>2963863.7690000003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128.04057124792419</v>
      </c>
      <c r="G6" s="713"/>
      <c r="H6" s="714">
        <f>AVERAGE(D13:H13)</f>
        <v>124.58318669348083</v>
      </c>
      <c r="I6" s="714"/>
      <c r="J6" s="714">
        <f>AVERAGE(I13:J13)</f>
        <v>136.68403263403263</v>
      </c>
      <c r="K6" s="714"/>
      <c r="L6" s="716">
        <f>'0817'!Z2</f>
        <v>0</v>
      </c>
      <c r="M6" s="717">
        <f>'0817'!AA2</f>
        <v>0</v>
      </c>
      <c r="N6" s="718">
        <f>'0817'!AD2</f>
        <v>0</v>
      </c>
      <c r="O6" s="717">
        <f>'0817'!AE2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119.5624070834905</v>
      </c>
      <c r="G7" s="737"/>
      <c r="H7" s="738">
        <f>AVERAGE(D14:H14)</f>
        <v>116.96830183104848</v>
      </c>
      <c r="I7" s="738"/>
      <c r="J7" s="738">
        <f>AVERAGE(I14:J14)</f>
        <v>126.04767021459551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0.93312579370999826</v>
      </c>
      <c r="G8" s="710"/>
      <c r="H8" s="710">
        <f>AVERAGE(D15:H15)</f>
        <v>0.93737001953674604</v>
      </c>
      <c r="I8" s="710"/>
      <c r="J8" s="710">
        <f>AVERAGE(I15:J15)</f>
        <v>0.92251522914312867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VALUE('0817'!L15)</f>
        <v>151.08597285067873</v>
      </c>
      <c r="E13" s="13">
        <f>VALUE('0817'!L26)</f>
        <v>174.51923076923077</v>
      </c>
      <c r="F13" s="13">
        <f>VALUE('0817'!L37)</f>
        <v>94.230392156862735</v>
      </c>
      <c r="G13" s="13">
        <f>VALUE('0817'!L48)</f>
        <v>96.300925925925924</v>
      </c>
      <c r="H13" s="13">
        <f>VALUE('0817'!L58)</f>
        <v>106.77941176470588</v>
      </c>
      <c r="I13" s="13">
        <f>VALUE('0817'!L69)</f>
        <v>138.81212121212121</v>
      </c>
      <c r="J13" s="13">
        <f>'0817'!L79</f>
        <v>134.55594405594405</v>
      </c>
    </row>
    <row r="14" spans="2:15" ht="39.950000000000003" customHeight="1">
      <c r="B14" s="731"/>
      <c r="C14" s="12" t="s">
        <v>100</v>
      </c>
      <c r="D14" s="13">
        <f>VALUE('0817'!O15)</f>
        <v>142.30624381460976</v>
      </c>
      <c r="E14" s="13">
        <f>VALUE('0817'!O26)</f>
        <v>165.61935664470556</v>
      </c>
      <c r="F14" s="13">
        <f>VALUE('0817'!O37)</f>
        <v>87.66578064380947</v>
      </c>
      <c r="G14" s="13">
        <f>VALUE('0817'!O48)</f>
        <v>91.535827664398695</v>
      </c>
      <c r="H14" s="13">
        <f>VALUE('0817'!O58)</f>
        <v>97.714300387718879</v>
      </c>
      <c r="I14" s="13">
        <f>VALUE('0817'!O69)</f>
        <v>125.0928670654164</v>
      </c>
      <c r="J14" s="13">
        <f>'0817'!O79</f>
        <v>127.00247336377464</v>
      </c>
    </row>
    <row r="15" spans="2:15" ht="39.950000000000003" customHeight="1">
      <c r="B15" s="732"/>
      <c r="C15" s="10" t="s">
        <v>26</v>
      </c>
      <c r="D15" s="14">
        <f t="shared" ref="D15:I15" si="0">D14/D13</f>
        <v>0.94188918487657258</v>
      </c>
      <c r="E15" s="14">
        <f t="shared" si="0"/>
        <v>0.94900347609087476</v>
      </c>
      <c r="F15" s="14">
        <f t="shared" si="0"/>
        <v>0.93033445618983168</v>
      </c>
      <c r="G15" s="14">
        <f t="shared" si="0"/>
        <v>0.95051866619441938</v>
      </c>
      <c r="H15" s="14">
        <f t="shared" si="0"/>
        <v>0.91510431433203188</v>
      </c>
      <c r="I15" s="14">
        <f t="shared" si="0"/>
        <v>0.90116674230674576</v>
      </c>
      <c r="J15" s="15">
        <f>'0817'!S70</f>
        <v>0.94386371597951169</v>
      </c>
    </row>
    <row r="16" spans="2:15" ht="17.25" customHeight="1">
      <c r="B16" s="733" t="s">
        <v>101</v>
      </c>
      <c r="C16" s="10" t="s">
        <v>34</v>
      </c>
      <c r="D16" s="16">
        <f>'0817'!T5</f>
        <v>0.29375000000000001</v>
      </c>
      <c r="E16" s="16">
        <f>'0817'!T16</f>
        <v>0.29027777777777802</v>
      </c>
      <c r="F16" s="16">
        <f>'0817'!T27</f>
        <v>0.29166666666666702</v>
      </c>
      <c r="G16" s="16">
        <f>'0817'!T38</f>
        <v>0.33333333333333298</v>
      </c>
      <c r="H16" s="16">
        <f>'0817'!T49</f>
        <v>0.29166666666666702</v>
      </c>
      <c r="I16" s="16">
        <f>'0817'!T59</f>
        <v>0.29166666666666702</v>
      </c>
      <c r="J16" s="17">
        <f>'0817'!T70</f>
        <v>0.29861111111111099</v>
      </c>
    </row>
    <row r="17" spans="2:10" ht="17.25" customHeight="1">
      <c r="B17" s="734"/>
      <c r="C17" s="10" t="s">
        <v>35</v>
      </c>
      <c r="D17" s="16">
        <v>0.62916666666666698</v>
      </c>
      <c r="E17" s="183">
        <v>0.59930555555555598</v>
      </c>
      <c r="F17" s="19">
        <v>0.56944444444444398</v>
      </c>
      <c r="G17" s="328">
        <v>0.64583333333333304</v>
      </c>
      <c r="H17" s="21">
        <v>0.66527777777777797</v>
      </c>
      <c r="I17" s="110">
        <v>0.58333333333333304</v>
      </c>
      <c r="J17" s="22">
        <v>0.48263888888888901</v>
      </c>
    </row>
    <row r="18" spans="2:10" ht="17.25" customHeight="1">
      <c r="B18" s="735" t="s">
        <v>102</v>
      </c>
      <c r="C18" s="330" t="s">
        <v>36</v>
      </c>
      <c r="D18" s="386">
        <f>'0817'!Z15</f>
        <v>0</v>
      </c>
      <c r="E18" s="387">
        <f>'0817'!Z26</f>
        <v>0</v>
      </c>
      <c r="F18" s="387">
        <f>'0817'!Z37</f>
        <v>0</v>
      </c>
      <c r="G18" s="388">
        <f>'0817'!Z48</f>
        <v>0</v>
      </c>
      <c r="H18" s="388">
        <f>'0817'!Z58</f>
        <v>0</v>
      </c>
      <c r="I18" s="387">
        <f>'0817'!Z69</f>
        <v>0</v>
      </c>
      <c r="J18" s="387">
        <f>'0817'!AA79</f>
        <v>0</v>
      </c>
    </row>
    <row r="19" spans="2:10" ht="17.25" customHeight="1">
      <c r="B19" s="736"/>
      <c r="C19" s="330" t="s">
        <v>37</v>
      </c>
      <c r="D19" s="386">
        <f>'0817'!AA15</f>
        <v>0</v>
      </c>
      <c r="E19" s="387">
        <f>'0817'!AA26</f>
        <v>0</v>
      </c>
      <c r="F19" s="387">
        <f>'0817'!AA37</f>
        <v>0</v>
      </c>
      <c r="G19" s="388">
        <f>'0817'!AA48</f>
        <v>0</v>
      </c>
      <c r="H19" s="388">
        <f>'0817'!AA58</f>
        <v>0</v>
      </c>
      <c r="I19" s="387">
        <f>'0817'!AA69</f>
        <v>0</v>
      </c>
      <c r="J19" s="387">
        <f>'0817'!AB79</f>
        <v>0</v>
      </c>
    </row>
    <row r="20" spans="2:10" ht="17.25" customHeight="1">
      <c r="B20" s="735" t="s">
        <v>103</v>
      </c>
      <c r="C20" s="330" t="s">
        <v>36</v>
      </c>
      <c r="D20" s="386">
        <f>'0817'!AD15</f>
        <v>0</v>
      </c>
      <c r="E20" s="387">
        <f>'0817'!AD26</f>
        <v>0</v>
      </c>
      <c r="F20" s="387">
        <f>'0817'!AD37</f>
        <v>0</v>
      </c>
      <c r="G20" s="388">
        <f>'0817'!AD48</f>
        <v>0</v>
      </c>
      <c r="H20" s="388">
        <f>'0817'!AD58</f>
        <v>0</v>
      </c>
      <c r="I20" s="387">
        <f>'0817'!AD69</f>
        <v>0</v>
      </c>
      <c r="J20" s="387">
        <f>'0817'!AD79</f>
        <v>0</v>
      </c>
    </row>
    <row r="21" spans="2:10" ht="17.25" customHeight="1">
      <c r="B21" s="736"/>
      <c r="C21" s="330" t="s">
        <v>85</v>
      </c>
      <c r="D21" s="386">
        <f>'0817'!AE15</f>
        <v>0</v>
      </c>
      <c r="E21" s="387">
        <f>'0817'!AE26</f>
        <v>0</v>
      </c>
      <c r="F21" s="387">
        <f>'0817'!AE37</f>
        <v>0</v>
      </c>
      <c r="G21" s="388">
        <f>'0817'!AE48</f>
        <v>0</v>
      </c>
      <c r="H21" s="388">
        <f>'0817'!AE58</f>
        <v>0</v>
      </c>
      <c r="I21" s="387">
        <f>'0817'!AE69</f>
        <v>0</v>
      </c>
      <c r="J21" s="387">
        <f>'0817'!AE79</f>
        <v>0</v>
      </c>
    </row>
    <row r="22" spans="2:10" ht="17.25" customHeight="1">
      <c r="B22" s="719" t="s">
        <v>104</v>
      </c>
      <c r="C22" s="720"/>
      <c r="D22" s="23">
        <f>VALUE('0817'!M15)</f>
        <v>14.2</v>
      </c>
      <c r="E22" s="23">
        <f>VALUE('0817'!M26)</f>
        <v>12.75</v>
      </c>
      <c r="F22" s="23">
        <f>VALUE('0817'!M37)</f>
        <v>17</v>
      </c>
      <c r="G22" s="23">
        <f>VALUE('0817'!M48)</f>
        <v>17</v>
      </c>
      <c r="H22" s="23">
        <f>VALUE('0817'!M58)</f>
        <v>16.5</v>
      </c>
      <c r="I22" s="23">
        <f>VALUE('0817'!M69)</f>
        <v>12</v>
      </c>
      <c r="J22" s="23">
        <f>'0817'!M79</f>
        <v>8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BABF-1428-43C0-B067-DD754AF6170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63982</v>
      </c>
      <c r="F1" s="30" t="s">
        <v>2</v>
      </c>
      <c r="G1" s="31">
        <f>SUM(H5:H79)</f>
        <v>2963863.7690000003</v>
      </c>
      <c r="H1" s="32" t="s">
        <v>3</v>
      </c>
      <c r="I1" s="33">
        <f>M15+M26+M48+M58+M69+M79+M37</f>
        <v>97.45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173</v>
      </c>
      <c r="B2" s="739"/>
      <c r="C2" s="28"/>
      <c r="D2" s="28" t="s">
        <v>14</v>
      </c>
      <c r="E2" s="35">
        <f>AVERAGE(O15,O26,O37,O48,O58,O69,O79)</f>
        <v>119.5624070834905</v>
      </c>
      <c r="F2" s="36" t="s">
        <v>15</v>
      </c>
      <c r="G2" s="37">
        <f>G1/E1</f>
        <v>46.323399846831926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1292</v>
      </c>
      <c r="H5" s="43">
        <f>F5*G5</f>
        <v>73476.039999999994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1890.7317073170873</v>
      </c>
      <c r="O5" s="47">
        <f>N5/M5</f>
        <v>135.05226480836339</v>
      </c>
      <c r="P5" s="49">
        <f>M5-J5</f>
        <v>-1</v>
      </c>
      <c r="Q5" s="50">
        <f>O5-L5</f>
        <v>-14.94773519163661</v>
      </c>
      <c r="R5" s="51">
        <f>O5/L5</f>
        <v>0.90034843205575588</v>
      </c>
      <c r="S5" s="748">
        <f>R15</f>
        <v>0.94188918487657258</v>
      </c>
      <c r="T5" s="319">
        <v>0.29375000000000001</v>
      </c>
      <c r="U5" s="320">
        <v>0.32222222222222202</v>
      </c>
      <c r="V5" s="53"/>
      <c r="W5" s="54">
        <f t="shared" ref="W5:W14" si="0">(U5-T5)*24*60</f>
        <v>40.999999999999694</v>
      </c>
      <c r="X5" s="55"/>
      <c r="Y5" s="290"/>
      <c r="Z5" s="169"/>
      <c r="AA5" s="169"/>
      <c r="AB5" s="791" t="s">
        <v>174</v>
      </c>
      <c r="AC5" s="791"/>
      <c r="AD5" s="135"/>
      <c r="AE5" s="135"/>
      <c r="AF5" s="229">
        <f t="shared" ref="AF5:AF11" si="1">N5-K5</f>
        <v>-359.26829268291272</v>
      </c>
      <c r="AG5" s="52">
        <f t="shared" ref="AG5:AG11" si="2">N5/K5</f>
        <v>0.84032520325203874</v>
      </c>
      <c r="AH5" s="784">
        <f>AG15</f>
        <v>0.89267223064664125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1768</v>
      </c>
      <c r="H6" s="63">
        <f>F6*G6</f>
        <v>89584.56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1964.4444444444428</v>
      </c>
      <c r="O6" s="67">
        <f>N6/M6</f>
        <v>122.77777777777767</v>
      </c>
      <c r="P6" s="69">
        <f>M6-J6</f>
        <v>-1</v>
      </c>
      <c r="Q6" s="70">
        <f>O6-L6</f>
        <v>-9.5751633986929079</v>
      </c>
      <c r="R6" s="71">
        <f>O6/L6</f>
        <v>0.92765432098765355</v>
      </c>
      <c r="S6" s="749"/>
      <c r="T6" s="16">
        <v>0.33194444444444399</v>
      </c>
      <c r="U6" s="16">
        <v>0.36944444444444402</v>
      </c>
      <c r="V6" s="30">
        <f>(T6-U5)*24*60</f>
        <v>13.999999999999631</v>
      </c>
      <c r="W6" s="73">
        <f t="shared" si="0"/>
        <v>54.00000000000005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-285.55555555555725</v>
      </c>
      <c r="AG6" s="72">
        <f t="shared" si="2"/>
        <v>0.87308641975308565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61">
        <f>VLOOKUP(D7,廠價表!$C$1:$E$43,3,0)</f>
        <v>58.17</v>
      </c>
      <c r="G7" s="66">
        <v>2957</v>
      </c>
      <c r="H7" s="78">
        <f>F7*G7</f>
        <v>172008.69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2137.5903614458152</v>
      </c>
      <c r="O7" s="81">
        <f>N7/M7</f>
        <v>164.43002780352424</v>
      </c>
      <c r="P7" s="74">
        <f>M7-J7</f>
        <v>0</v>
      </c>
      <c r="Q7" s="83">
        <f>O7-L7</f>
        <v>-8.646895273398826</v>
      </c>
      <c r="R7" s="72">
        <f>O7/L7</f>
        <v>0.95004016064258456</v>
      </c>
      <c r="S7" s="749"/>
      <c r="T7" s="18">
        <v>0.374305555555556</v>
      </c>
      <c r="U7" s="18">
        <v>0.43194444444444402</v>
      </c>
      <c r="V7" s="30">
        <f>(T7-U6)*24*60</f>
        <v>7.0000000000012541</v>
      </c>
      <c r="W7" s="73">
        <f t="shared" si="0"/>
        <v>82.999999999998749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-112.40963855418477</v>
      </c>
      <c r="AG7" s="72">
        <f t="shared" si="2"/>
        <v>0.95004016064258456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61">
        <f>VLOOKUP(D8,廠價表!$C$1:$E$43,3,0)</f>
        <v>49.14</v>
      </c>
      <c r="G8" s="66">
        <v>2018</v>
      </c>
      <c r="H8" s="63">
        <f>F8*G8</f>
        <v>99164.52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14</v>
      </c>
      <c r="N8" s="80">
        <f t="shared" ref="N8:N9" si="3">G8/W8*60</f>
        <v>1984.9180327868899</v>
      </c>
      <c r="O8" s="81">
        <f t="shared" ref="O8:O9" si="4">N8/M8</f>
        <v>141.77985948477786</v>
      </c>
      <c r="P8" s="74">
        <f t="shared" ref="P8:P9" si="5">M8-J8</f>
        <v>-1</v>
      </c>
      <c r="Q8" s="83">
        <f t="shared" ref="Q8:Q9" si="6">O8-L8</f>
        <v>-8.2201405152221412</v>
      </c>
      <c r="R8" s="72">
        <f t="shared" ref="R8:R9" si="7">O8/L8</f>
        <v>0.94519906323185243</v>
      </c>
      <c r="S8" s="749"/>
      <c r="T8" s="16">
        <v>0.436805555555556</v>
      </c>
      <c r="U8" s="16">
        <v>0.47916666666666702</v>
      </c>
      <c r="V8" s="30">
        <f t="shared" ref="V8:V9" si="8">(T8-U7)*24*60</f>
        <v>7.0000000000012541</v>
      </c>
      <c r="W8" s="73">
        <f t="shared" si="0"/>
        <v>60.999999999999865</v>
      </c>
      <c r="X8" s="22">
        <v>0.48611111111111099</v>
      </c>
      <c r="Y8" s="84">
        <v>0.52777777777777801</v>
      </c>
      <c r="Z8" s="90"/>
      <c r="AA8" s="90"/>
      <c r="AB8" s="788"/>
      <c r="AC8" s="788"/>
      <c r="AD8" s="149"/>
      <c r="AE8" s="149"/>
      <c r="AF8" s="307">
        <f t="shared" si="1"/>
        <v>-265.08196721311015</v>
      </c>
      <c r="AG8" s="72">
        <f t="shared" si="2"/>
        <v>0.88218579234972883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61">
        <f>VLOOKUP(D9,廠價表!$C$1:$E$43,3,0)</f>
        <v>49.14</v>
      </c>
      <c r="G9" s="66">
        <v>4233</v>
      </c>
      <c r="H9" s="78">
        <f>F9*G9</f>
        <v>208009.62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14</v>
      </c>
      <c r="N9" s="80">
        <f t="shared" si="3"/>
        <v>2064.8780487804788</v>
      </c>
      <c r="O9" s="81">
        <f t="shared" si="4"/>
        <v>147.49128919860564</v>
      </c>
      <c r="P9" s="74">
        <f t="shared" si="5"/>
        <v>-1</v>
      </c>
      <c r="Q9" s="83">
        <f t="shared" si="6"/>
        <v>-2.5087108013943578</v>
      </c>
      <c r="R9" s="72">
        <f t="shared" si="7"/>
        <v>0.98327526132403764</v>
      </c>
      <c r="S9" s="750"/>
      <c r="T9" s="16">
        <v>0.54374999999999996</v>
      </c>
      <c r="U9" s="16">
        <v>0.62916666666666698</v>
      </c>
      <c r="V9" s="30">
        <f t="shared" si="8"/>
        <v>92.999999999999432</v>
      </c>
      <c r="W9" s="73">
        <f t="shared" si="0"/>
        <v>123.00000000000053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-185.12195121952118</v>
      </c>
      <c r="AG9" s="72">
        <f t="shared" si="2"/>
        <v>0.91772357723576836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9">AVERAGE(J5:J14)</f>
        <v>15</v>
      </c>
      <c r="K15" s="120">
        <f t="shared" si="9"/>
        <v>2250</v>
      </c>
      <c r="L15" s="117">
        <f t="shared" si="9"/>
        <v>151.08597285067873</v>
      </c>
      <c r="M15" s="120">
        <f t="shared" si="9"/>
        <v>14.2</v>
      </c>
      <c r="N15" s="120">
        <f t="shared" si="9"/>
        <v>2008.5125189549428</v>
      </c>
      <c r="O15" s="117">
        <f t="shared" si="9"/>
        <v>142.30624381460976</v>
      </c>
      <c r="P15" s="121">
        <f>M15-J15</f>
        <v>-0.80000000000000071</v>
      </c>
      <c r="Q15" s="122">
        <f>O15-L15</f>
        <v>-8.7797290360689715</v>
      </c>
      <c r="R15" s="123">
        <f>O15/L15</f>
        <v>0.94188918487657258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-241.48748104505717</v>
      </c>
      <c r="AG15" s="124">
        <f>N15/K15</f>
        <v>0.89267223064664125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2162</v>
      </c>
      <c r="H16" s="134">
        <f>F16*G16</f>
        <v>122952.93999999999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1995.6923076923049</v>
      </c>
      <c r="O16" s="141">
        <f>N16/M16</f>
        <v>142.54945054945034</v>
      </c>
      <c r="P16" s="142">
        <f>M16-J16</f>
        <v>-1</v>
      </c>
      <c r="Q16" s="143">
        <f>O16-L16</f>
        <v>-7.4505494505496586</v>
      </c>
      <c r="R16" s="144">
        <f>O16/L16</f>
        <v>0.95032967032966897</v>
      </c>
      <c r="S16" s="795">
        <f>R26</f>
        <v>0.94900347609087476</v>
      </c>
      <c r="T16" s="145">
        <v>0.29027777777777802</v>
      </c>
      <c r="U16" s="145">
        <v>0.33541666666666697</v>
      </c>
      <c r="V16" s="135"/>
      <c r="W16" s="146">
        <f t="shared" ref="W16:W78" si="10">(U16-T16)*24*60</f>
        <v>65.000000000000085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-254.30769230769511</v>
      </c>
      <c r="AG16" s="52">
        <f>N16/K16</f>
        <v>0.88697435897435772</v>
      </c>
      <c r="AH16" s="784">
        <f>AG26</f>
        <v>0.93361034425881273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4105</v>
      </c>
      <c r="H17" s="78">
        <f>F17*G17</f>
        <v>208000.35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2179.6460176991213</v>
      </c>
      <c r="O17" s="96">
        <f>N17/M17</f>
        <v>167.6650782845478</v>
      </c>
      <c r="P17" s="97">
        <f>M17-J17</f>
        <v>0</v>
      </c>
      <c r="Q17" s="98">
        <f>O17-L17</f>
        <v>-5.4118447923752626</v>
      </c>
      <c r="R17" s="99">
        <f>O17/L17</f>
        <v>0.96873156342183186</v>
      </c>
      <c r="S17" s="796"/>
      <c r="T17" s="19">
        <v>0.34027777777777801</v>
      </c>
      <c r="U17" s="19">
        <v>0.41875000000000001</v>
      </c>
      <c r="V17" s="30">
        <f>(T17-U16)*24*60</f>
        <v>6.9999999999998952</v>
      </c>
      <c r="W17" s="149">
        <f t="shared" si="10"/>
        <v>112.99999999999967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-70.35398230087867</v>
      </c>
      <c r="AG17" s="72">
        <f>N17/K17</f>
        <v>0.96873156342183175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2770</v>
      </c>
      <c r="H18" s="78">
        <f t="shared" ref="H18:H19" si="11">F18*G18</f>
        <v>139580.29999999999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 t="shared" ref="L18:L19" si="12">K18/J18</f>
        <v>187.5</v>
      </c>
      <c r="M18" s="148">
        <v>12</v>
      </c>
      <c r="N18" s="95">
        <f t="shared" ref="N18:N19" si="13">G18/W18*60</f>
        <v>2130.7692307692187</v>
      </c>
      <c r="O18" s="96">
        <f t="shared" ref="O18:O19" si="14">N18/M18</f>
        <v>177.56410256410155</v>
      </c>
      <c r="P18" s="97">
        <f t="shared" ref="P18:P19" si="15">M18-J18</f>
        <v>0</v>
      </c>
      <c r="Q18" s="98">
        <f t="shared" ref="Q18:Q19" si="16">O18-L18</f>
        <v>-9.935897435898454</v>
      </c>
      <c r="R18" s="99">
        <f t="shared" ref="R18:R19" si="17">O18/L18</f>
        <v>0.94700854700854153</v>
      </c>
      <c r="S18" s="796"/>
      <c r="T18" s="19">
        <v>0.422222222222222</v>
      </c>
      <c r="U18" s="19">
        <v>0.47638888888888897</v>
      </c>
      <c r="V18" s="30">
        <f>(T18-U17)*24*60</f>
        <v>4.9999999999996625</v>
      </c>
      <c r="W18" s="149">
        <f t="shared" si="10"/>
        <v>78.000000000000441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>
        <f>N18-K18</f>
        <v>-119.23076923078133</v>
      </c>
      <c r="AG18" s="72">
        <f>N18/K18</f>
        <v>0.94700854700854165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2900</v>
      </c>
      <c r="H19" s="78">
        <f t="shared" si="11"/>
        <v>146131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si="12"/>
        <v>187.5</v>
      </c>
      <c r="M19" s="148">
        <v>12</v>
      </c>
      <c r="N19" s="95">
        <f t="shared" si="13"/>
        <v>2096.3855421686699</v>
      </c>
      <c r="O19" s="96">
        <f t="shared" si="14"/>
        <v>174.6987951807225</v>
      </c>
      <c r="P19" s="97">
        <f t="shared" si="15"/>
        <v>0</v>
      </c>
      <c r="Q19" s="98">
        <f t="shared" si="16"/>
        <v>-12.801204819277501</v>
      </c>
      <c r="R19" s="99">
        <f t="shared" si="17"/>
        <v>0.93172690763052002</v>
      </c>
      <c r="S19" s="796"/>
      <c r="T19" s="19">
        <v>0.54166666666666696</v>
      </c>
      <c r="U19" s="19">
        <v>0.59930555555555598</v>
      </c>
      <c r="V19" s="30">
        <f>(T19-U18)*24*60</f>
        <v>94.000000000000313</v>
      </c>
      <c r="W19" s="149">
        <f t="shared" si="10"/>
        <v>83.000000000000185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-153.61445783133013</v>
      </c>
      <c r="AG19" s="72">
        <f>N19/K19</f>
        <v>0.93172690763051991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0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10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0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174.51923076923077</v>
      </c>
      <c r="M26" s="155">
        <f t="shared" si="18"/>
        <v>12.75</v>
      </c>
      <c r="N26" s="155">
        <f t="shared" si="18"/>
        <v>2100.6232745823286</v>
      </c>
      <c r="O26" s="158">
        <f t="shared" si="18"/>
        <v>165.61935664470556</v>
      </c>
      <c r="P26" s="159">
        <f>M26-J26</f>
        <v>-0.25</v>
      </c>
      <c r="Q26" s="160">
        <f>O26-L26</f>
        <v>-8.899874124525212</v>
      </c>
      <c r="R26" s="161">
        <f>O26/L26</f>
        <v>0.94900347609087476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9">N26-K26</f>
        <v>-149.37672541767142</v>
      </c>
      <c r="AG26" s="124">
        <f t="shared" ref="AG26:AG31" si="20">N26/K26</f>
        <v>0.93361034425881273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1989</v>
      </c>
      <c r="H27" s="134">
        <f>F27*G27</f>
        <v>92170.260000000009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1549.8701298701369</v>
      </c>
      <c r="O27" s="141">
        <f>N27/M27</f>
        <v>96.866883116883557</v>
      </c>
      <c r="P27" s="142">
        <f>M27-J27</f>
        <v>0</v>
      </c>
      <c r="Q27" s="143">
        <f>O27-L27</f>
        <v>-5.3831168831164433</v>
      </c>
      <c r="R27" s="144">
        <f>O27/L27</f>
        <v>0.94735338011622061</v>
      </c>
      <c r="S27" s="795">
        <f>R37</f>
        <v>0.93033445618983168</v>
      </c>
      <c r="T27" s="171">
        <v>0.29166666666666702</v>
      </c>
      <c r="U27" s="171">
        <v>0.34513888888888899</v>
      </c>
      <c r="V27" s="135"/>
      <c r="W27" s="146">
        <f t="shared" si="10"/>
        <v>76.999999999999645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19"/>
        <v>-86.129870129863093</v>
      </c>
      <c r="AG27" s="172">
        <f t="shared" si="20"/>
        <v>0.94735338011622061</v>
      </c>
      <c r="AH27" s="784">
        <f>AG37</f>
        <v>0.90860527362757826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1452</v>
      </c>
      <c r="H28" s="91">
        <f>F28*G28</f>
        <v>83068.92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1451.9999999999877</v>
      </c>
      <c r="O28" s="96">
        <f>N28/M28</f>
        <v>85.411764705881637</v>
      </c>
      <c r="P28" s="97">
        <f>M28-J28</f>
        <v>-1</v>
      </c>
      <c r="Q28" s="98">
        <f>O28-L28</f>
        <v>-5.4771241830072483</v>
      </c>
      <c r="R28" s="99">
        <f>O28/L28</f>
        <v>0.93973824248525029</v>
      </c>
      <c r="S28" s="796"/>
      <c r="T28" s="19">
        <v>0.35069444444444398</v>
      </c>
      <c r="U28" s="19">
        <v>0.39236111111111099</v>
      </c>
      <c r="V28" s="92">
        <f>(T28-U27)*24*60</f>
        <v>7.9999999999991722</v>
      </c>
      <c r="W28" s="149">
        <f t="shared" si="10"/>
        <v>60.000000000000504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9"/>
        <v>-184.00000000001228</v>
      </c>
      <c r="AG28" s="99">
        <f t="shared" si="20"/>
        <v>0.88753056234718075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932</v>
      </c>
      <c r="H29" s="91">
        <f>F29*G29</f>
        <v>46516.119999999995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1398.0000000000412</v>
      </c>
      <c r="O29" s="96">
        <f>N29/M29</f>
        <v>77.666666666668959</v>
      </c>
      <c r="P29" s="97">
        <f>M29-J29</f>
        <v>0</v>
      </c>
      <c r="Q29" s="98">
        <f>O29-L29</f>
        <v>-13.222222222219926</v>
      </c>
      <c r="R29" s="99">
        <f>O29/L29</f>
        <v>0.85452322738388831</v>
      </c>
      <c r="S29" s="796"/>
      <c r="T29" s="19">
        <v>0.39930555555555602</v>
      </c>
      <c r="U29" s="19">
        <v>0.42708333333333298</v>
      </c>
      <c r="V29" s="92">
        <f>(T29-U28)*24*60</f>
        <v>10.000000000000844</v>
      </c>
      <c r="W29" s="149">
        <f t="shared" si="10"/>
        <v>39.99999999999882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9"/>
        <v>-237.99999999995885</v>
      </c>
      <c r="AG29" s="99">
        <f t="shared" si="20"/>
        <v>0.8545232273838882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1316</v>
      </c>
      <c r="H30" s="91">
        <f t="shared" ref="H30:H31" si="21">F30*G30</f>
        <v>60088.56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22">K30/J30</f>
        <v>96.235294117647058</v>
      </c>
      <c r="M30" s="94">
        <v>17</v>
      </c>
      <c r="N30" s="95">
        <f t="shared" ref="N30:N31" si="23">G30/W30*60</f>
        <v>1548.2352941176766</v>
      </c>
      <c r="O30" s="96">
        <f t="shared" ref="O30:O31" si="24">N30/M30</f>
        <v>91.072664359863325</v>
      </c>
      <c r="P30" s="97">
        <f t="shared" ref="P30:P31" si="25">M30-J30</f>
        <v>0</v>
      </c>
      <c r="Q30" s="98">
        <f t="shared" ref="Q30:Q31" si="26">O30-L30</f>
        <v>-5.1626297577837335</v>
      </c>
      <c r="R30" s="99">
        <f t="shared" ref="R30:R31" si="27">O30/L30</f>
        <v>0.94635409175897101</v>
      </c>
      <c r="S30" s="796"/>
      <c r="T30" s="19">
        <v>0.43402777777777801</v>
      </c>
      <c r="U30" s="19">
        <v>0.469444444444444</v>
      </c>
      <c r="V30" s="92">
        <f>(T30-U29)*24*60</f>
        <v>10.000000000000844</v>
      </c>
      <c r="W30" s="149">
        <f t="shared" si="10"/>
        <v>50.999999999999019</v>
      </c>
      <c r="X30" s="174">
        <v>0.49652777777777801</v>
      </c>
      <c r="Y30" s="301">
        <v>0.53819444444444398</v>
      </c>
      <c r="Z30" s="335"/>
      <c r="AA30" s="335"/>
      <c r="AB30" s="789"/>
      <c r="AC30" s="789"/>
      <c r="AD30" s="92"/>
      <c r="AE30" s="92"/>
      <c r="AF30" s="312">
        <f t="shared" si="19"/>
        <v>-87.764705882323369</v>
      </c>
      <c r="AG30" s="99">
        <f t="shared" si="20"/>
        <v>0.94635409175897101</v>
      </c>
      <c r="AH30" s="806"/>
    </row>
    <row r="31" spans="1:34" ht="15" customHeight="1">
      <c r="A31" s="793"/>
      <c r="B31" s="75" t="s">
        <v>81</v>
      </c>
      <c r="C31" s="102"/>
      <c r="D31" s="175" t="s">
        <v>123</v>
      </c>
      <c r="E31" s="176"/>
      <c r="F31" s="75">
        <f>VLOOKUP(D31,廠價表!$C$1:$E$43,3,0)</f>
        <v>49.91</v>
      </c>
      <c r="G31" s="90">
        <v>1039</v>
      </c>
      <c r="H31" s="91">
        <f t="shared" si="21"/>
        <v>51856.49</v>
      </c>
      <c r="I31" s="92"/>
      <c r="J31" s="79">
        <f>VLOOKUP(D31,產線配置圖!$A$3:$C$40,2,0)</f>
        <v>18</v>
      </c>
      <c r="K31" s="80">
        <v>1636</v>
      </c>
      <c r="L31" s="93">
        <f t="shared" si="22"/>
        <v>90.888888888888886</v>
      </c>
      <c r="M31" s="94">
        <v>17</v>
      </c>
      <c r="N31" s="95">
        <f t="shared" si="23"/>
        <v>1484.2857142857479</v>
      </c>
      <c r="O31" s="96">
        <f t="shared" si="24"/>
        <v>87.31092436974987</v>
      </c>
      <c r="P31" s="97">
        <f t="shared" si="25"/>
        <v>-1</v>
      </c>
      <c r="Q31" s="98">
        <f t="shared" si="26"/>
        <v>-3.5779645191390159</v>
      </c>
      <c r="R31" s="99">
        <f t="shared" si="27"/>
        <v>0.96063364220996195</v>
      </c>
      <c r="S31" s="796"/>
      <c r="T31" s="19">
        <v>0.54027777777777797</v>
      </c>
      <c r="U31" s="19">
        <v>0.56944444444444398</v>
      </c>
      <c r="V31" s="92">
        <f>(T31-U30)*24*60</f>
        <v>102.00000000000091</v>
      </c>
      <c r="W31" s="149">
        <f t="shared" si="10"/>
        <v>41.999999999999048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9"/>
        <v>-151.71428571425213</v>
      </c>
      <c r="AG31" s="99">
        <f t="shared" si="20"/>
        <v>0.90726510653163073</v>
      </c>
      <c r="AH31" s="786"/>
    </row>
    <row r="32" spans="1:34" ht="15" customHeight="1">
      <c r="A32" s="793"/>
      <c r="B32" s="75"/>
      <c r="C32" s="173"/>
      <c r="D32" s="59"/>
      <c r="E32" s="104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10"/>
        <v>0</v>
      </c>
      <c r="X32" s="174"/>
      <c r="Y32" s="301"/>
      <c r="Z32" s="335" t="s">
        <v>46</v>
      </c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0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0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10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/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9"/>
      <c r="U36" s="19"/>
      <c r="V36" s="92"/>
      <c r="W36" s="149">
        <f t="shared" si="10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8">AVERAGE(J27:J36)</f>
        <v>17.399999999999999</v>
      </c>
      <c r="K37" s="155">
        <f t="shared" si="28"/>
        <v>1636</v>
      </c>
      <c r="L37" s="158">
        <f t="shared" si="28"/>
        <v>94.230392156862735</v>
      </c>
      <c r="M37" s="155">
        <f t="shared" si="28"/>
        <v>17</v>
      </c>
      <c r="N37" s="155">
        <f t="shared" si="28"/>
        <v>1486.478227654718</v>
      </c>
      <c r="O37" s="158">
        <f t="shared" si="28"/>
        <v>87.66578064380947</v>
      </c>
      <c r="P37" s="159">
        <f>M37-J37</f>
        <v>-0.39999999999999858</v>
      </c>
      <c r="Q37" s="160">
        <f>N37-K37</f>
        <v>-149.52177234528199</v>
      </c>
      <c r="R37" s="161">
        <f>O37/L37</f>
        <v>0.93033445618983168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-149.52177234528199</v>
      </c>
      <c r="AG37" s="124">
        <f>N37/K37</f>
        <v>0.90860527362757826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3112</v>
      </c>
      <c r="H38" s="134">
        <f>F38*G38</f>
        <v>155319.91999999998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1555.999999999987</v>
      </c>
      <c r="O38" s="141">
        <f>N38/M38</f>
        <v>103.73333333333247</v>
      </c>
      <c r="P38" s="142">
        <f>M38-J38</f>
        <v>-1</v>
      </c>
      <c r="Q38" s="143">
        <f>O38-L38</f>
        <v>-3.3916666666675326</v>
      </c>
      <c r="R38" s="144">
        <f>O38/L38</f>
        <v>0.96833916763904282</v>
      </c>
      <c r="S38" s="817">
        <f>R48</f>
        <v>0.95051866619441938</v>
      </c>
      <c r="T38" s="191">
        <v>0.33333333333333298</v>
      </c>
      <c r="U38" s="191">
        <v>0.41666666666666702</v>
      </c>
      <c r="V38" s="192"/>
      <c r="W38" s="193">
        <f t="shared" si="10"/>
        <v>120.00000000000101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-158.00000000001296</v>
      </c>
      <c r="AG38" s="195">
        <f>N38/K38</f>
        <v>0.90781796966160266</v>
      </c>
      <c r="AH38" s="807">
        <f>AG48</f>
        <v>0.92894799315634413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2552</v>
      </c>
      <c r="H39" s="91">
        <f>F39*G39</f>
        <v>113053.59999999999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1562.4489795918271</v>
      </c>
      <c r="O39" s="203">
        <f>N39/M39</f>
        <v>86.802721088434836</v>
      </c>
      <c r="P39" s="97">
        <f>M39-J39</f>
        <v>0</v>
      </c>
      <c r="Q39" s="98">
        <f>O39-L39</f>
        <v>-4.0861678004540494</v>
      </c>
      <c r="R39" s="99">
        <f>O39/L39</f>
        <v>0.95504216356468652</v>
      </c>
      <c r="S39" s="818"/>
      <c r="T39" s="20">
        <v>0.42361111111111099</v>
      </c>
      <c r="U39" s="20">
        <v>0.49166666666666697</v>
      </c>
      <c r="V39" s="92">
        <f>(T39-U38)*24*60</f>
        <v>9.999999999999325</v>
      </c>
      <c r="W39" s="205">
        <f t="shared" si="10"/>
        <v>98.000000000000611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-73.551020408172917</v>
      </c>
      <c r="AG39" s="206">
        <f>N39/K39</f>
        <v>0.95504216356468652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3531</v>
      </c>
      <c r="H40" s="91">
        <f>F40*G40</f>
        <v>156423.29999999999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1513.2857142857179</v>
      </c>
      <c r="O40" s="203">
        <f>N40/M40</f>
        <v>84.071428571428768</v>
      </c>
      <c r="P40" s="97">
        <f>M40-J40</f>
        <v>0</v>
      </c>
      <c r="Q40" s="98">
        <f>O40-L40</f>
        <v>-6.8174603174601174</v>
      </c>
      <c r="R40" s="99">
        <f>O40/L40</f>
        <v>0.92499126790080555</v>
      </c>
      <c r="S40" s="749"/>
      <c r="T40" s="20">
        <v>0.54861111111111105</v>
      </c>
      <c r="U40" s="20">
        <v>0.64583333333333304</v>
      </c>
      <c r="V40" s="92">
        <f>(T40-U39)*24*60</f>
        <v>81.999999999999474</v>
      </c>
      <c r="W40" s="205">
        <f t="shared" si="10"/>
        <v>139.99999999999966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-122.71428571428214</v>
      </c>
      <c r="AG40" s="206">
        <f>N40/K40</f>
        <v>0.92499126790080555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0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9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9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9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9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9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30">AVERAGE(J38:J47)</f>
        <v>17.333333333333332</v>
      </c>
      <c r="K48" s="155">
        <f t="shared" si="30"/>
        <v>1662</v>
      </c>
      <c r="L48" s="158">
        <f t="shared" si="30"/>
        <v>96.300925925925924</v>
      </c>
      <c r="M48" s="155">
        <f t="shared" si="30"/>
        <v>17</v>
      </c>
      <c r="N48" s="155">
        <f t="shared" si="30"/>
        <v>1543.911564625844</v>
      </c>
      <c r="O48" s="158">
        <f t="shared" si="30"/>
        <v>91.535827664398695</v>
      </c>
      <c r="P48" s="221">
        <f>M48-J48</f>
        <v>-0.33333333333333215</v>
      </c>
      <c r="Q48" s="222">
        <f>N48-K48</f>
        <v>-118.08843537415601</v>
      </c>
      <c r="R48" s="223">
        <f>O48/L48</f>
        <v>0.95051866619441938</v>
      </c>
      <c r="S48" s="752"/>
      <c r="T48" s="224"/>
      <c r="U48" s="224"/>
      <c r="V48" s="225"/>
      <c r="W48" s="226">
        <f t="shared" si="29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31">N48-K48</f>
        <v>-118.08843537415601</v>
      </c>
      <c r="AG48" s="162">
        <f t="shared" ref="AG48:AG53" si="32">N48/K48</f>
        <v>0.92894799315634413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2789</v>
      </c>
      <c r="H49" s="134">
        <f>F49*G49</f>
        <v>138111.28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1640.5882352941262</v>
      </c>
      <c r="O49" s="141">
        <f>N49/M49</f>
        <v>96.505190311419184</v>
      </c>
      <c r="P49" s="229">
        <f>M49-J49</f>
        <v>0</v>
      </c>
      <c r="Q49" s="230">
        <f>O49-L49</f>
        <v>-9.3771626297572794</v>
      </c>
      <c r="R49" s="52">
        <f>O49/L49</f>
        <v>0.91143790849673678</v>
      </c>
      <c r="S49" s="748">
        <f>R58</f>
        <v>0.91510431433203188</v>
      </c>
      <c r="T49" s="191">
        <v>0.29166666666666702</v>
      </c>
      <c r="U49" s="191">
        <v>0.36249999999999999</v>
      </c>
      <c r="V49" s="55"/>
      <c r="W49" s="193">
        <f t="shared" si="10"/>
        <v>101.99999999999947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1"/>
        <v>-159.41176470587379</v>
      </c>
      <c r="AG49" s="52">
        <f t="shared" si="32"/>
        <v>0.91143790849673678</v>
      </c>
      <c r="AH49" s="784">
        <f>AG58</f>
        <v>0.91529732111859274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2621</v>
      </c>
      <c r="H50" s="231">
        <f>F50*G50</f>
        <v>131807.46900000001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1526.7961165048503</v>
      </c>
      <c r="O50" s="235">
        <f>N50/M50</f>
        <v>89.81153626499119</v>
      </c>
      <c r="P50" s="74">
        <f>M50-J50</f>
        <v>0</v>
      </c>
      <c r="Q50" s="83">
        <f>O50-L50</f>
        <v>-6.4237578526558679</v>
      </c>
      <c r="R50" s="72">
        <f>O50/L50</f>
        <v>0.93324945996628983</v>
      </c>
      <c r="S50" s="749"/>
      <c r="T50" s="21">
        <v>0.36944444444444402</v>
      </c>
      <c r="U50" s="21">
        <v>0.44097222222222199</v>
      </c>
      <c r="V50" s="30">
        <f>(T50-U49)*24*60</f>
        <v>9.9999999999994049</v>
      </c>
      <c r="W50" s="236">
        <f t="shared" si="10"/>
        <v>103.00000000000027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31"/>
        <v>-109.20388349514974</v>
      </c>
      <c r="AG50" s="72">
        <f t="shared" si="32"/>
        <v>0.93324945996628994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1569</v>
      </c>
      <c r="H51" s="231">
        <f t="shared" ref="H51:H52" si="33">F51*G51</f>
        <v>78402.929999999993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2" si="34">K51/J51</f>
        <v>112.5</v>
      </c>
      <c r="M51" s="233">
        <v>16</v>
      </c>
      <c r="N51" s="234">
        <f>G51/W51*60</f>
        <v>1711.6363636363847</v>
      </c>
      <c r="O51" s="235">
        <f>N51/M51</f>
        <v>106.97727272727404</v>
      </c>
      <c r="P51" s="74">
        <f>M51-J51</f>
        <v>0</v>
      </c>
      <c r="Q51" s="83">
        <f>O51-L51</f>
        <v>-5.5227272727259589</v>
      </c>
      <c r="R51" s="72">
        <f>O51/L51</f>
        <v>0.95090909090910258</v>
      </c>
      <c r="S51" s="749"/>
      <c r="T51" s="21">
        <v>0.44652777777777802</v>
      </c>
      <c r="U51" s="19">
        <v>0.484722222222222</v>
      </c>
      <c r="V51" s="30">
        <f>(T51-U50)*24*60</f>
        <v>8.000000000000691</v>
      </c>
      <c r="W51" s="236">
        <f t="shared" si="10"/>
        <v>54.999999999999325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31"/>
        <v>-88.363636363615342</v>
      </c>
      <c r="AG51" s="72">
        <f t="shared" si="32"/>
        <v>0.95090909090910258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4631</v>
      </c>
      <c r="H52" s="231">
        <f t="shared" si="33"/>
        <v>231411.07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4"/>
        <v>112.5</v>
      </c>
      <c r="M52" s="233">
        <v>16</v>
      </c>
      <c r="N52" s="234">
        <f>G52/W52*60</f>
        <v>1561.0112359550574</v>
      </c>
      <c r="O52" s="235">
        <f>N52/M52</f>
        <v>97.563202247191086</v>
      </c>
      <c r="P52" s="74">
        <f>M52-J52</f>
        <v>0</v>
      </c>
      <c r="Q52" s="83">
        <f>O52-L52</f>
        <v>-14.936797752808914</v>
      </c>
      <c r="R52" s="72">
        <f>O52/L52</f>
        <v>0.86722846441947632</v>
      </c>
      <c r="S52" s="749"/>
      <c r="T52" s="21">
        <v>0.54166666666666696</v>
      </c>
      <c r="U52" s="21">
        <v>0.66527777777777797</v>
      </c>
      <c r="V52" s="30">
        <f>(T52-U51)*24*60</f>
        <v>82.000000000000753</v>
      </c>
      <c r="W52" s="236">
        <f t="shared" si="10"/>
        <v>177.99999999999986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31"/>
        <v>-238.98876404494263</v>
      </c>
      <c r="AG52" s="72">
        <f t="shared" si="32"/>
        <v>0.86722846441947632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0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31"/>
        <v>0</v>
      </c>
      <c r="AG53" s="72" t="e">
        <f t="shared" si="32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5">AVERAGE(J49:J57)</f>
        <v>16.5</v>
      </c>
      <c r="K58" s="120">
        <f t="shared" si="35"/>
        <v>1759</v>
      </c>
      <c r="L58" s="117">
        <f t="shared" si="35"/>
        <v>106.77941176470588</v>
      </c>
      <c r="M58" s="120">
        <f t="shared" si="35"/>
        <v>16.5</v>
      </c>
      <c r="N58" s="120">
        <f t="shared" si="35"/>
        <v>1610.0079878476047</v>
      </c>
      <c r="O58" s="117">
        <f t="shared" si="35"/>
        <v>97.714300387718879</v>
      </c>
      <c r="P58" s="121">
        <f>M58-J58</f>
        <v>0</v>
      </c>
      <c r="Q58" s="122">
        <f>N58-K58</f>
        <v>-148.99201215239532</v>
      </c>
      <c r="R58" s="123">
        <f>O58/L58</f>
        <v>0.91510431433203188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-148.99201215239532</v>
      </c>
      <c r="AG58" s="124">
        <f>N58/K58</f>
        <v>0.91529732111859274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3827</v>
      </c>
      <c r="H59" s="243">
        <f>F59*G59</f>
        <v>103290.73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1562.0408163265361</v>
      </c>
      <c r="O59" s="138">
        <f>N59/M59</f>
        <v>104.13605442176907</v>
      </c>
      <c r="P59" s="56">
        <f>M59-J59</f>
        <v>0</v>
      </c>
      <c r="Q59" s="230">
        <f>O59-L59</f>
        <v>-4.9306122448975884</v>
      </c>
      <c r="R59" s="52">
        <f>O59/L59</f>
        <v>0.95479267501622012</v>
      </c>
      <c r="S59" s="748">
        <f>R69</f>
        <v>0.90116674230674576</v>
      </c>
      <c r="T59" s="245">
        <v>0.29166666666666702</v>
      </c>
      <c r="U59" s="245">
        <v>0.39374999999999999</v>
      </c>
      <c r="V59" s="55"/>
      <c r="W59" s="54">
        <f t="shared" si="10"/>
        <v>146.99999999999949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-73.95918367346394</v>
      </c>
      <c r="AG59" s="246">
        <f>N59/K59</f>
        <v>0.95479267501622012</v>
      </c>
      <c r="AH59" s="784">
        <f>AG69</f>
        <v>0.90474180448737751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1722</v>
      </c>
      <c r="H60" s="78">
        <f>F60*G60</f>
        <v>48663.72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1542.0895522387984</v>
      </c>
      <c r="O60" s="81">
        <f>N60/M60</f>
        <v>140.18995929443622</v>
      </c>
      <c r="P60" s="74">
        <f>M60-J60</f>
        <v>0</v>
      </c>
      <c r="Q60" s="83">
        <f>O60-L60</f>
        <v>-8.5373134328364984</v>
      </c>
      <c r="R60" s="72">
        <f>O60/L60</f>
        <v>0.94259752581833645</v>
      </c>
      <c r="S60" s="829"/>
      <c r="T60" s="22">
        <v>0.40277777777777801</v>
      </c>
      <c r="U60" s="22">
        <v>0.44930555555555601</v>
      </c>
      <c r="V60" s="30">
        <f>(T60-U59)*24*60</f>
        <v>13.000000000000353</v>
      </c>
      <c r="W60" s="248">
        <f t="shared" si="10"/>
        <v>67.000000000000327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-93.910447761201567</v>
      </c>
      <c r="AG60" s="249">
        <f>N60/K60</f>
        <v>0.94259752581833645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75">
        <f>VLOOKUP(D61,廠價表!$C$1:$E$43,3,0)</f>
        <v>28.26</v>
      </c>
      <c r="G61" s="38">
        <v>1345</v>
      </c>
      <c r="H61" s="254">
        <f>F61*G61</f>
        <v>38009.700000000004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1345.0000000000227</v>
      </c>
      <c r="O61" s="238">
        <f>N61/M61</f>
        <v>122.27272727272934</v>
      </c>
      <c r="P61" s="111">
        <f>M61-J61</f>
        <v>0</v>
      </c>
      <c r="Q61" s="255">
        <f>O61-L61</f>
        <v>-26.454545454543378</v>
      </c>
      <c r="R61" s="85">
        <f>O61/L61</f>
        <v>0.82212713936431714</v>
      </c>
      <c r="S61" s="749"/>
      <c r="T61" s="22">
        <v>0.46180555555555602</v>
      </c>
      <c r="U61" s="22">
        <v>0.50347222222222199</v>
      </c>
      <c r="V61" s="30">
        <f t="shared" ref="V61:V62" si="36">(T61-U60)*24*60</f>
        <v>18.000000000000014</v>
      </c>
      <c r="W61" s="256">
        <f t="shared" si="10"/>
        <v>59.999999999998991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-290.99999999997726</v>
      </c>
      <c r="AG61" s="247">
        <f>N61/K61</f>
        <v>0.82212713936431703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75">
        <f>VLOOKUP(D62,廠價表!$C$1:$E$43,3,0)</f>
        <v>28.26</v>
      </c>
      <c r="G62" s="38">
        <v>981</v>
      </c>
      <c r="H62" s="254">
        <f>F62*G62</f>
        <v>27723.06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1471.5000000000405</v>
      </c>
      <c r="O62" s="238">
        <f>N62/M62</f>
        <v>133.77272727273095</v>
      </c>
      <c r="P62" s="111">
        <f>M62-J62</f>
        <v>0</v>
      </c>
      <c r="Q62" s="255">
        <f>O62-L62</f>
        <v>-14.954545454541773</v>
      </c>
      <c r="R62" s="85">
        <f>O62/L62</f>
        <v>0.89944987775063601</v>
      </c>
      <c r="S62" s="749"/>
      <c r="T62" s="22">
        <v>0.55555555555555602</v>
      </c>
      <c r="U62" s="22">
        <v>0.58333333333333304</v>
      </c>
      <c r="V62" s="30">
        <f t="shared" si="36"/>
        <v>75.000000000001009</v>
      </c>
      <c r="W62" s="248">
        <f t="shared" si="10"/>
        <v>39.999999999998899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-164.49999999995953</v>
      </c>
      <c r="AG62" s="247">
        <f>N62/K62</f>
        <v>0.89944987775063601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7">AVERAGE(J59:J68)</f>
        <v>12</v>
      </c>
      <c r="K69" s="240">
        <f t="shared" si="37"/>
        <v>1636</v>
      </c>
      <c r="L69" s="268">
        <f t="shared" si="37"/>
        <v>138.81212121212121</v>
      </c>
      <c r="M69" s="240">
        <f t="shared" si="37"/>
        <v>12</v>
      </c>
      <c r="N69" s="240">
        <f t="shared" si="37"/>
        <v>1480.1575921413496</v>
      </c>
      <c r="O69" s="268">
        <f t="shared" si="37"/>
        <v>125.0928670654164</v>
      </c>
      <c r="P69" s="269">
        <f>M69-J69</f>
        <v>0</v>
      </c>
      <c r="Q69" s="222">
        <f>N69-K69</f>
        <v>-155.8424078586504</v>
      </c>
      <c r="R69" s="123">
        <f>O69/L69</f>
        <v>0.90116674230674576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-155.8424078586504</v>
      </c>
      <c r="AG69" s="124">
        <f>N69/K69</f>
        <v>0.90474180448737751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1636</v>
      </c>
      <c r="H70" s="243">
        <f>F70*G70</f>
        <v>71804.040000000008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908.8888888888888</v>
      </c>
      <c r="O70" s="138">
        <f>N70/M70</f>
        <v>113.6111111111111</v>
      </c>
      <c r="P70" s="56">
        <f>M70-J70</f>
        <v>-5</v>
      </c>
      <c r="Q70" s="230">
        <f>O70-L70</f>
        <v>-6.7735042735042867</v>
      </c>
      <c r="R70" s="52">
        <f>O70/L70</f>
        <v>0.94373446929357463</v>
      </c>
      <c r="S70" s="748">
        <f>R79</f>
        <v>0.94386371597951169</v>
      </c>
      <c r="T70" s="245">
        <v>0.29861111111111099</v>
      </c>
      <c r="U70" s="245">
        <v>0.37361111111111101</v>
      </c>
      <c r="V70" s="55"/>
      <c r="W70" s="54">
        <f t="shared" si="10"/>
        <v>108.00000000000001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-656.1111111111112</v>
      </c>
      <c r="AG70" s="246">
        <f>N70/K70</f>
        <v>0.58075967341143053</v>
      </c>
      <c r="AH70" s="784">
        <f>AG79</f>
        <v>0.63481398744779571</v>
      </c>
    </row>
    <row r="71" spans="1:36" ht="15" customHeight="1">
      <c r="A71" s="822"/>
      <c r="B71" s="75" t="s">
        <v>130</v>
      </c>
      <c r="C71" s="76"/>
      <c r="D71" s="59" t="s">
        <v>134</v>
      </c>
      <c r="E71" s="77"/>
      <c r="F71" s="75">
        <f>VLOOKUP(D71,廠價表!$C$1:$E$43,3,0)</f>
        <v>28.26</v>
      </c>
      <c r="G71" s="30">
        <v>2733</v>
      </c>
      <c r="H71" s="254">
        <f>F71*G71</f>
        <v>77234.58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8</v>
      </c>
      <c r="N71" s="107">
        <f>G71/W71*60</f>
        <v>1123.1506849315053</v>
      </c>
      <c r="O71" s="238">
        <f>N71/M71</f>
        <v>140.39383561643817</v>
      </c>
      <c r="P71" s="111">
        <f>M71-J71</f>
        <v>-3</v>
      </c>
      <c r="Q71" s="255">
        <f>O71-L71</f>
        <v>-8.3334371108345522</v>
      </c>
      <c r="R71" s="85">
        <f>O71/L71</f>
        <v>0.94396833238436428</v>
      </c>
      <c r="S71" s="749"/>
      <c r="T71" s="22">
        <v>0.38124999999999998</v>
      </c>
      <c r="U71" s="22">
        <v>0.48263888888888901</v>
      </c>
      <c r="V71" s="30">
        <f>(T71-U70)*24*60</f>
        <v>11.000000000000121</v>
      </c>
      <c r="W71" s="73">
        <f t="shared" si="10"/>
        <v>146.0000000000002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0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0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0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0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0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8">AVERAGE(J70:J78)</f>
        <v>12</v>
      </c>
      <c r="K79" s="240">
        <f t="shared" si="38"/>
        <v>1600.5</v>
      </c>
      <c r="L79" s="268">
        <f t="shared" si="38"/>
        <v>134.55594405594405</v>
      </c>
      <c r="M79" s="240">
        <f t="shared" si="38"/>
        <v>8</v>
      </c>
      <c r="N79" s="240">
        <f t="shared" si="38"/>
        <v>1016.0197869101971</v>
      </c>
      <c r="O79" s="268">
        <f t="shared" si="38"/>
        <v>127.00247336377464</v>
      </c>
      <c r="P79" s="269">
        <f>M79-J79</f>
        <v>-4</v>
      </c>
      <c r="Q79" s="222">
        <f>N79-K79</f>
        <v>-584.48021308980287</v>
      </c>
      <c r="R79" s="223">
        <f>O79/L79</f>
        <v>0.94386371597951169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-584.48021308980287</v>
      </c>
      <c r="AG79" s="124">
        <f>N79/K79</f>
        <v>0.63481398744779571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48" priority="1" operator="greaterThan">
      <formula>0</formula>
    </cfRule>
  </conditionalFormatting>
  <conditionalFormatting sqref="Q5:Q79 AF5:AF79">
    <cfRule type="cellIs" dxfId="147" priority="4" operator="lessThan">
      <formula>0</formula>
    </cfRule>
  </conditionalFormatting>
  <conditionalFormatting sqref="R5:R79 AG5:AG79">
    <cfRule type="cellIs" dxfId="146" priority="2" operator="greaterThan">
      <formula>1</formula>
    </cfRule>
    <cfRule type="cellIs" dxfId="145" priority="3" operator="lessThan">
      <formula>0.8</formula>
    </cfRule>
  </conditionalFormatting>
  <conditionalFormatting sqref="S5:S10 S37:S62 AH59:AH62 S69:S76 AH69:AH76">
    <cfRule type="cellIs" dxfId="144" priority="7" operator="lessThan">
      <formula>0.8</formula>
    </cfRule>
  </conditionalFormatting>
  <conditionalFormatting sqref="S19:S25 AH19:AH25">
    <cfRule type="cellIs" dxfId="143" priority="6" operator="lessThan">
      <formula>0.8</formula>
    </cfRule>
  </conditionalFormatting>
  <conditionalFormatting sqref="S79">
    <cfRule type="cellIs" dxfId="142" priority="5" operator="lessThan">
      <formula>0.8</formula>
    </cfRule>
  </conditionalFormatting>
  <conditionalFormatting sqref="AH5:AH8 S15:S16 AH15:AH16 AH49 AH79">
    <cfRule type="cellIs" dxfId="141" priority="9" operator="lessThan">
      <formula>0.8</formula>
    </cfRule>
  </conditionalFormatting>
  <conditionalFormatting sqref="AH27 S27:S28">
    <cfRule type="cellIs" dxfId="1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A4437-63BB-4828-BD29-E667FB29DC7E}">
  <dimension ref="B1:O26"/>
  <sheetViews>
    <sheetView topLeftCell="B1" zoomScale="70" zoomScaleNormal="70" workbookViewId="0">
      <selection activeCell="Q21" sqref="Q21"/>
    </sheetView>
  </sheetViews>
  <sheetFormatPr defaultColWidth="8.85546875" defaultRowHeight="15.75"/>
  <cols>
    <col min="1" max="1" width="8.85546875" style="422" customWidth="1"/>
    <col min="2" max="2" width="12.5703125" style="422" customWidth="1"/>
    <col min="3" max="3" width="12.5703125" style="448" customWidth="1"/>
    <col min="4" max="17" width="15.42578125" style="422" customWidth="1"/>
    <col min="18" max="21" width="10.5703125" style="422" customWidth="1"/>
    <col min="22" max="22" width="12.140625" style="422" customWidth="1"/>
    <col min="23" max="23" width="12.5703125" style="422" customWidth="1"/>
    <col min="24" max="178" width="8.85546875" style="422" customWidth="1"/>
    <col min="179" max="16384" width="8.85546875" style="422"/>
  </cols>
  <sheetData>
    <row r="1" spans="2:15" ht="27.75" customHeight="1">
      <c r="B1" s="872" t="s">
        <v>70</v>
      </c>
      <c r="C1" s="872"/>
      <c r="D1" s="872"/>
      <c r="E1" s="872"/>
      <c r="F1" s="872"/>
      <c r="G1" s="872"/>
      <c r="H1" s="872"/>
      <c r="I1" s="872"/>
      <c r="J1" s="872"/>
      <c r="K1" s="872"/>
      <c r="L1" s="421"/>
      <c r="M1" s="421"/>
    </row>
    <row r="2" spans="2:15" ht="27.75" customHeight="1">
      <c r="B2" s="872"/>
      <c r="C2" s="872"/>
      <c r="D2" s="872"/>
      <c r="E2" s="872"/>
      <c r="F2" s="872"/>
      <c r="G2" s="872"/>
      <c r="H2" s="872"/>
      <c r="I2" s="872"/>
      <c r="J2" s="872"/>
      <c r="K2" s="872"/>
      <c r="L2" s="421"/>
      <c r="M2" s="421"/>
    </row>
    <row r="3" spans="2:15" ht="46.5" customHeight="1">
      <c r="B3" s="873" t="s">
        <v>71</v>
      </c>
      <c r="C3" s="873"/>
      <c r="D3" s="874">
        <f>DATE(2026,8,18)</f>
        <v>46252</v>
      </c>
      <c r="E3" s="875"/>
      <c r="F3" s="423" t="s">
        <v>72</v>
      </c>
      <c r="G3" s="707">
        <f>'0818'!E1</f>
        <v>56950</v>
      </c>
      <c r="H3" s="707"/>
      <c r="I3" s="423" t="s">
        <v>2</v>
      </c>
      <c r="J3" s="876">
        <f>'0818'!G1</f>
        <v>2637072.2859999994</v>
      </c>
      <c r="K3" s="876"/>
      <c r="L3" s="4"/>
    </row>
    <row r="4" spans="2:15" ht="24" customHeight="1">
      <c r="B4" s="873" t="s">
        <v>73</v>
      </c>
      <c r="C4" s="873"/>
      <c r="D4" s="879">
        <v>3</v>
      </c>
      <c r="E4" s="879"/>
      <c r="F4" s="881" t="s">
        <v>74</v>
      </c>
      <c r="G4" s="881"/>
      <c r="H4" s="881" t="s">
        <v>75</v>
      </c>
      <c r="I4" s="881"/>
      <c r="J4" s="879" t="s">
        <v>76</v>
      </c>
      <c r="K4" s="881"/>
      <c r="L4" s="877" t="s">
        <v>77</v>
      </c>
      <c r="M4" s="878"/>
      <c r="N4" s="878" t="s">
        <v>78</v>
      </c>
      <c r="O4" s="878"/>
    </row>
    <row r="5" spans="2:15" ht="24" customHeight="1">
      <c r="B5" s="873" t="s">
        <v>14</v>
      </c>
      <c r="C5" s="873"/>
      <c r="D5" s="879" t="s">
        <v>79</v>
      </c>
      <c r="E5" s="879"/>
      <c r="F5" s="879" t="s">
        <v>80</v>
      </c>
      <c r="G5" s="879"/>
      <c r="H5" s="711" t="s">
        <v>81</v>
      </c>
      <c r="I5" s="711"/>
      <c r="J5" s="712" t="s">
        <v>82</v>
      </c>
      <c r="K5" s="712"/>
      <c r="L5" s="424" t="s">
        <v>83</v>
      </c>
      <c r="M5" s="425" t="s">
        <v>84</v>
      </c>
      <c r="N5" s="424" t="s">
        <v>83</v>
      </c>
      <c r="O5" s="425" t="s">
        <v>85</v>
      </c>
    </row>
    <row r="6" spans="2:15" ht="39.6" customHeight="1">
      <c r="B6" s="873"/>
      <c r="C6" s="873"/>
      <c r="D6" s="873" t="s">
        <v>86</v>
      </c>
      <c r="E6" s="873"/>
      <c r="F6" s="880">
        <f>AVERAGE(D13:J13)</f>
        <v>128.36517442252736</v>
      </c>
      <c r="G6" s="880"/>
      <c r="H6" s="714">
        <f>AVERAGE(D13:H13)</f>
        <v>125.03763113792525</v>
      </c>
      <c r="I6" s="714"/>
      <c r="J6" s="714">
        <f>AVERAGE(I13:J13)</f>
        <v>136.68403263403263</v>
      </c>
      <c r="K6" s="714"/>
      <c r="L6" s="887">
        <f>'0818'!Z2</f>
        <v>0</v>
      </c>
      <c r="M6" s="882">
        <f>'0818'!AA2</f>
        <v>0</v>
      </c>
      <c r="N6" s="888">
        <f>'0818'!AD2</f>
        <v>0</v>
      </c>
      <c r="O6" s="882">
        <f>'0818'!AE2</f>
        <v>0</v>
      </c>
    </row>
    <row r="7" spans="2:15" ht="39.6" customHeight="1">
      <c r="B7" s="873"/>
      <c r="C7" s="873"/>
      <c r="D7" s="894" t="s">
        <v>87</v>
      </c>
      <c r="E7" s="894"/>
      <c r="F7" s="895">
        <f>AVERAGE(D14:J14)</f>
        <v>115.38336628209142</v>
      </c>
      <c r="G7" s="895"/>
      <c r="H7" s="738">
        <f>AVERAGE(D14:H14)</f>
        <v>112.08517599839097</v>
      </c>
      <c r="I7" s="738"/>
      <c r="J7" s="738">
        <f>AVERAGE(I14:J14)</f>
        <v>123.6288419913426</v>
      </c>
      <c r="K7" s="738"/>
      <c r="L7" s="887"/>
      <c r="M7" s="882"/>
      <c r="N7" s="888"/>
      <c r="O7" s="882"/>
    </row>
    <row r="8" spans="2:15" ht="39.6" customHeight="1">
      <c r="B8" s="873"/>
      <c r="C8" s="873"/>
      <c r="D8" s="894" t="s">
        <v>27</v>
      </c>
      <c r="E8" s="894"/>
      <c r="F8" s="710">
        <f>AVERAGE(D15:J15)</f>
        <v>0.89855416153668</v>
      </c>
      <c r="G8" s="710"/>
      <c r="H8" s="710">
        <f>AVERAGE(D15:H15)</f>
        <v>0.89614918675921129</v>
      </c>
      <c r="I8" s="710"/>
      <c r="J8" s="710">
        <f>AVERAGE(I15:J15)</f>
        <v>0.90456659848035226</v>
      </c>
      <c r="K8" s="710"/>
      <c r="L8" s="887"/>
      <c r="M8" s="882"/>
      <c r="N8" s="888"/>
      <c r="O8" s="882"/>
    </row>
    <row r="9" spans="2:15" ht="25.5" customHeight="1">
      <c r="B9" s="426"/>
      <c r="C9" s="426"/>
      <c r="D9" s="426"/>
      <c r="E9" s="426"/>
      <c r="F9" s="426"/>
      <c r="G9" s="426"/>
      <c r="H9" s="427"/>
      <c r="I9" s="428"/>
      <c r="J9" s="429" t="s">
        <v>88</v>
      </c>
      <c r="K9" s="428"/>
      <c r="L9" s="428"/>
      <c r="M9" s="428"/>
      <c r="N9" s="428"/>
      <c r="O9" s="426"/>
    </row>
    <row r="10" spans="2:15" ht="30" customHeight="1">
      <c r="B10" s="889" t="s">
        <v>89</v>
      </c>
      <c r="C10" s="890"/>
      <c r="D10" s="891" t="s">
        <v>90</v>
      </c>
      <c r="E10" s="892"/>
      <c r="F10" s="892"/>
      <c r="G10" s="892"/>
      <c r="H10" s="892"/>
      <c r="I10" s="892"/>
      <c r="J10" s="893"/>
    </row>
    <row r="11" spans="2:15" ht="17.25" customHeight="1">
      <c r="B11" s="883" t="s">
        <v>91</v>
      </c>
      <c r="C11" s="884"/>
      <c r="D11" s="430">
        <v>1</v>
      </c>
      <c r="E11" s="430">
        <v>2</v>
      </c>
      <c r="F11" s="430">
        <v>3</v>
      </c>
      <c r="G11" s="430">
        <v>4</v>
      </c>
      <c r="H11" s="430">
        <v>5</v>
      </c>
      <c r="I11" s="430">
        <v>6</v>
      </c>
      <c r="J11" s="430">
        <v>7</v>
      </c>
    </row>
    <row r="12" spans="2:15" ht="33.950000000000003" customHeight="1">
      <c r="B12" s="885"/>
      <c r="C12" s="886"/>
      <c r="D12" s="431" t="s">
        <v>92</v>
      </c>
      <c r="E12" s="431" t="s">
        <v>93</v>
      </c>
      <c r="F12" s="431" t="s">
        <v>94</v>
      </c>
      <c r="G12" s="431" t="s">
        <v>95</v>
      </c>
      <c r="H12" s="431" t="s">
        <v>96</v>
      </c>
      <c r="I12" s="431" t="s">
        <v>97</v>
      </c>
      <c r="J12" s="431" t="s">
        <v>98</v>
      </c>
    </row>
    <row r="13" spans="2:15" ht="39.950000000000003" customHeight="1">
      <c r="B13" s="897" t="s">
        <v>14</v>
      </c>
      <c r="C13" s="432" t="s">
        <v>99</v>
      </c>
      <c r="D13" s="433">
        <f>VALUE('0818'!L15)</f>
        <v>151.08597285067873</v>
      </c>
      <c r="E13" s="433">
        <f>VALUE('0818'!L26)</f>
        <v>174.51923076923077</v>
      </c>
      <c r="F13" s="433">
        <f>VALUE('0818'!L37)</f>
        <v>96.50261437908496</v>
      </c>
      <c r="G13" s="433">
        <f>VALUE('0818'!L48)</f>
        <v>96.300925925925924</v>
      </c>
      <c r="H13" s="433">
        <f>VALUE('0818'!L58)</f>
        <v>106.77941176470588</v>
      </c>
      <c r="I13" s="433">
        <f>VALUE('0818'!L69)</f>
        <v>138.81212121212121</v>
      </c>
      <c r="J13" s="433">
        <f>'0818'!L79</f>
        <v>134.55594405594405</v>
      </c>
    </row>
    <row r="14" spans="2:15" ht="39.950000000000003" customHeight="1">
      <c r="B14" s="898"/>
      <c r="C14" s="432" t="s">
        <v>100</v>
      </c>
      <c r="D14" s="433">
        <f>VALUE('0818'!O15)</f>
        <v>134.65804041265892</v>
      </c>
      <c r="E14" s="433">
        <f>VALUE('0818'!O26)</f>
        <v>157.98368450567898</v>
      </c>
      <c r="F14" s="433">
        <f>VALUE('0818'!O37)</f>
        <v>86.285977424520382</v>
      </c>
      <c r="G14" s="433">
        <f>VALUE('0818'!O48)</f>
        <v>88.661731887474289</v>
      </c>
      <c r="H14" s="433">
        <f>VALUE('0818'!O58)</f>
        <v>92.836445761622258</v>
      </c>
      <c r="I14" s="433">
        <f>VALUE('0818'!O69)</f>
        <v>124.84935064935149</v>
      </c>
      <c r="J14" s="433">
        <f>'0818'!O79</f>
        <v>122.40833333333369</v>
      </c>
    </row>
    <row r="15" spans="2:15" ht="39.950000000000003" customHeight="1">
      <c r="B15" s="899"/>
      <c r="C15" s="430" t="s">
        <v>26</v>
      </c>
      <c r="D15" s="434">
        <f t="shared" ref="D15:I15" si="0">D14/D13</f>
        <v>0.89126765292595456</v>
      </c>
      <c r="E15" s="434">
        <f t="shared" si="0"/>
        <v>0.90525086438515778</v>
      </c>
      <c r="F15" s="434">
        <f t="shared" si="0"/>
        <v>0.89413098266507862</v>
      </c>
      <c r="G15" s="434">
        <f t="shared" si="0"/>
        <v>0.92067372182560681</v>
      </c>
      <c r="H15" s="434">
        <f t="shared" si="0"/>
        <v>0.8694227119942588</v>
      </c>
      <c r="I15" s="434">
        <f t="shared" si="0"/>
        <v>0.89941245446834595</v>
      </c>
      <c r="J15" s="435">
        <f>'0818'!S70</f>
        <v>0.90972074249235857</v>
      </c>
    </row>
    <row r="16" spans="2:15" ht="17.25" customHeight="1">
      <c r="B16" s="900" t="s">
        <v>101</v>
      </c>
      <c r="C16" s="430" t="s">
        <v>34</v>
      </c>
      <c r="D16" s="436">
        <f>'0818'!T5</f>
        <v>0.29375000000000001</v>
      </c>
      <c r="E16" s="436">
        <f>'0818'!T16</f>
        <v>0.29166666666666702</v>
      </c>
      <c r="F16" s="436">
        <f>'0818'!T27</f>
        <v>0.29166666666666702</v>
      </c>
      <c r="G16" s="436">
        <f>'0818'!T38</f>
        <v>0.33333333333333298</v>
      </c>
      <c r="H16" s="436">
        <f>'0818'!T49</f>
        <v>0.29166666666666702</v>
      </c>
      <c r="I16" s="436">
        <f>'0818'!T59</f>
        <v>0.29166666666666702</v>
      </c>
      <c r="J16" s="437">
        <f>'0818'!T70</f>
        <v>0.29861111111111099</v>
      </c>
    </row>
    <row r="17" spans="2:10" ht="17.25" customHeight="1">
      <c r="B17" s="901"/>
      <c r="C17" s="430" t="s">
        <v>35</v>
      </c>
      <c r="D17" s="436">
        <v>0.60972222222222205</v>
      </c>
      <c r="E17" s="438">
        <v>0.6</v>
      </c>
      <c r="F17" s="566">
        <v>0.46875</v>
      </c>
      <c r="G17" s="439">
        <v>0.63888888888888895</v>
      </c>
      <c r="H17" s="647">
        <v>0.65138888888888902</v>
      </c>
      <c r="I17" s="440">
        <v>0.58333333333333304</v>
      </c>
      <c r="J17" s="498">
        <v>0.42013888888888901</v>
      </c>
    </row>
    <row r="18" spans="2:10" ht="17.25" customHeight="1">
      <c r="B18" s="902" t="s">
        <v>102</v>
      </c>
      <c r="C18" s="441" t="s">
        <v>36</v>
      </c>
      <c r="D18" s="442">
        <f>'0818'!Z15</f>
        <v>0</v>
      </c>
      <c r="E18" s="443">
        <f>'0818'!Z26</f>
        <v>0</v>
      </c>
      <c r="F18" s="443">
        <f>'0818'!Z37</f>
        <v>0</v>
      </c>
      <c r="G18" s="444">
        <f>'0818'!Z48</f>
        <v>0</v>
      </c>
      <c r="H18" s="444">
        <f>'0818'!Z58</f>
        <v>0</v>
      </c>
      <c r="I18" s="443">
        <f>'0818'!Z69</f>
        <v>0</v>
      </c>
      <c r="J18" s="443">
        <f>'0818'!AA79</f>
        <v>0</v>
      </c>
    </row>
    <row r="19" spans="2:10" ht="17.25" customHeight="1">
      <c r="B19" s="903"/>
      <c r="C19" s="441" t="s">
        <v>37</v>
      </c>
      <c r="D19" s="442">
        <f>'0818'!AA15</f>
        <v>0</v>
      </c>
      <c r="E19" s="443">
        <f>'0818'!AA26</f>
        <v>0</v>
      </c>
      <c r="F19" s="443">
        <f>'0818'!AA37</f>
        <v>0</v>
      </c>
      <c r="G19" s="444">
        <f>'0818'!AA48</f>
        <v>0</v>
      </c>
      <c r="H19" s="444">
        <f>'0818'!AA58</f>
        <v>0</v>
      </c>
      <c r="I19" s="443">
        <f>'0818'!AA69</f>
        <v>0</v>
      </c>
      <c r="J19" s="443">
        <f>'0818'!AB79</f>
        <v>0</v>
      </c>
    </row>
    <row r="20" spans="2:10" ht="17.25" customHeight="1">
      <c r="B20" s="902" t="s">
        <v>103</v>
      </c>
      <c r="C20" s="441" t="s">
        <v>36</v>
      </c>
      <c r="D20" s="442">
        <f>'0818'!AD15</f>
        <v>0</v>
      </c>
      <c r="E20" s="443">
        <f>'0818'!AD26</f>
        <v>0</v>
      </c>
      <c r="F20" s="443">
        <f>'0818'!AD37</f>
        <v>0</v>
      </c>
      <c r="G20" s="444">
        <f>'0818'!AD48</f>
        <v>0</v>
      </c>
      <c r="H20" s="444">
        <f>'0818'!AD58</f>
        <v>0</v>
      </c>
      <c r="I20" s="443">
        <f>'0818'!AD69</f>
        <v>0</v>
      </c>
      <c r="J20" s="443">
        <f>'0818'!AD79</f>
        <v>0</v>
      </c>
    </row>
    <row r="21" spans="2:10" ht="17.25" customHeight="1">
      <c r="B21" s="903"/>
      <c r="C21" s="441" t="s">
        <v>85</v>
      </c>
      <c r="D21" s="442">
        <f>'0818'!AE15</f>
        <v>0</v>
      </c>
      <c r="E21" s="443">
        <f>'0818'!AE26</f>
        <v>0</v>
      </c>
      <c r="F21" s="443">
        <f>'0818'!AE37</f>
        <v>0</v>
      </c>
      <c r="G21" s="444">
        <f>'0818'!AE48</f>
        <v>0</v>
      </c>
      <c r="H21" s="444">
        <f>'0818'!AE58</f>
        <v>0</v>
      </c>
      <c r="I21" s="443">
        <f>'0818'!AE69</f>
        <v>0</v>
      </c>
      <c r="J21" s="443">
        <f>'0818'!AE79</f>
        <v>0</v>
      </c>
    </row>
    <row r="22" spans="2:10" ht="17.25" customHeight="1">
      <c r="B22" s="889" t="s">
        <v>104</v>
      </c>
      <c r="C22" s="890"/>
      <c r="D22" s="445">
        <f>VALUE('0818'!M15)</f>
        <v>15</v>
      </c>
      <c r="E22" s="445">
        <f>VALUE('0818'!M26)</f>
        <v>13</v>
      </c>
      <c r="F22" s="445">
        <f>VALUE('0818'!M37)</f>
        <v>16.399999999999999</v>
      </c>
      <c r="G22" s="445">
        <f>VALUE('0818'!M48)</f>
        <v>17</v>
      </c>
      <c r="H22" s="445">
        <f>VALUE('0818'!M58)</f>
        <v>16.5</v>
      </c>
      <c r="I22" s="445">
        <f>VALUE('0818'!M69)</f>
        <v>12</v>
      </c>
      <c r="J22" s="445">
        <f>'0818'!M79</f>
        <v>8.5</v>
      </c>
    </row>
    <row r="23" spans="2:10" ht="17.25" customHeight="1">
      <c r="B23" s="889" t="s">
        <v>105</v>
      </c>
      <c r="C23" s="890"/>
      <c r="D23" s="431" t="s">
        <v>106</v>
      </c>
      <c r="E23" s="431" t="s">
        <v>106</v>
      </c>
      <c r="F23" s="431" t="s">
        <v>107</v>
      </c>
      <c r="G23" s="431" t="s">
        <v>107</v>
      </c>
      <c r="H23" s="431" t="s">
        <v>107</v>
      </c>
      <c r="I23" s="431" t="s">
        <v>108</v>
      </c>
      <c r="J23" s="431"/>
    </row>
    <row r="24" spans="2:10" ht="17.25" customHeight="1">
      <c r="B24" s="889" t="s">
        <v>109</v>
      </c>
      <c r="C24" s="890"/>
      <c r="D24" s="431"/>
      <c r="E24" s="431"/>
      <c r="F24" s="431"/>
      <c r="G24" s="446"/>
      <c r="H24" s="431" t="s">
        <v>110</v>
      </c>
      <c r="I24" s="431"/>
      <c r="J24" s="431"/>
    </row>
    <row r="25" spans="2:10" ht="17.25" customHeight="1">
      <c r="B25" s="889" t="s">
        <v>111</v>
      </c>
      <c r="C25" s="890"/>
      <c r="D25" s="447"/>
      <c r="E25" s="447"/>
      <c r="F25" s="447"/>
      <c r="G25" s="447"/>
      <c r="H25" s="447"/>
      <c r="I25" s="447"/>
      <c r="J25" s="447"/>
    </row>
    <row r="26" spans="2:10">
      <c r="B26" s="896"/>
      <c r="C26" s="896"/>
    </row>
  </sheetData>
  <mergeCells count="45">
    <mergeCell ref="B24:C24"/>
    <mergeCell ref="B25:C25"/>
    <mergeCell ref="B26:C26"/>
    <mergeCell ref="B13:B15"/>
    <mergeCell ref="B16:B17"/>
    <mergeCell ref="B18:B19"/>
    <mergeCell ref="B20:B21"/>
    <mergeCell ref="B22:C22"/>
    <mergeCell ref="B23:C23"/>
    <mergeCell ref="B11:C12"/>
    <mergeCell ref="J6:K6"/>
    <mergeCell ref="L6:L8"/>
    <mergeCell ref="M6:M8"/>
    <mergeCell ref="N6:N8"/>
    <mergeCell ref="F8:G8"/>
    <mergeCell ref="H8:I8"/>
    <mergeCell ref="J8:K8"/>
    <mergeCell ref="B10:C10"/>
    <mergeCell ref="D10:J10"/>
    <mergeCell ref="D7:E7"/>
    <mergeCell ref="F7:G7"/>
    <mergeCell ref="H7:I7"/>
    <mergeCell ref="J7:K7"/>
    <mergeCell ref="D8:E8"/>
    <mergeCell ref="L4:M4"/>
    <mergeCell ref="N4:O4"/>
    <mergeCell ref="B5:C8"/>
    <mergeCell ref="D5:E5"/>
    <mergeCell ref="F5:G5"/>
    <mergeCell ref="H5:I5"/>
    <mergeCell ref="J5:K5"/>
    <mergeCell ref="D6:E6"/>
    <mergeCell ref="F6:G6"/>
    <mergeCell ref="H6:I6"/>
    <mergeCell ref="B4:C4"/>
    <mergeCell ref="D4:E4"/>
    <mergeCell ref="F4:G4"/>
    <mergeCell ref="H4:I4"/>
    <mergeCell ref="J4:K4"/>
    <mergeCell ref="O6:O8"/>
    <mergeCell ref="B1:K2"/>
    <mergeCell ref="B3:C3"/>
    <mergeCell ref="D3:E3"/>
    <mergeCell ref="G3:H3"/>
    <mergeCell ref="J3:K3"/>
  </mergeCells>
  <phoneticPr fontId="0" type="noConversion"/>
  <conditionalFormatting sqref="D15:J15">
    <cfRule type="cellIs" dxfId="1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EEA7-FA92-422F-B5E0-813F1CB24289}">
  <sheetPr>
    <tabColor theme="9" tint="0.79998168889431442"/>
  </sheetPr>
  <dimension ref="A1:AJ92"/>
  <sheetViews>
    <sheetView zoomScale="69" zoomScaleNormal="69" workbookViewId="0">
      <pane xSplit="5" ySplit="4" topLeftCell="O5" activePane="bottomRight" state="frozen"/>
      <selection activeCell="P43" sqref="P43"/>
      <selection pane="topRight" activeCell="P43" sqref="P43"/>
      <selection pane="bottomLeft" activeCell="P43" sqref="P43"/>
      <selection pane="bottomRight" activeCell="U9" sqref="U9"/>
    </sheetView>
  </sheetViews>
  <sheetFormatPr defaultColWidth="8.7109375" defaultRowHeight="15.75"/>
  <cols>
    <col min="1" max="1" width="16.42578125" style="457" customWidth="1"/>
    <col min="2" max="2" width="14.140625" style="457" customWidth="1"/>
    <col min="3" max="3" width="14.140625" style="457" hidden="1" customWidth="1"/>
    <col min="4" max="4" width="28.7109375" style="457" bestFit="1" customWidth="1"/>
    <col min="5" max="5" width="16.42578125" style="457" customWidth="1"/>
    <col min="6" max="6" width="9.85546875" style="457" bestFit="1" customWidth="1"/>
    <col min="7" max="7" width="22.140625" style="457" bestFit="1" customWidth="1"/>
    <col min="8" max="8" width="18" style="457" bestFit="1" customWidth="1"/>
    <col min="9" max="9" width="12" style="457" bestFit="1" customWidth="1"/>
    <col min="10" max="10" width="11.140625" style="457" bestFit="1" customWidth="1"/>
    <col min="11" max="11" width="11.7109375" style="457" customWidth="1"/>
    <col min="12" max="12" width="15.85546875" style="457" customWidth="1"/>
    <col min="13" max="13" width="11.140625" style="457" bestFit="1" customWidth="1"/>
    <col min="14" max="14" width="11.28515625" style="457" bestFit="1" customWidth="1"/>
    <col min="15" max="15" width="13.140625" style="457" customWidth="1"/>
    <col min="16" max="17" width="10" style="457" bestFit="1" customWidth="1"/>
    <col min="18" max="18" width="10" style="457" customWidth="1"/>
    <col min="19" max="19" width="9.140625" style="457" customWidth="1"/>
    <col min="20" max="21" width="10.28515625" style="457" bestFit="1" customWidth="1"/>
    <col min="22" max="22" width="11.7109375" style="457" customWidth="1"/>
    <col min="23" max="23" width="9.42578125" style="694" customWidth="1"/>
    <col min="24" max="24" width="8.140625" style="457" bestFit="1" customWidth="1"/>
    <col min="25" max="25" width="7.5703125" style="457" customWidth="1"/>
    <col min="26" max="27" width="14.7109375" style="457" customWidth="1"/>
    <col min="28" max="28" width="13.85546875" style="457" customWidth="1"/>
    <col min="29" max="29" width="36.7109375" style="457" customWidth="1"/>
    <col min="30" max="31" width="15.5703125" style="457" customWidth="1"/>
    <col min="32" max="32" width="14.42578125" style="457" bestFit="1" customWidth="1"/>
    <col min="33" max="33" width="11.42578125" style="457" customWidth="1"/>
    <col min="34" max="34" width="10" style="457" customWidth="1"/>
    <col min="35" max="35" width="8.7109375" style="457" customWidth="1"/>
    <col min="36" max="36" width="26.85546875" style="457" bestFit="1" customWidth="1"/>
    <col min="37" max="191" width="8.7109375" style="457" customWidth="1"/>
    <col min="192" max="16384" width="8.7109375" style="457"/>
  </cols>
  <sheetData>
    <row r="1" spans="1:34" ht="31.5">
      <c r="A1" s="449" t="s">
        <v>0</v>
      </c>
      <c r="B1" s="449"/>
      <c r="C1" s="449"/>
      <c r="D1" s="450" t="s">
        <v>1</v>
      </c>
      <c r="E1" s="451">
        <f>SUM(G5:G79)</f>
        <v>56950</v>
      </c>
      <c r="F1" s="452" t="s">
        <v>2</v>
      </c>
      <c r="G1" s="453">
        <f>SUM(H5:H79)</f>
        <v>2637072.2859999994</v>
      </c>
      <c r="H1" s="454" t="s">
        <v>3</v>
      </c>
      <c r="I1" s="455">
        <f>M15+M26+M48+M58+M69+M79+M37</f>
        <v>98.4</v>
      </c>
      <c r="J1" s="909" t="s">
        <v>4</v>
      </c>
      <c r="K1" s="909"/>
      <c r="L1" s="909"/>
      <c r="M1" s="909" t="s">
        <v>5</v>
      </c>
      <c r="N1" s="909"/>
      <c r="O1" s="909"/>
      <c r="P1" s="909" t="s">
        <v>6</v>
      </c>
      <c r="Q1" s="909"/>
      <c r="R1" s="909"/>
      <c r="S1" s="909"/>
      <c r="T1" s="909" t="s">
        <v>7</v>
      </c>
      <c r="U1" s="909"/>
      <c r="V1" s="909"/>
      <c r="W1" s="909"/>
      <c r="X1" s="909"/>
      <c r="Y1" s="909"/>
      <c r="Z1" s="456" t="s">
        <v>8</v>
      </c>
      <c r="AA1" s="456" t="s">
        <v>9</v>
      </c>
      <c r="AB1" s="909" t="s">
        <v>10</v>
      </c>
      <c r="AC1" s="909"/>
      <c r="AD1" s="456" t="s">
        <v>8</v>
      </c>
      <c r="AE1" s="456" t="s">
        <v>11</v>
      </c>
      <c r="AF1" s="909" t="s">
        <v>12</v>
      </c>
      <c r="AG1" s="911"/>
      <c r="AH1" s="911"/>
    </row>
    <row r="2" spans="1:34" ht="23.25">
      <c r="A2" s="904" t="s">
        <v>175</v>
      </c>
      <c r="B2" s="904"/>
      <c r="C2" s="450"/>
      <c r="D2" s="450" t="s">
        <v>14</v>
      </c>
      <c r="E2" s="458">
        <f>AVERAGE(O15,O26,O37,O48,O58,O69,O79)</f>
        <v>115.38336628209142</v>
      </c>
      <c r="F2" s="459" t="s">
        <v>15</v>
      </c>
      <c r="G2" s="460">
        <f>G1/E1</f>
        <v>46.30504453028972</v>
      </c>
      <c r="H2" s="454" t="s">
        <v>16</v>
      </c>
      <c r="I2" s="454">
        <f>COUNT(I5:I79)</f>
        <v>0</v>
      </c>
      <c r="J2" s="909"/>
      <c r="K2" s="909"/>
      <c r="L2" s="909"/>
      <c r="M2" s="909"/>
      <c r="N2" s="909"/>
      <c r="O2" s="909"/>
      <c r="P2" s="909"/>
      <c r="Q2" s="909"/>
      <c r="R2" s="909"/>
      <c r="S2" s="909"/>
      <c r="T2" s="909"/>
      <c r="U2" s="909"/>
      <c r="V2" s="909"/>
      <c r="W2" s="909"/>
      <c r="X2" s="909"/>
      <c r="Y2" s="909"/>
      <c r="Z2" s="461">
        <f>Z15+Z26+Z37+Z48+Z58+Z69+Z79</f>
        <v>0</v>
      </c>
      <c r="AA2" s="461">
        <f>AA15+AA26+AA37+AA48+AA58+AA69+AA79</f>
        <v>0</v>
      </c>
      <c r="AB2" s="910"/>
      <c r="AC2" s="910"/>
      <c r="AD2" s="462">
        <f>AD15+AD26+AD37+AD48+AD58+AD69+AD79</f>
        <v>0</v>
      </c>
      <c r="AE2" s="462">
        <f>AE15+AE26+AE37+AE48+AE58+AE69+AE79</f>
        <v>0</v>
      </c>
      <c r="AF2" s="911"/>
      <c r="AG2" s="911"/>
      <c r="AH2" s="911"/>
    </row>
    <row r="3" spans="1:34" ht="32.1" customHeight="1">
      <c r="A3" s="905" t="s">
        <v>17</v>
      </c>
      <c r="B3" s="905" t="s">
        <v>18</v>
      </c>
      <c r="C3" s="452"/>
      <c r="D3" s="905" t="s">
        <v>19</v>
      </c>
      <c r="E3" s="905"/>
      <c r="F3" s="907" t="s">
        <v>20</v>
      </c>
      <c r="G3" s="912" t="s">
        <v>21</v>
      </c>
      <c r="H3" s="907" t="s">
        <v>22</v>
      </c>
      <c r="I3" s="916" t="s">
        <v>23</v>
      </c>
      <c r="J3" s="918" t="s">
        <v>24</v>
      </c>
      <c r="K3" s="920" t="s">
        <v>25</v>
      </c>
      <c r="L3" s="922" t="s">
        <v>14</v>
      </c>
      <c r="M3" s="912" t="s">
        <v>24</v>
      </c>
      <c r="N3" s="920" t="s">
        <v>25</v>
      </c>
      <c r="O3" s="922" t="s">
        <v>14</v>
      </c>
      <c r="P3" s="918" t="s">
        <v>24</v>
      </c>
      <c r="Q3" s="922" t="s">
        <v>14</v>
      </c>
      <c r="R3" s="928" t="s">
        <v>26</v>
      </c>
      <c r="S3" s="914" t="s">
        <v>27</v>
      </c>
      <c r="T3" s="912" t="s">
        <v>28</v>
      </c>
      <c r="U3" s="912"/>
      <c r="V3" s="930" t="s">
        <v>29</v>
      </c>
      <c r="W3" s="916" t="s">
        <v>30</v>
      </c>
      <c r="X3" s="912" t="s">
        <v>31</v>
      </c>
      <c r="Y3" s="924"/>
      <c r="Z3" s="925" t="s">
        <v>32</v>
      </c>
      <c r="AA3" s="926"/>
      <c r="AB3" s="939"/>
      <c r="AC3" s="940"/>
      <c r="AD3" s="925" t="s">
        <v>33</v>
      </c>
      <c r="AE3" s="926"/>
      <c r="AF3" s="931" t="s">
        <v>25</v>
      </c>
      <c r="AG3" s="933" t="s">
        <v>26</v>
      </c>
      <c r="AH3" s="935" t="s">
        <v>27</v>
      </c>
    </row>
    <row r="4" spans="1:34">
      <c r="A4" s="906"/>
      <c r="B4" s="906"/>
      <c r="C4" s="464"/>
      <c r="D4" s="906"/>
      <c r="E4" s="906"/>
      <c r="F4" s="908"/>
      <c r="G4" s="913"/>
      <c r="H4" s="908"/>
      <c r="I4" s="917"/>
      <c r="J4" s="919"/>
      <c r="K4" s="921"/>
      <c r="L4" s="923"/>
      <c r="M4" s="913"/>
      <c r="N4" s="921"/>
      <c r="O4" s="923"/>
      <c r="P4" s="919"/>
      <c r="Q4" s="923"/>
      <c r="R4" s="929"/>
      <c r="S4" s="915"/>
      <c r="T4" s="465" t="s">
        <v>34</v>
      </c>
      <c r="U4" s="465" t="s">
        <v>35</v>
      </c>
      <c r="V4" s="913"/>
      <c r="W4" s="917"/>
      <c r="X4" s="463" t="s">
        <v>34</v>
      </c>
      <c r="Y4" s="466" t="s">
        <v>35</v>
      </c>
      <c r="Z4" s="467" t="s">
        <v>36</v>
      </c>
      <c r="AA4" s="467" t="s">
        <v>37</v>
      </c>
      <c r="AB4" s="941"/>
      <c r="AC4" s="941"/>
      <c r="AD4" s="467" t="s">
        <v>38</v>
      </c>
      <c r="AE4" s="467" t="s">
        <v>39</v>
      </c>
      <c r="AF4" s="932"/>
      <c r="AG4" s="934"/>
      <c r="AH4" s="936"/>
    </row>
    <row r="5" spans="1:34" ht="15" customHeight="1">
      <c r="A5" s="948" t="s">
        <v>40</v>
      </c>
      <c r="B5" s="39" t="s">
        <v>81</v>
      </c>
      <c r="C5" s="468"/>
      <c r="D5" s="168" t="s">
        <v>120</v>
      </c>
      <c r="E5" s="41"/>
      <c r="F5" s="39">
        <f>VLOOKUP(D5,[2]廠價表!$C$1:$E$43,3,0)</f>
        <v>56.87</v>
      </c>
      <c r="G5" s="469">
        <v>1330</v>
      </c>
      <c r="H5" s="470">
        <f>F5*G5</f>
        <v>75637.099999999991</v>
      </c>
      <c r="I5" s="471"/>
      <c r="J5" s="472">
        <f>VLOOKUP(D5,[2]產線配置圖!$A$3:$C$40,2,0)</f>
        <v>15</v>
      </c>
      <c r="K5" s="473">
        <f>VLOOKUP(D5,[2]產線配置圖!$A$3:$C$40,3,0)</f>
        <v>2250</v>
      </c>
      <c r="L5" s="474">
        <f>K5/J5</f>
        <v>150</v>
      </c>
      <c r="M5" s="475">
        <v>15</v>
      </c>
      <c r="N5" s="473">
        <f>G5/W5*60</f>
        <v>1994.9999999999829</v>
      </c>
      <c r="O5" s="474">
        <f>N5/M5</f>
        <v>132.99999999999886</v>
      </c>
      <c r="P5" s="476">
        <f>M5-J5</f>
        <v>0</v>
      </c>
      <c r="Q5" s="477">
        <f>O5-L5</f>
        <v>-17.000000000001137</v>
      </c>
      <c r="R5" s="51">
        <f>O5/L5</f>
        <v>0.88666666666665905</v>
      </c>
      <c r="S5" s="748">
        <f>R15</f>
        <v>0.89126765292595456</v>
      </c>
      <c r="T5" s="478">
        <v>0.29375000000000001</v>
      </c>
      <c r="U5" s="479">
        <v>0.32152777777777802</v>
      </c>
      <c r="V5" s="480"/>
      <c r="W5" s="481">
        <f t="shared" ref="W5:W14" si="0">(U5-T5)*24*60</f>
        <v>40.000000000000341</v>
      </c>
      <c r="X5" s="482"/>
      <c r="Y5" s="483"/>
      <c r="Z5" s="484"/>
      <c r="AA5" s="484"/>
      <c r="AB5" s="937" t="s">
        <v>176</v>
      </c>
      <c r="AC5" s="937"/>
      <c r="AD5" s="485"/>
      <c r="AE5" s="485"/>
      <c r="AF5" s="486">
        <f t="shared" ref="AF5:AF11" si="1">N5-K5</f>
        <v>-255.00000000001705</v>
      </c>
      <c r="AG5" s="52">
        <f t="shared" ref="AG5:AG11" si="2">N5/K5</f>
        <v>0.88666666666665905</v>
      </c>
      <c r="AH5" s="784">
        <f>AG15</f>
        <v>0.8896992597985669</v>
      </c>
    </row>
    <row r="6" spans="1:34" ht="15" customHeight="1">
      <c r="A6" s="949"/>
      <c r="B6" s="57" t="s">
        <v>81</v>
      </c>
      <c r="C6" s="487"/>
      <c r="D6" s="59" t="s">
        <v>113</v>
      </c>
      <c r="E6" s="60"/>
      <c r="F6" s="61">
        <f>VLOOKUP(D6,[2]廠價表!$C$1:$E$43,3,0)</f>
        <v>50.67</v>
      </c>
      <c r="G6" s="488">
        <v>1298</v>
      </c>
      <c r="H6" s="489">
        <f>F6*G6</f>
        <v>65769.66</v>
      </c>
      <c r="I6" s="490"/>
      <c r="J6" s="491">
        <f>VLOOKUP(D6,[2]產線配置圖!$A$3:$C$40,2,0)</f>
        <v>17</v>
      </c>
      <c r="K6" s="492">
        <f>VLOOKUP(D6,[2]產線配置圖!$A$3:$C$40,3,0)</f>
        <v>2250</v>
      </c>
      <c r="L6" s="493">
        <f>K6/J6</f>
        <v>132.35294117647058</v>
      </c>
      <c r="M6" s="494">
        <v>17</v>
      </c>
      <c r="N6" s="492">
        <f>G6/W6*60</f>
        <v>1899.5121951219653</v>
      </c>
      <c r="O6" s="493">
        <f>N6/M6</f>
        <v>111.73601147776266</v>
      </c>
      <c r="P6" s="495">
        <f>M6-J6</f>
        <v>0</v>
      </c>
      <c r="Q6" s="496">
        <f>O6-L6</f>
        <v>-20.616929698707921</v>
      </c>
      <c r="R6" s="71">
        <f>O6/L6</f>
        <v>0.84422764227642899</v>
      </c>
      <c r="S6" s="749"/>
      <c r="T6" s="436">
        <v>0.33541666666666697</v>
      </c>
      <c r="U6" s="436">
        <v>0.36388888888888898</v>
      </c>
      <c r="V6" s="452">
        <f>(T6-U5)*24*60</f>
        <v>20.000000000000089</v>
      </c>
      <c r="W6" s="497">
        <f t="shared" si="0"/>
        <v>40.999999999999694</v>
      </c>
      <c r="X6" s="498"/>
      <c r="Y6" s="499"/>
      <c r="Z6" s="500"/>
      <c r="AA6" s="500"/>
      <c r="AB6" s="938"/>
      <c r="AC6" s="938"/>
      <c r="AD6" s="501"/>
      <c r="AE6" s="501"/>
      <c r="AF6" s="502">
        <f t="shared" si="1"/>
        <v>-350.48780487803469</v>
      </c>
      <c r="AG6" s="72">
        <f t="shared" si="2"/>
        <v>0.84422764227642899</v>
      </c>
      <c r="AH6" s="785"/>
    </row>
    <row r="7" spans="1:34" ht="15" customHeight="1">
      <c r="A7" s="949"/>
      <c r="B7" s="75" t="s">
        <v>81</v>
      </c>
      <c r="C7" s="503"/>
      <c r="D7" s="59" t="s">
        <v>114</v>
      </c>
      <c r="E7" s="77"/>
      <c r="F7" s="61">
        <f>VLOOKUP(D7,[2]廠價表!$C$1:$E$43,3,0)</f>
        <v>58.17</v>
      </c>
      <c r="G7" s="492">
        <v>2277</v>
      </c>
      <c r="H7" s="504">
        <f>F7*G7</f>
        <v>132453.09</v>
      </c>
      <c r="I7" s="497"/>
      <c r="J7" s="505">
        <f>VLOOKUP(D7,[2]產線配置圖!$A$3:$C$40,2,0)</f>
        <v>13</v>
      </c>
      <c r="K7" s="506">
        <f>VLOOKUP(D7,[2]產線配置圖!$A$3:$C$40,3,0)</f>
        <v>2250</v>
      </c>
      <c r="L7" s="507">
        <f>K7/J7</f>
        <v>173.07692307692307</v>
      </c>
      <c r="M7" s="508">
        <v>13</v>
      </c>
      <c r="N7" s="506">
        <f>G7/W7*60</f>
        <v>2039.1044776119302</v>
      </c>
      <c r="O7" s="507">
        <f>N7/M7</f>
        <v>156.8541905855331</v>
      </c>
      <c r="P7" s="509">
        <f>M7-J7</f>
        <v>0</v>
      </c>
      <c r="Q7" s="510">
        <f>O7-L7</f>
        <v>-16.222732491389962</v>
      </c>
      <c r="R7" s="72">
        <f>O7/L7</f>
        <v>0.90626865671641355</v>
      </c>
      <c r="S7" s="749"/>
      <c r="T7" s="511">
        <v>0.37152777777777801</v>
      </c>
      <c r="U7" s="511">
        <v>0.41805555555555601</v>
      </c>
      <c r="V7" s="452">
        <f>(T7-U6)*24*60</f>
        <v>11.000000000000201</v>
      </c>
      <c r="W7" s="497">
        <f t="shared" si="0"/>
        <v>67.000000000000327</v>
      </c>
      <c r="X7" s="498"/>
      <c r="Y7" s="499"/>
      <c r="Z7" s="500"/>
      <c r="AA7" s="500"/>
      <c r="AB7" s="927"/>
      <c r="AC7" s="927"/>
      <c r="AD7" s="512"/>
      <c r="AE7" s="512"/>
      <c r="AF7" s="502">
        <f t="shared" si="1"/>
        <v>-210.89552238806982</v>
      </c>
      <c r="AG7" s="72">
        <f t="shared" si="2"/>
        <v>0.90626865671641343</v>
      </c>
      <c r="AH7" s="785"/>
    </row>
    <row r="8" spans="1:34" ht="15" customHeight="1">
      <c r="A8" s="949"/>
      <c r="B8" s="75" t="s">
        <v>81</v>
      </c>
      <c r="C8" s="503"/>
      <c r="D8" s="59" t="s">
        <v>115</v>
      </c>
      <c r="E8" s="77"/>
      <c r="F8" s="61">
        <f>VLOOKUP(D8,[2]廠價表!$C$1:$E$43,3,0)</f>
        <v>49.14</v>
      </c>
      <c r="G8" s="492">
        <v>2844</v>
      </c>
      <c r="H8" s="504">
        <f t="shared" ref="H8:H9" si="3">F8*G8</f>
        <v>139754.16</v>
      </c>
      <c r="I8" s="497"/>
      <c r="J8" s="505">
        <f>VLOOKUP(D8,[2]產線配置圖!$A$3:$C$40,2,0)</f>
        <v>15</v>
      </c>
      <c r="K8" s="506">
        <f>VLOOKUP(D8,[2]產線配置圖!$A$3:$C$40,3,0)</f>
        <v>2250</v>
      </c>
      <c r="L8" s="507">
        <f t="shared" ref="L8:L9" si="4">K8/J8</f>
        <v>150</v>
      </c>
      <c r="M8" s="508">
        <v>15</v>
      </c>
      <c r="N8" s="506">
        <f t="shared" ref="N8:N9" si="5">G8/W8*60</f>
        <v>2132.9999999999818</v>
      </c>
      <c r="O8" s="507">
        <f t="shared" ref="O8:O9" si="6">N8/M8</f>
        <v>142.19999999999879</v>
      </c>
      <c r="P8" s="509">
        <f t="shared" ref="P8:P9" si="7">M8-J8</f>
        <v>0</v>
      </c>
      <c r="Q8" s="510">
        <f t="shared" ref="Q8:Q9" si="8">O8-L8</f>
        <v>-7.8000000000012051</v>
      </c>
      <c r="R8" s="72">
        <f t="shared" ref="R8:R9" si="9">O8/L8</f>
        <v>0.94799999999999196</v>
      </c>
      <c r="S8" s="749"/>
      <c r="T8" s="436">
        <v>0.42361111111111099</v>
      </c>
      <c r="U8" s="436">
        <v>0.47916666666666702</v>
      </c>
      <c r="V8" s="452">
        <f t="shared" ref="V8:V9" si="10">(T8-U7)*24*60</f>
        <v>7.9999999999991722</v>
      </c>
      <c r="W8" s="497">
        <f t="shared" si="0"/>
        <v>80.000000000000682</v>
      </c>
      <c r="X8" s="498"/>
      <c r="Y8" s="499"/>
      <c r="Z8" s="500"/>
      <c r="AA8" s="500"/>
      <c r="AB8" s="938"/>
      <c r="AC8" s="938"/>
      <c r="AD8" s="501"/>
      <c r="AE8" s="501"/>
      <c r="AF8" s="502">
        <f t="shared" si="1"/>
        <v>-117.00000000001819</v>
      </c>
      <c r="AG8" s="72">
        <f t="shared" si="2"/>
        <v>0.94799999999999196</v>
      </c>
      <c r="AH8" s="785"/>
    </row>
    <row r="9" spans="1:34" ht="15" customHeight="1">
      <c r="A9" s="950"/>
      <c r="B9" s="75" t="s">
        <v>81</v>
      </c>
      <c r="C9" s="503"/>
      <c r="D9" s="59" t="s">
        <v>115</v>
      </c>
      <c r="E9" s="77"/>
      <c r="F9" s="61">
        <f>VLOOKUP(D9,[2]廠價表!$C$1:$E$43,3,0)</f>
        <v>49.14</v>
      </c>
      <c r="G9" s="492">
        <v>3108</v>
      </c>
      <c r="H9" s="504">
        <f t="shared" si="3"/>
        <v>152727.12</v>
      </c>
      <c r="I9" s="497"/>
      <c r="J9" s="505">
        <f>VLOOKUP(D9,[2]產線配置圖!$A$3:$C$40,2,0)</f>
        <v>15</v>
      </c>
      <c r="K9" s="506">
        <f>VLOOKUP(D9,[2]產線配置圖!$A$3:$C$40,3,0)</f>
        <v>2250</v>
      </c>
      <c r="L9" s="507">
        <f t="shared" si="4"/>
        <v>150</v>
      </c>
      <c r="M9" s="508">
        <v>15</v>
      </c>
      <c r="N9" s="506">
        <f t="shared" si="5"/>
        <v>1942.5000000000166</v>
      </c>
      <c r="O9" s="507">
        <f t="shared" si="6"/>
        <v>129.50000000000111</v>
      </c>
      <c r="P9" s="509">
        <f t="shared" si="7"/>
        <v>0</v>
      </c>
      <c r="Q9" s="510">
        <f t="shared" si="8"/>
        <v>-20.499999999998892</v>
      </c>
      <c r="R9" s="72">
        <f t="shared" si="9"/>
        <v>0.86333333333334072</v>
      </c>
      <c r="S9" s="750"/>
      <c r="T9" s="436">
        <v>0.54305555555555596</v>
      </c>
      <c r="U9" s="436">
        <v>0.60972222222222205</v>
      </c>
      <c r="V9" s="452">
        <f t="shared" si="10"/>
        <v>92.000000000000071</v>
      </c>
      <c r="W9" s="497">
        <f t="shared" si="0"/>
        <v>95.999999999999176</v>
      </c>
      <c r="X9" s="498"/>
      <c r="Y9" s="499"/>
      <c r="Z9" s="500"/>
      <c r="AA9" s="500"/>
      <c r="AB9" s="938"/>
      <c r="AC9" s="938"/>
      <c r="AD9" s="501"/>
      <c r="AE9" s="501"/>
      <c r="AF9" s="502">
        <f t="shared" si="1"/>
        <v>-307.4999999999834</v>
      </c>
      <c r="AG9" s="72">
        <f t="shared" si="2"/>
        <v>0.86333333333334072</v>
      </c>
      <c r="AH9" s="786"/>
    </row>
    <row r="10" spans="1:34" ht="15" customHeight="1">
      <c r="A10" s="950"/>
      <c r="B10" s="75"/>
      <c r="C10" s="513"/>
      <c r="D10" s="59"/>
      <c r="E10" s="87"/>
      <c r="F10" s="75"/>
      <c r="G10" s="488"/>
      <c r="H10" s="504"/>
      <c r="I10" s="497"/>
      <c r="J10" s="505"/>
      <c r="K10" s="506"/>
      <c r="L10" s="507"/>
      <c r="M10" s="508"/>
      <c r="N10" s="506"/>
      <c r="O10" s="507"/>
      <c r="P10" s="509"/>
      <c r="Q10" s="510"/>
      <c r="R10" s="72"/>
      <c r="S10" s="750"/>
      <c r="T10" s="498"/>
      <c r="U10" s="498"/>
      <c r="V10" s="452"/>
      <c r="W10" s="497">
        <f t="shared" si="0"/>
        <v>0</v>
      </c>
      <c r="X10" s="498"/>
      <c r="Y10" s="499"/>
      <c r="Z10" s="500"/>
      <c r="AA10" s="500"/>
      <c r="AB10" s="927"/>
      <c r="AC10" s="927"/>
      <c r="AD10" s="512"/>
      <c r="AE10" s="512"/>
      <c r="AF10" s="502">
        <f t="shared" si="1"/>
        <v>0</v>
      </c>
      <c r="AG10" s="72" t="e">
        <f t="shared" si="2"/>
        <v>#DIV/0!</v>
      </c>
      <c r="AH10" s="786"/>
    </row>
    <row r="11" spans="1:34" ht="15" customHeight="1">
      <c r="A11" s="950"/>
      <c r="B11" s="75"/>
      <c r="C11" s="514"/>
      <c r="D11" s="59"/>
      <c r="E11" s="89"/>
      <c r="F11" s="75"/>
      <c r="G11" s="500"/>
      <c r="H11" s="515"/>
      <c r="I11" s="512"/>
      <c r="J11" s="505"/>
      <c r="K11" s="506"/>
      <c r="L11" s="516"/>
      <c r="M11" s="517"/>
      <c r="N11" s="518"/>
      <c r="O11" s="519"/>
      <c r="P11" s="520"/>
      <c r="Q11" s="521"/>
      <c r="R11" s="99"/>
      <c r="S11" s="750"/>
      <c r="T11" s="498"/>
      <c r="U11" s="498"/>
      <c r="V11" s="452"/>
      <c r="W11" s="522">
        <f t="shared" si="0"/>
        <v>0</v>
      </c>
      <c r="X11" s="498"/>
      <c r="Y11" s="499"/>
      <c r="Z11" s="500"/>
      <c r="AA11" s="500"/>
      <c r="AB11" s="938"/>
      <c r="AC11" s="938"/>
      <c r="AD11" s="501"/>
      <c r="AE11" s="501"/>
      <c r="AF11" s="502">
        <f t="shared" si="1"/>
        <v>0</v>
      </c>
      <c r="AG11" s="72" t="e">
        <f t="shared" si="2"/>
        <v>#DIV/0!</v>
      </c>
      <c r="AH11" s="786"/>
    </row>
    <row r="12" spans="1:34" ht="15" customHeight="1">
      <c r="A12" s="950"/>
      <c r="B12" s="523"/>
      <c r="C12" s="524"/>
      <c r="D12" s="103"/>
      <c r="E12" s="104"/>
      <c r="F12" s="105"/>
      <c r="G12" s="488"/>
      <c r="H12" s="504"/>
      <c r="I12" s="464"/>
      <c r="J12" s="525"/>
      <c r="K12" s="526"/>
      <c r="L12" s="507"/>
      <c r="M12" s="527"/>
      <c r="N12" s="488"/>
      <c r="O12" s="507"/>
      <c r="P12" s="509"/>
      <c r="Q12" s="510"/>
      <c r="R12" s="72"/>
      <c r="S12" s="750"/>
      <c r="T12" s="528"/>
      <c r="U12" s="528"/>
      <c r="V12" s="464"/>
      <c r="W12" s="522">
        <f t="shared" si="0"/>
        <v>0</v>
      </c>
      <c r="X12" s="440"/>
      <c r="Y12" s="529"/>
      <c r="Z12" s="500"/>
      <c r="AA12" s="500"/>
      <c r="AB12" s="938"/>
      <c r="AC12" s="938"/>
      <c r="AD12" s="501"/>
      <c r="AE12" s="501"/>
      <c r="AF12" s="530"/>
      <c r="AG12" s="85"/>
      <c r="AH12" s="786"/>
    </row>
    <row r="13" spans="1:34" ht="15" customHeight="1">
      <c r="A13" s="950"/>
      <c r="B13" s="75"/>
      <c r="C13" s="503"/>
      <c r="D13" s="59"/>
      <c r="E13" s="77"/>
      <c r="F13" s="75"/>
      <c r="G13" s="488"/>
      <c r="H13" s="504"/>
      <c r="I13" s="497"/>
      <c r="J13" s="505"/>
      <c r="K13" s="506"/>
      <c r="L13" s="507"/>
      <c r="M13" s="508"/>
      <c r="N13" s="506"/>
      <c r="O13" s="507"/>
      <c r="P13" s="509"/>
      <c r="Q13" s="510"/>
      <c r="R13" s="72"/>
      <c r="S13" s="751"/>
      <c r="T13" s="531"/>
      <c r="U13" s="531"/>
      <c r="V13" s="523"/>
      <c r="W13" s="522">
        <f t="shared" si="0"/>
        <v>0</v>
      </c>
      <c r="X13" s="440"/>
      <c r="Y13" s="529"/>
      <c r="Z13" s="500"/>
      <c r="AA13" s="500"/>
      <c r="AB13" s="927"/>
      <c r="AC13" s="927"/>
      <c r="AD13" s="512"/>
      <c r="AE13" s="512"/>
      <c r="AF13" s="530"/>
      <c r="AG13" s="85"/>
      <c r="AH13" s="786"/>
    </row>
    <row r="14" spans="1:34" ht="15" customHeight="1">
      <c r="A14" s="950"/>
      <c r="B14" s="75"/>
      <c r="C14" s="503"/>
      <c r="D14" s="59"/>
      <c r="E14" s="77"/>
      <c r="F14" s="75"/>
      <c r="G14" s="488"/>
      <c r="H14" s="504"/>
      <c r="I14" s="497"/>
      <c r="J14" s="505"/>
      <c r="K14" s="506"/>
      <c r="L14" s="507"/>
      <c r="M14" s="508"/>
      <c r="N14" s="506"/>
      <c r="O14" s="507"/>
      <c r="P14" s="509"/>
      <c r="Q14" s="510"/>
      <c r="R14" s="72"/>
      <c r="S14" s="750"/>
      <c r="T14" s="532"/>
      <c r="U14" s="532"/>
      <c r="V14" s="464"/>
      <c r="W14" s="522">
        <f t="shared" si="0"/>
        <v>0</v>
      </c>
      <c r="X14" s="440"/>
      <c r="Y14" s="529"/>
      <c r="Z14" s="500"/>
      <c r="AA14" s="500"/>
      <c r="AB14" s="927"/>
      <c r="AC14" s="927"/>
      <c r="AD14" s="512"/>
      <c r="AE14" s="512"/>
      <c r="AF14" s="530"/>
      <c r="AG14" s="85"/>
      <c r="AH14" s="786"/>
    </row>
    <row r="15" spans="1:34" ht="15" customHeight="1">
      <c r="A15" s="951"/>
      <c r="B15" s="533"/>
      <c r="C15" s="533" t="s">
        <v>41</v>
      </c>
      <c r="D15" s="942" t="s">
        <v>42</v>
      </c>
      <c r="E15" s="942"/>
      <c r="F15" s="534"/>
      <c r="G15" s="535"/>
      <c r="H15" s="536"/>
      <c r="I15" s="537"/>
      <c r="J15" s="538">
        <f t="shared" ref="J15:O15" si="11">AVERAGE(J5:J14)</f>
        <v>15</v>
      </c>
      <c r="K15" s="538">
        <f t="shared" si="11"/>
        <v>2250</v>
      </c>
      <c r="L15" s="535">
        <f t="shared" si="11"/>
        <v>151.08597285067873</v>
      </c>
      <c r="M15" s="538">
        <f t="shared" si="11"/>
        <v>15</v>
      </c>
      <c r="N15" s="538">
        <f t="shared" si="11"/>
        <v>2001.8233345467754</v>
      </c>
      <c r="O15" s="535">
        <f t="shared" si="11"/>
        <v>134.65804041265892</v>
      </c>
      <c r="P15" s="539">
        <f>M15-J15</f>
        <v>0</v>
      </c>
      <c r="Q15" s="540">
        <f>O15-L15</f>
        <v>-16.427932438019809</v>
      </c>
      <c r="R15" s="123">
        <f>O15/L15</f>
        <v>0.89126765292595456</v>
      </c>
      <c r="S15" s="752"/>
      <c r="T15" s="541"/>
      <c r="U15" s="541"/>
      <c r="V15" s="542"/>
      <c r="W15" s="543"/>
      <c r="X15" s="544"/>
      <c r="Y15" s="545"/>
      <c r="Z15" s="546">
        <f>SUM(Z5:Z14)</f>
        <v>0</v>
      </c>
      <c r="AA15" s="546">
        <f>SUM(AA5:AA14)</f>
        <v>0</v>
      </c>
      <c r="AB15" s="943"/>
      <c r="AC15" s="943"/>
      <c r="AD15" s="548">
        <f>SUM(AD5:AD14)</f>
        <v>0</v>
      </c>
      <c r="AE15" s="548">
        <f>SUM(AE5:AE14)</f>
        <v>0</v>
      </c>
      <c r="AF15" s="549">
        <f>N15-K15</f>
        <v>-248.17666545322459</v>
      </c>
      <c r="AG15" s="124">
        <f>N15/K15</f>
        <v>0.8896992597985669</v>
      </c>
      <c r="AH15" s="787"/>
    </row>
    <row r="16" spans="1:34" ht="15" customHeight="1">
      <c r="A16" s="944" t="s">
        <v>43</v>
      </c>
      <c r="B16" s="129" t="s">
        <v>81</v>
      </c>
      <c r="C16" s="550"/>
      <c r="D16" s="131" t="s">
        <v>120</v>
      </c>
      <c r="E16" s="132"/>
      <c r="F16" s="129">
        <f>VLOOKUP(D16,[2]廠價表!$C$1:$E$43,3,0)</f>
        <v>56.87</v>
      </c>
      <c r="G16" s="551">
        <v>1736</v>
      </c>
      <c r="H16" s="552">
        <f>F16*G16</f>
        <v>98726.319999999992</v>
      </c>
      <c r="I16" s="485"/>
      <c r="J16" s="553">
        <f>VLOOKUP(D16,[2]產線配置圖!$A$3:$C$40,2,0)</f>
        <v>15</v>
      </c>
      <c r="K16" s="554">
        <f>VLOOKUP(D16,[2]產線配置圖!$A$3:$C$40,3,0)</f>
        <v>2250</v>
      </c>
      <c r="L16" s="555">
        <f>K16/J16</f>
        <v>150</v>
      </c>
      <c r="M16" s="556">
        <v>15</v>
      </c>
      <c r="N16" s="557">
        <f>G16/W16*60</f>
        <v>1965.283018867955</v>
      </c>
      <c r="O16" s="558">
        <f>N16/M16</f>
        <v>131.01886792453033</v>
      </c>
      <c r="P16" s="559">
        <f>M16-J16</f>
        <v>0</v>
      </c>
      <c r="Q16" s="560">
        <f>O16-L16</f>
        <v>-18.981132075469674</v>
      </c>
      <c r="R16" s="144">
        <f>O16/L16</f>
        <v>0.87345911949686883</v>
      </c>
      <c r="S16" s="795">
        <f>R26</f>
        <v>0.90525086438515778</v>
      </c>
      <c r="T16" s="561">
        <v>0.29166666666666702</v>
      </c>
      <c r="U16" s="561">
        <v>0.328472222222222</v>
      </c>
      <c r="V16" s="485"/>
      <c r="W16" s="562">
        <f t="shared" ref="W16:W21" si="12">(U16-T16)*24*60</f>
        <v>52.999999999999176</v>
      </c>
      <c r="X16" s="558"/>
      <c r="Y16" s="563"/>
      <c r="Z16" s="484"/>
      <c r="AA16" s="484"/>
      <c r="AB16" s="937"/>
      <c r="AC16" s="937"/>
      <c r="AD16" s="485"/>
      <c r="AE16" s="485"/>
      <c r="AF16" s="486">
        <f>N16-K16</f>
        <v>-284.71698113204502</v>
      </c>
      <c r="AG16" s="52">
        <f>N16/K16</f>
        <v>0.87345911949686883</v>
      </c>
      <c r="AH16" s="784">
        <f>AG26</f>
        <v>0.9042671914753736</v>
      </c>
    </row>
    <row r="17" spans="1:34" ht="15" customHeight="1">
      <c r="A17" s="945"/>
      <c r="B17" s="75" t="s">
        <v>81</v>
      </c>
      <c r="C17" s="503"/>
      <c r="D17" s="59" t="s">
        <v>119</v>
      </c>
      <c r="E17" s="77"/>
      <c r="F17" s="75">
        <f>VLOOKUP(D17,[2]廠價表!$C$1:$E$43,3,0)</f>
        <v>50.67</v>
      </c>
      <c r="G17" s="564">
        <v>3829</v>
      </c>
      <c r="H17" s="504">
        <f>F17*G17</f>
        <v>194015.43</v>
      </c>
      <c r="I17" s="452"/>
      <c r="J17" s="505">
        <f>VLOOKUP(D17,[2]產線配置圖!$A$3:$C$40,2,0)</f>
        <v>13</v>
      </c>
      <c r="K17" s="506">
        <f>VLOOKUP(D17,[2]產線配置圖!$A$3:$C$40,3,0)</f>
        <v>2250</v>
      </c>
      <c r="L17" s="507">
        <f>K17/J17</f>
        <v>173.07692307692307</v>
      </c>
      <c r="M17" s="565">
        <v>13</v>
      </c>
      <c r="N17" s="518">
        <f>G17/W17*60</f>
        <v>2107.7064220183606</v>
      </c>
      <c r="O17" s="519">
        <f>N17/M17</f>
        <v>162.1312632321816</v>
      </c>
      <c r="P17" s="520">
        <f>M17-J17</f>
        <v>0</v>
      </c>
      <c r="Q17" s="521">
        <f>O17-L17</f>
        <v>-10.945659844741471</v>
      </c>
      <c r="R17" s="99">
        <f>O17/L17</f>
        <v>0.93675840978593816</v>
      </c>
      <c r="S17" s="796"/>
      <c r="T17" s="566">
        <v>0.33541666666666697</v>
      </c>
      <c r="U17" s="566">
        <v>0.41111111111111098</v>
      </c>
      <c r="V17" s="452">
        <f>(T17-U16)*24*60</f>
        <v>10.000000000000764</v>
      </c>
      <c r="W17" s="501">
        <f t="shared" si="12"/>
        <v>108.99999999999937</v>
      </c>
      <c r="X17" s="566"/>
      <c r="Y17" s="567"/>
      <c r="Z17" s="500"/>
      <c r="AA17" s="500"/>
      <c r="AB17" s="927"/>
      <c r="AC17" s="927"/>
      <c r="AD17" s="512"/>
      <c r="AE17" s="512"/>
      <c r="AF17" s="502">
        <f>N17-K17</f>
        <v>-142.29357798163937</v>
      </c>
      <c r="AG17" s="72">
        <f>N17/K17</f>
        <v>0.93675840978593805</v>
      </c>
      <c r="AH17" s="785"/>
    </row>
    <row r="18" spans="1:34" ht="15" customHeight="1">
      <c r="A18" s="945"/>
      <c r="B18" s="75" t="s">
        <v>81</v>
      </c>
      <c r="C18" s="503"/>
      <c r="D18" s="59" t="s">
        <v>121</v>
      </c>
      <c r="E18" s="77"/>
      <c r="F18" s="75">
        <f>VLOOKUP(D18,[2]廠價表!$C$1:$E$43,3,0)</f>
        <v>50.39</v>
      </c>
      <c r="G18" s="564">
        <v>2899</v>
      </c>
      <c r="H18" s="504">
        <f>F18*G18</f>
        <v>146080.61000000002</v>
      </c>
      <c r="I18" s="452"/>
      <c r="J18" s="505">
        <f>VLOOKUP(D18,[2]產線配置圖!$A$3:$C$40,2,0)</f>
        <v>12</v>
      </c>
      <c r="K18" s="506">
        <f>VLOOKUP(D18,[2]產線配置圖!$A$3:$C$40,3,0)</f>
        <v>2250</v>
      </c>
      <c r="L18" s="507">
        <f>K18/J18</f>
        <v>187.5</v>
      </c>
      <c r="M18" s="565">
        <v>12</v>
      </c>
      <c r="N18" s="518">
        <f>G18/W18*60</f>
        <v>2022.5581395348927</v>
      </c>
      <c r="O18" s="519">
        <f>N18/M18</f>
        <v>168.54651162790773</v>
      </c>
      <c r="P18" s="520">
        <f>M18-J18</f>
        <v>0</v>
      </c>
      <c r="Q18" s="521">
        <f>O18-L18</f>
        <v>-18.953488372092266</v>
      </c>
      <c r="R18" s="99">
        <f>O18/L18</f>
        <v>0.89891472868217459</v>
      </c>
      <c r="S18" s="796"/>
      <c r="T18" s="566">
        <v>0.41666666666666702</v>
      </c>
      <c r="U18" s="566">
        <v>0.47638888888888897</v>
      </c>
      <c r="V18" s="452">
        <f>(T18-U17)*24*60</f>
        <v>8.000000000000691</v>
      </c>
      <c r="W18" s="501">
        <f t="shared" si="12"/>
        <v>85.999999999999616</v>
      </c>
      <c r="X18" s="498"/>
      <c r="Y18" s="499"/>
      <c r="Z18" s="500"/>
      <c r="AA18" s="500"/>
      <c r="AB18" s="927"/>
      <c r="AC18" s="927"/>
      <c r="AD18" s="512"/>
      <c r="AE18" s="512"/>
      <c r="AF18" s="502">
        <f>N18-K18</f>
        <v>-227.44186046510731</v>
      </c>
      <c r="AG18" s="72">
        <f>N18/K18</f>
        <v>0.89891472868217448</v>
      </c>
      <c r="AH18" s="785"/>
    </row>
    <row r="19" spans="1:34" ht="15" customHeight="1">
      <c r="A19" s="945"/>
      <c r="B19" s="75" t="s">
        <v>81</v>
      </c>
      <c r="C19" s="503"/>
      <c r="D19" s="59" t="s">
        <v>121</v>
      </c>
      <c r="E19" s="77"/>
      <c r="F19" s="75">
        <f>VLOOKUP(D19,[2]廠價表!$C$1:$E$43,3,0)</f>
        <v>50.39</v>
      </c>
      <c r="G19" s="564">
        <v>2860</v>
      </c>
      <c r="H19" s="504">
        <f>F19*G19</f>
        <v>144115.4</v>
      </c>
      <c r="I19" s="452"/>
      <c r="J19" s="505">
        <f>VLOOKUP(D19,[2]產線配置圖!$A$3:$C$40,2,0)</f>
        <v>12</v>
      </c>
      <c r="K19" s="506">
        <f>VLOOKUP(D19,[2]產線配置圖!$A$3:$C$40,3,0)</f>
        <v>2250</v>
      </c>
      <c r="L19" s="507">
        <f>K19/J19</f>
        <v>187.5</v>
      </c>
      <c r="M19" s="565">
        <v>12</v>
      </c>
      <c r="N19" s="518">
        <f>G19/W19*60</f>
        <v>2042.8571428571538</v>
      </c>
      <c r="O19" s="519">
        <f>N19/M19</f>
        <v>170.23809523809615</v>
      </c>
      <c r="P19" s="520">
        <f>M19-J19</f>
        <v>0</v>
      </c>
      <c r="Q19" s="521">
        <f>O19-L19</f>
        <v>-17.26190476190385</v>
      </c>
      <c r="R19" s="99">
        <f>O19/L19</f>
        <v>0.90793650793651282</v>
      </c>
      <c r="S19" s="796"/>
      <c r="T19" s="566">
        <v>0.54166666666666696</v>
      </c>
      <c r="U19" s="566">
        <v>0.6</v>
      </c>
      <c r="V19" s="452">
        <f>(T19-U18)*24*60</f>
        <v>94.000000000000313</v>
      </c>
      <c r="W19" s="501">
        <f t="shared" si="12"/>
        <v>83.999999999999545</v>
      </c>
      <c r="X19" s="498"/>
      <c r="Y19" s="499"/>
      <c r="Z19" s="500"/>
      <c r="AA19" s="500"/>
      <c r="AB19" s="938"/>
      <c r="AC19" s="938"/>
      <c r="AD19" s="501"/>
      <c r="AE19" s="501"/>
      <c r="AF19" s="502">
        <f>N19-K19</f>
        <v>-207.1428571428462</v>
      </c>
      <c r="AG19" s="72">
        <f>N19/K19</f>
        <v>0.90793650793651282</v>
      </c>
      <c r="AH19" s="786"/>
    </row>
    <row r="20" spans="1:34" ht="15" customHeight="1">
      <c r="A20" s="945"/>
      <c r="B20" s="75"/>
      <c r="C20" s="503"/>
      <c r="D20" s="59"/>
      <c r="E20" s="77"/>
      <c r="F20" s="75"/>
      <c r="G20" s="564"/>
      <c r="H20" s="504"/>
      <c r="I20" s="452"/>
      <c r="J20" s="505"/>
      <c r="K20" s="506"/>
      <c r="L20" s="507"/>
      <c r="M20" s="565"/>
      <c r="N20" s="518"/>
      <c r="O20" s="519"/>
      <c r="P20" s="520"/>
      <c r="Q20" s="521"/>
      <c r="R20" s="99"/>
      <c r="S20" s="796"/>
      <c r="T20" s="566"/>
      <c r="U20" s="566"/>
      <c r="V20" s="452"/>
      <c r="W20" s="501">
        <f t="shared" si="12"/>
        <v>0</v>
      </c>
      <c r="X20" s="566"/>
      <c r="Y20" s="567"/>
      <c r="Z20" s="500"/>
      <c r="AA20" s="500"/>
      <c r="AB20" s="927"/>
      <c r="AC20" s="927"/>
      <c r="AD20" s="512"/>
      <c r="AE20" s="512"/>
      <c r="AF20" s="502"/>
      <c r="AG20" s="72"/>
      <c r="AH20" s="786"/>
    </row>
    <row r="21" spans="1:34" ht="15" customHeight="1">
      <c r="A21" s="946"/>
      <c r="B21" s="75"/>
      <c r="C21" s="503"/>
      <c r="D21" s="59"/>
      <c r="E21" s="77"/>
      <c r="F21" s="75"/>
      <c r="G21" s="564"/>
      <c r="H21" s="504"/>
      <c r="I21" s="452"/>
      <c r="J21" s="505"/>
      <c r="K21" s="506"/>
      <c r="L21" s="507"/>
      <c r="M21" s="565"/>
      <c r="N21" s="518"/>
      <c r="O21" s="519"/>
      <c r="P21" s="520"/>
      <c r="Q21" s="521"/>
      <c r="R21" s="99"/>
      <c r="S21" s="796"/>
      <c r="T21" s="568"/>
      <c r="U21" s="568"/>
      <c r="V21" s="452"/>
      <c r="W21" s="501">
        <f t="shared" si="12"/>
        <v>0</v>
      </c>
      <c r="X21" s="512"/>
      <c r="Y21" s="569"/>
      <c r="Z21" s="500"/>
      <c r="AA21" s="500"/>
      <c r="AB21" s="927"/>
      <c r="AC21" s="927"/>
      <c r="AD21" s="512"/>
      <c r="AE21" s="512"/>
      <c r="AF21" s="530"/>
      <c r="AG21" s="85"/>
      <c r="AH21" s="786"/>
    </row>
    <row r="22" spans="1:34" ht="15" customHeight="1">
      <c r="A22" s="946"/>
      <c r="B22" s="452"/>
      <c r="C22" s="570"/>
      <c r="D22" s="59"/>
      <c r="E22" s="87"/>
      <c r="F22" s="105"/>
      <c r="G22" s="518"/>
      <c r="H22" s="504"/>
      <c r="I22" s="501"/>
      <c r="J22" s="565"/>
      <c r="K22" s="518"/>
      <c r="L22" s="519"/>
      <c r="M22" s="565"/>
      <c r="N22" s="518"/>
      <c r="O22" s="519"/>
      <c r="P22" s="520"/>
      <c r="Q22" s="521"/>
      <c r="R22" s="99"/>
      <c r="S22" s="796"/>
      <c r="T22" s="568"/>
      <c r="U22" s="568"/>
      <c r="V22" s="512"/>
      <c r="W22" s="501">
        <v>0</v>
      </c>
      <c r="X22" s="512"/>
      <c r="Y22" s="569"/>
      <c r="Z22" s="500"/>
      <c r="AA22" s="500"/>
      <c r="AB22" s="927"/>
      <c r="AC22" s="927"/>
      <c r="AD22" s="512"/>
      <c r="AE22" s="512"/>
      <c r="AF22" s="530"/>
      <c r="AG22" s="85"/>
      <c r="AH22" s="786"/>
    </row>
    <row r="23" spans="1:34" ht="15" customHeight="1">
      <c r="A23" s="946"/>
      <c r="B23" s="75"/>
      <c r="C23" s="513"/>
      <c r="D23" s="59"/>
      <c r="E23" s="87"/>
      <c r="F23" s="75"/>
      <c r="G23" s="564"/>
      <c r="H23" s="504"/>
      <c r="I23" s="452"/>
      <c r="J23" s="505"/>
      <c r="K23" s="506"/>
      <c r="L23" s="507"/>
      <c r="M23" s="565"/>
      <c r="N23" s="518"/>
      <c r="O23" s="519"/>
      <c r="P23" s="520"/>
      <c r="Q23" s="521"/>
      <c r="R23" s="99"/>
      <c r="S23" s="796"/>
      <c r="T23" s="568"/>
      <c r="U23" s="568"/>
      <c r="W23" s="501">
        <f>(U23-T23)*24*60</f>
        <v>0</v>
      </c>
      <c r="X23" s="512"/>
      <c r="Y23" s="569"/>
      <c r="Z23" s="500"/>
      <c r="AA23" s="500"/>
      <c r="AB23" s="927"/>
      <c r="AC23" s="927"/>
      <c r="AD23" s="512"/>
      <c r="AE23" s="512"/>
      <c r="AF23" s="530"/>
      <c r="AG23" s="85"/>
      <c r="AH23" s="786"/>
    </row>
    <row r="24" spans="1:34" ht="15" customHeight="1">
      <c r="A24" s="946"/>
      <c r="B24" s="523"/>
      <c r="C24" s="524"/>
      <c r="D24" s="103"/>
      <c r="E24" s="104"/>
      <c r="F24" s="105"/>
      <c r="G24" s="518"/>
      <c r="H24" s="504">
        <f>F24*G24</f>
        <v>0</v>
      </c>
      <c r="I24" s="501"/>
      <c r="J24" s="565"/>
      <c r="K24" s="518"/>
      <c r="L24" s="519"/>
      <c r="M24" s="565"/>
      <c r="N24" s="518"/>
      <c r="O24" s="519"/>
      <c r="P24" s="520"/>
      <c r="Q24" s="521"/>
      <c r="R24" s="99"/>
      <c r="S24" s="796"/>
      <c r="T24" s="568"/>
      <c r="U24" s="568"/>
      <c r="V24" s="512"/>
      <c r="W24" s="501">
        <f>(U24-T24)*24*60</f>
        <v>0</v>
      </c>
      <c r="X24" s="512"/>
      <c r="Y24" s="569"/>
      <c r="Z24" s="500"/>
      <c r="AA24" s="500"/>
      <c r="AB24" s="927"/>
      <c r="AC24" s="927"/>
      <c r="AD24" s="512"/>
      <c r="AE24" s="512"/>
      <c r="AF24" s="530"/>
      <c r="AG24" s="85"/>
      <c r="AH24" s="786"/>
    </row>
    <row r="25" spans="1:34" ht="15" customHeight="1">
      <c r="A25" s="946"/>
      <c r="B25" s="523"/>
      <c r="C25" s="524"/>
      <c r="D25" s="103"/>
      <c r="E25" s="104"/>
      <c r="F25" s="105"/>
      <c r="G25" s="518"/>
      <c r="H25" s="515">
        <f>F25*G25</f>
        <v>0</v>
      </c>
      <c r="I25" s="501"/>
      <c r="J25" s="565"/>
      <c r="K25" s="518"/>
      <c r="L25" s="519"/>
      <c r="M25" s="565"/>
      <c r="N25" s="518"/>
      <c r="O25" s="519"/>
      <c r="P25" s="520"/>
      <c r="Q25" s="521"/>
      <c r="R25" s="99"/>
      <c r="S25" s="796"/>
      <c r="T25" s="568"/>
      <c r="U25" s="568"/>
      <c r="V25" s="512"/>
      <c r="W25" s="501">
        <f>(U25-T25)*24*60</f>
        <v>0</v>
      </c>
      <c r="X25" s="512"/>
      <c r="Y25" s="569"/>
      <c r="Z25" s="500"/>
      <c r="AA25" s="500"/>
      <c r="AB25" s="927"/>
      <c r="AC25" s="927"/>
      <c r="AD25" s="512"/>
      <c r="AE25" s="512"/>
      <c r="AF25" s="530"/>
      <c r="AG25" s="85"/>
      <c r="AH25" s="786"/>
    </row>
    <row r="26" spans="1:34" ht="15" customHeight="1">
      <c r="A26" s="947"/>
      <c r="B26" s="571"/>
      <c r="C26" s="572" t="s">
        <v>44</v>
      </c>
      <c r="D26" s="942" t="s">
        <v>42</v>
      </c>
      <c r="E26" s="942"/>
      <c r="F26" s="573"/>
      <c r="G26" s="574"/>
      <c r="H26" s="575"/>
      <c r="I26" s="576"/>
      <c r="J26" s="574">
        <f t="shared" ref="J26:O26" si="13">AVERAGE(J16:J25)</f>
        <v>13</v>
      </c>
      <c r="K26" s="574">
        <f t="shared" si="13"/>
        <v>2250</v>
      </c>
      <c r="L26" s="577">
        <f t="shared" si="13"/>
        <v>174.51923076923077</v>
      </c>
      <c r="M26" s="574">
        <f t="shared" si="13"/>
        <v>13</v>
      </c>
      <c r="N26" s="574">
        <f t="shared" si="13"/>
        <v>2034.6011808195906</v>
      </c>
      <c r="O26" s="577">
        <f t="shared" si="13"/>
        <v>157.98368450567898</v>
      </c>
      <c r="P26" s="578">
        <f t="shared" ref="P26:P31" si="14">M26-J26</f>
        <v>0</v>
      </c>
      <c r="Q26" s="579">
        <f t="shared" ref="Q26:Q31" si="15">O26-L26</f>
        <v>-16.535546263551794</v>
      </c>
      <c r="R26" s="161">
        <f t="shared" ref="R26:R31" si="16">O26/L26</f>
        <v>0.90525086438515778</v>
      </c>
      <c r="S26" s="797"/>
      <c r="T26" s="580"/>
      <c r="U26" s="580"/>
      <c r="V26" s="547"/>
      <c r="W26" s="581"/>
      <c r="X26" s="582"/>
      <c r="Y26" s="583"/>
      <c r="Z26" s="546">
        <f>SUM(Z16:Z25)</f>
        <v>0</v>
      </c>
      <c r="AA26" s="546">
        <f>SUM(AA16:AA25)</f>
        <v>0</v>
      </c>
      <c r="AB26" s="943"/>
      <c r="AC26" s="943"/>
      <c r="AD26" s="548">
        <f>SUM(AD16:AD25)</f>
        <v>0</v>
      </c>
      <c r="AE26" s="548">
        <f>SUM(AE16:AE25)</f>
        <v>0</v>
      </c>
      <c r="AF26" s="549">
        <f t="shared" ref="AF26:AF31" si="17">N26-K26</f>
        <v>-215.39881918040942</v>
      </c>
      <c r="AG26" s="124">
        <f t="shared" ref="AG26:AG31" si="18">N26/K26</f>
        <v>0.9042671914753736</v>
      </c>
      <c r="AH26" s="787"/>
    </row>
    <row r="27" spans="1:34" ht="15" customHeight="1">
      <c r="A27" s="956" t="s">
        <v>45</v>
      </c>
      <c r="B27" s="167" t="s">
        <v>81</v>
      </c>
      <c r="C27" s="550"/>
      <c r="D27" s="168" t="s">
        <v>122</v>
      </c>
      <c r="E27" s="132"/>
      <c r="F27" s="129">
        <f>VLOOKUP(D27,[2]廠價表!$C$1:$E$43,3,0)</f>
        <v>46.34</v>
      </c>
      <c r="G27" s="484">
        <v>747</v>
      </c>
      <c r="H27" s="552">
        <f>F27*G27</f>
        <v>34615.980000000003</v>
      </c>
      <c r="I27" s="485"/>
      <c r="J27" s="553">
        <f>VLOOKUP(D27,[2]產線配置圖!$A$3:$C$40,2,0)</f>
        <v>16</v>
      </c>
      <c r="K27" s="554">
        <f>VLOOKUP(D27,[2]產線配置圖!$A$3:$C$40,3,0)</f>
        <v>1636</v>
      </c>
      <c r="L27" s="555">
        <f>K27/J27</f>
        <v>102.25</v>
      </c>
      <c r="M27" s="584">
        <v>16</v>
      </c>
      <c r="N27" s="557">
        <f>G27/W27*60</f>
        <v>1445.8064516129571</v>
      </c>
      <c r="O27" s="558">
        <f>N27/M27</f>
        <v>90.362903225809816</v>
      </c>
      <c r="P27" s="559">
        <f t="shared" si="14"/>
        <v>0</v>
      </c>
      <c r="Q27" s="560">
        <f t="shared" si="15"/>
        <v>-11.887096774190184</v>
      </c>
      <c r="R27" s="144">
        <f t="shared" si="16"/>
        <v>0.88374477482454583</v>
      </c>
      <c r="S27" s="795">
        <f>R37</f>
        <v>0.89413098266507862</v>
      </c>
      <c r="T27" s="585">
        <v>0.29166666666666702</v>
      </c>
      <c r="U27" s="585">
        <v>0.313194444444444</v>
      </c>
      <c r="V27" s="485"/>
      <c r="W27" s="562">
        <f t="shared" ref="W27:W36" si="19">(U27-T27)*24*60</f>
        <v>30.999999999998849</v>
      </c>
      <c r="X27" s="485"/>
      <c r="Y27" s="586"/>
      <c r="Z27" s="484"/>
      <c r="AA27" s="484"/>
      <c r="AB27" s="937"/>
      <c r="AC27" s="937"/>
      <c r="AD27" s="485"/>
      <c r="AE27" s="485"/>
      <c r="AF27" s="587">
        <f t="shared" si="17"/>
        <v>-190.19354838704294</v>
      </c>
      <c r="AG27" s="172">
        <f t="shared" si="18"/>
        <v>0.88374477482454583</v>
      </c>
      <c r="AH27" s="784">
        <f>AG37</f>
        <v>0.86539405766524991</v>
      </c>
    </row>
    <row r="28" spans="1:34" ht="15" customHeight="1">
      <c r="A28" s="957"/>
      <c r="B28" s="75" t="s">
        <v>81</v>
      </c>
      <c r="C28" s="588"/>
      <c r="D28" s="59" t="s">
        <v>124</v>
      </c>
      <c r="E28" s="104"/>
      <c r="F28" s="75">
        <f>VLOOKUP(D28,[2]廠價表!$C$1:$E$43,3,0)</f>
        <v>57.21</v>
      </c>
      <c r="G28" s="500">
        <v>1127</v>
      </c>
      <c r="H28" s="515">
        <f>F28*G28</f>
        <v>64475.67</v>
      </c>
      <c r="I28" s="512"/>
      <c r="J28" s="505">
        <f>VLOOKUP(D28,[2]產線配置圖!$A$3:$C$40,2,0)</f>
        <v>18</v>
      </c>
      <c r="K28" s="506">
        <f>VLOOKUP(D28,[2]產線配置圖!$A$3:$C$40,3,0)</f>
        <v>1636</v>
      </c>
      <c r="L28" s="516">
        <f>K28/J28</f>
        <v>90.888888888888886</v>
      </c>
      <c r="M28" s="517">
        <v>16</v>
      </c>
      <c r="N28" s="518">
        <f>G28/W28*60</f>
        <v>1352.3999999999683</v>
      </c>
      <c r="O28" s="519">
        <f>N28/M28</f>
        <v>84.524999999998016</v>
      </c>
      <c r="P28" s="520">
        <f t="shared" si="14"/>
        <v>-2</v>
      </c>
      <c r="Q28" s="521">
        <f t="shared" si="15"/>
        <v>-6.3638888888908696</v>
      </c>
      <c r="R28" s="99">
        <f t="shared" si="16"/>
        <v>0.92998166259166526</v>
      </c>
      <c r="S28" s="796"/>
      <c r="T28" s="566">
        <v>0.31944444444444398</v>
      </c>
      <c r="U28" s="566">
        <v>0.35416666666666702</v>
      </c>
      <c r="V28" s="512">
        <f>(T28-U27)*24*60</f>
        <v>8.999999999999968</v>
      </c>
      <c r="W28" s="501">
        <f t="shared" si="19"/>
        <v>50.00000000000118</v>
      </c>
      <c r="X28" s="174"/>
      <c r="Y28" s="301"/>
      <c r="Z28" s="335"/>
      <c r="AA28" s="335"/>
      <c r="AB28" s="927"/>
      <c r="AC28" s="927"/>
      <c r="AD28" s="512"/>
      <c r="AE28" s="512"/>
      <c r="AF28" s="589">
        <f t="shared" si="17"/>
        <v>-283.60000000003174</v>
      </c>
      <c r="AG28" s="99">
        <f t="shared" si="18"/>
        <v>0.82665036674814685</v>
      </c>
      <c r="AH28" s="805"/>
    </row>
    <row r="29" spans="1:34" ht="15" customHeight="1">
      <c r="A29" s="957"/>
      <c r="B29" s="75" t="s">
        <v>81</v>
      </c>
      <c r="C29" s="588"/>
      <c r="D29" s="59" t="s">
        <v>125</v>
      </c>
      <c r="E29" s="104"/>
      <c r="F29" s="75">
        <f>VLOOKUP(D29,[2]廠價表!$C$1:$E$43,3,0)</f>
        <v>45.66</v>
      </c>
      <c r="G29" s="500">
        <v>942</v>
      </c>
      <c r="H29" s="515">
        <f>F29*G29</f>
        <v>43011.719999999994</v>
      </c>
      <c r="I29" s="512"/>
      <c r="J29" s="505">
        <f>VLOOKUP(D29,[2]產線配置圖!$A$3:$C$40,2,0)</f>
        <v>17</v>
      </c>
      <c r="K29" s="506">
        <f>VLOOKUP(D29,[2]產線配置圖!$A$3:$C$40,3,0)</f>
        <v>1636</v>
      </c>
      <c r="L29" s="516">
        <f>K29/J29</f>
        <v>96.235294117647058</v>
      </c>
      <c r="M29" s="517">
        <v>16</v>
      </c>
      <c r="N29" s="518">
        <f>G29/W29*60</f>
        <v>1284.5454545454359</v>
      </c>
      <c r="O29" s="519">
        <f>N29/M29</f>
        <v>80.284090909089741</v>
      </c>
      <c r="P29" s="520">
        <f t="shared" si="14"/>
        <v>-1</v>
      </c>
      <c r="Q29" s="521">
        <f t="shared" si="15"/>
        <v>-15.951203208557317</v>
      </c>
      <c r="R29" s="99">
        <f t="shared" si="16"/>
        <v>0.83424788841963671</v>
      </c>
      <c r="S29" s="796"/>
      <c r="T29" s="566">
        <v>0.36111111111111099</v>
      </c>
      <c r="U29" s="566">
        <v>0.391666666666667</v>
      </c>
      <c r="V29" s="512">
        <f>(T29-U28)*24*60</f>
        <v>9.999999999999325</v>
      </c>
      <c r="W29" s="501">
        <f t="shared" si="19"/>
        <v>44.000000000000639</v>
      </c>
      <c r="X29" s="498"/>
      <c r="Y29" s="499"/>
      <c r="Z29" s="500"/>
      <c r="AA29" s="500"/>
      <c r="AB29" s="927"/>
      <c r="AC29" s="927"/>
      <c r="AD29" s="512"/>
      <c r="AE29" s="512"/>
      <c r="AF29" s="590">
        <f t="shared" si="17"/>
        <v>-351.45454545456414</v>
      </c>
      <c r="AG29" s="99">
        <f t="shared" si="18"/>
        <v>0.7851744832184816</v>
      </c>
      <c r="AH29" s="805"/>
    </row>
    <row r="30" spans="1:34" ht="15" customHeight="1">
      <c r="A30" s="957"/>
      <c r="B30" s="75" t="s">
        <v>81</v>
      </c>
      <c r="C30" s="514"/>
      <c r="D30" s="59" t="s">
        <v>123</v>
      </c>
      <c r="E30" s="89"/>
      <c r="F30" s="75">
        <f>VLOOKUP(D30,[2]廠價表!$C$1:$E$43,3,0)</f>
        <v>49.91</v>
      </c>
      <c r="G30" s="500">
        <v>1558</v>
      </c>
      <c r="H30" s="515">
        <f>F30*G30</f>
        <v>77759.78</v>
      </c>
      <c r="I30" s="512"/>
      <c r="J30" s="505">
        <f>VLOOKUP(D30,[2]產線配置圖!$A$3:$C$40,2,0)</f>
        <v>18</v>
      </c>
      <c r="K30" s="506">
        <v>1636</v>
      </c>
      <c r="L30" s="516">
        <f>K30/J30</f>
        <v>90.888888888888886</v>
      </c>
      <c r="M30" s="517">
        <v>18</v>
      </c>
      <c r="N30" s="518">
        <f>G30/W30*60</f>
        <v>1584.4067796610248</v>
      </c>
      <c r="O30" s="519">
        <f>N30/M30</f>
        <v>88.022598870056925</v>
      </c>
      <c r="P30" s="520">
        <f t="shared" si="14"/>
        <v>0</v>
      </c>
      <c r="Q30" s="521">
        <f t="shared" si="15"/>
        <v>-2.8662900188319611</v>
      </c>
      <c r="R30" s="99">
        <f t="shared" si="16"/>
        <v>0.96846380174879265</v>
      </c>
      <c r="S30" s="796"/>
      <c r="T30" s="566">
        <v>0.39722222222222198</v>
      </c>
      <c r="U30" s="566">
        <v>0.438194444444444</v>
      </c>
      <c r="V30" s="512">
        <f>(T30-U29)*24*60</f>
        <v>7.9999999999991722</v>
      </c>
      <c r="W30" s="501">
        <f t="shared" si="19"/>
        <v>58.999999999999709</v>
      </c>
      <c r="X30" s="174"/>
      <c r="Y30" s="301"/>
      <c r="Z30" s="335"/>
      <c r="AA30" s="335"/>
      <c r="AB30" s="927"/>
      <c r="AC30" s="927"/>
      <c r="AD30" s="512"/>
      <c r="AE30" s="512"/>
      <c r="AF30" s="590">
        <f t="shared" si="17"/>
        <v>-51.593220338975243</v>
      </c>
      <c r="AG30" s="99">
        <f t="shared" si="18"/>
        <v>0.96846380174879265</v>
      </c>
      <c r="AH30" s="806"/>
    </row>
    <row r="31" spans="1:34" ht="15" customHeight="1">
      <c r="A31" s="957"/>
      <c r="B31" s="75" t="s">
        <v>81</v>
      </c>
      <c r="C31" s="514"/>
      <c r="D31" s="59" t="s">
        <v>122</v>
      </c>
      <c r="E31" s="89"/>
      <c r="F31" s="75">
        <f>VLOOKUP(D31,[2]廠價表!$C$1:$E$43,3,0)</f>
        <v>46.34</v>
      </c>
      <c r="G31" s="500">
        <v>800</v>
      </c>
      <c r="H31" s="515">
        <f>F31*G31</f>
        <v>37072</v>
      </c>
      <c r="I31" s="512"/>
      <c r="J31" s="505">
        <f>VLOOKUP(D31,[2]產線配置圖!$A$3:$C$40,2,0)</f>
        <v>16</v>
      </c>
      <c r="K31" s="506">
        <f>VLOOKUP(D31,[2]產線配置圖!$A$3:$C$40,3,0)</f>
        <v>1636</v>
      </c>
      <c r="L31" s="516">
        <f>K31/J31</f>
        <v>102.25</v>
      </c>
      <c r="M31" s="517">
        <v>16</v>
      </c>
      <c r="N31" s="518">
        <f>G31/W31*60</f>
        <v>1411.7647058823579</v>
      </c>
      <c r="O31" s="519">
        <f>N31/M31</f>
        <v>88.235294117647371</v>
      </c>
      <c r="P31" s="520">
        <f t="shared" si="14"/>
        <v>0</v>
      </c>
      <c r="Q31" s="521">
        <f t="shared" si="15"/>
        <v>-14.014705882352629</v>
      </c>
      <c r="R31" s="99">
        <f t="shared" si="16"/>
        <v>0.86293686178628237</v>
      </c>
      <c r="S31" s="796"/>
      <c r="T31" s="566">
        <v>0.44513888888888897</v>
      </c>
      <c r="U31" s="566">
        <v>0.46875</v>
      </c>
      <c r="V31" s="512">
        <f>(T31-U30)*24*60</f>
        <v>10.000000000000764</v>
      </c>
      <c r="W31" s="501">
        <f t="shared" si="19"/>
        <v>33.999999999999879</v>
      </c>
      <c r="X31" s="174"/>
      <c r="Y31" s="301"/>
      <c r="Z31" s="335"/>
      <c r="AA31" s="335"/>
      <c r="AB31" s="927"/>
      <c r="AC31" s="927"/>
      <c r="AD31" s="512"/>
      <c r="AE31" s="512"/>
      <c r="AF31" s="590">
        <f t="shared" si="17"/>
        <v>-224.23529411764207</v>
      </c>
      <c r="AG31" s="99">
        <f t="shared" si="18"/>
        <v>0.86293686178628237</v>
      </c>
      <c r="AH31" s="786"/>
    </row>
    <row r="32" spans="1:34" ht="15" customHeight="1">
      <c r="A32" s="957"/>
      <c r="B32" s="75"/>
      <c r="C32" s="524"/>
      <c r="D32" s="175"/>
      <c r="E32" s="176"/>
      <c r="F32" s="75"/>
      <c r="G32" s="500"/>
      <c r="H32" s="515"/>
      <c r="I32" s="512"/>
      <c r="J32" s="505"/>
      <c r="K32" s="506"/>
      <c r="L32" s="516"/>
      <c r="M32" s="517"/>
      <c r="N32" s="518"/>
      <c r="O32" s="519"/>
      <c r="P32" s="520"/>
      <c r="Q32" s="521"/>
      <c r="R32" s="99"/>
      <c r="S32" s="796"/>
      <c r="T32" s="566"/>
      <c r="U32" s="566"/>
      <c r="V32" s="512"/>
      <c r="W32" s="501">
        <f t="shared" si="19"/>
        <v>0</v>
      </c>
      <c r="X32" s="174"/>
      <c r="Y32" s="301"/>
      <c r="Z32" s="335"/>
      <c r="AA32" s="335"/>
      <c r="AB32" s="927"/>
      <c r="AC32" s="927"/>
      <c r="AD32" s="512"/>
      <c r="AE32" s="512"/>
      <c r="AF32" s="502"/>
      <c r="AG32" s="72"/>
      <c r="AH32" s="786"/>
    </row>
    <row r="33" spans="1:34" ht="15" customHeight="1">
      <c r="A33" s="957"/>
      <c r="B33" s="75"/>
      <c r="C33" s="591"/>
      <c r="D33" s="59"/>
      <c r="E33" s="178"/>
      <c r="F33" s="75"/>
      <c r="G33" s="500"/>
      <c r="H33" s="515"/>
      <c r="I33" s="512"/>
      <c r="J33" s="505"/>
      <c r="K33" s="506"/>
      <c r="L33" s="516"/>
      <c r="M33" s="517"/>
      <c r="N33" s="518"/>
      <c r="O33" s="519"/>
      <c r="P33" s="520"/>
      <c r="Q33" s="521"/>
      <c r="R33" s="99"/>
      <c r="S33" s="796"/>
      <c r="T33" s="566"/>
      <c r="U33" s="566"/>
      <c r="V33" s="512"/>
      <c r="W33" s="501">
        <f t="shared" si="19"/>
        <v>0</v>
      </c>
      <c r="X33" s="174"/>
      <c r="Y33" s="301"/>
      <c r="Z33" s="335"/>
      <c r="AA33" s="335"/>
      <c r="AB33" s="927"/>
      <c r="AC33" s="927"/>
      <c r="AD33" s="512"/>
      <c r="AE33" s="512"/>
      <c r="AF33" s="502"/>
      <c r="AG33" s="112"/>
      <c r="AH33" s="786"/>
    </row>
    <row r="34" spans="1:34" ht="15" customHeight="1">
      <c r="A34" s="957"/>
      <c r="B34" s="75"/>
      <c r="C34" s="588"/>
      <c r="D34" s="59"/>
      <c r="E34" s="104"/>
      <c r="F34" s="75"/>
      <c r="G34" s="500"/>
      <c r="H34" s="515"/>
      <c r="I34" s="512"/>
      <c r="J34" s="505"/>
      <c r="K34" s="506"/>
      <c r="L34" s="516"/>
      <c r="M34" s="517"/>
      <c r="N34" s="518"/>
      <c r="O34" s="519"/>
      <c r="P34" s="520"/>
      <c r="Q34" s="521"/>
      <c r="R34" s="99"/>
      <c r="S34" s="796"/>
      <c r="T34" s="568"/>
      <c r="U34" s="568"/>
      <c r="V34" s="512"/>
      <c r="W34" s="501">
        <f t="shared" si="19"/>
        <v>0</v>
      </c>
      <c r="X34" s="174"/>
      <c r="Y34" s="301"/>
      <c r="Z34" s="335"/>
      <c r="AA34" s="335"/>
      <c r="AB34" s="927"/>
      <c r="AC34" s="927"/>
      <c r="AD34" s="512"/>
      <c r="AE34" s="512"/>
      <c r="AF34" s="502"/>
      <c r="AG34" s="112"/>
      <c r="AH34" s="786"/>
    </row>
    <row r="35" spans="1:34" ht="15" customHeight="1">
      <c r="A35" s="957"/>
      <c r="B35" s="75"/>
      <c r="C35" s="588"/>
      <c r="D35" s="59"/>
      <c r="E35" s="104"/>
      <c r="F35" s="75"/>
      <c r="G35" s="500"/>
      <c r="H35" s="515"/>
      <c r="I35" s="512"/>
      <c r="J35" s="505"/>
      <c r="K35" s="506"/>
      <c r="L35" s="516"/>
      <c r="M35" s="517"/>
      <c r="N35" s="518"/>
      <c r="O35" s="519"/>
      <c r="P35" s="520"/>
      <c r="Q35" s="521"/>
      <c r="R35" s="99"/>
      <c r="S35" s="796"/>
      <c r="T35" s="568"/>
      <c r="U35" s="568"/>
      <c r="V35" s="512"/>
      <c r="W35" s="501">
        <f t="shared" si="19"/>
        <v>0</v>
      </c>
      <c r="X35" s="174"/>
      <c r="Y35" s="301"/>
      <c r="Z35" s="335"/>
      <c r="AA35" s="335"/>
      <c r="AB35" s="927"/>
      <c r="AC35" s="927"/>
      <c r="AD35" s="512"/>
      <c r="AE35" s="512"/>
      <c r="AF35" s="502"/>
      <c r="AG35" s="112"/>
      <c r="AH35" s="786"/>
    </row>
    <row r="36" spans="1:34" ht="15" customHeight="1">
      <c r="A36" s="957"/>
      <c r="B36" s="592"/>
      <c r="C36" s="524"/>
      <c r="D36" s="103"/>
      <c r="E36" s="104"/>
      <c r="F36" s="105"/>
      <c r="G36" s="500"/>
      <c r="H36" s="515">
        <f>F36*G36</f>
        <v>0</v>
      </c>
      <c r="I36" s="512"/>
      <c r="J36" s="565"/>
      <c r="K36" s="518"/>
      <c r="L36" s="519"/>
      <c r="M36" s="517"/>
      <c r="N36" s="518"/>
      <c r="O36" s="519"/>
      <c r="P36" s="520"/>
      <c r="Q36" s="521"/>
      <c r="R36" s="99"/>
      <c r="S36" s="796"/>
      <c r="T36" s="568"/>
      <c r="U36" s="568"/>
      <c r="V36" s="512"/>
      <c r="W36" s="501">
        <f t="shared" si="19"/>
        <v>0</v>
      </c>
      <c r="X36" s="174"/>
      <c r="Y36" s="301"/>
      <c r="Z36" s="335"/>
      <c r="AA36" s="335"/>
      <c r="AB36" s="927"/>
      <c r="AC36" s="927"/>
      <c r="AD36" s="512"/>
      <c r="AE36" s="512"/>
      <c r="AF36" s="502"/>
      <c r="AG36" s="112"/>
      <c r="AH36" s="786"/>
    </row>
    <row r="37" spans="1:34" ht="15" customHeight="1">
      <c r="A37" s="958"/>
      <c r="B37" s="571"/>
      <c r="C37" s="572" t="s">
        <v>47</v>
      </c>
      <c r="D37" s="959" t="s">
        <v>42</v>
      </c>
      <c r="E37" s="960"/>
      <c r="F37" s="573"/>
      <c r="G37" s="593"/>
      <c r="H37" s="575"/>
      <c r="I37" s="576"/>
      <c r="J37" s="574">
        <f t="shared" ref="J37:O37" si="20">AVERAGE(J27:J36)</f>
        <v>17</v>
      </c>
      <c r="K37" s="574">
        <f t="shared" si="20"/>
        <v>1636</v>
      </c>
      <c r="L37" s="577">
        <f t="shared" si="20"/>
        <v>96.50261437908496</v>
      </c>
      <c r="M37" s="574">
        <f t="shared" si="20"/>
        <v>16.399999999999999</v>
      </c>
      <c r="N37" s="574">
        <f t="shared" si="20"/>
        <v>1415.7846783403488</v>
      </c>
      <c r="O37" s="577">
        <f t="shared" si="20"/>
        <v>86.285977424520382</v>
      </c>
      <c r="P37" s="578">
        <f>M37-J37</f>
        <v>-0.60000000000000142</v>
      </c>
      <c r="Q37" s="579">
        <f>N37-K37</f>
        <v>-220.21532165965118</v>
      </c>
      <c r="R37" s="161">
        <f>O37/L37</f>
        <v>0.89413098266507862</v>
      </c>
      <c r="S37" s="797"/>
      <c r="T37" s="580"/>
      <c r="U37" s="580"/>
      <c r="V37" s="547"/>
      <c r="W37" s="547"/>
      <c r="X37" s="594"/>
      <c r="Y37" s="595"/>
      <c r="Z37" s="546">
        <f>SUM(Z27:Z36)</f>
        <v>0</v>
      </c>
      <c r="AA37" s="546">
        <f>SUM(AA27:AA36)</f>
        <v>0</v>
      </c>
      <c r="AB37" s="961"/>
      <c r="AC37" s="961"/>
      <c r="AD37" s="596">
        <f>SUM(AD27:AD36)</f>
        <v>0</v>
      </c>
      <c r="AE37" s="596">
        <f>SUM(AE27:AE36)</f>
        <v>0</v>
      </c>
      <c r="AF37" s="549">
        <f>N37-K37</f>
        <v>-220.21532165965118</v>
      </c>
      <c r="AG37" s="124">
        <f>N37/K37</f>
        <v>0.86539405766524991</v>
      </c>
      <c r="AH37" s="787"/>
    </row>
    <row r="38" spans="1:34" ht="15" customHeight="1">
      <c r="A38" s="952" t="s">
        <v>48</v>
      </c>
      <c r="B38" s="167" t="s">
        <v>116</v>
      </c>
      <c r="C38" s="129"/>
      <c r="D38" s="184" t="s">
        <v>126</v>
      </c>
      <c r="E38" s="185"/>
      <c r="F38" s="39">
        <f>VLOOKUP(D38,[2]廠價表!$C$1:$E$43,3,0)</f>
        <v>49.91</v>
      </c>
      <c r="G38" s="597">
        <v>2647</v>
      </c>
      <c r="H38" s="552">
        <f>F38*G38</f>
        <v>132111.76999999999</v>
      </c>
      <c r="I38" s="485"/>
      <c r="J38" s="598">
        <f>VLOOKUP(D38,[2]產線配置圖!$A$3:$C$40,2,0)</f>
        <v>16</v>
      </c>
      <c r="K38" s="599">
        <f>VLOOKUP(D38,[2]產線配置圖!$A$3:$C$40,3,0)</f>
        <v>1714</v>
      </c>
      <c r="L38" s="600">
        <f>K38/J38</f>
        <v>107.125</v>
      </c>
      <c r="M38" s="601">
        <v>15</v>
      </c>
      <c r="N38" s="557">
        <f>G38/W38*60</f>
        <v>1512.5714285714212</v>
      </c>
      <c r="O38" s="558">
        <f>N38/M38</f>
        <v>100.83809523809474</v>
      </c>
      <c r="P38" s="559">
        <f>M38-J38</f>
        <v>-1</v>
      </c>
      <c r="Q38" s="560">
        <f>O38-L38</f>
        <v>-6.2869047619052623</v>
      </c>
      <c r="R38" s="144">
        <f>O38/L38</f>
        <v>0.94131244096237798</v>
      </c>
      <c r="S38" s="817">
        <f>R48</f>
        <v>0.92067372182560681</v>
      </c>
      <c r="T38" s="602">
        <v>0.33333333333333298</v>
      </c>
      <c r="U38" s="602">
        <v>0.40625</v>
      </c>
      <c r="V38" s="603"/>
      <c r="W38" s="604">
        <f t="shared" ref="W38:W57" si="21">(U38-T38)*24*60</f>
        <v>105.00000000000051</v>
      </c>
      <c r="X38" s="605"/>
      <c r="Y38" s="606"/>
      <c r="Z38" s="607"/>
      <c r="AA38" s="607"/>
      <c r="AB38" s="955"/>
      <c r="AC38" s="955"/>
      <c r="AD38" s="603"/>
      <c r="AE38" s="603"/>
      <c r="AF38" s="608">
        <f>N38-K38</f>
        <v>-201.42857142857883</v>
      </c>
      <c r="AG38" s="195">
        <f>N38/K38</f>
        <v>0.88248041340222938</v>
      </c>
      <c r="AH38" s="807">
        <f>AG48</f>
        <v>0.899562622585104</v>
      </c>
    </row>
    <row r="39" spans="1:34" ht="15" customHeight="1">
      <c r="A39" s="953"/>
      <c r="B39" s="75" t="s">
        <v>116</v>
      </c>
      <c r="C39" s="609"/>
      <c r="D39" s="198" t="s">
        <v>117</v>
      </c>
      <c r="E39" s="176"/>
      <c r="F39" s="75">
        <f>VLOOKUP(D39,[2]廠價表!$C$1:$E$43,3,0)</f>
        <v>44.3</v>
      </c>
      <c r="G39" s="610">
        <v>2642</v>
      </c>
      <c r="H39" s="515">
        <f>F39*G39</f>
        <v>117040.59999999999</v>
      </c>
      <c r="I39" s="611"/>
      <c r="J39" s="565">
        <f>VLOOKUP(D39,[2]產線配置圖!$A$3:$C$40,2,0)</f>
        <v>18</v>
      </c>
      <c r="K39" s="518">
        <f>VLOOKUP(D39,[2]產線配置圖!$A$3:$C$40,3,0)</f>
        <v>1636</v>
      </c>
      <c r="L39" s="519">
        <f>K39/J39</f>
        <v>90.888888888888886</v>
      </c>
      <c r="M39" s="612">
        <v>18</v>
      </c>
      <c r="N39" s="613">
        <f>G39/W39*60</f>
        <v>1569.5049504950464</v>
      </c>
      <c r="O39" s="614">
        <f>N39/M39</f>
        <v>87.194719471947025</v>
      </c>
      <c r="P39" s="520">
        <f>M39-J39</f>
        <v>0</v>
      </c>
      <c r="Q39" s="521">
        <f>O39-L39</f>
        <v>-3.6941694169418611</v>
      </c>
      <c r="R39" s="99">
        <f>O39/L39</f>
        <v>0.95935510421457615</v>
      </c>
      <c r="S39" s="818"/>
      <c r="T39" s="615">
        <v>0.41249999999999998</v>
      </c>
      <c r="U39" s="615">
        <v>0.48263888888888901</v>
      </c>
      <c r="V39" s="512">
        <f>(T39-U38)*24*60</f>
        <v>8.999999999999968</v>
      </c>
      <c r="W39" s="616">
        <f t="shared" si="21"/>
        <v>101.0000000000002</v>
      </c>
      <c r="X39" s="498"/>
      <c r="Y39" s="499"/>
      <c r="Z39" s="500"/>
      <c r="AA39" s="500"/>
      <c r="AB39" s="962"/>
      <c r="AC39" s="962"/>
      <c r="AD39" s="611"/>
      <c r="AE39" s="611"/>
      <c r="AF39" s="617">
        <f>N39-K39</f>
        <v>-66.495049504953613</v>
      </c>
      <c r="AG39" s="206">
        <f>N39/K39</f>
        <v>0.95935510421457604</v>
      </c>
      <c r="AH39" s="808"/>
    </row>
    <row r="40" spans="1:34" ht="15" customHeight="1">
      <c r="A40" s="953"/>
      <c r="B40" s="75" t="s">
        <v>116</v>
      </c>
      <c r="C40" s="207"/>
      <c r="D40" s="198" t="s">
        <v>117</v>
      </c>
      <c r="E40" s="178"/>
      <c r="F40" s="75">
        <f>VLOOKUP(D40,[2]廠價表!$C$1:$E$43,3,0)</f>
        <v>44.3</v>
      </c>
      <c r="G40" s="610">
        <v>3274</v>
      </c>
      <c r="H40" s="515">
        <f>F40*G40</f>
        <v>145038.19999999998</v>
      </c>
      <c r="I40" s="611"/>
      <c r="J40" s="565">
        <f>VLOOKUP(D40,[2]產線配置圖!$A$3:$C$40,2,0)</f>
        <v>18</v>
      </c>
      <c r="K40" s="518">
        <f>VLOOKUP(D40,[2]產線配置圖!$A$3:$C$40,3,0)</f>
        <v>1636</v>
      </c>
      <c r="L40" s="519">
        <f>K40/J40</f>
        <v>90.888888888888886</v>
      </c>
      <c r="M40" s="612">
        <v>18</v>
      </c>
      <c r="N40" s="613">
        <f>G40/W40*60</f>
        <v>1403.1428571428605</v>
      </c>
      <c r="O40" s="614">
        <f>N40/M40</f>
        <v>77.952380952381134</v>
      </c>
      <c r="P40" s="520">
        <f>M40-J40</f>
        <v>0</v>
      </c>
      <c r="Q40" s="521">
        <f>O40-L40</f>
        <v>-12.936507936507752</v>
      </c>
      <c r="R40" s="99">
        <f>O40/L40</f>
        <v>0.85766678309465794</v>
      </c>
      <c r="S40" s="749"/>
      <c r="T40" s="615">
        <v>0.54166666666666696</v>
      </c>
      <c r="U40" s="615">
        <v>0.63888888888888895</v>
      </c>
      <c r="V40" s="512">
        <f>(T40-U39)*24*60</f>
        <v>85.000000000000256</v>
      </c>
      <c r="W40" s="616">
        <f t="shared" si="21"/>
        <v>139.99999999999966</v>
      </c>
      <c r="X40" s="618"/>
      <c r="Y40" s="619"/>
      <c r="Z40" s="620"/>
      <c r="AA40" s="620"/>
      <c r="AB40" s="927"/>
      <c r="AC40" s="927"/>
      <c r="AD40" s="512"/>
      <c r="AE40" s="512"/>
      <c r="AF40" s="617">
        <f>N40-K40</f>
        <v>-232.85714285713948</v>
      </c>
      <c r="AG40" s="206">
        <f>N40/K40</f>
        <v>0.85766678309465805</v>
      </c>
      <c r="AH40" s="808"/>
    </row>
    <row r="41" spans="1:34" ht="15" customHeight="1">
      <c r="A41" s="953"/>
      <c r="B41" s="75"/>
      <c r="C41" s="207"/>
      <c r="D41" s="198"/>
      <c r="E41" s="178"/>
      <c r="F41" s="75"/>
      <c r="G41" s="610"/>
      <c r="H41" s="515"/>
      <c r="I41" s="611"/>
      <c r="J41" s="565"/>
      <c r="K41" s="518"/>
      <c r="L41" s="519"/>
      <c r="M41" s="612"/>
      <c r="N41" s="613"/>
      <c r="O41" s="614"/>
      <c r="P41" s="520"/>
      <c r="Q41" s="521"/>
      <c r="R41" s="99"/>
      <c r="S41" s="749"/>
      <c r="T41" s="615"/>
      <c r="U41" s="621"/>
      <c r="V41" s="512"/>
      <c r="W41" s="616">
        <f t="shared" si="21"/>
        <v>0</v>
      </c>
      <c r="X41" s="618"/>
      <c r="Y41" s="619"/>
      <c r="Z41" s="620"/>
      <c r="AA41" s="620"/>
      <c r="AB41" s="927"/>
      <c r="AC41" s="927"/>
      <c r="AD41" s="512"/>
      <c r="AE41" s="512"/>
      <c r="AF41" s="617">
        <f>N41-K41</f>
        <v>0</v>
      </c>
      <c r="AG41" s="206" t="e">
        <f>N41/K41</f>
        <v>#DIV/0!</v>
      </c>
      <c r="AH41" s="808"/>
    </row>
    <row r="42" spans="1:34" ht="15" customHeight="1">
      <c r="A42" s="953"/>
      <c r="B42" s="75"/>
      <c r="C42" s="513"/>
      <c r="D42" s="198"/>
      <c r="E42" s="87"/>
      <c r="F42" s="75"/>
      <c r="G42" s="610"/>
      <c r="H42" s="515"/>
      <c r="I42" s="611"/>
      <c r="J42" s="565"/>
      <c r="K42" s="518"/>
      <c r="L42" s="519"/>
      <c r="M42" s="612"/>
      <c r="N42" s="613"/>
      <c r="O42" s="614"/>
      <c r="P42" s="520"/>
      <c r="Q42" s="521"/>
      <c r="R42" s="99"/>
      <c r="S42" s="749"/>
      <c r="T42" s="621"/>
      <c r="U42" s="621"/>
      <c r="V42" s="512"/>
      <c r="W42" s="616">
        <f t="shared" si="21"/>
        <v>0</v>
      </c>
      <c r="X42" s="618"/>
      <c r="Y42" s="622"/>
      <c r="Z42" s="623"/>
      <c r="AA42" s="623"/>
      <c r="AB42" s="927"/>
      <c r="AC42" s="927"/>
      <c r="AD42" s="512"/>
      <c r="AE42" s="512"/>
      <c r="AF42" s="617"/>
      <c r="AG42" s="206"/>
      <c r="AH42" s="808"/>
    </row>
    <row r="43" spans="1:34" ht="15" customHeight="1">
      <c r="A43" s="953"/>
      <c r="B43" s="75"/>
      <c r="C43" s="524"/>
      <c r="D43" s="198"/>
      <c r="E43" s="104"/>
      <c r="F43" s="75"/>
      <c r="G43" s="613"/>
      <c r="H43" s="515"/>
      <c r="I43" s="611"/>
      <c r="J43" s="565"/>
      <c r="K43" s="518"/>
      <c r="L43" s="519"/>
      <c r="M43" s="612"/>
      <c r="N43" s="613"/>
      <c r="O43" s="614"/>
      <c r="P43" s="520"/>
      <c r="Q43" s="521"/>
      <c r="R43" s="99"/>
      <c r="S43" s="749"/>
      <c r="T43" s="621"/>
      <c r="U43" s="621"/>
      <c r="V43" s="512"/>
      <c r="W43" s="616">
        <f t="shared" si="21"/>
        <v>0</v>
      </c>
      <c r="X43" s="618"/>
      <c r="Y43" s="624"/>
      <c r="Z43" s="623"/>
      <c r="AA43" s="623"/>
      <c r="AB43" s="927"/>
      <c r="AC43" s="927"/>
      <c r="AD43" s="512"/>
      <c r="AE43" s="512"/>
      <c r="AF43" s="625"/>
      <c r="AG43" s="206"/>
      <c r="AH43" s="808"/>
    </row>
    <row r="44" spans="1:34" ht="15" customHeight="1">
      <c r="A44" s="953"/>
      <c r="B44" s="75"/>
      <c r="C44" s="513"/>
      <c r="D44" s="198"/>
      <c r="E44" s="87"/>
      <c r="F44" s="75"/>
      <c r="G44" s="610"/>
      <c r="H44" s="515"/>
      <c r="I44" s="611"/>
      <c r="J44" s="565"/>
      <c r="K44" s="518"/>
      <c r="L44" s="519"/>
      <c r="M44" s="612"/>
      <c r="N44" s="613"/>
      <c r="O44" s="614"/>
      <c r="P44" s="520"/>
      <c r="Q44" s="521"/>
      <c r="R44" s="99"/>
      <c r="S44" s="749"/>
      <c r="T44" s="621"/>
      <c r="U44" s="621"/>
      <c r="V44" s="512"/>
      <c r="W44" s="616">
        <f t="shared" si="21"/>
        <v>0</v>
      </c>
      <c r="X44" s="618"/>
      <c r="Y44" s="624"/>
      <c r="Z44" s="623"/>
      <c r="AA44" s="623"/>
      <c r="AB44" s="927"/>
      <c r="AC44" s="927"/>
      <c r="AD44" s="512"/>
      <c r="AE44" s="512"/>
      <c r="AF44" s="625"/>
      <c r="AG44" s="206"/>
      <c r="AH44" s="808"/>
    </row>
    <row r="45" spans="1:34" ht="15" customHeight="1">
      <c r="A45" s="953"/>
      <c r="B45" s="75"/>
      <c r="C45" s="513"/>
      <c r="D45" s="198"/>
      <c r="E45" s="87"/>
      <c r="F45" s="75"/>
      <c r="G45" s="610"/>
      <c r="H45" s="515"/>
      <c r="I45" s="611"/>
      <c r="J45" s="565"/>
      <c r="K45" s="518"/>
      <c r="L45" s="519"/>
      <c r="M45" s="612"/>
      <c r="N45" s="613"/>
      <c r="O45" s="614"/>
      <c r="P45" s="520"/>
      <c r="Q45" s="521"/>
      <c r="R45" s="99"/>
      <c r="S45" s="749"/>
      <c r="T45" s="621"/>
      <c r="U45" s="621"/>
      <c r="V45" s="611"/>
      <c r="W45" s="616">
        <f t="shared" si="21"/>
        <v>0</v>
      </c>
      <c r="X45" s="618"/>
      <c r="Y45" s="624"/>
      <c r="Z45" s="623"/>
      <c r="AA45" s="623"/>
      <c r="AB45" s="927"/>
      <c r="AC45" s="927"/>
      <c r="AD45" s="512"/>
      <c r="AE45" s="512"/>
      <c r="AF45" s="625"/>
      <c r="AG45" s="206"/>
      <c r="AH45" s="808"/>
    </row>
    <row r="46" spans="1:34" ht="15" customHeight="1">
      <c r="A46" s="953"/>
      <c r="B46" s="626"/>
      <c r="C46" s="524"/>
      <c r="D46" s="103"/>
      <c r="E46" s="104"/>
      <c r="F46" s="105"/>
      <c r="G46" s="613"/>
      <c r="H46" s="627"/>
      <c r="I46" s="611"/>
      <c r="J46" s="612"/>
      <c r="K46" s="613"/>
      <c r="L46" s="614"/>
      <c r="M46" s="612"/>
      <c r="N46" s="613"/>
      <c r="O46" s="614"/>
      <c r="P46" s="520"/>
      <c r="Q46" s="521"/>
      <c r="R46" s="204"/>
      <c r="S46" s="749"/>
      <c r="T46" s="628"/>
      <c r="U46" s="628"/>
      <c r="V46" s="611"/>
      <c r="W46" s="616">
        <f t="shared" si="21"/>
        <v>0</v>
      </c>
      <c r="X46" s="618"/>
      <c r="Y46" s="624"/>
      <c r="Z46" s="623"/>
      <c r="AA46" s="623"/>
      <c r="AB46" s="927"/>
      <c r="AC46" s="927"/>
      <c r="AD46" s="512"/>
      <c r="AE46" s="512"/>
      <c r="AF46" s="625"/>
      <c r="AG46" s="206"/>
      <c r="AH46" s="808"/>
    </row>
    <row r="47" spans="1:34" ht="15" customHeight="1">
      <c r="A47" s="953"/>
      <c r="B47" s="629"/>
      <c r="C47" s="524"/>
      <c r="D47" s="103"/>
      <c r="E47" s="104"/>
      <c r="F47" s="105"/>
      <c r="G47" s="613"/>
      <c r="H47" s="627">
        <f>F47*G47</f>
        <v>0</v>
      </c>
      <c r="I47" s="611"/>
      <c r="J47" s="612"/>
      <c r="K47" s="613"/>
      <c r="L47" s="614"/>
      <c r="M47" s="612"/>
      <c r="N47" s="613"/>
      <c r="O47" s="614"/>
      <c r="P47" s="520"/>
      <c r="Q47" s="521"/>
      <c r="R47" s="204"/>
      <c r="S47" s="749"/>
      <c r="T47" s="630"/>
      <c r="U47" s="630"/>
      <c r="V47" s="611"/>
      <c r="W47" s="616">
        <f t="shared" si="21"/>
        <v>0</v>
      </c>
      <c r="X47" s="618"/>
      <c r="Y47" s="624"/>
      <c r="Z47" s="623"/>
      <c r="AA47" s="623"/>
      <c r="AB47" s="927"/>
      <c r="AC47" s="927"/>
      <c r="AD47" s="512"/>
      <c r="AE47" s="512"/>
      <c r="AF47" s="625"/>
      <c r="AG47" s="206"/>
      <c r="AH47" s="808"/>
    </row>
    <row r="48" spans="1:34" ht="15" customHeight="1">
      <c r="A48" s="954"/>
      <c r="B48" s="631"/>
      <c r="C48" s="572" t="s">
        <v>49</v>
      </c>
      <c r="D48" s="942" t="s">
        <v>42</v>
      </c>
      <c r="E48" s="942"/>
      <c r="F48" s="573"/>
      <c r="G48" s="593"/>
      <c r="H48" s="575"/>
      <c r="I48" s="576"/>
      <c r="J48" s="574">
        <f t="shared" ref="J48:O48" si="22">AVERAGE(J38:J47)</f>
        <v>17.333333333333332</v>
      </c>
      <c r="K48" s="574">
        <f t="shared" si="22"/>
        <v>1662</v>
      </c>
      <c r="L48" s="577">
        <f t="shared" si="22"/>
        <v>96.300925925925924</v>
      </c>
      <c r="M48" s="574">
        <f t="shared" si="22"/>
        <v>17</v>
      </c>
      <c r="N48" s="574">
        <f t="shared" si="22"/>
        <v>1495.0730787364428</v>
      </c>
      <c r="O48" s="577">
        <f t="shared" si="22"/>
        <v>88.661731887474289</v>
      </c>
      <c r="P48" s="632">
        <f>M48-J48</f>
        <v>-0.33333333333333215</v>
      </c>
      <c r="Q48" s="633">
        <f>N48-K48</f>
        <v>-166.92692126355723</v>
      </c>
      <c r="R48" s="223">
        <f>O48/L48</f>
        <v>0.92067372182560681</v>
      </c>
      <c r="S48" s="752"/>
      <c r="T48" s="634"/>
      <c r="U48" s="634"/>
      <c r="V48" s="635"/>
      <c r="W48" s="636">
        <f t="shared" si="21"/>
        <v>0</v>
      </c>
      <c r="X48" s="637"/>
      <c r="Y48" s="638"/>
      <c r="Z48" s="546">
        <f>SUM(Z38:Z47)</f>
        <v>0</v>
      </c>
      <c r="AA48" s="546">
        <f>SUM(AA38:AA47)</f>
        <v>0</v>
      </c>
      <c r="AB48" s="943"/>
      <c r="AC48" s="943"/>
      <c r="AD48" s="548">
        <f>SUM(AD38:AD47)</f>
        <v>0</v>
      </c>
      <c r="AE48" s="548">
        <f>SUM(AE38:AE47)</f>
        <v>0</v>
      </c>
      <c r="AF48" s="639">
        <f t="shared" ref="AF48:AF53" si="23">N48-K48</f>
        <v>-166.92692126355723</v>
      </c>
      <c r="AG48" s="162">
        <f t="shared" ref="AG48:AG53" si="24">N48/K48</f>
        <v>0.899562622585104</v>
      </c>
      <c r="AH48" s="809"/>
    </row>
    <row r="49" spans="1:34" ht="15" customHeight="1">
      <c r="A49" s="967" t="s">
        <v>50</v>
      </c>
      <c r="B49" s="129" t="s">
        <v>116</v>
      </c>
      <c r="C49" s="550"/>
      <c r="D49" s="131" t="s">
        <v>127</v>
      </c>
      <c r="E49" s="132"/>
      <c r="F49" s="129">
        <f>VLOOKUP(D49,[2]廠價表!$C$1:$E$43,3,0)</f>
        <v>49.52</v>
      </c>
      <c r="G49" s="640">
        <v>2319</v>
      </c>
      <c r="H49" s="552">
        <f>F49*G49</f>
        <v>114836.88</v>
      </c>
      <c r="I49" s="485"/>
      <c r="J49" s="553">
        <f>VLOOKUP(D49,[2]產線配置圖!$A$3:$C$40,2,0)</f>
        <v>17</v>
      </c>
      <c r="K49" s="554">
        <f>VLOOKUP(D49,[2]產線配置圖!$A$3:$C$40,3,0)</f>
        <v>1800</v>
      </c>
      <c r="L49" s="555">
        <f>K49/J49</f>
        <v>105.88235294117646</v>
      </c>
      <c r="M49" s="584">
        <v>17</v>
      </c>
      <c r="N49" s="557">
        <f>G49/W49*60</f>
        <v>1581.1363636363665</v>
      </c>
      <c r="O49" s="558">
        <f>N49/M49</f>
        <v>93.008021390374495</v>
      </c>
      <c r="P49" s="486">
        <f>M49-J49</f>
        <v>0</v>
      </c>
      <c r="Q49" s="641">
        <f>O49-L49</f>
        <v>-12.874331550801969</v>
      </c>
      <c r="R49" s="52">
        <f>O49/L49</f>
        <v>0.87840909090909247</v>
      </c>
      <c r="S49" s="748">
        <f>R58</f>
        <v>0.8694227119942588</v>
      </c>
      <c r="T49" s="602">
        <v>0.29166666666666702</v>
      </c>
      <c r="U49" s="602">
        <v>0.35277777777777802</v>
      </c>
      <c r="V49" s="482"/>
      <c r="W49" s="604">
        <f t="shared" si="21"/>
        <v>87.999999999999844</v>
      </c>
      <c r="X49" s="482"/>
      <c r="Y49" s="483"/>
      <c r="Z49" s="484"/>
      <c r="AA49" s="484"/>
      <c r="AB49" s="937"/>
      <c r="AC49" s="937"/>
      <c r="AD49" s="485"/>
      <c r="AE49" s="485"/>
      <c r="AF49" s="486">
        <f t="shared" si="23"/>
        <v>-218.86363636363353</v>
      </c>
      <c r="AG49" s="52">
        <f t="shared" si="24"/>
        <v>0.87840909090909247</v>
      </c>
      <c r="AH49" s="784">
        <f>AG58</f>
        <v>0.87070853553390437</v>
      </c>
    </row>
    <row r="50" spans="1:34" ht="15" customHeight="1">
      <c r="A50" s="968"/>
      <c r="B50" s="75" t="s">
        <v>81</v>
      </c>
      <c r="C50" s="503"/>
      <c r="D50" s="59" t="s">
        <v>128</v>
      </c>
      <c r="E50" s="77"/>
      <c r="F50" s="75">
        <f>VLOOKUP(D50,[2]廠價表!$C$1:$E$43,3,0)</f>
        <v>50.289000000000001</v>
      </c>
      <c r="G50" s="613">
        <v>2314</v>
      </c>
      <c r="H50" s="642">
        <f>F50*G50</f>
        <v>116368.746</v>
      </c>
      <c r="I50" s="643"/>
      <c r="J50" s="505">
        <f>VLOOKUP(D50,[2]產線配置圖!$A$3:$C$40,2,0)</f>
        <v>17</v>
      </c>
      <c r="K50" s="506">
        <f>VLOOKUP(D50,[2]產線配置圖!$A$3:$C$40,3,0)</f>
        <v>1636</v>
      </c>
      <c r="L50" s="507">
        <f>K50/J50</f>
        <v>96.235294117647058</v>
      </c>
      <c r="M50" s="644">
        <v>17</v>
      </c>
      <c r="N50" s="645">
        <f>G50/W50*60</f>
        <v>1559.9999999999886</v>
      </c>
      <c r="O50" s="646">
        <f>N50/M50</f>
        <v>91.764705882352274</v>
      </c>
      <c r="P50" s="509">
        <f>M50-J50</f>
        <v>0</v>
      </c>
      <c r="Q50" s="510">
        <f>O50-L50</f>
        <v>-4.4705882352947839</v>
      </c>
      <c r="R50" s="72">
        <f>O50/L50</f>
        <v>0.9535452322738317</v>
      </c>
      <c r="S50" s="749"/>
      <c r="T50" s="647">
        <v>0.358333333333333</v>
      </c>
      <c r="U50" s="647">
        <v>0.42013888888888901</v>
      </c>
      <c r="V50" s="452">
        <f>(T50-U49)*24*60</f>
        <v>7.9999999999991722</v>
      </c>
      <c r="W50" s="648">
        <f t="shared" si="21"/>
        <v>89.000000000000639</v>
      </c>
      <c r="X50" s="498"/>
      <c r="Y50" s="499"/>
      <c r="Z50" s="500"/>
      <c r="AA50" s="500"/>
      <c r="AB50" s="927"/>
      <c r="AC50" s="927"/>
      <c r="AD50" s="512"/>
      <c r="AE50" s="512"/>
      <c r="AF50" s="502">
        <f t="shared" si="23"/>
        <v>-76.000000000011369</v>
      </c>
      <c r="AG50" s="72">
        <f t="shared" si="24"/>
        <v>0.9535452322738317</v>
      </c>
      <c r="AH50" s="785"/>
    </row>
    <row r="51" spans="1:34" ht="15" customHeight="1">
      <c r="A51" s="968"/>
      <c r="B51" s="75" t="s">
        <v>81</v>
      </c>
      <c r="C51" s="503"/>
      <c r="D51" s="59" t="s">
        <v>129</v>
      </c>
      <c r="E51" s="77"/>
      <c r="F51" s="75">
        <f>VLOOKUP(D51,[2]廠價表!$C$1:$E$43,3,0)</f>
        <v>49.97</v>
      </c>
      <c r="G51" s="613">
        <v>1689</v>
      </c>
      <c r="H51" s="642">
        <f>F51*G51</f>
        <v>84399.33</v>
      </c>
      <c r="I51" s="643"/>
      <c r="J51" s="505">
        <f>VLOOKUP(D51,[2]產線配置圖!$A$3:$C$40,2,0)</f>
        <v>16</v>
      </c>
      <c r="K51" s="506">
        <f>VLOOKUP(D51,[2]產線配置圖!$A$3:$C$40,3,0)</f>
        <v>1800</v>
      </c>
      <c r="L51" s="507">
        <f>K51/J51</f>
        <v>112.5</v>
      </c>
      <c r="M51" s="644">
        <v>16</v>
      </c>
      <c r="N51" s="645">
        <f>G51/W51*60</f>
        <v>1512.5373134328283</v>
      </c>
      <c r="O51" s="646">
        <f>N51/M51</f>
        <v>94.533582089551771</v>
      </c>
      <c r="P51" s="509">
        <f>M51-J51</f>
        <v>0</v>
      </c>
      <c r="Q51" s="510">
        <f>O51-L51</f>
        <v>-17.966417910448229</v>
      </c>
      <c r="R51" s="72">
        <f>O51/L51</f>
        <v>0.84029850746268242</v>
      </c>
      <c r="S51" s="749"/>
      <c r="T51" s="647">
        <v>0.42569444444444399</v>
      </c>
      <c r="U51" s="566">
        <v>0.47222222222222199</v>
      </c>
      <c r="V51" s="452">
        <f>(T51-U50)*24*60</f>
        <v>7.9999999999991722</v>
      </c>
      <c r="W51" s="648">
        <f t="shared" si="21"/>
        <v>67.000000000000327</v>
      </c>
      <c r="X51" s="498"/>
      <c r="Y51" s="499"/>
      <c r="Z51" s="500"/>
      <c r="AA51" s="500"/>
      <c r="AB51" s="927"/>
      <c r="AC51" s="927"/>
      <c r="AD51" s="512"/>
      <c r="AE51" s="512"/>
      <c r="AF51" s="502">
        <f t="shared" si="23"/>
        <v>-287.46268656717166</v>
      </c>
      <c r="AG51" s="72">
        <f t="shared" si="24"/>
        <v>0.84029850746268242</v>
      </c>
      <c r="AH51" s="785"/>
    </row>
    <row r="52" spans="1:34" ht="15" customHeight="1">
      <c r="A52" s="968"/>
      <c r="B52" s="75" t="s">
        <v>81</v>
      </c>
      <c r="C52" s="513"/>
      <c r="D52" s="59" t="s">
        <v>129</v>
      </c>
      <c r="E52" s="87"/>
      <c r="F52" s="75">
        <f>VLOOKUP(D52,[2]廠價表!$C$1:$E$43,3,0)</f>
        <v>49.97</v>
      </c>
      <c r="G52" s="613">
        <v>4197</v>
      </c>
      <c r="H52" s="642">
        <f>F52*G52</f>
        <v>209724.09</v>
      </c>
      <c r="I52" s="643"/>
      <c r="J52" s="505">
        <f>VLOOKUP(D52,[2]產線配置圖!$A$3:$C$40,2,0)</f>
        <v>16</v>
      </c>
      <c r="K52" s="506">
        <f>VLOOKUP(D52,[2]產線配置圖!$A$3:$C$40,3,0)</f>
        <v>1800</v>
      </c>
      <c r="L52" s="507">
        <f>K52/J52</f>
        <v>112.5</v>
      </c>
      <c r="M52" s="644">
        <v>16</v>
      </c>
      <c r="N52" s="645">
        <f>G52/W52*60</f>
        <v>1472.6315789473683</v>
      </c>
      <c r="O52" s="646">
        <f>N52/M52</f>
        <v>92.03947368421052</v>
      </c>
      <c r="P52" s="509">
        <f>M52-J52</f>
        <v>0</v>
      </c>
      <c r="Q52" s="510">
        <f>O52-L52</f>
        <v>-20.46052631578948</v>
      </c>
      <c r="R52" s="72">
        <f>O52/L52</f>
        <v>0.81812865497076015</v>
      </c>
      <c r="S52" s="749"/>
      <c r="T52" s="647">
        <v>0.53263888888888899</v>
      </c>
      <c r="U52" s="647">
        <v>0.65138888888888902</v>
      </c>
      <c r="V52" s="452">
        <f>(T52-U51)*24*60</f>
        <v>87.000000000000483</v>
      </c>
      <c r="W52" s="648">
        <f t="shared" si="21"/>
        <v>171.00000000000003</v>
      </c>
      <c r="X52" s="498">
        <v>0.47916666666666702</v>
      </c>
      <c r="Y52" s="499">
        <v>0.52083333333333304</v>
      </c>
      <c r="Z52" s="500"/>
      <c r="AA52" s="500"/>
      <c r="AB52" s="927"/>
      <c r="AC52" s="927"/>
      <c r="AD52" s="512"/>
      <c r="AE52" s="512"/>
      <c r="AF52" s="502">
        <f t="shared" si="23"/>
        <v>-327.36842105263167</v>
      </c>
      <c r="AG52" s="72">
        <f t="shared" si="24"/>
        <v>0.81812865497076015</v>
      </c>
      <c r="AH52" s="785"/>
    </row>
    <row r="53" spans="1:34" ht="15" customHeight="1">
      <c r="A53" s="968"/>
      <c r="B53" s="523"/>
      <c r="C53" s="524"/>
      <c r="D53" s="103"/>
      <c r="E53" s="104"/>
      <c r="F53" s="75"/>
      <c r="G53" s="613"/>
      <c r="H53" s="504"/>
      <c r="I53" s="452"/>
      <c r="J53" s="505"/>
      <c r="K53" s="506"/>
      <c r="L53" s="507"/>
      <c r="M53" s="527"/>
      <c r="N53" s="645"/>
      <c r="O53" s="646"/>
      <c r="P53" s="509"/>
      <c r="Q53" s="510"/>
      <c r="R53" s="72"/>
      <c r="S53" s="749"/>
      <c r="T53" s="647"/>
      <c r="U53" s="647"/>
      <c r="V53" s="452"/>
      <c r="W53" s="648">
        <f t="shared" si="21"/>
        <v>0</v>
      </c>
      <c r="X53" s="452"/>
      <c r="Y53" s="570"/>
      <c r="Z53" s="500"/>
      <c r="AA53" s="500"/>
      <c r="AB53" s="927"/>
      <c r="AC53" s="927"/>
      <c r="AD53" s="512"/>
      <c r="AE53" s="512"/>
      <c r="AF53" s="502">
        <f t="shared" si="23"/>
        <v>0</v>
      </c>
      <c r="AG53" s="72" t="e">
        <f t="shared" si="24"/>
        <v>#DIV/0!</v>
      </c>
      <c r="AH53" s="785"/>
    </row>
    <row r="54" spans="1:34" ht="15" customHeight="1">
      <c r="A54" s="968"/>
      <c r="B54" s="523"/>
      <c r="C54" s="524"/>
      <c r="D54" s="103"/>
      <c r="E54" s="104"/>
      <c r="F54" s="75"/>
      <c r="G54" s="613"/>
      <c r="H54" s="504"/>
      <c r="I54" s="452"/>
      <c r="J54" s="505"/>
      <c r="K54" s="506"/>
      <c r="L54" s="507"/>
      <c r="M54" s="527"/>
      <c r="N54" s="645"/>
      <c r="O54" s="646"/>
      <c r="P54" s="509"/>
      <c r="Q54" s="510"/>
      <c r="R54" s="72"/>
      <c r="S54" s="749"/>
      <c r="T54" s="647"/>
      <c r="U54" s="647"/>
      <c r="V54" s="452"/>
      <c r="W54" s="648">
        <f t="shared" si="21"/>
        <v>0</v>
      </c>
      <c r="X54" s="452"/>
      <c r="Y54" s="570"/>
      <c r="Z54" s="500"/>
      <c r="AA54" s="500"/>
      <c r="AB54" s="927"/>
      <c r="AC54" s="927"/>
      <c r="AD54" s="512"/>
      <c r="AE54" s="512"/>
      <c r="AF54" s="502"/>
      <c r="AG54" s="72"/>
      <c r="AH54" s="785"/>
    </row>
    <row r="55" spans="1:34" ht="15" customHeight="1">
      <c r="A55" s="968"/>
      <c r="B55" s="523"/>
      <c r="C55" s="524"/>
      <c r="D55" s="103"/>
      <c r="E55" s="104"/>
      <c r="F55" s="75"/>
      <c r="G55" s="613"/>
      <c r="H55" s="504"/>
      <c r="I55" s="452"/>
      <c r="J55" s="505"/>
      <c r="K55" s="506"/>
      <c r="L55" s="507"/>
      <c r="M55" s="527"/>
      <c r="N55" s="645"/>
      <c r="O55" s="646"/>
      <c r="P55" s="509"/>
      <c r="Q55" s="510"/>
      <c r="R55" s="72"/>
      <c r="S55" s="749"/>
      <c r="T55" s="647"/>
      <c r="U55" s="647"/>
      <c r="V55" s="649"/>
      <c r="W55" s="648">
        <f t="shared" si="21"/>
        <v>0</v>
      </c>
      <c r="X55" s="452"/>
      <c r="Y55" s="570"/>
      <c r="Z55" s="500"/>
      <c r="AA55" s="500"/>
      <c r="AB55" s="927"/>
      <c r="AC55" s="927"/>
      <c r="AD55" s="512"/>
      <c r="AE55" s="512"/>
      <c r="AF55" s="502"/>
      <c r="AG55" s="72"/>
      <c r="AH55" s="785"/>
    </row>
    <row r="56" spans="1:34" ht="15" customHeight="1">
      <c r="A56" s="968"/>
      <c r="B56" s="523"/>
      <c r="C56" s="524"/>
      <c r="D56" s="103"/>
      <c r="E56" s="104"/>
      <c r="F56" s="75"/>
      <c r="G56" s="613"/>
      <c r="H56" s="504"/>
      <c r="I56" s="452"/>
      <c r="J56" s="505"/>
      <c r="K56" s="506"/>
      <c r="L56" s="507"/>
      <c r="M56" s="527"/>
      <c r="N56" s="645"/>
      <c r="O56" s="646"/>
      <c r="P56" s="509"/>
      <c r="Q56" s="510"/>
      <c r="R56" s="72"/>
      <c r="S56" s="749"/>
      <c r="T56" s="647"/>
      <c r="U56" s="647"/>
      <c r="V56" s="649"/>
      <c r="W56" s="648">
        <f t="shared" si="21"/>
        <v>0</v>
      </c>
      <c r="X56" s="452"/>
      <c r="Y56" s="570"/>
      <c r="Z56" s="500"/>
      <c r="AA56" s="500"/>
      <c r="AB56" s="927"/>
      <c r="AC56" s="927"/>
      <c r="AD56" s="512"/>
      <c r="AE56" s="512"/>
      <c r="AF56" s="502"/>
      <c r="AG56" s="72"/>
      <c r="AH56" s="785"/>
    </row>
    <row r="57" spans="1:34" ht="15" customHeight="1">
      <c r="A57" s="968"/>
      <c r="B57" s="523"/>
      <c r="C57" s="524"/>
      <c r="D57" s="103"/>
      <c r="E57" s="104"/>
      <c r="F57" s="105"/>
      <c r="G57" s="613"/>
      <c r="H57" s="504"/>
      <c r="I57" s="452"/>
      <c r="J57" s="525"/>
      <c r="K57" s="526"/>
      <c r="L57" s="519"/>
      <c r="M57" s="527"/>
      <c r="N57" s="526"/>
      <c r="O57" s="650"/>
      <c r="P57" s="509"/>
      <c r="Q57" s="510"/>
      <c r="R57" s="72"/>
      <c r="S57" s="749"/>
      <c r="T57" s="532"/>
      <c r="U57" s="532"/>
      <c r="V57" s="649"/>
      <c r="W57" s="648">
        <f t="shared" si="21"/>
        <v>0</v>
      </c>
      <c r="X57" s="452"/>
      <c r="Y57" s="570"/>
      <c r="Z57" s="500"/>
      <c r="AA57" s="500"/>
      <c r="AB57" s="927"/>
      <c r="AC57" s="927"/>
      <c r="AD57" s="512"/>
      <c r="AE57" s="512"/>
      <c r="AF57" s="502"/>
      <c r="AG57" s="72"/>
      <c r="AH57" s="785"/>
    </row>
    <row r="58" spans="1:34" ht="15" customHeight="1">
      <c r="A58" s="969"/>
      <c r="B58" s="651"/>
      <c r="C58" s="572" t="s">
        <v>51</v>
      </c>
      <c r="D58" s="942" t="s">
        <v>42</v>
      </c>
      <c r="E58" s="942"/>
      <c r="F58" s="534"/>
      <c r="G58" s="652"/>
      <c r="H58" s="536"/>
      <c r="I58" s="535"/>
      <c r="J58" s="538">
        <f t="shared" ref="J58:O58" si="25">AVERAGE(J49:J57)</f>
        <v>16.5</v>
      </c>
      <c r="K58" s="538">
        <f t="shared" si="25"/>
        <v>1759</v>
      </c>
      <c r="L58" s="535">
        <f t="shared" si="25"/>
        <v>106.77941176470588</v>
      </c>
      <c r="M58" s="538">
        <f t="shared" si="25"/>
        <v>16.5</v>
      </c>
      <c r="N58" s="538">
        <f t="shared" si="25"/>
        <v>1531.5763140041379</v>
      </c>
      <c r="O58" s="535">
        <f t="shared" si="25"/>
        <v>92.836445761622258</v>
      </c>
      <c r="P58" s="539">
        <f>M58-J58</f>
        <v>0</v>
      </c>
      <c r="Q58" s="540">
        <f>N58-K58</f>
        <v>-227.42368599586212</v>
      </c>
      <c r="R58" s="123">
        <f>O58/L58</f>
        <v>0.8694227119942588</v>
      </c>
      <c r="S58" s="752"/>
      <c r="T58" s="653"/>
      <c r="U58" s="653"/>
      <c r="V58" s="542"/>
      <c r="W58" s="654"/>
      <c r="X58" s="544"/>
      <c r="Y58" s="545"/>
      <c r="Z58" s="546">
        <f>SUM(Z49:Z57)</f>
        <v>0</v>
      </c>
      <c r="AA58" s="546">
        <f>SUM(AA49:AA57)</f>
        <v>0</v>
      </c>
      <c r="AB58" s="943"/>
      <c r="AC58" s="943"/>
      <c r="AD58" s="548">
        <f>SUM(AD49:AD57)</f>
        <v>0</v>
      </c>
      <c r="AE58" s="548">
        <f>SUM(AE49:AE57)</f>
        <v>0</v>
      </c>
      <c r="AF58" s="549">
        <f>N58-K58</f>
        <v>-227.42368599586212</v>
      </c>
      <c r="AG58" s="124">
        <f>N58/K58</f>
        <v>0.87070853553390437</v>
      </c>
      <c r="AH58" s="787"/>
    </row>
    <row r="59" spans="1:34" ht="15" customHeight="1">
      <c r="A59" s="963" t="s">
        <v>52</v>
      </c>
      <c r="B59" s="129" t="s">
        <v>130</v>
      </c>
      <c r="C59" s="550"/>
      <c r="D59" s="131" t="s">
        <v>131</v>
      </c>
      <c r="E59" s="132"/>
      <c r="F59" s="129">
        <f>VLOOKUP(D59,[2]廠價表!$C$1:$E$43,3,0)</f>
        <v>26.99</v>
      </c>
      <c r="G59" s="482">
        <v>3518</v>
      </c>
      <c r="H59" s="655">
        <f>F59*G59</f>
        <v>94950.819999999992</v>
      </c>
      <c r="I59" s="482"/>
      <c r="J59" s="553">
        <f>VLOOKUP(D59,[2]產線配置圖!$A$3:$C$40,2,0)</f>
        <v>15</v>
      </c>
      <c r="K59" s="554">
        <f>VLOOKUP(D59,[2]產線配置圖!$A$3:$C$40,3,0)</f>
        <v>1636</v>
      </c>
      <c r="L59" s="555">
        <f>K59/J59</f>
        <v>109.06666666666666</v>
      </c>
      <c r="M59" s="656">
        <v>15</v>
      </c>
      <c r="N59" s="554">
        <f>G59/W59*60</f>
        <v>1507.7142857142894</v>
      </c>
      <c r="O59" s="555">
        <f>N59/M59</f>
        <v>100.51428571428596</v>
      </c>
      <c r="P59" s="657">
        <f>M59-J59</f>
        <v>0</v>
      </c>
      <c r="Q59" s="641">
        <f>O59-L59</f>
        <v>-8.5523809523807017</v>
      </c>
      <c r="R59" s="52">
        <f>O59/L59</f>
        <v>0.9215857492141134</v>
      </c>
      <c r="S59" s="748">
        <f>R69</f>
        <v>0.89941245446834595</v>
      </c>
      <c r="T59" s="658">
        <v>0.29166666666666702</v>
      </c>
      <c r="U59" s="658">
        <v>0.38888888888888901</v>
      </c>
      <c r="V59" s="482"/>
      <c r="W59" s="481">
        <f t="shared" ref="W59:W68" si="26">(U59-T59)*24*60</f>
        <v>139.99999999999966</v>
      </c>
      <c r="X59" s="482"/>
      <c r="Y59" s="483"/>
      <c r="Z59" s="484"/>
      <c r="AA59" s="484"/>
      <c r="AB59" s="937"/>
      <c r="AC59" s="937"/>
      <c r="AD59" s="485"/>
      <c r="AE59" s="485"/>
      <c r="AF59" s="587">
        <f>N59-K59</f>
        <v>-128.28571428571058</v>
      </c>
      <c r="AG59" s="246">
        <f>N59/K59</f>
        <v>0.92158574921411329</v>
      </c>
      <c r="AH59" s="784">
        <f>AG69</f>
        <v>0.90089067411806401</v>
      </c>
    </row>
    <row r="60" spans="1:34" ht="15" customHeight="1">
      <c r="A60" s="964"/>
      <c r="B60" s="75" t="s">
        <v>130</v>
      </c>
      <c r="C60" s="513"/>
      <c r="D60" s="175" t="s">
        <v>132</v>
      </c>
      <c r="E60" s="87"/>
      <c r="F60" s="75">
        <f>VLOOKUP(D60,[2]廠價表!$C$1:$E$43,3,0)</f>
        <v>28.26</v>
      </c>
      <c r="G60" s="452">
        <v>1365</v>
      </c>
      <c r="H60" s="504">
        <f>F60*G60</f>
        <v>38574.9</v>
      </c>
      <c r="I60" s="452"/>
      <c r="J60" s="505">
        <f>VLOOKUP(D60,[2]產線配置圖!$A$3:$C$40,2,0)</f>
        <v>11</v>
      </c>
      <c r="K60" s="506">
        <f>VLOOKUP(D60,[2]產線配置圖!$A$3:$C$40,3,0)</f>
        <v>1636</v>
      </c>
      <c r="L60" s="507">
        <f>K60/J60</f>
        <v>148.72727272727272</v>
      </c>
      <c r="M60" s="508">
        <v>11</v>
      </c>
      <c r="N60" s="506">
        <f>G60/W60*60</f>
        <v>1364.9999999999884</v>
      </c>
      <c r="O60" s="507">
        <f>N60/M60</f>
        <v>124.09090909090804</v>
      </c>
      <c r="P60" s="509">
        <f>M60-J60</f>
        <v>0</v>
      </c>
      <c r="Q60" s="510">
        <f>O60-L60</f>
        <v>-24.636363636364678</v>
      </c>
      <c r="R60" s="72">
        <f>O60/L60</f>
        <v>0.83435207823960178</v>
      </c>
      <c r="S60" s="829"/>
      <c r="T60" s="498">
        <v>0.39583333333333298</v>
      </c>
      <c r="U60" s="498">
        <v>0.4375</v>
      </c>
      <c r="V60" s="452">
        <f>(T60-U59)*24*60</f>
        <v>9.999999999999325</v>
      </c>
      <c r="W60" s="659">
        <f t="shared" si="26"/>
        <v>60.000000000000504</v>
      </c>
      <c r="X60" s="643"/>
      <c r="Y60" s="591"/>
      <c r="Z60" s="500"/>
      <c r="AA60" s="500"/>
      <c r="AB60" s="927"/>
      <c r="AC60" s="927"/>
      <c r="AD60" s="512"/>
      <c r="AE60" s="512"/>
      <c r="AF60" s="660">
        <f>N60-K60</f>
        <v>-271.0000000000116</v>
      </c>
      <c r="AG60" s="249">
        <f>N60/K60</f>
        <v>0.83435207823960167</v>
      </c>
      <c r="AH60" s="820"/>
    </row>
    <row r="61" spans="1:34" ht="15" customHeight="1">
      <c r="A61" s="965"/>
      <c r="B61" s="250" t="s">
        <v>130</v>
      </c>
      <c r="C61" s="661"/>
      <c r="D61" s="252" t="s">
        <v>133</v>
      </c>
      <c r="E61" s="253"/>
      <c r="F61" s="250">
        <f>VLOOKUP(D61,[2]廠價表!$C$1:$E$43,3,0)</f>
        <v>28.26</v>
      </c>
      <c r="G61" s="464">
        <v>1006</v>
      </c>
      <c r="H61" s="662">
        <f>F61*G61</f>
        <v>28429.56</v>
      </c>
      <c r="I61" s="663"/>
      <c r="J61" s="525">
        <f>VLOOKUP(D61,[2]產線配置圖!$A$3:$C$40,2,0)</f>
        <v>11</v>
      </c>
      <c r="K61" s="526">
        <f>VLOOKUP(D61,[2]產線配置圖!$A$3:$C$40,3,0)</f>
        <v>1636</v>
      </c>
      <c r="L61" s="650">
        <f>K61/J61</f>
        <v>148.72727272727272</v>
      </c>
      <c r="M61" s="527">
        <v>11</v>
      </c>
      <c r="N61" s="526">
        <f>G61/W61*60</f>
        <v>1509.0000000000446</v>
      </c>
      <c r="O61" s="650">
        <f>N61/M61</f>
        <v>137.18181818182222</v>
      </c>
      <c r="P61" s="664">
        <f>M61-J61</f>
        <v>0</v>
      </c>
      <c r="Q61" s="665">
        <f>O61-L61</f>
        <v>-11.545454545450497</v>
      </c>
      <c r="R61" s="85">
        <f>O61/L61</f>
        <v>0.92237163814183654</v>
      </c>
      <c r="S61" s="749"/>
      <c r="T61" s="498">
        <v>0.44791666666666702</v>
      </c>
      <c r="U61" s="498">
        <v>0.47569444444444398</v>
      </c>
      <c r="V61" s="452">
        <f t="shared" ref="V61:V62" si="27">(T61-U60)*24*60</f>
        <v>15.000000000000506</v>
      </c>
      <c r="W61" s="666">
        <f t="shared" si="26"/>
        <v>39.99999999999882</v>
      </c>
      <c r="X61" s="498"/>
      <c r="Y61" s="499"/>
      <c r="Z61" s="500"/>
      <c r="AA61" s="500"/>
      <c r="AB61" s="927"/>
      <c r="AC61" s="927"/>
      <c r="AD61" s="512"/>
      <c r="AE61" s="512"/>
      <c r="AF61" s="667">
        <f>N61-K61</f>
        <v>-126.99999999995543</v>
      </c>
      <c r="AG61" s="247">
        <f>N61/K61</f>
        <v>0.92237163814183654</v>
      </c>
      <c r="AH61" s="785"/>
    </row>
    <row r="62" spans="1:34" ht="15" customHeight="1">
      <c r="A62" s="965"/>
      <c r="B62" s="250" t="s">
        <v>130</v>
      </c>
      <c r="C62" s="661"/>
      <c r="D62" s="257" t="s">
        <v>134</v>
      </c>
      <c r="E62" s="253"/>
      <c r="F62" s="250">
        <f>VLOOKUP(D62,[2]廠價表!$C$1:$E$43,3,0)</f>
        <v>28.26</v>
      </c>
      <c r="G62" s="464">
        <v>1766</v>
      </c>
      <c r="H62" s="662">
        <f>F62*G62</f>
        <v>49907.16</v>
      </c>
      <c r="I62" s="663"/>
      <c r="J62" s="525">
        <f>VLOOKUP(D62,[2]產線配置圖!$A$3:$C$40,2,0)</f>
        <v>11</v>
      </c>
      <c r="K62" s="526">
        <f>VLOOKUP(D62,[2]產線配置圖!$A$3:$C$40,3,0)</f>
        <v>1636</v>
      </c>
      <c r="L62" s="650">
        <f>K62/J62</f>
        <v>148.72727272727272</v>
      </c>
      <c r="M62" s="527">
        <v>11</v>
      </c>
      <c r="N62" s="526">
        <f>G62/W62*60</f>
        <v>1513.7142857142876</v>
      </c>
      <c r="O62" s="650">
        <f>N62/M62</f>
        <v>137.61038961038977</v>
      </c>
      <c r="P62" s="664">
        <f>M62-J62</f>
        <v>0</v>
      </c>
      <c r="Q62" s="665">
        <f>O62-L62</f>
        <v>-11.116883116882946</v>
      </c>
      <c r="R62" s="85">
        <f>O62/L62</f>
        <v>0.92525323087670386</v>
      </c>
      <c r="S62" s="749"/>
      <c r="T62" s="498">
        <v>0.53472222222222199</v>
      </c>
      <c r="U62" s="498">
        <v>0.58333333333333304</v>
      </c>
      <c r="V62" s="452">
        <f t="shared" si="27"/>
        <v>85.000000000000341</v>
      </c>
      <c r="W62" s="659">
        <f t="shared" si="26"/>
        <v>69.999999999999915</v>
      </c>
      <c r="X62" s="498">
        <v>0.50347222222222199</v>
      </c>
      <c r="Y62" s="499">
        <v>0.54513888888888895</v>
      </c>
      <c r="Z62" s="500"/>
      <c r="AA62" s="500"/>
      <c r="AB62" s="927"/>
      <c r="AC62" s="927"/>
      <c r="AD62" s="512"/>
      <c r="AE62" s="512"/>
      <c r="AF62" s="667">
        <f>N62-K62</f>
        <v>-122.2857142857124</v>
      </c>
      <c r="AG62" s="247">
        <f>N62/K62</f>
        <v>0.92525323087670386</v>
      </c>
      <c r="AH62" s="785"/>
    </row>
    <row r="63" spans="1:34" ht="15" customHeight="1">
      <c r="A63" s="965"/>
      <c r="B63" s="258"/>
      <c r="C63" s="487"/>
      <c r="D63" s="259"/>
      <c r="E63" s="60"/>
      <c r="F63" s="250"/>
      <c r="G63" s="668"/>
      <c r="H63" s="662"/>
      <c r="I63" s="668"/>
      <c r="J63" s="525"/>
      <c r="K63" s="526"/>
      <c r="L63" s="650"/>
      <c r="M63" s="494"/>
      <c r="N63" s="526"/>
      <c r="O63" s="650"/>
      <c r="P63" s="664"/>
      <c r="Q63" s="665"/>
      <c r="R63" s="85"/>
      <c r="S63" s="749"/>
      <c r="T63" s="498"/>
      <c r="U63" s="498"/>
      <c r="V63" s="452"/>
      <c r="W63" s="659">
        <f t="shared" si="26"/>
        <v>0</v>
      </c>
      <c r="X63" s="261"/>
      <c r="Y63" s="291"/>
      <c r="Z63" s="335"/>
      <c r="AA63" s="335"/>
      <c r="AB63" s="927"/>
      <c r="AC63" s="927"/>
      <c r="AD63" s="512"/>
      <c r="AE63" s="512"/>
      <c r="AF63" s="667"/>
      <c r="AG63" s="247"/>
      <c r="AH63" s="785"/>
    </row>
    <row r="64" spans="1:34" ht="15" customHeight="1">
      <c r="A64" s="965"/>
      <c r="B64" s="75"/>
      <c r="C64" s="503"/>
      <c r="D64" s="175"/>
      <c r="E64" s="77"/>
      <c r="F64" s="250"/>
      <c r="G64" s="452"/>
      <c r="H64" s="662"/>
      <c r="I64" s="663"/>
      <c r="J64" s="525"/>
      <c r="K64" s="526"/>
      <c r="L64" s="650"/>
      <c r="M64" s="508"/>
      <c r="N64" s="526"/>
      <c r="O64" s="650"/>
      <c r="P64" s="664"/>
      <c r="Q64" s="665"/>
      <c r="R64" s="85"/>
      <c r="S64" s="749"/>
      <c r="T64" s="498"/>
      <c r="U64" s="498"/>
      <c r="V64" s="452"/>
      <c r="W64" s="497">
        <f t="shared" si="26"/>
        <v>0</v>
      </c>
      <c r="X64" s="261"/>
      <c r="Y64" s="291"/>
      <c r="Z64" s="335"/>
      <c r="AA64" s="335"/>
      <c r="AB64" s="927"/>
      <c r="AC64" s="927"/>
      <c r="AD64" s="512"/>
      <c r="AE64" s="512"/>
      <c r="AF64" s="502"/>
      <c r="AG64" s="262"/>
      <c r="AH64" s="785"/>
    </row>
    <row r="65" spans="1:36" ht="15" customHeight="1">
      <c r="A65" s="965"/>
      <c r="B65" s="75"/>
      <c r="C65" s="513"/>
      <c r="D65" s="175"/>
      <c r="E65" s="87"/>
      <c r="F65" s="75"/>
      <c r="G65" s="452"/>
      <c r="H65" s="504"/>
      <c r="I65" s="452"/>
      <c r="J65" s="505"/>
      <c r="K65" s="506"/>
      <c r="L65" s="507"/>
      <c r="M65" s="508"/>
      <c r="N65" s="506"/>
      <c r="O65" s="507"/>
      <c r="P65" s="509"/>
      <c r="Q65" s="510"/>
      <c r="R65" s="72"/>
      <c r="S65" s="749"/>
      <c r="T65" s="669"/>
      <c r="U65" s="669"/>
      <c r="V65" s="452"/>
      <c r="W65" s="497">
        <f t="shared" si="26"/>
        <v>0</v>
      </c>
      <c r="X65" s="261"/>
      <c r="Y65" s="291"/>
      <c r="Z65" s="335"/>
      <c r="AA65" s="335"/>
      <c r="AB65" s="927"/>
      <c r="AC65" s="927"/>
      <c r="AD65" s="512"/>
      <c r="AE65" s="512"/>
      <c r="AF65" s="502"/>
      <c r="AG65" s="262"/>
      <c r="AH65" s="785"/>
    </row>
    <row r="66" spans="1:36" ht="15" customHeight="1">
      <c r="A66" s="965"/>
      <c r="B66" s="523"/>
      <c r="C66" s="524"/>
      <c r="D66" s="103"/>
      <c r="E66" s="104"/>
      <c r="F66" s="105"/>
      <c r="G66" s="570"/>
      <c r="H66" s="504"/>
      <c r="I66" s="670"/>
      <c r="J66" s="505"/>
      <c r="K66" s="506"/>
      <c r="L66" s="507"/>
      <c r="M66" s="517"/>
      <c r="N66" s="518"/>
      <c r="O66" s="519"/>
      <c r="P66" s="520"/>
      <c r="Q66" s="521"/>
      <c r="R66" s="204"/>
      <c r="S66" s="749"/>
      <c r="T66" s="669"/>
      <c r="U66" s="669"/>
      <c r="V66" s="452"/>
      <c r="W66" s="497">
        <f t="shared" si="26"/>
        <v>0</v>
      </c>
      <c r="X66" s="261"/>
      <c r="Y66" s="291"/>
      <c r="Z66" s="335"/>
      <c r="AA66" s="335"/>
      <c r="AB66" s="927"/>
      <c r="AC66" s="927"/>
      <c r="AD66" s="512"/>
      <c r="AE66" s="512"/>
      <c r="AF66" s="502"/>
      <c r="AG66" s="262"/>
      <c r="AH66" s="785"/>
    </row>
    <row r="67" spans="1:36" ht="15" customHeight="1">
      <c r="A67" s="965"/>
      <c r="B67" s="523"/>
      <c r="C67" s="524"/>
      <c r="D67" s="103"/>
      <c r="E67" s="104"/>
      <c r="F67" s="105"/>
      <c r="G67" s="452"/>
      <c r="H67" s="504"/>
      <c r="I67" s="452"/>
      <c r="J67" s="505"/>
      <c r="K67" s="506"/>
      <c r="L67" s="507"/>
      <c r="M67" s="517"/>
      <c r="N67" s="518"/>
      <c r="O67" s="519"/>
      <c r="P67" s="520"/>
      <c r="Q67" s="521"/>
      <c r="R67" s="204"/>
      <c r="S67" s="749"/>
      <c r="T67" s="669"/>
      <c r="U67" s="669"/>
      <c r="V67" s="452"/>
      <c r="W67" s="497">
        <f t="shared" si="26"/>
        <v>0</v>
      </c>
      <c r="X67" s="261"/>
      <c r="Y67" s="291"/>
      <c r="Z67" s="335"/>
      <c r="AA67" s="335"/>
      <c r="AB67" s="927"/>
      <c r="AC67" s="927"/>
      <c r="AD67" s="512"/>
      <c r="AE67" s="512"/>
      <c r="AF67" s="502"/>
      <c r="AG67" s="262"/>
      <c r="AH67" s="785"/>
    </row>
    <row r="68" spans="1:36" ht="15" customHeight="1">
      <c r="A68" s="965"/>
      <c r="B68" s="523"/>
      <c r="C68" s="524"/>
      <c r="D68" s="103"/>
      <c r="E68" s="104"/>
      <c r="F68" s="105"/>
      <c r="G68" s="570"/>
      <c r="H68" s="504">
        <f>F68*G68</f>
        <v>0</v>
      </c>
      <c r="I68" s="670"/>
      <c r="J68" s="505"/>
      <c r="K68" s="671"/>
      <c r="L68" s="672"/>
      <c r="M68" s="517"/>
      <c r="N68" s="518"/>
      <c r="O68" s="519"/>
      <c r="P68" s="520"/>
      <c r="Q68" s="521"/>
      <c r="R68" s="204"/>
      <c r="S68" s="749"/>
      <c r="T68" s="669"/>
      <c r="U68" s="669"/>
      <c r="V68" s="452"/>
      <c r="W68" s="497">
        <f t="shared" si="26"/>
        <v>0</v>
      </c>
      <c r="X68" s="261"/>
      <c r="Y68" s="291"/>
      <c r="Z68" s="335"/>
      <c r="AA68" s="335"/>
      <c r="AB68" s="927" t="s">
        <v>53</v>
      </c>
      <c r="AC68" s="927"/>
      <c r="AD68" s="512"/>
      <c r="AE68" s="512"/>
      <c r="AF68" s="502"/>
      <c r="AG68" s="262"/>
      <c r="AH68" s="785"/>
    </row>
    <row r="69" spans="1:36" ht="15" customHeight="1">
      <c r="A69" s="966"/>
      <c r="B69" s="651"/>
      <c r="C69" s="572" t="s">
        <v>54</v>
      </c>
      <c r="D69" s="942" t="s">
        <v>42</v>
      </c>
      <c r="E69" s="942"/>
      <c r="F69" s="534"/>
      <c r="G69" s="535"/>
      <c r="H69" s="536"/>
      <c r="I69" s="673"/>
      <c r="J69" s="652">
        <f t="shared" ref="J69:O69" si="28">AVERAGE(J59:J68)</f>
        <v>12</v>
      </c>
      <c r="K69" s="652">
        <f t="shared" si="28"/>
        <v>1636</v>
      </c>
      <c r="L69" s="674">
        <f t="shared" si="28"/>
        <v>138.81212121212121</v>
      </c>
      <c r="M69" s="652">
        <f t="shared" si="28"/>
        <v>12</v>
      </c>
      <c r="N69" s="652">
        <f t="shared" si="28"/>
        <v>1473.8571428571527</v>
      </c>
      <c r="O69" s="674">
        <f t="shared" si="28"/>
        <v>124.84935064935149</v>
      </c>
      <c r="P69" s="675">
        <f>M69-J69</f>
        <v>0</v>
      </c>
      <c r="Q69" s="633">
        <f>N69-K69</f>
        <v>-162.14285714284733</v>
      </c>
      <c r="R69" s="123">
        <f>O69/L69</f>
        <v>0.89941245446834595</v>
      </c>
      <c r="S69" s="752"/>
      <c r="T69" s="541"/>
      <c r="U69" s="541"/>
      <c r="V69" s="542"/>
      <c r="W69" s="654"/>
      <c r="X69" s="544"/>
      <c r="Y69" s="545"/>
      <c r="Z69" s="546">
        <f>SUM(Z59:Z68)</f>
        <v>0</v>
      </c>
      <c r="AA69" s="546">
        <f>SUM(AA59:AA68)</f>
        <v>0</v>
      </c>
      <c r="AB69" s="943"/>
      <c r="AC69" s="943"/>
      <c r="AD69" s="548">
        <f>SUM(AD59:AD68)</f>
        <v>0</v>
      </c>
      <c r="AE69" s="548">
        <f>SUM(AE59:AE68)</f>
        <v>0</v>
      </c>
      <c r="AF69" s="549">
        <f>N69-K69</f>
        <v>-162.14285714284733</v>
      </c>
      <c r="AG69" s="124">
        <f>N69/K69</f>
        <v>0.90089067411806401</v>
      </c>
      <c r="AH69" s="787"/>
    </row>
    <row r="70" spans="1:36" ht="15" customHeight="1">
      <c r="A70" s="970" t="s">
        <v>55</v>
      </c>
      <c r="B70" s="129" t="s">
        <v>81</v>
      </c>
      <c r="C70" s="129"/>
      <c r="D70" s="131" t="s">
        <v>142</v>
      </c>
      <c r="E70" s="132"/>
      <c r="F70" s="129">
        <f>VLOOKUP(D70,[2]廠價表!$C$1:$E$43,3,0)</f>
        <v>43.89</v>
      </c>
      <c r="G70" s="482">
        <v>1197</v>
      </c>
      <c r="H70" s="655">
        <f>F70*G70</f>
        <v>52536.33</v>
      </c>
      <c r="I70" s="482"/>
      <c r="J70" s="553">
        <f>VLOOKUP(D70,[2]產線配置圖!$A$3:$C$40,2,0)</f>
        <v>13</v>
      </c>
      <c r="K70" s="554">
        <f>VLOOKUP(D70,[2]產線配置圖!$A$3:$C$40,3,0)</f>
        <v>1565</v>
      </c>
      <c r="L70" s="555">
        <f>K70/J70</f>
        <v>120.38461538461539</v>
      </c>
      <c r="M70" s="656">
        <v>9</v>
      </c>
      <c r="N70" s="554">
        <f>G70/W70*60</f>
        <v>957.6000000000065</v>
      </c>
      <c r="O70" s="555">
        <f>N70/M70</f>
        <v>106.40000000000072</v>
      </c>
      <c r="P70" s="657">
        <f>M70-J70</f>
        <v>-4</v>
      </c>
      <c r="Q70" s="641">
        <f>O70-L70</f>
        <v>-13.984615384614671</v>
      </c>
      <c r="R70" s="52">
        <f>O70/L70</f>
        <v>0.88383386581470247</v>
      </c>
      <c r="S70" s="748">
        <f>R79</f>
        <v>0.90972074249235857</v>
      </c>
      <c r="T70" s="658">
        <v>0.29861111111111099</v>
      </c>
      <c r="U70" s="658">
        <v>0.35069444444444398</v>
      </c>
      <c r="V70" s="482"/>
      <c r="W70" s="481">
        <f t="shared" ref="W70:W78" si="29">(U70-T70)*24*60</f>
        <v>74.999999999999488</v>
      </c>
      <c r="X70" s="676"/>
      <c r="Y70" s="677"/>
      <c r="Z70" s="484"/>
      <c r="AA70" s="484"/>
      <c r="AB70" s="937"/>
      <c r="AC70" s="937"/>
      <c r="AD70" s="485"/>
      <c r="AE70" s="485"/>
      <c r="AF70" s="587">
        <f>N70-K70</f>
        <v>-607.3999999999935</v>
      </c>
      <c r="AG70" s="246">
        <f>N70/K70</f>
        <v>0.61188498402556324</v>
      </c>
      <c r="AH70" s="784">
        <f>AG79</f>
        <v>0.64509007601791313</v>
      </c>
    </row>
    <row r="71" spans="1:36" ht="15" customHeight="1">
      <c r="A71" s="971"/>
      <c r="B71" s="75" t="s">
        <v>130</v>
      </c>
      <c r="C71" s="503"/>
      <c r="D71" s="59" t="s">
        <v>134</v>
      </c>
      <c r="E71" s="77"/>
      <c r="F71" s="250">
        <f>VLOOKUP(D71,[2]廠價表!$C$1:$E$43,3,0)</f>
        <v>28.26</v>
      </c>
      <c r="G71" s="452">
        <v>1661</v>
      </c>
      <c r="H71" s="662">
        <f>F71*G71</f>
        <v>46939.86</v>
      </c>
      <c r="I71" s="663"/>
      <c r="J71" s="525">
        <f>VLOOKUP(D71,[2]產線配置圖!$A$3:$C$40,2,0)</f>
        <v>11</v>
      </c>
      <c r="K71" s="526">
        <f>VLOOKUP(D71,[2]產線配置圖!$A$3:$C$40,3,0)</f>
        <v>1636</v>
      </c>
      <c r="L71" s="650">
        <f>K71/J71</f>
        <v>148.72727272727272</v>
      </c>
      <c r="M71" s="508">
        <v>8</v>
      </c>
      <c r="N71" s="526">
        <f>G71/W71*60</f>
        <v>1107.3333333333333</v>
      </c>
      <c r="O71" s="650">
        <f>N71/M71</f>
        <v>138.41666666666666</v>
      </c>
      <c r="P71" s="664">
        <f>M71-J71</f>
        <v>-3</v>
      </c>
      <c r="Q71" s="665">
        <f>O71-L71</f>
        <v>-10.310606060606062</v>
      </c>
      <c r="R71" s="85">
        <f>O71/L71</f>
        <v>0.93067440912795429</v>
      </c>
      <c r="S71" s="749"/>
      <c r="T71" s="498">
        <v>0.35763888888888901</v>
      </c>
      <c r="U71" s="498">
        <v>0.42013888888888901</v>
      </c>
      <c r="V71" s="452">
        <f>(T71-U70)*24*60</f>
        <v>10.000000000000844</v>
      </c>
      <c r="W71" s="497">
        <f t="shared" si="29"/>
        <v>90</v>
      </c>
      <c r="X71" s="678"/>
      <c r="Y71" s="679"/>
      <c r="Z71" s="500"/>
      <c r="AA71" s="500"/>
      <c r="AB71" s="962"/>
      <c r="AC71" s="962"/>
      <c r="AD71" s="611"/>
      <c r="AE71" s="611"/>
      <c r="AF71" s="589">
        <v>-300.31249999999704</v>
      </c>
      <c r="AG71" s="99">
        <v>0.80810702875399554</v>
      </c>
      <c r="AH71" s="805"/>
    </row>
    <row r="72" spans="1:36" ht="15" customHeight="1">
      <c r="A72" s="971"/>
      <c r="B72" s="75"/>
      <c r="C72" s="503"/>
      <c r="D72" s="59"/>
      <c r="E72" s="77"/>
      <c r="F72" s="75"/>
      <c r="G72" s="613"/>
      <c r="H72" s="642"/>
      <c r="I72" s="643"/>
      <c r="J72" s="505"/>
      <c r="K72" s="506"/>
      <c r="L72" s="507"/>
      <c r="M72" s="508"/>
      <c r="N72" s="506"/>
      <c r="O72" s="507"/>
      <c r="P72" s="509"/>
      <c r="Q72" s="510"/>
      <c r="R72" s="72"/>
      <c r="S72" s="749"/>
      <c r="T72" s="498"/>
      <c r="U72" s="498"/>
      <c r="V72" s="452"/>
      <c r="W72" s="497">
        <f t="shared" si="29"/>
        <v>0</v>
      </c>
      <c r="X72" s="680"/>
      <c r="Y72" s="681"/>
      <c r="Z72" s="500"/>
      <c r="AA72" s="500"/>
      <c r="AB72" s="927"/>
      <c r="AC72" s="927"/>
      <c r="AD72" s="512"/>
      <c r="AE72" s="512"/>
      <c r="AF72" s="589">
        <v>-130.33333333333326</v>
      </c>
      <c r="AG72" s="99">
        <v>0.91671991480298198</v>
      </c>
      <c r="AH72" s="805"/>
    </row>
    <row r="73" spans="1:36" ht="15" customHeight="1">
      <c r="A73" s="971"/>
      <c r="B73" s="75"/>
      <c r="C73" s="513"/>
      <c r="D73" s="59"/>
      <c r="E73" s="87"/>
      <c r="F73" s="75"/>
      <c r="G73" s="613"/>
      <c r="H73" s="642"/>
      <c r="I73" s="643"/>
      <c r="J73" s="505"/>
      <c r="K73" s="506"/>
      <c r="L73" s="507"/>
      <c r="M73" s="508"/>
      <c r="N73" s="506"/>
      <c r="O73" s="507"/>
      <c r="P73" s="509"/>
      <c r="Q73" s="510"/>
      <c r="R73" s="72"/>
      <c r="S73" s="749"/>
      <c r="T73" s="498"/>
      <c r="U73" s="498"/>
      <c r="V73" s="452"/>
      <c r="W73" s="497">
        <f t="shared" si="29"/>
        <v>0</v>
      </c>
      <c r="X73" s="498"/>
      <c r="Y73" s="499"/>
      <c r="Z73" s="500"/>
      <c r="AA73" s="500"/>
      <c r="AB73" s="927"/>
      <c r="AC73" s="927"/>
      <c r="AD73" s="512"/>
      <c r="AE73" s="512"/>
      <c r="AF73" s="589"/>
      <c r="AG73" s="99"/>
      <c r="AH73" s="805"/>
    </row>
    <row r="74" spans="1:36" ht="15" customHeight="1">
      <c r="A74" s="971"/>
      <c r="B74" s="75"/>
      <c r="C74" s="487"/>
      <c r="D74" s="259"/>
      <c r="E74" s="60"/>
      <c r="F74" s="75"/>
      <c r="G74" s="682"/>
      <c r="H74" s="642"/>
      <c r="I74" s="663"/>
      <c r="J74" s="683"/>
      <c r="K74" s="518"/>
      <c r="L74" s="516"/>
      <c r="M74" s="517"/>
      <c r="N74" s="518"/>
      <c r="O74" s="519"/>
      <c r="P74" s="520"/>
      <c r="Q74" s="521"/>
      <c r="R74" s="99"/>
      <c r="S74" s="749"/>
      <c r="T74" s="669"/>
      <c r="U74" s="669"/>
      <c r="V74" s="452"/>
      <c r="W74" s="497">
        <f t="shared" si="29"/>
        <v>0</v>
      </c>
      <c r="X74" s="498"/>
      <c r="Y74" s="499"/>
      <c r="Z74" s="500"/>
      <c r="AA74" s="500"/>
      <c r="AB74" s="927"/>
      <c r="AC74" s="927"/>
      <c r="AD74" s="512"/>
      <c r="AE74" s="512"/>
      <c r="AF74" s="589"/>
      <c r="AG74" s="99"/>
      <c r="AH74" s="805"/>
    </row>
    <row r="75" spans="1:36" ht="15" customHeight="1">
      <c r="A75" s="971"/>
      <c r="B75" s="452"/>
      <c r="C75" s="570"/>
      <c r="D75" s="59"/>
      <c r="E75" s="87"/>
      <c r="F75" s="105"/>
      <c r="G75" s="452"/>
      <c r="H75" s="504">
        <f>F75*G75</f>
        <v>0</v>
      </c>
      <c r="I75" s="663"/>
      <c r="J75" s="684"/>
      <c r="K75" s="685"/>
      <c r="L75" s="686"/>
      <c r="M75" s="527"/>
      <c r="N75" s="685"/>
      <c r="O75" s="686"/>
      <c r="P75" s="687"/>
      <c r="Q75" s="688"/>
      <c r="R75" s="278"/>
      <c r="S75" s="749"/>
      <c r="T75" s="669"/>
      <c r="U75" s="669"/>
      <c r="V75" s="452"/>
      <c r="W75" s="666">
        <f t="shared" si="29"/>
        <v>0</v>
      </c>
      <c r="X75" s="689"/>
      <c r="Y75" s="690"/>
      <c r="Z75" s="500"/>
      <c r="AA75" s="500"/>
      <c r="AB75" s="927"/>
      <c r="AC75" s="927"/>
      <c r="AD75" s="512"/>
      <c r="AE75" s="512"/>
      <c r="AF75" s="691"/>
      <c r="AG75" s="280"/>
      <c r="AH75" s="785"/>
    </row>
    <row r="76" spans="1:36" ht="15" customHeight="1">
      <c r="A76" s="971"/>
      <c r="B76" s="523"/>
      <c r="C76" s="524"/>
      <c r="D76" s="103"/>
      <c r="E76" s="104"/>
      <c r="F76" s="105"/>
      <c r="G76" s="452"/>
      <c r="H76" s="504">
        <f>F76*G76</f>
        <v>0</v>
      </c>
      <c r="I76" s="663"/>
      <c r="J76" s="684"/>
      <c r="K76" s="685"/>
      <c r="L76" s="686"/>
      <c r="M76" s="527"/>
      <c r="N76" s="685"/>
      <c r="O76" s="686"/>
      <c r="P76" s="687"/>
      <c r="Q76" s="688"/>
      <c r="R76" s="278"/>
      <c r="S76" s="750"/>
      <c r="T76" s="669"/>
      <c r="U76" s="669"/>
      <c r="V76" s="452"/>
      <c r="W76" s="659">
        <f t="shared" si="29"/>
        <v>0</v>
      </c>
      <c r="X76" s="646"/>
      <c r="Y76" s="692"/>
      <c r="Z76" s="500"/>
      <c r="AA76" s="500"/>
      <c r="AB76" s="927"/>
      <c r="AC76" s="927"/>
      <c r="AD76" s="512"/>
      <c r="AE76" s="512"/>
      <c r="AF76" s="667"/>
      <c r="AG76" s="247"/>
      <c r="AH76" s="786"/>
    </row>
    <row r="77" spans="1:36" ht="15" customHeight="1">
      <c r="A77" s="971"/>
      <c r="B77" s="523"/>
      <c r="C77" s="524"/>
      <c r="D77" s="103"/>
      <c r="E77" s="104"/>
      <c r="F77" s="105"/>
      <c r="G77" s="452"/>
      <c r="H77" s="504">
        <f>F77*G77</f>
        <v>0</v>
      </c>
      <c r="I77" s="663"/>
      <c r="J77" s="684"/>
      <c r="K77" s="685"/>
      <c r="L77" s="686"/>
      <c r="M77" s="527"/>
      <c r="N77" s="685"/>
      <c r="O77" s="686"/>
      <c r="P77" s="687"/>
      <c r="Q77" s="688"/>
      <c r="R77" s="278"/>
      <c r="S77" s="750"/>
      <c r="T77" s="669"/>
      <c r="U77" s="669"/>
      <c r="V77" s="452"/>
      <c r="W77" s="497">
        <f t="shared" si="29"/>
        <v>0</v>
      </c>
      <c r="X77" s="261"/>
      <c r="Y77" s="291"/>
      <c r="Z77" s="335"/>
      <c r="AA77" s="335"/>
      <c r="AB77" s="927"/>
      <c r="AC77" s="927"/>
      <c r="AD77" s="512"/>
      <c r="AE77" s="512"/>
      <c r="AF77" s="502"/>
      <c r="AG77" s="262"/>
      <c r="AH77" s="786"/>
    </row>
    <row r="78" spans="1:36" ht="15" customHeight="1">
      <c r="A78" s="971"/>
      <c r="B78" s="523"/>
      <c r="C78" s="524"/>
      <c r="D78" s="103"/>
      <c r="E78" s="104"/>
      <c r="F78" s="105"/>
      <c r="G78" s="452"/>
      <c r="H78" s="504">
        <f>F78*G78</f>
        <v>0</v>
      </c>
      <c r="I78" s="670"/>
      <c r="J78" s="565"/>
      <c r="K78" s="518"/>
      <c r="L78" s="686"/>
      <c r="M78" s="517"/>
      <c r="N78" s="518"/>
      <c r="O78" s="519"/>
      <c r="P78" s="520"/>
      <c r="Q78" s="521"/>
      <c r="R78" s="99"/>
      <c r="S78" s="824"/>
      <c r="T78" s="528"/>
      <c r="U78" s="528"/>
      <c r="V78" s="464"/>
      <c r="W78" s="497">
        <f t="shared" si="29"/>
        <v>0</v>
      </c>
      <c r="X78" s="281"/>
      <c r="Y78" s="306"/>
      <c r="Z78" s="335"/>
      <c r="AA78" s="335"/>
      <c r="AB78" s="927"/>
      <c r="AC78" s="927"/>
      <c r="AD78" s="512"/>
      <c r="AE78" s="512"/>
      <c r="AF78" s="530"/>
      <c r="AG78" s="112"/>
      <c r="AH78" s="786"/>
    </row>
    <row r="79" spans="1:36" ht="15" customHeight="1">
      <c r="A79" s="972"/>
      <c r="B79" s="651"/>
      <c r="C79" s="572" t="s">
        <v>56</v>
      </c>
      <c r="D79" s="942" t="s">
        <v>42</v>
      </c>
      <c r="E79" s="942"/>
      <c r="F79" s="534"/>
      <c r="G79" s="535"/>
      <c r="H79" s="693"/>
      <c r="I79" s="674"/>
      <c r="J79" s="652">
        <f t="shared" ref="J79:O79" si="30">AVERAGE(J70:J78)</f>
        <v>12</v>
      </c>
      <c r="K79" s="652">
        <f t="shared" si="30"/>
        <v>1600.5</v>
      </c>
      <c r="L79" s="674">
        <f t="shared" si="30"/>
        <v>134.55594405594405</v>
      </c>
      <c r="M79" s="652">
        <f t="shared" si="30"/>
        <v>8.5</v>
      </c>
      <c r="N79" s="652">
        <f t="shared" si="30"/>
        <v>1032.4666666666699</v>
      </c>
      <c r="O79" s="674">
        <f t="shared" si="30"/>
        <v>122.40833333333369</v>
      </c>
      <c r="P79" s="675">
        <f>M79-J79</f>
        <v>-3.5</v>
      </c>
      <c r="Q79" s="633">
        <f>N79-K79</f>
        <v>-568.03333333333012</v>
      </c>
      <c r="R79" s="223">
        <f>O79/L79</f>
        <v>0.90972074249235857</v>
      </c>
      <c r="S79" s="752"/>
      <c r="T79" s="541"/>
      <c r="U79" s="541"/>
      <c r="V79" s="542"/>
      <c r="W79" s="654"/>
      <c r="X79" s="544"/>
      <c r="Y79" s="545"/>
      <c r="Z79" s="546">
        <f>SUM(Z70:Z78)</f>
        <v>0</v>
      </c>
      <c r="AA79" s="546">
        <f>SUM(AA70:AA78)</f>
        <v>0</v>
      </c>
      <c r="AB79" s="943"/>
      <c r="AC79" s="943"/>
      <c r="AD79" s="548">
        <f>SUM(AD70:AD78)</f>
        <v>0</v>
      </c>
      <c r="AE79" s="548">
        <f>SUM(AE70:AE78)</f>
        <v>0</v>
      </c>
      <c r="AF79" s="549">
        <f>N79-K79</f>
        <v>-568.03333333333012</v>
      </c>
      <c r="AG79" s="124">
        <f>N79/K79</f>
        <v>0.64509007601791313</v>
      </c>
      <c r="AH79" s="787"/>
    </row>
    <row r="80" spans="1:36">
      <c r="AJ80" s="695" t="s">
        <v>57</v>
      </c>
    </row>
    <row r="81" spans="4:36">
      <c r="AJ81" s="695" t="s">
        <v>58</v>
      </c>
    </row>
    <row r="82" spans="4:36">
      <c r="AJ82" s="695" t="s">
        <v>59</v>
      </c>
    </row>
    <row r="83" spans="4:36">
      <c r="D83" s="285"/>
      <c r="W83" s="457"/>
      <c r="AJ83" s="695" t="s">
        <v>60</v>
      </c>
    </row>
    <row r="84" spans="4:36">
      <c r="D84" s="696"/>
      <c r="W84" s="457"/>
      <c r="AJ84" s="695" t="s">
        <v>61</v>
      </c>
    </row>
    <row r="85" spans="4:36">
      <c r="D85" s="696"/>
      <c r="W85" s="457"/>
      <c r="AJ85" s="695" t="s">
        <v>62</v>
      </c>
    </row>
    <row r="86" spans="4:36">
      <c r="D86" s="697"/>
      <c r="W86" s="457"/>
      <c r="AJ86" s="695" t="s">
        <v>63</v>
      </c>
    </row>
    <row r="87" spans="4:36">
      <c r="W87" s="457"/>
      <c r="AJ87" s="695" t="s">
        <v>64</v>
      </c>
    </row>
    <row r="88" spans="4:36">
      <c r="W88" s="457"/>
      <c r="AJ88" s="695" t="s">
        <v>65</v>
      </c>
    </row>
    <row r="89" spans="4:36">
      <c r="W89" s="457"/>
      <c r="AJ89" s="695" t="s">
        <v>66</v>
      </c>
    </row>
    <row r="90" spans="4:36">
      <c r="W90" s="457"/>
      <c r="AJ90" s="695" t="s">
        <v>67</v>
      </c>
    </row>
    <row r="91" spans="4:36">
      <c r="W91" s="457"/>
      <c r="AJ91" s="695" t="s">
        <v>68</v>
      </c>
    </row>
    <row r="92" spans="4:36">
      <c r="W92" s="457"/>
      <c r="AJ92" s="695" t="s">
        <v>69</v>
      </c>
    </row>
  </sheetData>
  <mergeCells count="137">
    <mergeCell ref="D79:E79"/>
    <mergeCell ref="AB79:AC79"/>
    <mergeCell ref="A70:A79"/>
    <mergeCell ref="S70:S79"/>
    <mergeCell ref="AB70:AC70"/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D58:E58"/>
    <mergeCell ref="AB58:AC58"/>
    <mergeCell ref="A59:A69"/>
    <mergeCell ref="S59:S69"/>
    <mergeCell ref="AB59:AC59"/>
    <mergeCell ref="D69:E69"/>
    <mergeCell ref="AB69:AC69"/>
    <mergeCell ref="A49:A58"/>
    <mergeCell ref="S49:S58"/>
    <mergeCell ref="AB49:AC49"/>
    <mergeCell ref="AB42:AC42"/>
    <mergeCell ref="AB43:AC43"/>
    <mergeCell ref="AB44:AC44"/>
    <mergeCell ref="AB45:AC45"/>
    <mergeCell ref="AB46:AC46"/>
    <mergeCell ref="AB47:AC47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38:A48"/>
    <mergeCell ref="S38:S48"/>
    <mergeCell ref="AB38:AC38"/>
    <mergeCell ref="D48:E48"/>
    <mergeCell ref="AB48:AC48"/>
    <mergeCell ref="A27:A37"/>
    <mergeCell ref="S27:S37"/>
    <mergeCell ref="AB27:AC2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37:E37"/>
    <mergeCell ref="AB37:AC37"/>
    <mergeCell ref="AH38:AH48"/>
    <mergeCell ref="AB39:AC39"/>
    <mergeCell ref="AB40:AC40"/>
    <mergeCell ref="AB41:AC41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D15:E15"/>
    <mergeCell ref="AB15:AC15"/>
    <mergeCell ref="A16:A26"/>
    <mergeCell ref="S16:S26"/>
    <mergeCell ref="AB16:AC16"/>
    <mergeCell ref="D26:E26"/>
    <mergeCell ref="AB26:AC26"/>
    <mergeCell ref="A5:A15"/>
    <mergeCell ref="S5:S15"/>
    <mergeCell ref="AH3:AH4"/>
    <mergeCell ref="AB5:AC5"/>
    <mergeCell ref="AH5:AH15"/>
    <mergeCell ref="AB6:AC6"/>
    <mergeCell ref="AB7:AC7"/>
    <mergeCell ref="AB3:AC4"/>
    <mergeCell ref="AB8:AC8"/>
    <mergeCell ref="AB9:AC9"/>
    <mergeCell ref="AB10:AC10"/>
    <mergeCell ref="AB11:AC11"/>
    <mergeCell ref="AB12:AC12"/>
    <mergeCell ref="AB14:AC14"/>
    <mergeCell ref="AB13:AC13"/>
    <mergeCell ref="AD3:AE3"/>
    <mergeCell ref="P3:P4"/>
    <mergeCell ref="Q3:Q4"/>
    <mergeCell ref="R3:R4"/>
    <mergeCell ref="T3:U3"/>
    <mergeCell ref="V3:V4"/>
    <mergeCell ref="AF3:AF4"/>
    <mergeCell ref="AG3:AG4"/>
    <mergeCell ref="A2:B2"/>
    <mergeCell ref="A3:A4"/>
    <mergeCell ref="B3:B4"/>
    <mergeCell ref="D3:E4"/>
    <mergeCell ref="F3:F4"/>
    <mergeCell ref="AB1:AC2"/>
    <mergeCell ref="AF1:AH2"/>
    <mergeCell ref="G3:G4"/>
    <mergeCell ref="J1:L2"/>
    <mergeCell ref="M1:O2"/>
    <mergeCell ref="P1:S2"/>
    <mergeCell ref="T1:Y2"/>
    <mergeCell ref="S3:S4"/>
    <mergeCell ref="H3:H4"/>
    <mergeCell ref="I3:I4"/>
    <mergeCell ref="J3:J4"/>
    <mergeCell ref="K3:K4"/>
    <mergeCell ref="L3:L4"/>
    <mergeCell ref="M3:M4"/>
    <mergeCell ref="N3:N4"/>
    <mergeCell ref="O3:O4"/>
    <mergeCell ref="W3:W4"/>
    <mergeCell ref="X3:Y3"/>
    <mergeCell ref="Z3:AA3"/>
  </mergeCells>
  <phoneticPr fontId="0" type="noConversion"/>
  <conditionalFormatting sqref="P5:P79">
    <cfRule type="cellIs" dxfId="138" priority="1" operator="greaterThan">
      <formula>0</formula>
    </cfRule>
  </conditionalFormatting>
  <conditionalFormatting sqref="Q5:Q79 AF5:AF79">
    <cfRule type="cellIs" dxfId="137" priority="4" operator="lessThan">
      <formula>0</formula>
    </cfRule>
  </conditionalFormatting>
  <conditionalFormatting sqref="R5:R79 AG5:AG79">
    <cfRule type="cellIs" dxfId="136" priority="2" operator="greaterThan">
      <formula>1</formula>
    </cfRule>
    <cfRule type="cellIs" dxfId="135" priority="3" operator="lessThan">
      <formula>0.8</formula>
    </cfRule>
  </conditionalFormatting>
  <conditionalFormatting sqref="S5:S10 S37:S62 AH59:AH62 S69:S76 AH69:AH76">
    <cfRule type="cellIs" dxfId="134" priority="7" operator="lessThan">
      <formula>0.8</formula>
    </cfRule>
  </conditionalFormatting>
  <conditionalFormatting sqref="S19:S25 AH19:AH25">
    <cfRule type="cellIs" dxfId="133" priority="6" operator="lessThan">
      <formula>0.8</formula>
    </cfRule>
  </conditionalFormatting>
  <conditionalFormatting sqref="S79">
    <cfRule type="cellIs" dxfId="132" priority="5" operator="lessThan">
      <formula>0.8</formula>
    </cfRule>
  </conditionalFormatting>
  <conditionalFormatting sqref="AH5:AH8 S15:S16 AH15:AH16 AH49 AH79">
    <cfRule type="cellIs" dxfId="131" priority="9" operator="lessThan">
      <formula>0.8</formula>
    </cfRule>
  </conditionalFormatting>
  <conditionalFormatting sqref="AH27 S27:S28">
    <cfRule type="cellIs" dxfId="1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9383-85B6-4598-A3CC-B54A6AFCD9FB}">
  <dimension ref="B1:O26"/>
  <sheetViews>
    <sheetView topLeftCell="B1" zoomScale="70" zoomScaleNormal="70" workbookViewId="0">
      <selection activeCell="F18" sqref="F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DATE(2026,8,19)</f>
        <v>46253</v>
      </c>
      <c r="E3" s="706"/>
      <c r="F3" s="3" t="s">
        <v>72</v>
      </c>
      <c r="G3" s="707">
        <f>'0819'!E1</f>
        <v>51994</v>
      </c>
      <c r="H3" s="707"/>
      <c r="I3" s="3" t="s">
        <v>2</v>
      </c>
      <c r="J3" s="708">
        <f>'0819'!G1</f>
        <v>2408759.8450000007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126.73369560178385</v>
      </c>
      <c r="G6" s="713"/>
      <c r="H6" s="714">
        <f>AVERAGE(D13:H13)</f>
        <v>125.191220462544</v>
      </c>
      <c r="I6" s="714"/>
      <c r="J6" s="714">
        <f>AVERAGE(I13:J13)</f>
        <v>130.58988344988347</v>
      </c>
      <c r="K6" s="714"/>
      <c r="L6" s="716">
        <f>'0819'!Z2</f>
        <v>0</v>
      </c>
      <c r="M6" s="717">
        <f>'0819'!AA2</f>
        <v>0</v>
      </c>
      <c r="N6" s="718">
        <f>'0819'!AD2</f>
        <v>0</v>
      </c>
      <c r="O6" s="717">
        <f>'0819'!AE2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113.14632697280193</v>
      </c>
      <c r="G7" s="737"/>
      <c r="H7" s="738">
        <f>AVERAGE(D14:H14)</f>
        <v>113.07863701325975</v>
      </c>
      <c r="I7" s="738"/>
      <c r="J7" s="738">
        <f>AVERAGE(I14:J14)</f>
        <v>113.31555187165735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0.88913278052599432</v>
      </c>
      <c r="G8" s="710"/>
      <c r="H8" s="710">
        <f>AVERAGE(D15:H15)</f>
        <v>0.89854511488467392</v>
      </c>
      <c r="I8" s="710"/>
      <c r="J8" s="710">
        <f>AVERAGE(I15:J15)</f>
        <v>0.86560194462929563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VALUE('0819'!L15)</f>
        <v>151.08597285067873</v>
      </c>
      <c r="E13" s="13">
        <f>VALUE('0819'!L26)</f>
        <v>174.51923076923077</v>
      </c>
      <c r="F13" s="13">
        <f>VALUE('0819'!L37)</f>
        <v>94.564542483660134</v>
      </c>
      <c r="G13" s="13">
        <f>VALUE('0819'!L48)</f>
        <v>99.006944444444443</v>
      </c>
      <c r="H13" s="13">
        <f>VALUE('0819'!L58)</f>
        <v>106.77941176470588</v>
      </c>
      <c r="I13" s="13">
        <f>VALUE('0819'!L69)</f>
        <v>140.79515151515153</v>
      </c>
      <c r="J13" s="13">
        <f>'0819'!L79</f>
        <v>120.38461538461539</v>
      </c>
    </row>
    <row r="14" spans="2:15" ht="39.950000000000003" customHeight="1">
      <c r="B14" s="731"/>
      <c r="C14" s="12" t="s">
        <v>100</v>
      </c>
      <c r="D14" s="13">
        <f>VALUE('0819'!O15)</f>
        <v>139.17465863039038</v>
      </c>
      <c r="E14" s="13">
        <f>VALUE('0819'!O26)</f>
        <v>161.97752063506263</v>
      </c>
      <c r="F14" s="13">
        <f>VALUE('0819'!O37)</f>
        <v>86.218886165577359</v>
      </c>
      <c r="G14" s="13">
        <f>VALUE('0819'!O48)</f>
        <v>87.712528242956296</v>
      </c>
      <c r="H14" s="13">
        <f>VALUE('0819'!O58)</f>
        <v>90.309591392312129</v>
      </c>
      <c r="I14" s="13">
        <f>VALUE('0819'!O69)</f>
        <v>125.68992727272686</v>
      </c>
      <c r="J14" s="13">
        <f>'0819'!O79</f>
        <v>100.94117647058783</v>
      </c>
    </row>
    <row r="15" spans="2:15" ht="39.950000000000003" customHeight="1">
      <c r="B15" s="732"/>
      <c r="C15" s="10" t="s">
        <v>26</v>
      </c>
      <c r="D15" s="14">
        <f t="shared" ref="D15:I15" si="0">D14/D13</f>
        <v>0.92116201130027775</v>
      </c>
      <c r="E15" s="14">
        <f t="shared" si="0"/>
        <v>0.92813565542956</v>
      </c>
      <c r="F15" s="14">
        <f t="shared" si="0"/>
        <v>0.9117464527518353</v>
      </c>
      <c r="G15" s="14">
        <f t="shared" si="0"/>
        <v>0.88592298989869589</v>
      </c>
      <c r="H15" s="14">
        <f t="shared" si="0"/>
        <v>0.84575846504300023</v>
      </c>
      <c r="I15" s="14">
        <f t="shared" si="0"/>
        <v>0.89271488343262206</v>
      </c>
      <c r="J15" s="15">
        <f>'0819'!S70</f>
        <v>0.83848900582596919</v>
      </c>
    </row>
    <row r="16" spans="2:15" ht="17.25" customHeight="1">
      <c r="B16" s="733" t="s">
        <v>101</v>
      </c>
      <c r="C16" s="10" t="s">
        <v>34</v>
      </c>
      <c r="D16" s="16">
        <f>'0819'!T5</f>
        <v>0.29375000000000001</v>
      </c>
      <c r="E16" s="16">
        <f>'0819'!T16</f>
        <v>0.29444444444444401</v>
      </c>
      <c r="F16" s="16">
        <f>'0819'!T27</f>
        <v>0.28888888888888897</v>
      </c>
      <c r="G16" s="16">
        <f>'0819'!T38</f>
        <v>0.33333333333333298</v>
      </c>
      <c r="H16" s="16">
        <f>'0819'!T49</f>
        <v>0.29166666666666702</v>
      </c>
      <c r="I16" s="16">
        <f>'0819'!T59</f>
        <v>0.29166666666666702</v>
      </c>
      <c r="J16" s="17">
        <f>'0819'!T70</f>
        <v>0.297222222222222</v>
      </c>
    </row>
    <row r="17" spans="2:10" ht="17.25" customHeight="1">
      <c r="B17" s="734"/>
      <c r="C17" s="10" t="s">
        <v>35</v>
      </c>
      <c r="D17" s="16">
        <v>0.59513888888888899</v>
      </c>
      <c r="E17" s="183">
        <v>0.56874999999999998</v>
      </c>
      <c r="F17" s="19">
        <v>0.61805555555555602</v>
      </c>
      <c r="G17" s="328">
        <v>0.483333333333333</v>
      </c>
      <c r="H17" s="21">
        <v>0.61805555555555602</v>
      </c>
      <c r="I17" s="22">
        <v>0.60069444444444398</v>
      </c>
      <c r="J17" s="110">
        <v>0.35625000000000001</v>
      </c>
    </row>
    <row r="18" spans="2:10" ht="17.25" customHeight="1">
      <c r="B18" s="735" t="s">
        <v>102</v>
      </c>
      <c r="C18" s="330" t="s">
        <v>36</v>
      </c>
      <c r="D18" s="386">
        <f>'0819'!Z15</f>
        <v>0</v>
      </c>
      <c r="E18" s="387">
        <f>'0819'!Z26</f>
        <v>0</v>
      </c>
      <c r="F18" s="387">
        <f>'0819'!Z37</f>
        <v>0</v>
      </c>
      <c r="G18" s="388">
        <f>'0819'!Z48</f>
        <v>0</v>
      </c>
      <c r="H18" s="388">
        <f>'0819'!Z58</f>
        <v>0</v>
      </c>
      <c r="I18" s="387">
        <f>'0819'!Z69</f>
        <v>0</v>
      </c>
      <c r="J18" s="387">
        <f>'0819'!AA79</f>
        <v>0</v>
      </c>
    </row>
    <row r="19" spans="2:10" ht="17.25" customHeight="1">
      <c r="B19" s="736"/>
      <c r="C19" s="330" t="s">
        <v>37</v>
      </c>
      <c r="D19" s="386">
        <f>'0819'!AA15</f>
        <v>0</v>
      </c>
      <c r="E19" s="387">
        <f>'0819'!AA26</f>
        <v>0</v>
      </c>
      <c r="F19" s="387">
        <f>'0819'!AA37</f>
        <v>0</v>
      </c>
      <c r="G19" s="388">
        <f>'0819'!AA48</f>
        <v>0</v>
      </c>
      <c r="H19" s="388">
        <f>'0819'!AA58</f>
        <v>0</v>
      </c>
      <c r="I19" s="387">
        <f>'0819'!AA69</f>
        <v>0</v>
      </c>
      <c r="J19" s="387">
        <f>'0819'!AB79</f>
        <v>0</v>
      </c>
    </row>
    <row r="20" spans="2:10" ht="17.25" customHeight="1">
      <c r="B20" s="735" t="s">
        <v>103</v>
      </c>
      <c r="C20" s="330" t="s">
        <v>36</v>
      </c>
      <c r="D20" s="386">
        <f>'0819'!AD15</f>
        <v>0</v>
      </c>
      <c r="E20" s="387">
        <f>'0819'!AD26</f>
        <v>0</v>
      </c>
      <c r="F20" s="387">
        <f>'0819'!AD37</f>
        <v>0</v>
      </c>
      <c r="G20" s="388">
        <f>'0819'!AD48</f>
        <v>0</v>
      </c>
      <c r="H20" s="388">
        <f>'0819'!AD58</f>
        <v>0</v>
      </c>
      <c r="I20" s="387">
        <f>'0819'!AD69</f>
        <v>0</v>
      </c>
      <c r="J20" s="387">
        <f>'0819'!AD79</f>
        <v>0</v>
      </c>
    </row>
    <row r="21" spans="2:10" ht="17.25" customHeight="1">
      <c r="B21" s="736"/>
      <c r="C21" s="330" t="s">
        <v>85</v>
      </c>
      <c r="D21" s="386">
        <f>'0819'!AE15</f>
        <v>0</v>
      </c>
      <c r="E21" s="387">
        <f>'0819'!AE26</f>
        <v>0</v>
      </c>
      <c r="F21" s="387">
        <f>'0819'!AE37</f>
        <v>0</v>
      </c>
      <c r="G21" s="388">
        <f>'0819'!AE48</f>
        <v>0</v>
      </c>
      <c r="H21" s="388">
        <f>'0819'!AE58</f>
        <v>0</v>
      </c>
      <c r="I21" s="387">
        <f>'0819'!AE69</f>
        <v>0</v>
      </c>
      <c r="J21" s="387">
        <f>'0819'!AE79</f>
        <v>0</v>
      </c>
    </row>
    <row r="22" spans="2:10" ht="17.25" customHeight="1">
      <c r="B22" s="719" t="s">
        <v>104</v>
      </c>
      <c r="C22" s="720"/>
      <c r="D22" s="23">
        <f>VALUE('0819'!M15)</f>
        <v>15</v>
      </c>
      <c r="E22" s="23">
        <f>VALUE('0819'!M26)</f>
        <v>12.75</v>
      </c>
      <c r="F22" s="23">
        <f>VALUE('0819'!M37)</f>
        <v>16.833333333333332</v>
      </c>
      <c r="G22" s="23">
        <f>VALUE('0819'!M48)</f>
        <v>17</v>
      </c>
      <c r="H22" s="23">
        <f>VALUE('0819'!M58)</f>
        <v>16.5</v>
      </c>
      <c r="I22" s="23">
        <f>VALUE('0819'!M69)</f>
        <v>11.8</v>
      </c>
      <c r="J22" s="23">
        <f>'0819'!M79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3CD-3707-4B9A-B397-68934AD2D961}">
  <sheetPr>
    <tabColor theme="9" tint="0.79998168889431442"/>
  </sheetPr>
  <dimension ref="A1:AJ92"/>
  <sheetViews>
    <sheetView zoomScale="69" zoomScaleNormal="69" workbookViewId="0">
      <pane xSplit="5" ySplit="4" topLeftCell="F17" activePane="bottomRight" state="frozen"/>
      <selection activeCell="G76" sqref="G76"/>
      <selection pane="topRight" activeCell="G76" sqref="G76"/>
      <selection pane="bottomLeft" activeCell="G76" sqref="G76"/>
      <selection pane="bottomRight" activeCell="U33" sqref="U3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51994</v>
      </c>
      <c r="F1" s="30" t="s">
        <v>2</v>
      </c>
      <c r="G1" s="31">
        <f>SUM(H5:H79)</f>
        <v>2408759.8450000007</v>
      </c>
      <c r="H1" s="32" t="s">
        <v>3</v>
      </c>
      <c r="I1" s="33">
        <f>M15+M26+M48+M58+M69+M79+M37</f>
        <v>98.883333333333326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177</v>
      </c>
      <c r="B2" s="739"/>
      <c r="C2" s="28"/>
      <c r="D2" s="28" t="s">
        <v>14</v>
      </c>
      <c r="E2" s="35">
        <f>AVERAGE(O15,O26,O37,O48,O58,O69,O79)</f>
        <v>113.14632697280193</v>
      </c>
      <c r="F2" s="36" t="s">
        <v>15</v>
      </c>
      <c r="G2" s="37">
        <f>G1/E1</f>
        <v>46.327650209639586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1265</v>
      </c>
      <c r="H5" s="43">
        <f>F5*G5</f>
        <v>71940.55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2051.3513513513894</v>
      </c>
      <c r="O5" s="47">
        <f>N5/M5</f>
        <v>136.7567567567593</v>
      </c>
      <c r="P5" s="49">
        <f>M5-J5</f>
        <v>0</v>
      </c>
      <c r="Q5" s="50">
        <f>O5-L5</f>
        <v>-13.243243243240698</v>
      </c>
      <c r="R5" s="51">
        <f>O5/L5</f>
        <v>0.91171171171172871</v>
      </c>
      <c r="S5" s="748">
        <f>R15</f>
        <v>0.92116201130027775</v>
      </c>
      <c r="T5" s="319">
        <v>0.29375000000000001</v>
      </c>
      <c r="U5" s="320">
        <v>0.31944444444444398</v>
      </c>
      <c r="V5" s="53"/>
      <c r="W5" s="54">
        <f t="shared" ref="W5:W14" si="0">(U5-T5)*24*60</f>
        <v>36.999999999999311</v>
      </c>
      <c r="X5" s="55"/>
      <c r="Y5" s="290"/>
      <c r="Z5" s="169"/>
      <c r="AA5" s="169"/>
      <c r="AB5" s="791" t="s">
        <v>178</v>
      </c>
      <c r="AC5" s="791"/>
      <c r="AD5" s="135"/>
      <c r="AE5" s="135"/>
      <c r="AF5" s="229">
        <f t="shared" ref="AF5:AF11" si="1">N5-K5</f>
        <v>-198.64864864861056</v>
      </c>
      <c r="AG5" s="52">
        <f t="shared" ref="AG5:AG11" si="2">N5/K5</f>
        <v>0.9117117117117286</v>
      </c>
      <c r="AH5" s="784">
        <f>AG15</f>
        <v>0.92117225846537198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1263</v>
      </c>
      <c r="H6" s="63">
        <f>F6*G6</f>
        <v>63996.21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2048.108108108142</v>
      </c>
      <c r="O6" s="67">
        <f>N6/M6</f>
        <v>120.47694753577306</v>
      </c>
      <c r="P6" s="69">
        <f>M6-J6</f>
        <v>0</v>
      </c>
      <c r="Q6" s="70">
        <f>O6-L6</f>
        <v>-11.875993640697516</v>
      </c>
      <c r="R6" s="71">
        <f>O6/L6</f>
        <v>0.9102702702702854</v>
      </c>
      <c r="S6" s="749"/>
      <c r="T6" s="16">
        <v>0.33055555555555599</v>
      </c>
      <c r="U6" s="16">
        <v>0.35625000000000001</v>
      </c>
      <c r="V6" s="30">
        <f>(T6-U5)*24*60</f>
        <v>16.0000000000013</v>
      </c>
      <c r="W6" s="73">
        <f t="shared" si="0"/>
        <v>36.999999999999389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-201.89189189185799</v>
      </c>
      <c r="AG6" s="72">
        <f t="shared" si="2"/>
        <v>0.91027027027028529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2190</v>
      </c>
      <c r="H7" s="78">
        <f>F7*G7</f>
        <v>127392.3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2053.12500000002</v>
      </c>
      <c r="O7" s="81">
        <f>N7/M7</f>
        <v>157.93269230769386</v>
      </c>
      <c r="P7" s="74">
        <f>M7-J7</f>
        <v>0</v>
      </c>
      <c r="Q7" s="83">
        <f>O7-L7</f>
        <v>-15.14423076922921</v>
      </c>
      <c r="R7" s="72">
        <f>O7/L7</f>
        <v>0.91250000000000897</v>
      </c>
      <c r="S7" s="749"/>
      <c r="T7" s="18">
        <v>0.36388888888888898</v>
      </c>
      <c r="U7" s="18">
        <v>0.40833333333333299</v>
      </c>
      <c r="V7" s="30">
        <f>(T7-U6)*24*60</f>
        <v>11.000000000000121</v>
      </c>
      <c r="W7" s="73">
        <f t="shared" si="0"/>
        <v>63.999999999999375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-196.87499999997999</v>
      </c>
      <c r="AG7" s="72">
        <f t="shared" si="2"/>
        <v>0.91250000000000886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2977</v>
      </c>
      <c r="H8" s="78">
        <f t="shared" ref="H8:H9" si="3">F8*G8</f>
        <v>146289.78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2053.103448275886</v>
      </c>
      <c r="O8" s="81">
        <f t="shared" ref="O8:O9" si="6">N8/M8</f>
        <v>136.87356321839241</v>
      </c>
      <c r="P8" s="74">
        <f t="shared" ref="P8:P9" si="7">M8-J8</f>
        <v>0</v>
      </c>
      <c r="Q8" s="83">
        <f t="shared" ref="Q8:Q9" si="8">O8-L8</f>
        <v>-13.126436781607595</v>
      </c>
      <c r="R8" s="72">
        <f t="shared" ref="R8:R9" si="9">O8/L8</f>
        <v>0.91249042145594939</v>
      </c>
      <c r="S8" s="749"/>
      <c r="T8" s="16">
        <v>0.41527777777777802</v>
      </c>
      <c r="U8" s="16">
        <v>0.47569444444444398</v>
      </c>
      <c r="V8" s="30">
        <f t="shared" ref="V8:V9" si="10">(T8-U7)*24*60</f>
        <v>10.000000000000844</v>
      </c>
      <c r="W8" s="73">
        <f t="shared" si="0"/>
        <v>86.999999999998977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-196.89655172411403</v>
      </c>
      <c r="AG8" s="72">
        <f t="shared" si="2"/>
        <v>0.91249042145594927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2589</v>
      </c>
      <c r="H9" s="78">
        <f t="shared" si="3"/>
        <v>127223.46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2157.4999999999986</v>
      </c>
      <c r="O9" s="81">
        <f t="shared" si="6"/>
        <v>143.83333333333323</v>
      </c>
      <c r="P9" s="74">
        <f t="shared" si="7"/>
        <v>0</v>
      </c>
      <c r="Q9" s="83">
        <f t="shared" si="8"/>
        <v>-6.1666666666667709</v>
      </c>
      <c r="R9" s="72">
        <f t="shared" si="9"/>
        <v>0.95888888888888824</v>
      </c>
      <c r="S9" s="750"/>
      <c r="T9" s="16">
        <v>0.54513888888888895</v>
      </c>
      <c r="U9" s="16">
        <v>0.59513888888888899</v>
      </c>
      <c r="V9" s="30">
        <f t="shared" si="10"/>
        <v>100.00000000000077</v>
      </c>
      <c r="W9" s="73">
        <f t="shared" si="0"/>
        <v>72.000000000000057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-92.500000000001364</v>
      </c>
      <c r="AG9" s="72">
        <f t="shared" si="2"/>
        <v>0.95888888888888824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2072.6375815470869</v>
      </c>
      <c r="O15" s="117">
        <f t="shared" si="11"/>
        <v>139.17465863039038</v>
      </c>
      <c r="P15" s="121">
        <f>M15-J15</f>
        <v>0</v>
      </c>
      <c r="Q15" s="122">
        <f>O15-L15</f>
        <v>-11.911314220288347</v>
      </c>
      <c r="R15" s="123">
        <f>O15/L15</f>
        <v>0.92116201130027775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-177.36241845291306</v>
      </c>
      <c r="AG15" s="124">
        <f>N15/K15</f>
        <v>0.92117225846537198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1627</v>
      </c>
      <c r="H16" s="134">
        <f>F16*G16</f>
        <v>92527.489999999991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1914.1176470588066</v>
      </c>
      <c r="O16" s="141">
        <f>N16/M16</f>
        <v>136.72268907562903</v>
      </c>
      <c r="P16" s="142">
        <f>M16-J16</f>
        <v>-1</v>
      </c>
      <c r="Q16" s="143">
        <f>O16-L16</f>
        <v>-13.277310924370965</v>
      </c>
      <c r="R16" s="144">
        <f>O16/L16</f>
        <v>0.91148459383752689</v>
      </c>
      <c r="S16" s="795">
        <f>R26</f>
        <v>0.92813565542956</v>
      </c>
      <c r="T16" s="145">
        <v>0.29444444444444401</v>
      </c>
      <c r="U16" s="145">
        <v>0.32986111111111099</v>
      </c>
      <c r="V16" s="135"/>
      <c r="W16" s="146">
        <f t="shared" ref="W16:W78" si="12">(U16-T16)*24*60</f>
        <v>51.000000000000455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-335.8823529411934</v>
      </c>
      <c r="AG16" s="52">
        <f>N16/K16</f>
        <v>0.85071895424835853</v>
      </c>
      <c r="AH16" s="784">
        <f>AG26</f>
        <v>0.91187145993202934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3468</v>
      </c>
      <c r="H17" s="78">
        <f>F17*G17</f>
        <v>175723.56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2060.1980198019778</v>
      </c>
      <c r="O17" s="96">
        <f>N17/M17</f>
        <v>158.4767707539983</v>
      </c>
      <c r="P17" s="97">
        <f>M17-J17</f>
        <v>0</v>
      </c>
      <c r="Q17" s="98">
        <f>O17-L17</f>
        <v>-14.600152322924771</v>
      </c>
      <c r="R17" s="99">
        <f>O17/L17</f>
        <v>0.91564356435643468</v>
      </c>
      <c r="S17" s="796"/>
      <c r="T17" s="19">
        <v>0.33611111111111103</v>
      </c>
      <c r="U17" s="19">
        <v>0.40625</v>
      </c>
      <c r="V17" s="30">
        <f>(T17-U16)*24*60</f>
        <v>9.000000000000048</v>
      </c>
      <c r="W17" s="149">
        <f t="shared" si="12"/>
        <v>101.00000000000011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-189.80198019802219</v>
      </c>
      <c r="AG17" s="72">
        <f>N17/K17</f>
        <v>0.91564356435643457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3218</v>
      </c>
      <c r="H18" s="78">
        <f>F18*G18</f>
        <v>162155.01999999999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2121.758241758223</v>
      </c>
      <c r="O18" s="96">
        <f>N18/M18</f>
        <v>176.81318681318524</v>
      </c>
      <c r="P18" s="97">
        <f>M18-J18</f>
        <v>0</v>
      </c>
      <c r="Q18" s="98">
        <f>O18-L18</f>
        <v>-10.68681318681476</v>
      </c>
      <c r="R18" s="99">
        <f>O18/L18</f>
        <v>0.94300366300365457</v>
      </c>
      <c r="S18" s="796"/>
      <c r="T18" s="19">
        <v>0.41319444444444398</v>
      </c>
      <c r="U18" s="19">
        <v>0.47638888888888897</v>
      </c>
      <c r="V18" s="30">
        <f>(T18-U17)*24*60</f>
        <v>9.999999999999325</v>
      </c>
      <c r="W18" s="149">
        <f t="shared" si="12"/>
        <v>91.000000000000796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-128.24175824177701</v>
      </c>
      <c r="AG18" s="72">
        <f>N18/K18</f>
        <v>0.94300366300365468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1372</v>
      </c>
      <c r="H19" s="78">
        <f>F19*G19</f>
        <v>69135.08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2110.769230769255</v>
      </c>
      <c r="O19" s="96">
        <f>N19/M19</f>
        <v>175.89743589743793</v>
      </c>
      <c r="P19" s="97">
        <f>M19-J19</f>
        <v>0</v>
      </c>
      <c r="Q19" s="98">
        <f>O19-L19</f>
        <v>-11.60256410256207</v>
      </c>
      <c r="R19" s="99">
        <f>O19/L19</f>
        <v>0.93811965811966891</v>
      </c>
      <c r="S19" s="796"/>
      <c r="T19" s="19">
        <v>0.54166666666666696</v>
      </c>
      <c r="U19" s="19">
        <v>0.56874999999999998</v>
      </c>
      <c r="V19" s="30">
        <f>(T19-U18)*24*60</f>
        <v>94.000000000000313</v>
      </c>
      <c r="W19" s="149">
        <f t="shared" si="12"/>
        <v>38.999999999999545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-139.23076923074495</v>
      </c>
      <c r="AG19" s="72">
        <f>N19/K19</f>
        <v>0.93811965811966891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12.75</v>
      </c>
      <c r="N26" s="155">
        <f t="shared" si="13"/>
        <v>2051.710784847066</v>
      </c>
      <c r="O26" s="158">
        <f t="shared" si="13"/>
        <v>161.97752063506263</v>
      </c>
      <c r="P26" s="159">
        <f>M26-J26</f>
        <v>-0.25</v>
      </c>
      <c r="Q26" s="160">
        <f>O26-L26</f>
        <v>-12.541710134168142</v>
      </c>
      <c r="R26" s="161">
        <f>O26/L26</f>
        <v>0.92813565542956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-198.28921515293405</v>
      </c>
      <c r="AG26" s="124">
        <f t="shared" ref="AG26:AG31" si="15">N26/K26</f>
        <v>0.91187145993202934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124</v>
      </c>
      <c r="E27" s="132"/>
      <c r="F27" s="129">
        <f>VLOOKUP(D27,廠價表!$C$1:$E$43,3,0)</f>
        <v>57.21</v>
      </c>
      <c r="G27" s="169">
        <v>1103</v>
      </c>
      <c r="H27" s="134">
        <f>F27*G27</f>
        <v>63102.63</v>
      </c>
      <c r="I27" s="135"/>
      <c r="J27" s="136">
        <f>VLOOKUP(D27,產線配置圖!$A$3:$C$40,2,0)</f>
        <v>18</v>
      </c>
      <c r="K27" s="137">
        <f>VLOOKUP(D27,產線配置圖!$A$3:$C$40,3,0)</f>
        <v>1636</v>
      </c>
      <c r="L27" s="138">
        <f>K27/J27</f>
        <v>90.888888888888886</v>
      </c>
      <c r="M27" s="170">
        <v>17</v>
      </c>
      <c r="N27" s="140">
        <f>G27/W27*60</f>
        <v>1438.6956521739305</v>
      </c>
      <c r="O27" s="141">
        <f>N27/M27</f>
        <v>84.629156010231213</v>
      </c>
      <c r="P27" s="142">
        <f>M27-J27</f>
        <v>-1</v>
      </c>
      <c r="Q27" s="143">
        <f>O27-L27</f>
        <v>-6.2597328786576725</v>
      </c>
      <c r="R27" s="144">
        <f>O27/L27</f>
        <v>0.93112763336440219</v>
      </c>
      <c r="S27" s="795">
        <f>R37</f>
        <v>0.9117464527518353</v>
      </c>
      <c r="T27" s="171">
        <v>0.28888888888888897</v>
      </c>
      <c r="U27" s="171">
        <v>0.32083333333333303</v>
      </c>
      <c r="V27" s="135"/>
      <c r="W27" s="146">
        <f t="shared" si="12"/>
        <v>45.999999999999439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-197.30434782606949</v>
      </c>
      <c r="AG27" s="172">
        <f t="shared" si="15"/>
        <v>0.879398320399713</v>
      </c>
      <c r="AH27" s="784">
        <f>AG37</f>
        <v>0.88602459161617242</v>
      </c>
    </row>
    <row r="28" spans="1:34" ht="15" customHeight="1">
      <c r="A28" s="793"/>
      <c r="B28" s="75" t="s">
        <v>81</v>
      </c>
      <c r="C28" s="173"/>
      <c r="D28" s="59" t="s">
        <v>123</v>
      </c>
      <c r="E28" s="104"/>
      <c r="F28" s="75">
        <f>VLOOKUP(D28,廠價表!$C$1:$E$43,3,0)</f>
        <v>49.91</v>
      </c>
      <c r="G28" s="90">
        <v>1487</v>
      </c>
      <c r="H28" s="91">
        <f>F28*G28</f>
        <v>74216.17</v>
      </c>
      <c r="I28" s="92"/>
      <c r="J28" s="79">
        <f>VLOOKUP(D28,產線配置圖!$A$3:$C$40,2,0)</f>
        <v>18</v>
      </c>
      <c r="K28" s="80">
        <v>1636</v>
      </c>
      <c r="L28" s="93">
        <f>K28/J28</f>
        <v>90.888888888888886</v>
      </c>
      <c r="M28" s="94">
        <v>17</v>
      </c>
      <c r="N28" s="95">
        <f>G28/W28*60</f>
        <v>1486.9999999999875</v>
      </c>
      <c r="O28" s="96">
        <f>N28/M28</f>
        <v>87.470588235293377</v>
      </c>
      <c r="P28" s="97">
        <f>M28-J28</f>
        <v>-1</v>
      </c>
      <c r="Q28" s="98">
        <f>O28-L28</f>
        <v>-3.4183006535955087</v>
      </c>
      <c r="R28" s="99">
        <f>O28/L28</f>
        <v>0.96239033510713989</v>
      </c>
      <c r="S28" s="796"/>
      <c r="T28" s="19">
        <v>0.32638888888888901</v>
      </c>
      <c r="U28" s="19">
        <v>0.36805555555555602</v>
      </c>
      <c r="V28" s="92">
        <f>(T28-U27)*24*60</f>
        <v>8.0000000000006111</v>
      </c>
      <c r="W28" s="149">
        <f t="shared" si="12"/>
        <v>60.000000000000504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-149.00000000001251</v>
      </c>
      <c r="AG28" s="99">
        <f t="shared" si="15"/>
        <v>0.90892420537896546</v>
      </c>
      <c r="AH28" s="805"/>
    </row>
    <row r="29" spans="1:34" ht="15" customHeight="1">
      <c r="A29" s="793"/>
      <c r="B29" s="75" t="s">
        <v>81</v>
      </c>
      <c r="C29" s="173"/>
      <c r="D29" s="59" t="s">
        <v>122</v>
      </c>
      <c r="E29" s="104"/>
      <c r="F29" s="75">
        <f>VLOOKUP(D29,廠價表!$C$1:$E$43,3,0)</f>
        <v>46.34</v>
      </c>
      <c r="G29" s="90">
        <v>1545</v>
      </c>
      <c r="H29" s="91">
        <f>F29*G29</f>
        <v>71595.3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1544.999999999987</v>
      </c>
      <c r="O29" s="96">
        <f>N29/M29</f>
        <v>96.56249999999919</v>
      </c>
      <c r="P29" s="97">
        <f>M29-J29</f>
        <v>0</v>
      </c>
      <c r="Q29" s="98">
        <f>O29-L29</f>
        <v>-5.68750000000081</v>
      </c>
      <c r="R29" s="99">
        <f>O29/L29</f>
        <v>0.94437652811735151</v>
      </c>
      <c r="S29" s="796"/>
      <c r="T29" s="19">
        <v>0.375</v>
      </c>
      <c r="U29" s="19">
        <v>0.41666666666666702</v>
      </c>
      <c r="V29" s="92">
        <f>(T29-U28)*24*60</f>
        <v>9.999999999999325</v>
      </c>
      <c r="W29" s="149">
        <f t="shared" si="12"/>
        <v>60.000000000000504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-91.00000000001296</v>
      </c>
      <c r="AG29" s="99">
        <f t="shared" si="15"/>
        <v>0.94437652811735151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971</v>
      </c>
      <c r="H30" s="91">
        <f>F30*G30</f>
        <v>44335.859999999993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16</v>
      </c>
      <c r="N30" s="95">
        <f>G30/W30*60</f>
        <v>1266.5217391304523</v>
      </c>
      <c r="O30" s="96">
        <f>N30/M30</f>
        <v>79.157608695653266</v>
      </c>
      <c r="P30" s="97">
        <f>M30-J30</f>
        <v>-1</v>
      </c>
      <c r="Q30" s="98">
        <f>O30-L30</f>
        <v>-17.077685421993792</v>
      </c>
      <c r="R30" s="99">
        <f>O30/L30</f>
        <v>0.82254238864676377</v>
      </c>
      <c r="S30" s="796"/>
      <c r="T30" s="19">
        <v>0.422916666666667</v>
      </c>
      <c r="U30" s="19">
        <v>0.45486111111111099</v>
      </c>
      <c r="V30" s="92">
        <f>(T30-U29)*24*60</f>
        <v>8.999999999999968</v>
      </c>
      <c r="W30" s="149">
        <f t="shared" si="12"/>
        <v>45.999999999999361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-369.47826086954774</v>
      </c>
      <c r="AG30" s="99">
        <f t="shared" si="15"/>
        <v>0.77415754225577771</v>
      </c>
      <c r="AH30" s="806"/>
    </row>
    <row r="31" spans="1:34" ht="15" customHeight="1">
      <c r="A31" s="793"/>
      <c r="B31" s="75" t="s">
        <v>81</v>
      </c>
      <c r="C31" s="88"/>
      <c r="D31" s="59" t="s">
        <v>128</v>
      </c>
      <c r="E31" s="89"/>
      <c r="F31" s="75">
        <f>VLOOKUP(D31,廠價表!$C$1:$E$43,3,0)</f>
        <v>50.289000000000001</v>
      </c>
      <c r="G31" s="90">
        <v>515</v>
      </c>
      <c r="H31" s="91">
        <f t="shared" ref="H31:H32" si="16">F31*G31</f>
        <v>25898.834999999999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ref="L31:L32" si="17">K31/J31</f>
        <v>96.235294117647058</v>
      </c>
      <c r="M31" s="94">
        <v>17</v>
      </c>
      <c r="N31" s="95">
        <f t="shared" ref="N31:N32" si="18">G31/W31*60</f>
        <v>1544.9999999999932</v>
      </c>
      <c r="O31" s="96">
        <f t="shared" ref="O31:O32" si="19">N31/M31</f>
        <v>90.882352941176066</v>
      </c>
      <c r="P31" s="97">
        <f t="shared" ref="P31:P32" si="20">M31-J31</f>
        <v>0</v>
      </c>
      <c r="Q31" s="98">
        <f t="shared" ref="Q31:Q32" si="21">O31-L31</f>
        <v>-5.352941176470992</v>
      </c>
      <c r="R31" s="99">
        <f t="shared" ref="R31:R32" si="22">O31/L31</f>
        <v>0.94437652811735517</v>
      </c>
      <c r="S31" s="796"/>
      <c r="T31" s="19">
        <v>0.52361111111111103</v>
      </c>
      <c r="U31" s="19">
        <v>0.53749999999999998</v>
      </c>
      <c r="V31" s="92">
        <f t="shared" ref="V31:V32" si="23">(T31-U30)*24*60</f>
        <v>99.000000000000043</v>
      </c>
      <c r="W31" s="149">
        <f t="shared" si="12"/>
        <v>20.000000000000089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-91.000000000006821</v>
      </c>
      <c r="AG31" s="99">
        <f t="shared" si="15"/>
        <v>0.94437652811735529</v>
      </c>
      <c r="AH31" s="786"/>
    </row>
    <row r="32" spans="1:34" ht="15" customHeight="1">
      <c r="A32" s="793"/>
      <c r="B32" s="75" t="s">
        <v>116</v>
      </c>
      <c r="C32" s="177"/>
      <c r="D32" s="59" t="s">
        <v>117</v>
      </c>
      <c r="E32" s="178"/>
      <c r="F32" s="75">
        <f>VLOOKUP(D32,廠價表!$C$1:$E$43,3,0)</f>
        <v>44.3</v>
      </c>
      <c r="G32" s="90">
        <v>2547</v>
      </c>
      <c r="H32" s="91">
        <f t="shared" si="16"/>
        <v>112832.09999999999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7"/>
        <v>90.888888888888886</v>
      </c>
      <c r="M32" s="94">
        <v>18</v>
      </c>
      <c r="N32" s="95">
        <f t="shared" si="18"/>
        <v>1414.9999999999986</v>
      </c>
      <c r="O32" s="96">
        <f t="shared" si="19"/>
        <v>78.611111111111029</v>
      </c>
      <c r="P32" s="97">
        <f t="shared" si="20"/>
        <v>0</v>
      </c>
      <c r="Q32" s="98">
        <f t="shared" si="21"/>
        <v>-12.277777777777857</v>
      </c>
      <c r="R32" s="99">
        <f t="shared" si="22"/>
        <v>0.864914425427872</v>
      </c>
      <c r="S32" s="796"/>
      <c r="T32" s="19">
        <v>0.54305555555555596</v>
      </c>
      <c r="U32" s="19">
        <v>0.61805555555555602</v>
      </c>
      <c r="V32" s="92">
        <f t="shared" si="23"/>
        <v>8.0000000000006111</v>
      </c>
      <c r="W32" s="149">
        <f t="shared" si="12"/>
        <v>108.0000000000001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4">AVERAGE(J27:J36)</f>
        <v>17.333333333333332</v>
      </c>
      <c r="K37" s="155">
        <f t="shared" si="24"/>
        <v>1636</v>
      </c>
      <c r="L37" s="158">
        <f t="shared" si="24"/>
        <v>94.564542483660134</v>
      </c>
      <c r="M37" s="155">
        <f t="shared" si="24"/>
        <v>16.833333333333332</v>
      </c>
      <c r="N37" s="155">
        <f t="shared" si="24"/>
        <v>1449.536231884058</v>
      </c>
      <c r="O37" s="158">
        <f t="shared" si="24"/>
        <v>86.218886165577359</v>
      </c>
      <c r="P37" s="159">
        <f>M37-J37</f>
        <v>-0.5</v>
      </c>
      <c r="Q37" s="160">
        <f>N37-K37</f>
        <v>-186.463768115942</v>
      </c>
      <c r="R37" s="161">
        <f>O37/L37</f>
        <v>0.9117464527518353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-186.463768115942</v>
      </c>
      <c r="AG37" s="124">
        <f>N37/K37</f>
        <v>0.88602459161617242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2205</v>
      </c>
      <c r="H38" s="134">
        <f>F38*G38</f>
        <v>110051.54999999999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1503.4090909090935</v>
      </c>
      <c r="O38" s="141">
        <f>N38/M38</f>
        <v>93.963068181818343</v>
      </c>
      <c r="P38" s="142">
        <f>M38-J38</f>
        <v>0</v>
      </c>
      <c r="Q38" s="143">
        <f>O38-L38</f>
        <v>-13.161931818181657</v>
      </c>
      <c r="R38" s="144">
        <f>O38/L38</f>
        <v>0.87713482550122146</v>
      </c>
      <c r="S38" s="817">
        <f>R48</f>
        <v>0.88592298989869589</v>
      </c>
      <c r="T38" s="191">
        <v>0.33333333333333298</v>
      </c>
      <c r="U38" s="191">
        <v>0.39444444444444399</v>
      </c>
      <c r="V38" s="192"/>
      <c r="W38" s="193">
        <f t="shared" si="12"/>
        <v>87.999999999999844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-210.59090909090651</v>
      </c>
      <c r="AG38" s="195">
        <f>N38/K38</f>
        <v>0.87713482550122146</v>
      </c>
      <c r="AH38" s="807">
        <f>AG48</f>
        <v>0.88648503892023589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2786</v>
      </c>
      <c r="H39" s="91">
        <f>F39*G39</f>
        <v>123419.79999999999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1466.3157894736967</v>
      </c>
      <c r="O39" s="203">
        <f>N39/M39</f>
        <v>81.461988304094263</v>
      </c>
      <c r="P39" s="97">
        <f>M39-J39</f>
        <v>0</v>
      </c>
      <c r="Q39" s="98">
        <f>O39-L39</f>
        <v>-9.4269005847946232</v>
      </c>
      <c r="R39" s="99">
        <f>O39/L39</f>
        <v>0.89628104491057259</v>
      </c>
      <c r="S39" s="818"/>
      <c r="T39" s="20">
        <v>0.40416666666666701</v>
      </c>
      <c r="U39" s="20">
        <v>0.483333333333333</v>
      </c>
      <c r="V39" s="92">
        <f>(T39-U38)*24*60</f>
        <v>14.000000000001149</v>
      </c>
      <c r="W39" s="205">
        <f t="shared" si="12"/>
        <v>113.99999999999903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-169.68421052630333</v>
      </c>
      <c r="AG39" s="206">
        <f>N39/K39</f>
        <v>0.89628104491057259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6">AVERAGE(J38:J47)</f>
        <v>17</v>
      </c>
      <c r="K48" s="155">
        <f t="shared" si="26"/>
        <v>1675</v>
      </c>
      <c r="L48" s="158">
        <f t="shared" si="26"/>
        <v>99.006944444444443</v>
      </c>
      <c r="M48" s="155">
        <f t="shared" si="26"/>
        <v>17</v>
      </c>
      <c r="N48" s="155">
        <f t="shared" si="26"/>
        <v>1484.8624401913951</v>
      </c>
      <c r="O48" s="158">
        <f t="shared" si="26"/>
        <v>87.712528242956296</v>
      </c>
      <c r="P48" s="221">
        <f>M48-J48</f>
        <v>0</v>
      </c>
      <c r="Q48" s="222">
        <f>N48-K48</f>
        <v>-190.13755980860492</v>
      </c>
      <c r="R48" s="223">
        <f>O48/L48</f>
        <v>0.88592298989869589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7">N48-K48</f>
        <v>-190.13755980860492</v>
      </c>
      <c r="AG48" s="162">
        <f t="shared" ref="AG48:AG53" si="28">N48/K48</f>
        <v>0.88648503892023589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2037</v>
      </c>
      <c r="H49" s="134">
        <f>F49*G49</f>
        <v>100872.24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1527.7500000000161</v>
      </c>
      <c r="O49" s="141">
        <f>N49/M49</f>
        <v>89.867647058824474</v>
      </c>
      <c r="P49" s="229">
        <f>M49-J49</f>
        <v>0</v>
      </c>
      <c r="Q49" s="230">
        <f>O49-L49</f>
        <v>-16.01470588235199</v>
      </c>
      <c r="R49" s="52">
        <f>O49/L49</f>
        <v>0.848750000000009</v>
      </c>
      <c r="S49" s="748">
        <f>R58</f>
        <v>0.84575846504300023</v>
      </c>
      <c r="T49" s="191">
        <v>0.29166666666666702</v>
      </c>
      <c r="U49" s="191">
        <v>0.34722222222222199</v>
      </c>
      <c r="V49" s="55"/>
      <c r="W49" s="193">
        <f t="shared" si="12"/>
        <v>79.999999999999162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7"/>
        <v>-272.24999999998386</v>
      </c>
      <c r="AG49" s="52">
        <f t="shared" si="28"/>
        <v>0.848750000000009</v>
      </c>
      <c r="AH49" s="784">
        <f>AG58</f>
        <v>0.84548817326674208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1660</v>
      </c>
      <c r="H50" s="231">
        <f>F50*G50</f>
        <v>83479.740000000005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1345.9459459459433</v>
      </c>
      <c r="O50" s="235">
        <f>N50/M50</f>
        <v>79.173290937996669</v>
      </c>
      <c r="P50" s="74">
        <f>M50-J50</f>
        <v>0</v>
      </c>
      <c r="Q50" s="83">
        <f>O50-L50</f>
        <v>-17.062003179650389</v>
      </c>
      <c r="R50" s="72">
        <f>O50/L50</f>
        <v>0.82270534593272826</v>
      </c>
      <c r="S50" s="749"/>
      <c r="T50" s="21">
        <v>0.35347222222222202</v>
      </c>
      <c r="U50" s="21">
        <v>0.40486111111111101</v>
      </c>
      <c r="V50" s="30">
        <f>(T50-U49)*24*60</f>
        <v>9.000000000000048</v>
      </c>
      <c r="W50" s="236">
        <f t="shared" si="12"/>
        <v>74.000000000000142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7"/>
        <v>-290.05405405405668</v>
      </c>
      <c r="AG50" s="72">
        <f t="shared" si="28"/>
        <v>0.82270534593272815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1823</v>
      </c>
      <c r="H51" s="231">
        <f>F51*G51</f>
        <v>91095.31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1562.5714285714323</v>
      </c>
      <c r="O51" s="235">
        <f>N51/M51</f>
        <v>97.660714285714519</v>
      </c>
      <c r="P51" s="74">
        <f>M51-J51</f>
        <v>0</v>
      </c>
      <c r="Q51" s="83">
        <f>O51-L51</f>
        <v>-14.839285714285481</v>
      </c>
      <c r="R51" s="72">
        <f>O51/L51</f>
        <v>0.86809523809524014</v>
      </c>
      <c r="S51" s="749"/>
      <c r="T51" s="21">
        <v>0.40972222222222199</v>
      </c>
      <c r="U51" s="19">
        <v>0.45833333333333298</v>
      </c>
      <c r="V51" s="30">
        <f>(T51-U50)*24*60</f>
        <v>6.9999999999998153</v>
      </c>
      <c r="W51" s="236">
        <f t="shared" si="12"/>
        <v>69.999999999999829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7"/>
        <v>-237.42857142856769</v>
      </c>
      <c r="AG51" s="72">
        <f t="shared" si="28"/>
        <v>0.86809523809524014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3605</v>
      </c>
      <c r="H52" s="231">
        <f>F52*G52</f>
        <v>180141.85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1512.5874125874061</v>
      </c>
      <c r="O52" s="235">
        <f>N52/M52</f>
        <v>94.536713286712882</v>
      </c>
      <c r="P52" s="74">
        <f>M52-J52</f>
        <v>0</v>
      </c>
      <c r="Q52" s="83">
        <f>O52-L52</f>
        <v>-17.963286713287118</v>
      </c>
      <c r="R52" s="72">
        <f>O52/L52</f>
        <v>0.84032634032633668</v>
      </c>
      <c r="S52" s="749"/>
      <c r="T52" s="21">
        <v>0.51875000000000004</v>
      </c>
      <c r="U52" s="21">
        <v>0.61805555555555602</v>
      </c>
      <c r="V52" s="30">
        <f>(T52-U51)*24*60</f>
        <v>87.000000000000568</v>
      </c>
      <c r="W52" s="236">
        <f t="shared" si="12"/>
        <v>143.00000000000063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7"/>
        <v>-287.41258741259389</v>
      </c>
      <c r="AG52" s="72">
        <f t="shared" si="28"/>
        <v>0.84032634032633668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7"/>
        <v>0</v>
      </c>
      <c r="AG53" s="72" t="e">
        <f t="shared" si="2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1487.2136967761994</v>
      </c>
      <c r="O58" s="117">
        <f t="shared" si="29"/>
        <v>90.309591392312129</v>
      </c>
      <c r="P58" s="121">
        <f>M58-J58</f>
        <v>0</v>
      </c>
      <c r="Q58" s="122">
        <f>N58-K58</f>
        <v>-271.78630322380059</v>
      </c>
      <c r="R58" s="123">
        <f>O58/L58</f>
        <v>0.84575846504300023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-271.78630322380059</v>
      </c>
      <c r="AG58" s="124">
        <f>N58/K58</f>
        <v>0.84548817326674208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3198</v>
      </c>
      <c r="H59" s="243">
        <f>F59*G59</f>
        <v>86314.01999999999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1535.0400000000102</v>
      </c>
      <c r="O59" s="138">
        <f>N59/M59</f>
        <v>102.33600000000068</v>
      </c>
      <c r="P59" s="56">
        <f>M59-J59</f>
        <v>0</v>
      </c>
      <c r="Q59" s="230">
        <f>O59-L59</f>
        <v>-6.7306666666659822</v>
      </c>
      <c r="R59" s="52">
        <f>O59/L59</f>
        <v>0.93828850855746349</v>
      </c>
      <c r="S59" s="748">
        <f>R69</f>
        <v>0.89271488343262206</v>
      </c>
      <c r="T59" s="245">
        <v>0.29166666666666702</v>
      </c>
      <c r="U59" s="245">
        <v>0.37847222222222199</v>
      </c>
      <c r="V59" s="55"/>
      <c r="W59" s="54">
        <f t="shared" si="12"/>
        <v>124.99999999999916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-100.9599999999898</v>
      </c>
      <c r="AG59" s="246">
        <f>N59/K59</f>
        <v>0.93828850855746349</v>
      </c>
      <c r="AH59" s="784">
        <f>AG69</f>
        <v>0.8951454767726138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1056</v>
      </c>
      <c r="H60" s="78">
        <f>F60*G60</f>
        <v>29842.560000000001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1408</v>
      </c>
      <c r="O60" s="81">
        <f>N60/M60</f>
        <v>128</v>
      </c>
      <c r="P60" s="74">
        <f>M60-J60</f>
        <v>0</v>
      </c>
      <c r="Q60" s="83">
        <f>O60-L60</f>
        <v>-20.72727272727272</v>
      </c>
      <c r="R60" s="72">
        <f>O60/L60</f>
        <v>0.86063569682151597</v>
      </c>
      <c r="S60" s="829"/>
      <c r="T60" s="22">
        <v>0.38541666666666702</v>
      </c>
      <c r="U60" s="22">
        <v>0.41666666666666702</v>
      </c>
      <c r="V60" s="30">
        <f>(T60-U59)*24*60</f>
        <v>10.000000000000844</v>
      </c>
      <c r="W60" s="248">
        <f t="shared" si="12"/>
        <v>45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-228</v>
      </c>
      <c r="AG60" s="249">
        <f>N60/K60</f>
        <v>0.86063569682151586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943</v>
      </c>
      <c r="H61" s="78">
        <f t="shared" ref="H61:H63" si="30">F61*G61</f>
        <v>26649.18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 t="shared" ref="L61:L63" si="31">K61/J61</f>
        <v>148.72727272727272</v>
      </c>
      <c r="M61" s="108">
        <v>11</v>
      </c>
      <c r="N61" s="107">
        <f>G61/W61*60</f>
        <v>1414.4999999999879</v>
      </c>
      <c r="O61" s="238">
        <f>N61/M61</f>
        <v>128.59090909090799</v>
      </c>
      <c r="P61" s="111">
        <f>M61-J61</f>
        <v>0</v>
      </c>
      <c r="Q61" s="255">
        <f>O61-L61</f>
        <v>-20.136363636364734</v>
      </c>
      <c r="R61" s="85">
        <f>O61/L61</f>
        <v>0.86460880195598278</v>
      </c>
      <c r="S61" s="749"/>
      <c r="T61" s="22">
        <v>0.42361111111111099</v>
      </c>
      <c r="U61" s="22">
        <v>0.45138888888888901</v>
      </c>
      <c r="V61" s="30">
        <f>(T61-U60)*24*60</f>
        <v>9.999999999999325</v>
      </c>
      <c r="W61" s="256">
        <f t="shared" si="12"/>
        <v>40.000000000000341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-221.50000000001205</v>
      </c>
      <c r="AG61" s="247">
        <f>N61/K61</f>
        <v>0.86460880195598289</v>
      </c>
      <c r="AH61" s="785"/>
    </row>
    <row r="62" spans="1:34" ht="15" customHeight="1">
      <c r="A62" s="827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1160</v>
      </c>
      <c r="H62" s="78">
        <f t="shared" si="30"/>
        <v>32781.599999999999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 t="shared" si="31"/>
        <v>148.72727272727272</v>
      </c>
      <c r="M62" s="68">
        <v>11</v>
      </c>
      <c r="N62" s="107">
        <f t="shared" ref="N62:N63" si="32">G62/W62*60</f>
        <v>1391.999999999967</v>
      </c>
      <c r="O62" s="238">
        <f t="shared" ref="O62:O63" si="33">N62/M62</f>
        <v>126.54545454545155</v>
      </c>
      <c r="P62" s="111">
        <f t="shared" ref="P62:P63" si="34">M62-J62</f>
        <v>0</v>
      </c>
      <c r="Q62" s="255">
        <f t="shared" ref="Q62:Q63" si="35">O62-L62</f>
        <v>-22.181818181821171</v>
      </c>
      <c r="R62" s="85">
        <f t="shared" ref="R62:R63" si="36">O62/L62</f>
        <v>0.85085574572125133</v>
      </c>
      <c r="S62" s="749"/>
      <c r="T62" s="22">
        <v>0.45833333333333298</v>
      </c>
      <c r="U62" s="22">
        <v>0.49305555555555602</v>
      </c>
      <c r="V62" s="30">
        <f t="shared" ref="V62:V63" si="37">(T62-U61)*24*60</f>
        <v>9.999999999999325</v>
      </c>
      <c r="W62" s="248">
        <f t="shared" si="12"/>
        <v>50.00000000000118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-244.00000000003297</v>
      </c>
      <c r="AG62" s="247">
        <f>N62/K62</f>
        <v>0.85085574572125122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30">
        <v>2097</v>
      </c>
      <c r="H63" s="78">
        <f t="shared" si="30"/>
        <v>59261.22</v>
      </c>
      <c r="I63" s="30"/>
      <c r="J63" s="79">
        <f>VLOOKUP(D63,產線配置圖!$A$3:$C$40,2,0)</f>
        <v>11</v>
      </c>
      <c r="K63" s="80">
        <f>VLOOKUP(D63,產線配置圖!$A$3:$C$40,3,0)</f>
        <v>1636</v>
      </c>
      <c r="L63" s="81">
        <f t="shared" si="31"/>
        <v>148.72727272727272</v>
      </c>
      <c r="M63" s="68">
        <v>11</v>
      </c>
      <c r="N63" s="107">
        <f t="shared" si="32"/>
        <v>1572.750000000015</v>
      </c>
      <c r="O63" s="238">
        <f t="shared" si="33"/>
        <v>142.97727272727408</v>
      </c>
      <c r="P63" s="111">
        <f t="shared" si="34"/>
        <v>0</v>
      </c>
      <c r="Q63" s="255">
        <f t="shared" si="35"/>
        <v>-5.7499999999986358</v>
      </c>
      <c r="R63" s="85">
        <f t="shared" si="36"/>
        <v>0.96133863080685511</v>
      </c>
      <c r="S63" s="749"/>
      <c r="T63" s="22">
        <v>0.54513888888888895</v>
      </c>
      <c r="U63" s="22">
        <v>0.60069444444444398</v>
      </c>
      <c r="V63" s="30">
        <f t="shared" si="37"/>
        <v>74.999999999999417</v>
      </c>
      <c r="W63" s="248">
        <f t="shared" si="12"/>
        <v>79.999999999999233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8">AVERAGE(J59:J68)</f>
        <v>11.8</v>
      </c>
      <c r="K69" s="240">
        <f t="shared" si="38"/>
        <v>1636</v>
      </c>
      <c r="L69" s="268">
        <f t="shared" si="38"/>
        <v>140.79515151515153</v>
      </c>
      <c r="M69" s="240">
        <f t="shared" si="38"/>
        <v>11.8</v>
      </c>
      <c r="N69" s="240">
        <f t="shared" si="38"/>
        <v>1464.4579999999962</v>
      </c>
      <c r="O69" s="268">
        <f t="shared" si="38"/>
        <v>125.68992727272686</v>
      </c>
      <c r="P69" s="269">
        <f>M69-J69</f>
        <v>0</v>
      </c>
      <c r="Q69" s="222">
        <f>N69-K69</f>
        <v>-171.54200000000378</v>
      </c>
      <c r="R69" s="123">
        <f>O69/L69</f>
        <v>0.89271488343262206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-171.54200000000378</v>
      </c>
      <c r="AG69" s="124">
        <f>N69/K69</f>
        <v>0.8951454767726138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1287</v>
      </c>
      <c r="H70" s="243">
        <f>F70*G70</f>
        <v>56486.43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908.47058823529051</v>
      </c>
      <c r="O70" s="138">
        <f>N70/M70</f>
        <v>100.94117647058783</v>
      </c>
      <c r="P70" s="56">
        <f>M70-J70</f>
        <v>-4</v>
      </c>
      <c r="Q70" s="230">
        <f>O70-L70</f>
        <v>-19.443438914027553</v>
      </c>
      <c r="R70" s="52">
        <f>O70/L70</f>
        <v>0.83848900582596919</v>
      </c>
      <c r="S70" s="748">
        <f>R79</f>
        <v>0.83848900582596919</v>
      </c>
      <c r="T70" s="245">
        <v>0.297222222222222</v>
      </c>
      <c r="U70" s="245">
        <v>0.35625000000000001</v>
      </c>
      <c r="V70" s="55"/>
      <c r="W70" s="54">
        <f t="shared" si="12"/>
        <v>85.000000000000341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-656.52941176470949</v>
      </c>
      <c r="AG70" s="246">
        <f>N70/K70</f>
        <v>0.58049238864874797</v>
      </c>
      <c r="AH70" s="784">
        <f>AG79</f>
        <v>0.58049238864874797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9">AVERAGE(J70:J78)</f>
        <v>13</v>
      </c>
      <c r="K79" s="240">
        <f t="shared" si="39"/>
        <v>1565</v>
      </c>
      <c r="L79" s="268">
        <f t="shared" si="39"/>
        <v>120.38461538461539</v>
      </c>
      <c r="M79" s="240">
        <f t="shared" si="39"/>
        <v>9</v>
      </c>
      <c r="N79" s="240">
        <f t="shared" si="39"/>
        <v>908.47058823529051</v>
      </c>
      <c r="O79" s="268">
        <f t="shared" si="39"/>
        <v>100.94117647058783</v>
      </c>
      <c r="P79" s="269">
        <f>M79-J79</f>
        <v>-4</v>
      </c>
      <c r="Q79" s="222">
        <f>N79-K79</f>
        <v>-656.52941176470949</v>
      </c>
      <c r="R79" s="223">
        <f>O79/L79</f>
        <v>0.83848900582596919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-656.52941176470949</v>
      </c>
      <c r="AG79" s="124">
        <f>N79/K79</f>
        <v>0.58049238864874797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28" priority="1" operator="greaterThan">
      <formula>0</formula>
    </cfRule>
  </conditionalFormatting>
  <conditionalFormatting sqref="Q5:Q79 AF5:AF79">
    <cfRule type="cellIs" dxfId="127" priority="4" operator="lessThan">
      <formula>0</formula>
    </cfRule>
  </conditionalFormatting>
  <conditionalFormatting sqref="R5:R79 AG5:AG79">
    <cfRule type="cellIs" dxfId="126" priority="2" operator="greaterThan">
      <formula>1</formula>
    </cfRule>
    <cfRule type="cellIs" dxfId="125" priority="3" operator="lessThan">
      <formula>0.8</formula>
    </cfRule>
  </conditionalFormatting>
  <conditionalFormatting sqref="S5:S10 S37:S62 AH59:AH62 S69:S76 AH69:AH76">
    <cfRule type="cellIs" dxfId="124" priority="7" operator="lessThan">
      <formula>0.8</formula>
    </cfRule>
  </conditionalFormatting>
  <conditionalFormatting sqref="S19:S25 AH19:AH25">
    <cfRule type="cellIs" dxfId="123" priority="6" operator="lessThan">
      <formula>0.8</formula>
    </cfRule>
  </conditionalFormatting>
  <conditionalFormatting sqref="S79">
    <cfRule type="cellIs" dxfId="122" priority="5" operator="lessThan">
      <formula>0.8</formula>
    </cfRule>
  </conditionalFormatting>
  <conditionalFormatting sqref="AH5:AH8 S15:S16 AH15:AH16 AH49 AH79">
    <cfRule type="cellIs" dxfId="121" priority="9" operator="lessThan">
      <formula>0.8</formula>
    </cfRule>
  </conditionalFormatting>
  <conditionalFormatting sqref="AH27 S27:S28">
    <cfRule type="cellIs" dxfId="1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226CE-FE91-48F1-A1A3-4CF04E232B86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DATE(2026,8,20)</f>
        <v>46254</v>
      </c>
      <c r="E3" s="706"/>
      <c r="F3" s="3" t="s">
        <v>72</v>
      </c>
      <c r="G3" s="707">
        <f>'0820'!E1</f>
        <v>50258</v>
      </c>
      <c r="H3" s="707"/>
      <c r="I3" s="3" t="s">
        <v>2</v>
      </c>
      <c r="J3" s="708">
        <f>'0820'!G1</f>
        <v>2320180.844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125.405450372068</v>
      </c>
      <c r="G6" s="713"/>
      <c r="H6" s="714">
        <f>AVERAGE(D13:H13)</f>
        <v>123.33167714094184</v>
      </c>
      <c r="I6" s="714"/>
      <c r="J6" s="714">
        <f>AVERAGE(I13:J13)</f>
        <v>130.58988344988347</v>
      </c>
      <c r="K6" s="714"/>
      <c r="L6" s="716">
        <f>'0820'!Z2</f>
        <v>0</v>
      </c>
      <c r="M6" s="717">
        <f>'0820'!AA2</f>
        <v>0</v>
      </c>
      <c r="N6" s="718">
        <f>'0820'!AD2</f>
        <v>0</v>
      </c>
      <c r="O6" s="717">
        <f>'0820'!AE2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111.5916200448017</v>
      </c>
      <c r="G7" s="737"/>
      <c r="H7" s="738">
        <f>AVERAGE(D14:H14)</f>
        <v>111.56032866878309</v>
      </c>
      <c r="I7" s="738"/>
      <c r="J7" s="738">
        <f>AVERAGE(I14:J14)</f>
        <v>111.66984848484822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0.89171715746413616</v>
      </c>
      <c r="G8" s="710"/>
      <c r="H8" s="710">
        <f>AVERAGE(D15:H15)</f>
        <v>0.90724782206643473</v>
      </c>
      <c r="I8" s="710"/>
      <c r="J8" s="710">
        <f>AVERAGE(I15:J15)</f>
        <v>0.85289049595838973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VALUE('0820'!L15)</f>
        <v>141.05312552371376</v>
      </c>
      <c r="E13" s="13">
        <f>VALUE('0820'!L26)</f>
        <v>174.51923076923077</v>
      </c>
      <c r="F13" s="13">
        <f>VALUE('0820'!L37)</f>
        <v>95.299673202614386</v>
      </c>
      <c r="G13" s="13">
        <f>VALUE('0820'!L48)</f>
        <v>99.006944444444443</v>
      </c>
      <c r="H13" s="13">
        <f>VALUE('0820'!L58)</f>
        <v>106.77941176470588</v>
      </c>
      <c r="I13" s="13">
        <f>VALUE('0820'!L69)</f>
        <v>140.79515151515153</v>
      </c>
      <c r="J13" s="13">
        <f>'0820'!L79</f>
        <v>120.38461538461539</v>
      </c>
    </row>
    <row r="14" spans="2:15" ht="39.950000000000003" customHeight="1">
      <c r="B14" s="731"/>
      <c r="C14" s="12" t="s">
        <v>100</v>
      </c>
      <c r="D14" s="13">
        <f>VALUE('0820'!O15)</f>
        <v>128.49908023327268</v>
      </c>
      <c r="E14" s="13">
        <f>VALUE('0820'!O26)</f>
        <v>154.83146113326853</v>
      </c>
      <c r="F14" s="13">
        <f>VALUE('0820'!O37)</f>
        <v>87.810390502261214</v>
      </c>
      <c r="G14" s="13">
        <f>VALUE('0820'!O48)</f>
        <v>93.230392156862976</v>
      </c>
      <c r="H14" s="13">
        <f>VALUE('0820'!O58)</f>
        <v>93.430319318250056</v>
      </c>
      <c r="I14" s="13">
        <f>VALUE('0820'!O69)</f>
        <v>124.097272727272</v>
      </c>
      <c r="J14" s="13">
        <f>'0820'!O79</f>
        <v>99.24242424242442</v>
      </c>
    </row>
    <row r="15" spans="2:15" ht="39.950000000000003" customHeight="1">
      <c r="B15" s="732"/>
      <c r="C15" s="10" t="s">
        <v>26</v>
      </c>
      <c r="D15" s="14">
        <f t="shared" ref="D15:I15" si="0">D14/D13</f>
        <v>0.91099775177735776</v>
      </c>
      <c r="E15" s="14">
        <f t="shared" si="0"/>
        <v>0.88718853762313643</v>
      </c>
      <c r="F15" s="14">
        <f t="shared" si="0"/>
        <v>0.9214133433130417</v>
      </c>
      <c r="G15" s="14">
        <f t="shared" si="0"/>
        <v>0.94165507965127793</v>
      </c>
      <c r="H15" s="14">
        <f t="shared" si="0"/>
        <v>0.87498439796736038</v>
      </c>
      <c r="I15" s="14">
        <f t="shared" si="0"/>
        <v>0.88140302696373318</v>
      </c>
      <c r="J15" s="15">
        <f>'0820'!S70</f>
        <v>0.82437796495304627</v>
      </c>
    </row>
    <row r="16" spans="2:15" ht="17.25" customHeight="1">
      <c r="B16" s="733" t="s">
        <v>101</v>
      </c>
      <c r="C16" s="10" t="s">
        <v>34</v>
      </c>
      <c r="D16" s="16">
        <f>'0820'!T5</f>
        <v>0.29375000000000001</v>
      </c>
      <c r="E16" s="16">
        <f>'0820'!T16</f>
        <v>0.29166666666666702</v>
      </c>
      <c r="F16" s="16">
        <f>'0820'!T27</f>
        <v>0.29166666666666702</v>
      </c>
      <c r="G16" s="16">
        <f>'0820'!T38</f>
        <v>0.33333333333333298</v>
      </c>
      <c r="H16" s="16">
        <f>'0820'!T49</f>
        <v>0.29166666666666702</v>
      </c>
      <c r="I16" s="16">
        <f>'0820'!T59</f>
        <v>0.29166666666666702</v>
      </c>
      <c r="J16" s="17">
        <f>'0820'!T70</f>
        <v>0.297222222222222</v>
      </c>
    </row>
    <row r="17" spans="2:10" ht="17.25" customHeight="1">
      <c r="B17" s="734"/>
      <c r="C17" s="10" t="s">
        <v>35</v>
      </c>
      <c r="D17" s="327">
        <v>0.59861111111111098</v>
      </c>
      <c r="E17" s="19">
        <v>0.561805555555556</v>
      </c>
      <c r="F17" s="183">
        <v>0.60902777777777795</v>
      </c>
      <c r="G17" s="20">
        <v>0.47569444444444398</v>
      </c>
      <c r="H17" s="21">
        <v>0.58333333333333304</v>
      </c>
      <c r="I17" s="22">
        <v>0.60416666666666696</v>
      </c>
      <c r="J17" s="110">
        <v>0.358333333333333</v>
      </c>
    </row>
    <row r="18" spans="2:10" ht="17.25" customHeight="1">
      <c r="B18" s="735" t="s">
        <v>102</v>
      </c>
      <c r="C18" s="330" t="s">
        <v>36</v>
      </c>
      <c r="D18" s="386">
        <f>'0820'!Z15</f>
        <v>0</v>
      </c>
      <c r="E18" s="387">
        <f>'0820'!Z26</f>
        <v>0</v>
      </c>
      <c r="F18" s="387">
        <f>'0820'!Z37</f>
        <v>0</v>
      </c>
      <c r="G18" s="388">
        <f>'0820'!Z48</f>
        <v>0</v>
      </c>
      <c r="H18" s="388">
        <f>'0820'!Z58</f>
        <v>0</v>
      </c>
      <c r="I18" s="387">
        <f>'0820'!Z69</f>
        <v>0</v>
      </c>
      <c r="J18" s="387">
        <f>'0820'!AA79</f>
        <v>0</v>
      </c>
    </row>
    <row r="19" spans="2:10" ht="17.25" customHeight="1">
      <c r="B19" s="736"/>
      <c r="C19" s="330" t="s">
        <v>37</v>
      </c>
      <c r="D19" s="386">
        <f>'0820'!AA15</f>
        <v>0</v>
      </c>
      <c r="E19" s="387">
        <f>'0820'!AA26</f>
        <v>0</v>
      </c>
      <c r="F19" s="387">
        <f>'0820'!AA37</f>
        <v>0</v>
      </c>
      <c r="G19" s="388">
        <f>'0820'!AA48</f>
        <v>0</v>
      </c>
      <c r="H19" s="388">
        <f>'0820'!AA58</f>
        <v>0</v>
      </c>
      <c r="I19" s="387">
        <f>'0820'!AA69</f>
        <v>0</v>
      </c>
      <c r="J19" s="387">
        <f>'0820'!AB79</f>
        <v>0</v>
      </c>
    </row>
    <row r="20" spans="2:10" ht="17.25" customHeight="1">
      <c r="B20" s="735" t="s">
        <v>103</v>
      </c>
      <c r="C20" s="330" t="s">
        <v>36</v>
      </c>
      <c r="D20" s="386">
        <f>'0820'!AD15</f>
        <v>0</v>
      </c>
      <c r="E20" s="387">
        <f>'0820'!AD26</f>
        <v>0</v>
      </c>
      <c r="F20" s="387">
        <f>'0820'!AD37</f>
        <v>0</v>
      </c>
      <c r="G20" s="388">
        <f>'0820'!AD48</f>
        <v>0</v>
      </c>
      <c r="H20" s="388">
        <f>'0820'!AD58</f>
        <v>0</v>
      </c>
      <c r="I20" s="387">
        <f>'0820'!AD69</f>
        <v>0</v>
      </c>
      <c r="J20" s="387">
        <f>'0820'!AD79</f>
        <v>0</v>
      </c>
    </row>
    <row r="21" spans="2:10" ht="17.25" customHeight="1">
      <c r="B21" s="736"/>
      <c r="C21" s="330" t="s">
        <v>85</v>
      </c>
      <c r="D21" s="386">
        <f>'0820'!AE15</f>
        <v>0</v>
      </c>
      <c r="E21" s="387">
        <f>'0820'!AE26</f>
        <v>0</v>
      </c>
      <c r="F21" s="387">
        <f>'0820'!AE37</f>
        <v>0</v>
      </c>
      <c r="G21" s="388">
        <f>'0820'!AE48</f>
        <v>0</v>
      </c>
      <c r="H21" s="388">
        <f>'0820'!AE58</f>
        <v>0</v>
      </c>
      <c r="I21" s="387">
        <f>'0820'!AE69</f>
        <v>0</v>
      </c>
      <c r="J21" s="387">
        <f>'0820'!AE79</f>
        <v>0</v>
      </c>
    </row>
    <row r="22" spans="2:10" ht="17.25" customHeight="1">
      <c r="B22" s="719" t="s">
        <v>104</v>
      </c>
      <c r="C22" s="720"/>
      <c r="D22" s="23">
        <f>VALUE('0820'!M15)</f>
        <v>15.5</v>
      </c>
      <c r="E22" s="23">
        <f>VALUE('0820'!M26)</f>
        <v>13</v>
      </c>
      <c r="F22" s="23">
        <f>VALUE('0820'!M37)</f>
        <v>17</v>
      </c>
      <c r="G22" s="23">
        <f>VALUE('0820'!M48)</f>
        <v>17</v>
      </c>
      <c r="H22" s="23">
        <f>VALUE('0820'!M58)</f>
        <v>16.25</v>
      </c>
      <c r="I22" s="23">
        <f>VALUE('0820'!M69)</f>
        <v>11.8</v>
      </c>
      <c r="J22" s="23">
        <f>'0820'!M79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19E61-F9B8-4E41-83B0-AD1E3052DD2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19" sqref="U1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50258</v>
      </c>
      <c r="F1" s="30" t="s">
        <v>2</v>
      </c>
      <c r="G1" s="31">
        <f>SUM(H5:H79)</f>
        <v>2320180.844</v>
      </c>
      <c r="H1" s="32" t="s">
        <v>3</v>
      </c>
      <c r="I1" s="33">
        <f>M15+M26+M48+M58+M69+M79+M37</f>
        <v>99.55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179</v>
      </c>
      <c r="B2" s="739"/>
      <c r="C2" s="28"/>
      <c r="D2" s="28" t="s">
        <v>14</v>
      </c>
      <c r="E2" s="35">
        <f>AVERAGE(O15,O26,O37,O48,O58,O69,O79)</f>
        <v>111.5916200448017</v>
      </c>
      <c r="F2" s="36" t="s">
        <v>15</v>
      </c>
      <c r="G2" s="37">
        <f>G1/E1</f>
        <v>46.16540339846393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1274</v>
      </c>
      <c r="H5" s="43">
        <f>F5*G5</f>
        <v>72452.37999999999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2065.9459459459845</v>
      </c>
      <c r="O5" s="47">
        <f>N5/M5</f>
        <v>137.7297297297323</v>
      </c>
      <c r="P5" s="49">
        <f>M5-J5</f>
        <v>0</v>
      </c>
      <c r="Q5" s="50">
        <f>O5-L5</f>
        <v>-12.270270270267702</v>
      </c>
      <c r="R5" s="51">
        <f>O5/L5</f>
        <v>0.91819819819821535</v>
      </c>
      <c r="S5" s="748">
        <f>R15</f>
        <v>0.91099775177735776</v>
      </c>
      <c r="T5" s="319">
        <v>0.29375000000000001</v>
      </c>
      <c r="U5" s="320">
        <v>0.31944444444444398</v>
      </c>
      <c r="V5" s="53"/>
      <c r="W5" s="54">
        <f t="shared" ref="W5:W14" si="0">(U5-T5)*24*60</f>
        <v>36.999999999999311</v>
      </c>
      <c r="X5" s="55"/>
      <c r="Y5" s="290"/>
      <c r="Z5" s="169"/>
      <c r="AA5" s="169"/>
      <c r="AB5" s="791" t="s">
        <v>178</v>
      </c>
      <c r="AC5" s="791"/>
      <c r="AD5" s="135"/>
      <c r="AE5" s="135"/>
      <c r="AF5" s="229">
        <f t="shared" ref="AF5:AF11" si="1">N5-K5</f>
        <v>-184.05405405401552</v>
      </c>
      <c r="AG5" s="52">
        <f t="shared" ref="AG5:AG11" si="2">N5/K5</f>
        <v>0.91819819819821535</v>
      </c>
      <c r="AH5" s="784">
        <f>AG15</f>
        <v>0.91001027273921298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1261</v>
      </c>
      <c r="H6" s="63">
        <f>F6*G6</f>
        <v>63894.87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1891.5000000000521</v>
      </c>
      <c r="O6" s="67">
        <f>N6/M6</f>
        <v>111.264705882356</v>
      </c>
      <c r="P6" s="69">
        <f>M6-J6</f>
        <v>0</v>
      </c>
      <c r="Q6" s="70">
        <f>O6-L6</f>
        <v>-21.088235294114583</v>
      </c>
      <c r="R6" s="71">
        <f>O6/L6</f>
        <v>0.84066666666668977</v>
      </c>
      <c r="S6" s="749"/>
      <c r="T6" s="16">
        <v>0.33055555555555599</v>
      </c>
      <c r="U6" s="16">
        <v>0.358333333333333</v>
      </c>
      <c r="V6" s="30">
        <f>(T6-U5)*24*60</f>
        <v>16.0000000000013</v>
      </c>
      <c r="W6" s="73">
        <f t="shared" si="0"/>
        <v>39.999999999998899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-358.49999999994793</v>
      </c>
      <c r="AG6" s="72">
        <f t="shared" si="2"/>
        <v>0.84066666666668977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2172</v>
      </c>
      <c r="H7" s="78">
        <f>F7*G7</f>
        <v>126345.24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2068.571428571428</v>
      </c>
      <c r="O7" s="81">
        <f>N7/M7</f>
        <v>159.12087912087907</v>
      </c>
      <c r="P7" s="74">
        <f>M7-J7</f>
        <v>0</v>
      </c>
      <c r="Q7" s="83">
        <f>O7-L7</f>
        <v>-13.956043956043999</v>
      </c>
      <c r="R7" s="72">
        <f>O7/L7</f>
        <v>0.91936507936507916</v>
      </c>
      <c r="S7" s="749"/>
      <c r="T7" s="18">
        <v>0.36597222222222198</v>
      </c>
      <c r="U7" s="18">
        <v>0.40972222222222199</v>
      </c>
      <c r="V7" s="30">
        <f>(T7-U6)*24*60</f>
        <v>11.000000000000121</v>
      </c>
      <c r="W7" s="73">
        <f t="shared" si="0"/>
        <v>63.000000000000014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-181.42857142857201</v>
      </c>
      <c r="AG7" s="72">
        <f t="shared" si="2"/>
        <v>0.91936507936507905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2783</v>
      </c>
      <c r="H8" s="78">
        <f t="shared" ref="H8:H10" si="3">F8*G8</f>
        <v>136756.62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10" si="4">K8/J8</f>
        <v>150</v>
      </c>
      <c r="M8" s="82">
        <v>15</v>
      </c>
      <c r="N8" s="66">
        <f t="shared" ref="N8:N10" si="5">G8/W8*60</f>
        <v>2087.2500000000218</v>
      </c>
      <c r="O8" s="67">
        <f t="shared" ref="O8:O10" si="6">N8/M8</f>
        <v>139.15000000000146</v>
      </c>
      <c r="P8" s="69">
        <f t="shared" ref="P8:P10" si="7">M8-J8</f>
        <v>0</v>
      </c>
      <c r="Q8" s="70">
        <f t="shared" ref="Q8:Q10" si="8">O8-L8</f>
        <v>-10.849999999998545</v>
      </c>
      <c r="R8" s="71">
        <f t="shared" ref="R8:R10" si="9">O8/L8</f>
        <v>0.92766666666667641</v>
      </c>
      <c r="S8" s="749"/>
      <c r="T8" s="16">
        <v>0.42013888888888901</v>
      </c>
      <c r="U8" s="16">
        <v>0.47569444444444398</v>
      </c>
      <c r="V8" s="30">
        <f t="shared" ref="V8:V10" si="10">(T8-U7)*24*60</f>
        <v>15.000000000000506</v>
      </c>
      <c r="W8" s="73">
        <f t="shared" si="0"/>
        <v>79.999999999999162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-162.74999999997817</v>
      </c>
      <c r="AG8" s="72">
        <f t="shared" si="2"/>
        <v>0.92766666666667641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1242</v>
      </c>
      <c r="H9" s="78">
        <f t="shared" si="3"/>
        <v>61031.88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2069.9999999999982</v>
      </c>
      <c r="O9" s="81">
        <f t="shared" si="6"/>
        <v>137.99999999999989</v>
      </c>
      <c r="P9" s="74">
        <f t="shared" si="7"/>
        <v>0</v>
      </c>
      <c r="Q9" s="83">
        <f t="shared" si="8"/>
        <v>-12.000000000000114</v>
      </c>
      <c r="R9" s="72">
        <f t="shared" si="9"/>
        <v>0.91999999999999926</v>
      </c>
      <c r="S9" s="750"/>
      <c r="T9" s="16">
        <v>0.54444444444444395</v>
      </c>
      <c r="U9" s="16">
        <v>0.56944444444444398</v>
      </c>
      <c r="V9" s="30">
        <f t="shared" si="10"/>
        <v>98.999999999999972</v>
      </c>
      <c r="W9" s="73">
        <f t="shared" si="0"/>
        <v>36.000000000000028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-180.00000000000182</v>
      </c>
      <c r="AG9" s="72">
        <f t="shared" si="2"/>
        <v>0.91999999999999915</v>
      </c>
      <c r="AH9" s="786"/>
    </row>
    <row r="10" spans="1:34" ht="15" customHeight="1">
      <c r="A10" s="756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823</v>
      </c>
      <c r="H10" s="78">
        <f t="shared" si="3"/>
        <v>36458.899999999994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4"/>
        <v>90.888888888888886</v>
      </c>
      <c r="M10" s="82">
        <v>18</v>
      </c>
      <c r="N10" s="66">
        <f t="shared" si="5"/>
        <v>1543.1250000000132</v>
      </c>
      <c r="O10" s="67">
        <f t="shared" si="6"/>
        <v>85.729166666667396</v>
      </c>
      <c r="P10" s="69">
        <f t="shared" si="7"/>
        <v>0</v>
      </c>
      <c r="Q10" s="70">
        <f t="shared" si="8"/>
        <v>-5.1597222222214896</v>
      </c>
      <c r="R10" s="71">
        <f t="shared" si="9"/>
        <v>0.94323044009780754</v>
      </c>
      <c r="S10" s="750"/>
      <c r="T10" s="22">
        <v>0.57638888888888895</v>
      </c>
      <c r="U10" s="22">
        <v>0.59861111111111098</v>
      </c>
      <c r="V10" s="30">
        <f t="shared" si="10"/>
        <v>10.000000000000764</v>
      </c>
      <c r="W10" s="73">
        <f t="shared" si="0"/>
        <v>31.999999999999726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-92.874999999986812</v>
      </c>
      <c r="AG10" s="72">
        <f t="shared" si="2"/>
        <v>0.94323044009780754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15.5</v>
      </c>
      <c r="K15" s="120">
        <f t="shared" si="11"/>
        <v>2147.6666666666665</v>
      </c>
      <c r="L15" s="117">
        <f t="shared" si="11"/>
        <v>141.05312552371376</v>
      </c>
      <c r="M15" s="120">
        <f t="shared" si="11"/>
        <v>15.5</v>
      </c>
      <c r="N15" s="120">
        <f t="shared" si="11"/>
        <v>1954.3987290862497</v>
      </c>
      <c r="O15" s="117">
        <f t="shared" si="11"/>
        <v>128.49908023327268</v>
      </c>
      <c r="P15" s="121">
        <f>M15-J15</f>
        <v>0</v>
      </c>
      <c r="Q15" s="122">
        <f>O15-L15</f>
        <v>-12.554045290441081</v>
      </c>
      <c r="R15" s="123">
        <f>O15/L15</f>
        <v>0.91099775177735776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-193.26793758041686</v>
      </c>
      <c r="AG15" s="124">
        <f>N15/K15</f>
        <v>0.91001027273921298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1628</v>
      </c>
      <c r="H16" s="134">
        <f>F16*G16</f>
        <v>92584.36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1993.4693877551485</v>
      </c>
      <c r="O16" s="141">
        <f>N16/M16</f>
        <v>132.89795918367656</v>
      </c>
      <c r="P16" s="142">
        <f>M16-J16</f>
        <v>0</v>
      </c>
      <c r="Q16" s="143">
        <f>O16-L16</f>
        <v>-17.102040816323438</v>
      </c>
      <c r="R16" s="144">
        <f>O16/L16</f>
        <v>0.88598639455784378</v>
      </c>
      <c r="S16" s="795">
        <f>R26</f>
        <v>0.88718853762313643</v>
      </c>
      <c r="T16" s="145">
        <v>0.29166666666666702</v>
      </c>
      <c r="U16" s="145">
        <v>0.32569444444444401</v>
      </c>
      <c r="V16" s="135"/>
      <c r="W16" s="146">
        <f t="shared" ref="W16:W78" si="12">(U16-T16)*24*60</f>
        <v>48.999999999998863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-256.53061224485145</v>
      </c>
      <c r="AG16" s="52">
        <f>N16/K16</f>
        <v>0.88598639455784378</v>
      </c>
      <c r="AH16" s="784">
        <f>AG26</f>
        <v>0.88848453730769539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3340</v>
      </c>
      <c r="H17" s="78">
        <f>F17*G17</f>
        <v>169237.80000000002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2154.8387096773972</v>
      </c>
      <c r="O17" s="96">
        <f>N17/M17</f>
        <v>165.75682382133826</v>
      </c>
      <c r="P17" s="97">
        <f>M17-J17</f>
        <v>0</v>
      </c>
      <c r="Q17" s="98">
        <f>O17-L17</f>
        <v>-7.3200992555848075</v>
      </c>
      <c r="R17" s="99">
        <f>O17/L17</f>
        <v>0.95770609318995448</v>
      </c>
      <c r="S17" s="796"/>
      <c r="T17" s="19">
        <v>0.33333333333333298</v>
      </c>
      <c r="U17" s="19">
        <v>0.39791666666666697</v>
      </c>
      <c r="V17" s="30">
        <f>(T17-U16)*24*60</f>
        <v>11.000000000000121</v>
      </c>
      <c r="W17" s="149">
        <f t="shared" si="12"/>
        <v>93.000000000000952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-95.161290322602781</v>
      </c>
      <c r="AG17" s="72">
        <f>N17/K17</f>
        <v>0.95770609318995437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3647</v>
      </c>
      <c r="H18" s="78">
        <f>F18*G18</f>
        <v>183772.33000000002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 t="shared" ref="N18:N19" si="13">G18/W18*60</f>
        <v>2145.2941176470699</v>
      </c>
      <c r="O18" s="96">
        <f t="shared" ref="O18:O19" si="14">N18/M18</f>
        <v>178.77450980392248</v>
      </c>
      <c r="P18" s="97">
        <f t="shared" ref="P18:P19" si="15">M18-J18</f>
        <v>0</v>
      </c>
      <c r="Q18" s="98">
        <f t="shared" ref="Q18:Q19" si="16">O18-L18</f>
        <v>-8.7254901960775157</v>
      </c>
      <c r="R18" s="99">
        <f t="shared" ref="R18:R19" si="17">O18/L18</f>
        <v>0.95346405228758657</v>
      </c>
      <c r="S18" s="796"/>
      <c r="T18" s="19">
        <v>0.40486111111111101</v>
      </c>
      <c r="U18" s="19">
        <v>0.47569444444444398</v>
      </c>
      <c r="V18" s="30">
        <f>(T18-U17)*24*60</f>
        <v>9.9999999999994049</v>
      </c>
      <c r="W18" s="149">
        <f t="shared" si="12"/>
        <v>101.99999999999947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-104.70588235293008</v>
      </c>
      <c r="AG18" s="72">
        <f>N18/K18</f>
        <v>0.95346405228758668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823</v>
      </c>
      <c r="H19" s="78">
        <f>F19*G19</f>
        <v>41470.97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 t="shared" si="13"/>
        <v>1702.7586206896424</v>
      </c>
      <c r="O19" s="96">
        <f t="shared" si="14"/>
        <v>141.89655172413686</v>
      </c>
      <c r="P19" s="97">
        <f t="shared" si="15"/>
        <v>0</v>
      </c>
      <c r="Q19" s="98">
        <f t="shared" si="16"/>
        <v>-45.603448275863144</v>
      </c>
      <c r="R19" s="99">
        <f t="shared" si="17"/>
        <v>0.75678160919539661</v>
      </c>
      <c r="S19" s="796"/>
      <c r="T19" s="19">
        <v>0.54166666666666696</v>
      </c>
      <c r="U19" s="19">
        <v>0.561805555555556</v>
      </c>
      <c r="V19" s="30">
        <f>(T19-U18)*24*60</f>
        <v>95.000000000001108</v>
      </c>
      <c r="W19" s="149">
        <f t="shared" si="12"/>
        <v>29.000000000000217</v>
      </c>
      <c r="X19" s="22"/>
      <c r="Y19" s="84"/>
      <c r="Z19" s="90"/>
      <c r="AA19" s="90"/>
      <c r="AB19" s="788" t="s">
        <v>149</v>
      </c>
      <c r="AC19" s="788"/>
      <c r="AD19" s="149"/>
      <c r="AE19" s="149"/>
      <c r="AF19" s="307">
        <f>N19-K19</f>
        <v>-547.24137931035762</v>
      </c>
      <c r="AG19" s="72">
        <f>N19/K19</f>
        <v>0.75678160919539661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8">AVERAGE(J16:J25)</f>
        <v>13</v>
      </c>
      <c r="K26" s="155">
        <f t="shared" si="18"/>
        <v>2250</v>
      </c>
      <c r="L26" s="158">
        <f t="shared" si="18"/>
        <v>174.51923076923077</v>
      </c>
      <c r="M26" s="155">
        <f t="shared" si="18"/>
        <v>13</v>
      </c>
      <c r="N26" s="155">
        <f t="shared" si="18"/>
        <v>1999.0902089423146</v>
      </c>
      <c r="O26" s="158">
        <f t="shared" si="18"/>
        <v>154.83146113326853</v>
      </c>
      <c r="P26" s="159">
        <f t="shared" ref="P26:P31" si="19">M26-J26</f>
        <v>0</v>
      </c>
      <c r="Q26" s="160">
        <f t="shared" ref="Q26:Q31" si="20">O26-L26</f>
        <v>-19.68776963596224</v>
      </c>
      <c r="R26" s="161">
        <f t="shared" ref="R26:R31" si="21">O26/L26</f>
        <v>0.88718853762313643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2">N26-K26</f>
        <v>-250.90979105768542</v>
      </c>
      <c r="AG26" s="124">
        <f t="shared" ref="AG26:AG31" si="23">N26/K26</f>
        <v>0.88848453730769539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1408</v>
      </c>
      <c r="H27" s="134">
        <f>F27*G27</f>
        <v>65246.720000000001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1536.0000000000189</v>
      </c>
      <c r="O27" s="141">
        <f>N27/M27</f>
        <v>96.00000000000118</v>
      </c>
      <c r="P27" s="142">
        <f t="shared" si="19"/>
        <v>0</v>
      </c>
      <c r="Q27" s="143">
        <f t="shared" si="20"/>
        <v>-6.2499999999988205</v>
      </c>
      <c r="R27" s="144">
        <f t="shared" si="21"/>
        <v>0.93887530562348342</v>
      </c>
      <c r="S27" s="795">
        <f>R37</f>
        <v>0.9214133433130417</v>
      </c>
      <c r="T27" s="171">
        <v>0.29166666666666702</v>
      </c>
      <c r="U27" s="171">
        <v>0.32986111111111099</v>
      </c>
      <c r="V27" s="135"/>
      <c r="W27" s="146">
        <f t="shared" si="12"/>
        <v>54.999999999999325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22"/>
        <v>-99.999999999981128</v>
      </c>
      <c r="AG27" s="172">
        <f t="shared" si="23"/>
        <v>0.93887530562348342</v>
      </c>
      <c r="AH27" s="784">
        <f>AG37</f>
        <v>0.91095670938272377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1042</v>
      </c>
      <c r="H28" s="91">
        <f>F28*G28</f>
        <v>59612.82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1453.9534883720985</v>
      </c>
      <c r="O28" s="96">
        <f>N28/M28</f>
        <v>85.526675786594026</v>
      </c>
      <c r="P28" s="97">
        <f t="shared" si="19"/>
        <v>-1</v>
      </c>
      <c r="Q28" s="98">
        <f t="shared" si="20"/>
        <v>-5.3622131022948594</v>
      </c>
      <c r="R28" s="99">
        <f t="shared" si="21"/>
        <v>0.94100254532927419</v>
      </c>
      <c r="S28" s="796"/>
      <c r="T28" s="19">
        <v>0.33472222222222198</v>
      </c>
      <c r="U28" s="19">
        <v>0.36458333333333298</v>
      </c>
      <c r="V28" s="92">
        <f>(T28-U27)*24*60</f>
        <v>6.9999999999998153</v>
      </c>
      <c r="W28" s="149">
        <f t="shared" si="12"/>
        <v>42.999999999999844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22"/>
        <v>-182.04651162790151</v>
      </c>
      <c r="AG28" s="99">
        <f t="shared" si="23"/>
        <v>0.88872462614431447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1432</v>
      </c>
      <c r="H29" s="91">
        <f>F29*G29</f>
        <v>71471.12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1507.3684210526453</v>
      </c>
      <c r="O29" s="96">
        <f>N29/M29</f>
        <v>83.742690058480292</v>
      </c>
      <c r="P29" s="97">
        <f t="shared" si="19"/>
        <v>0</v>
      </c>
      <c r="Q29" s="98">
        <f t="shared" si="20"/>
        <v>-7.1461988304085935</v>
      </c>
      <c r="R29" s="99">
        <f t="shared" si="21"/>
        <v>0.92137434049672695</v>
      </c>
      <c r="S29" s="796"/>
      <c r="T29" s="19">
        <v>0.37152777777777801</v>
      </c>
      <c r="U29" s="19">
        <v>0.41111111111111098</v>
      </c>
      <c r="V29" s="92">
        <f>(T29-U28)*24*60</f>
        <v>10.000000000000844</v>
      </c>
      <c r="W29" s="149">
        <f t="shared" si="12"/>
        <v>56.999999999999474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2"/>
        <v>-128.63157894735468</v>
      </c>
      <c r="AG29" s="99">
        <f t="shared" si="23"/>
        <v>0.92137434049672695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1401</v>
      </c>
      <c r="H30" s="91">
        <f>F30*G30</f>
        <v>63969.659999999996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1378.0327868852505</v>
      </c>
      <c r="O30" s="96">
        <f>N30/M30</f>
        <v>81.060752169720615</v>
      </c>
      <c r="P30" s="97">
        <f t="shared" si="19"/>
        <v>0</v>
      </c>
      <c r="Q30" s="98">
        <f t="shared" si="20"/>
        <v>-15.174541947926443</v>
      </c>
      <c r="R30" s="99">
        <f t="shared" si="21"/>
        <v>0.84231832939196238</v>
      </c>
      <c r="S30" s="796"/>
      <c r="T30" s="19">
        <v>0.41736111111111102</v>
      </c>
      <c r="U30" s="19">
        <v>0.45972222222222198</v>
      </c>
      <c r="V30" s="92">
        <f>(T30-U29)*24*60</f>
        <v>9.000000000000048</v>
      </c>
      <c r="W30" s="149">
        <f t="shared" si="12"/>
        <v>60.999999999999787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2"/>
        <v>-257.96721311474948</v>
      </c>
      <c r="AG30" s="99">
        <f t="shared" si="23"/>
        <v>0.84231832939196238</v>
      </c>
      <c r="AH30" s="806"/>
    </row>
    <row r="31" spans="1:34" ht="15" customHeight="1">
      <c r="A31" s="793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3100</v>
      </c>
      <c r="H31" s="91">
        <f>F31*G31</f>
        <v>141546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>K31/J31</f>
        <v>96.235294117647058</v>
      </c>
      <c r="M31" s="94">
        <v>17</v>
      </c>
      <c r="N31" s="95">
        <f>G31/W31*60</f>
        <v>1576.2711864406688</v>
      </c>
      <c r="O31" s="96">
        <f>N31/M31</f>
        <v>92.721834496509928</v>
      </c>
      <c r="P31" s="97">
        <f t="shared" si="19"/>
        <v>0</v>
      </c>
      <c r="Q31" s="98">
        <f t="shared" si="20"/>
        <v>-3.5134596211371303</v>
      </c>
      <c r="R31" s="99">
        <f t="shared" si="21"/>
        <v>0.96349094525713253</v>
      </c>
      <c r="S31" s="796"/>
      <c r="T31" s="19">
        <v>0.52708333333333302</v>
      </c>
      <c r="U31" s="19">
        <v>0.60902777777777795</v>
      </c>
      <c r="V31" s="92">
        <f>(T31-U30)*24*60</f>
        <v>96.999999999999901</v>
      </c>
      <c r="W31" s="149">
        <f t="shared" si="12"/>
        <v>118.0000000000007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2"/>
        <v>-59.728813559331229</v>
      </c>
      <c r="AG31" s="99">
        <f t="shared" si="23"/>
        <v>0.96349094525713253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4">AVERAGE(J27:J36)</f>
        <v>17.2</v>
      </c>
      <c r="K37" s="155">
        <f t="shared" si="24"/>
        <v>1636</v>
      </c>
      <c r="L37" s="158">
        <f t="shared" si="24"/>
        <v>95.299673202614386</v>
      </c>
      <c r="M37" s="155">
        <f t="shared" si="24"/>
        <v>17</v>
      </c>
      <c r="N37" s="155">
        <f t="shared" si="24"/>
        <v>1490.3251765501361</v>
      </c>
      <c r="O37" s="158">
        <f t="shared" si="24"/>
        <v>87.810390502261214</v>
      </c>
      <c r="P37" s="159">
        <f>M37-J37</f>
        <v>-0.19999999999999929</v>
      </c>
      <c r="Q37" s="160">
        <f>N37-K37</f>
        <v>-145.67482344986388</v>
      </c>
      <c r="R37" s="161">
        <f>O37/L37</f>
        <v>0.9214133433130417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-145.67482344986388</v>
      </c>
      <c r="AG37" s="124">
        <f>N37/K37</f>
        <v>0.91095670938272377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2262</v>
      </c>
      <c r="H38" s="134">
        <f>F38*G38</f>
        <v>112896.42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1596.7058823529349</v>
      </c>
      <c r="O38" s="141">
        <f>N38/M38</f>
        <v>99.794117647058428</v>
      </c>
      <c r="P38" s="142">
        <f>M38-J38</f>
        <v>0</v>
      </c>
      <c r="Q38" s="143">
        <f>O38-L38</f>
        <v>-7.3308823529415719</v>
      </c>
      <c r="R38" s="144">
        <f>O38/L38</f>
        <v>0.93156702587685813</v>
      </c>
      <c r="S38" s="817">
        <f>R48</f>
        <v>0.94165507965127793</v>
      </c>
      <c r="T38" s="191">
        <v>0.33333333333333298</v>
      </c>
      <c r="U38" s="191">
        <v>0.39236111111111099</v>
      </c>
      <c r="V38" s="192"/>
      <c r="W38" s="193">
        <f t="shared" si="12"/>
        <v>85.000000000000341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-117.29411764706515</v>
      </c>
      <c r="AG38" s="195">
        <f>N38/K38</f>
        <v>0.93156702587685813</v>
      </c>
      <c r="AH38" s="807">
        <f>AG48</f>
        <v>0.94230026338894046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2912</v>
      </c>
      <c r="H39" s="91">
        <f>F39*G39</f>
        <v>129001.59999999999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1560.0000000000155</v>
      </c>
      <c r="O39" s="203">
        <f>N39/M39</f>
        <v>86.666666666667524</v>
      </c>
      <c r="P39" s="97">
        <f>M39-J39</f>
        <v>0</v>
      </c>
      <c r="Q39" s="98">
        <f>O39-L39</f>
        <v>-4.2222222222213617</v>
      </c>
      <c r="R39" s="99">
        <f>O39/L39</f>
        <v>0.95354523227384813</v>
      </c>
      <c r="S39" s="818"/>
      <c r="T39" s="20">
        <v>0.39791666666666697</v>
      </c>
      <c r="U39" s="20">
        <v>0.47569444444444398</v>
      </c>
      <c r="V39" s="92">
        <f>(T39-U38)*24*60</f>
        <v>8.0000000000006111</v>
      </c>
      <c r="W39" s="205">
        <f t="shared" si="12"/>
        <v>111.99999999999888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-75.999999999984539</v>
      </c>
      <c r="AG39" s="206">
        <f>N39/K39</f>
        <v>0.95354523227384813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6">AVERAGE(J38:J47)</f>
        <v>17</v>
      </c>
      <c r="K48" s="155">
        <f t="shared" si="26"/>
        <v>1675</v>
      </c>
      <c r="L48" s="158">
        <f t="shared" si="26"/>
        <v>99.006944444444443</v>
      </c>
      <c r="M48" s="155">
        <f t="shared" si="26"/>
        <v>17</v>
      </c>
      <c r="N48" s="155">
        <f t="shared" si="26"/>
        <v>1578.3529411764753</v>
      </c>
      <c r="O48" s="158">
        <f t="shared" si="26"/>
        <v>93.230392156862976</v>
      </c>
      <c r="P48" s="221">
        <f>M48-J48</f>
        <v>0</v>
      </c>
      <c r="Q48" s="222">
        <f>N48-K48</f>
        <v>-96.647058823524731</v>
      </c>
      <c r="R48" s="223">
        <f>O48/L48</f>
        <v>0.94165507965127793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7">N48-K48</f>
        <v>-96.647058823524731</v>
      </c>
      <c r="AG48" s="162">
        <f t="shared" ref="AG48:AG53" si="28">N48/K48</f>
        <v>0.94230026338894046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2023</v>
      </c>
      <c r="H49" s="134">
        <f>F49*G49</f>
        <v>100178.96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1618.400000000011</v>
      </c>
      <c r="O49" s="141">
        <f>N49/M49</f>
        <v>95.200000000000642</v>
      </c>
      <c r="P49" s="229">
        <f>M49-J49</f>
        <v>0</v>
      </c>
      <c r="Q49" s="230">
        <f>O49-L49</f>
        <v>-10.682352941175822</v>
      </c>
      <c r="R49" s="52">
        <f>O49/L49</f>
        <v>0.89911111111111719</v>
      </c>
      <c r="S49" s="748">
        <f>R58</f>
        <v>0.87498439796736038</v>
      </c>
      <c r="T49" s="191">
        <v>0.29166666666666702</v>
      </c>
      <c r="U49" s="191">
        <v>0.34375</v>
      </c>
      <c r="V49" s="55"/>
      <c r="W49" s="193">
        <f t="shared" si="12"/>
        <v>74.999999999999488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7"/>
        <v>-181.599999999989</v>
      </c>
      <c r="AG49" s="52">
        <f t="shared" si="28"/>
        <v>0.89911111111111719</v>
      </c>
      <c r="AH49" s="784">
        <f>AG58</f>
        <v>0.8614611375343465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2076</v>
      </c>
      <c r="H50" s="231">
        <f>F50*G50</f>
        <v>104399.96400000001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1415.454545454548</v>
      </c>
      <c r="O50" s="235">
        <f>N50/M50</f>
        <v>83.262032085561643</v>
      </c>
      <c r="P50" s="74">
        <f>M50-J50</f>
        <v>0</v>
      </c>
      <c r="Q50" s="83">
        <f>O50-L50</f>
        <v>-12.973262032085415</v>
      </c>
      <c r="R50" s="72">
        <f>O50/L50</f>
        <v>0.86519226494776769</v>
      </c>
      <c r="S50" s="749"/>
      <c r="T50" s="21">
        <v>0.34861111111111098</v>
      </c>
      <c r="U50" s="21">
        <v>0.40972222222222199</v>
      </c>
      <c r="V50" s="30">
        <f>(T50-U49)*24*60</f>
        <v>6.9999999999998153</v>
      </c>
      <c r="W50" s="236">
        <f t="shared" si="12"/>
        <v>87.999999999999844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7"/>
        <v>-220.545454545452</v>
      </c>
      <c r="AG50" s="72">
        <f t="shared" si="28"/>
        <v>0.86519226494776769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1524</v>
      </c>
      <c r="H51" s="231">
        <f>F51*G51</f>
        <v>76154.28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1451.4285714285729</v>
      </c>
      <c r="O51" s="235">
        <f>N51/M51</f>
        <v>96.761904761904859</v>
      </c>
      <c r="P51" s="74">
        <f>M51-J51</f>
        <v>-1</v>
      </c>
      <c r="Q51" s="83">
        <f>O51-L51</f>
        <v>-15.738095238095141</v>
      </c>
      <c r="R51" s="72">
        <f>O51/L51</f>
        <v>0.86010582010582093</v>
      </c>
      <c r="S51" s="749"/>
      <c r="T51" s="21">
        <v>0.41458333333333303</v>
      </c>
      <c r="U51" s="19">
        <v>0.45833333333333298</v>
      </c>
      <c r="V51" s="30">
        <f>(T51-U50)*24*60</f>
        <v>6.9999999999998952</v>
      </c>
      <c r="W51" s="236">
        <f t="shared" si="12"/>
        <v>62.999999999999936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7"/>
        <v>-348.57142857142708</v>
      </c>
      <c r="AG51" s="72">
        <f t="shared" si="28"/>
        <v>0.80634920634920715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2469</v>
      </c>
      <c r="H52" s="231">
        <f>F52*G52</f>
        <v>123375.93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1575.9574468085295</v>
      </c>
      <c r="O52" s="235">
        <f>N52/M52</f>
        <v>98.497340425533096</v>
      </c>
      <c r="P52" s="74">
        <f>M52-J52</f>
        <v>0</v>
      </c>
      <c r="Q52" s="83">
        <f>O52-L52</f>
        <v>-14.002659574466904</v>
      </c>
      <c r="R52" s="72">
        <f>O52/L52</f>
        <v>0.87553191489362747</v>
      </c>
      <c r="S52" s="749"/>
      <c r="T52" s="21">
        <v>0.51805555555555605</v>
      </c>
      <c r="U52" s="21">
        <v>0.58333333333333304</v>
      </c>
      <c r="V52" s="30">
        <f>(T52-U51)*24*60</f>
        <v>86.000000000001208</v>
      </c>
      <c r="W52" s="236">
        <f t="shared" si="12"/>
        <v>93.999999999998863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7"/>
        <v>-224.04255319147046</v>
      </c>
      <c r="AG52" s="72">
        <f t="shared" si="28"/>
        <v>0.87553191489362747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7"/>
        <v>0</v>
      </c>
      <c r="AG53" s="72" t="e">
        <f t="shared" si="2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16.25</v>
      </c>
      <c r="N58" s="120">
        <f t="shared" si="29"/>
        <v>1515.3101409229155</v>
      </c>
      <c r="O58" s="117">
        <f t="shared" si="29"/>
        <v>93.430319318250056</v>
      </c>
      <c r="P58" s="121">
        <f>M58-J58</f>
        <v>-0.25</v>
      </c>
      <c r="Q58" s="122">
        <f>N58-K58</f>
        <v>-243.68985907708452</v>
      </c>
      <c r="R58" s="123">
        <f>O58/L58</f>
        <v>0.87498439796736038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-243.68985907708452</v>
      </c>
      <c r="AG58" s="124">
        <f>N58/K58</f>
        <v>0.8614611375343465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3072</v>
      </c>
      <c r="H59" s="243">
        <f>F59*G59</f>
        <v>82913.279999999999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1536.0000000000064</v>
      </c>
      <c r="O59" s="138">
        <f>N59/M59</f>
        <v>102.40000000000042</v>
      </c>
      <c r="P59" s="56">
        <f>M59-J59</f>
        <v>0</v>
      </c>
      <c r="Q59" s="230">
        <f>O59-L59</f>
        <v>-6.6666666666662451</v>
      </c>
      <c r="R59" s="52">
        <f>O59/L59</f>
        <v>0.93887530562347576</v>
      </c>
      <c r="S59" s="748">
        <f>R69</f>
        <v>0.88140302696373318</v>
      </c>
      <c r="T59" s="245">
        <v>0.29166666666666702</v>
      </c>
      <c r="U59" s="245">
        <v>0.375</v>
      </c>
      <c r="V59" s="55"/>
      <c r="W59" s="54">
        <f t="shared" si="12"/>
        <v>119.99999999999949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-99.999999999993634</v>
      </c>
      <c r="AG59" s="246">
        <f>N59/K59</f>
        <v>0.93887530562347576</v>
      </c>
      <c r="AH59" s="784">
        <f>AG69</f>
        <v>0.88446821515891949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1169</v>
      </c>
      <c r="H60" s="78">
        <f>F60*G60</f>
        <v>33035.94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1402.799999999967</v>
      </c>
      <c r="O60" s="81">
        <f>N60/M60</f>
        <v>127.52727272726973</v>
      </c>
      <c r="P60" s="74">
        <f>M60-J60</f>
        <v>0</v>
      </c>
      <c r="Q60" s="83">
        <f>O60-L60</f>
        <v>-21.200000000002987</v>
      </c>
      <c r="R60" s="72">
        <f>O60/L60</f>
        <v>0.85745721271391628</v>
      </c>
      <c r="S60" s="829"/>
      <c r="T60" s="22">
        <v>0.38194444444444398</v>
      </c>
      <c r="U60" s="22">
        <v>0.41666666666666702</v>
      </c>
      <c r="V60" s="30">
        <f>(T60-U59)*24*60</f>
        <v>9.999999999999325</v>
      </c>
      <c r="W60" s="248">
        <f t="shared" si="12"/>
        <v>50.00000000000118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-233.20000000003301</v>
      </c>
      <c r="AG60" s="249">
        <f>N60/K60</f>
        <v>0.85745721271391628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972</v>
      </c>
      <c r="H61" s="254">
        <f>F61*G61</f>
        <v>27468.720000000001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1457.9999999999875</v>
      </c>
      <c r="O61" s="238">
        <f>N61/M61</f>
        <v>132.5454545454534</v>
      </c>
      <c r="P61" s="111">
        <f>M61-J61</f>
        <v>0</v>
      </c>
      <c r="Q61" s="255">
        <f>O61-L61</f>
        <v>-16.181818181819324</v>
      </c>
      <c r="R61" s="85">
        <f>O61/L61</f>
        <v>0.89119804400977232</v>
      </c>
      <c r="S61" s="749"/>
      <c r="T61" s="22">
        <v>0.42361111111111099</v>
      </c>
      <c r="U61" s="22">
        <v>0.45138888888888901</v>
      </c>
      <c r="V61" s="30">
        <f>(T61-U60)*24*60</f>
        <v>9.999999999999325</v>
      </c>
      <c r="W61" s="256">
        <f t="shared" si="12"/>
        <v>40.000000000000341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-178.00000000001251</v>
      </c>
      <c r="AG61" s="247">
        <f>N61/K61</f>
        <v>0.89119804400977232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1152</v>
      </c>
      <c r="H62" s="254">
        <f t="shared" ref="H62:H63" si="30">F62*G62</f>
        <v>32555.52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1">K62/J62</f>
        <v>148.72727272727272</v>
      </c>
      <c r="M62" s="108">
        <v>11</v>
      </c>
      <c r="N62" s="107">
        <f t="shared" ref="N62:N63" si="32">G62/W62*60</f>
        <v>1382.4000000000094</v>
      </c>
      <c r="O62" s="238">
        <f t="shared" ref="O62:O63" si="33">N62/M62</f>
        <v>125.67272727272812</v>
      </c>
      <c r="P62" s="111">
        <f t="shared" ref="P62:P63" si="34">M62-J62</f>
        <v>0</v>
      </c>
      <c r="Q62" s="255">
        <f t="shared" ref="Q62:Q63" si="35">O62-L62</f>
        <v>-23.054545454544595</v>
      </c>
      <c r="R62" s="85">
        <f t="shared" ref="R62:R63" si="36">O62/L62</f>
        <v>0.84498777506113043</v>
      </c>
      <c r="S62" s="749"/>
      <c r="T62" s="22">
        <v>0.46180555555555602</v>
      </c>
      <c r="U62" s="22">
        <v>0.49652777777777801</v>
      </c>
      <c r="V62" s="30">
        <f t="shared" ref="V62:V63" si="37">(T62-U61)*24*60</f>
        <v>15.000000000000506</v>
      </c>
      <c r="W62" s="248">
        <f t="shared" si="12"/>
        <v>49.999999999999659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-253.59999999999059</v>
      </c>
      <c r="AG62" s="247">
        <f>N62/K62</f>
        <v>0.84498777506113043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1941</v>
      </c>
      <c r="H63" s="254">
        <f t="shared" si="30"/>
        <v>54852.66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1"/>
        <v>148.72727272727272</v>
      </c>
      <c r="M63" s="68">
        <v>11</v>
      </c>
      <c r="N63" s="107">
        <f t="shared" si="32"/>
        <v>1455.7499999999909</v>
      </c>
      <c r="O63" s="238">
        <f t="shared" si="33"/>
        <v>132.34090909090827</v>
      </c>
      <c r="P63" s="111">
        <f t="shared" si="34"/>
        <v>0</v>
      </c>
      <c r="Q63" s="255">
        <f t="shared" si="35"/>
        <v>-16.38636363636445</v>
      </c>
      <c r="R63" s="85">
        <f t="shared" si="36"/>
        <v>0.88982273838630255</v>
      </c>
      <c r="S63" s="749"/>
      <c r="T63" s="22">
        <v>0.54861111111111105</v>
      </c>
      <c r="U63" s="22">
        <v>0.60416666666666696</v>
      </c>
      <c r="V63" s="30">
        <f t="shared" si="37"/>
        <v>74.999999999999574</v>
      </c>
      <c r="W63" s="248">
        <f t="shared" si="12"/>
        <v>80.000000000000512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8">AVERAGE(J59:J68)</f>
        <v>11.8</v>
      </c>
      <c r="K69" s="240">
        <f t="shared" si="38"/>
        <v>1636</v>
      </c>
      <c r="L69" s="268">
        <f t="shared" si="38"/>
        <v>140.79515151515153</v>
      </c>
      <c r="M69" s="240">
        <f t="shared" si="38"/>
        <v>11.8</v>
      </c>
      <c r="N69" s="240">
        <f t="shared" si="38"/>
        <v>1446.9899999999923</v>
      </c>
      <c r="O69" s="268">
        <f t="shared" si="38"/>
        <v>124.097272727272</v>
      </c>
      <c r="P69" s="269">
        <f>M69-J69</f>
        <v>0</v>
      </c>
      <c r="Q69" s="222">
        <f>N69-K69</f>
        <v>-189.01000000000772</v>
      </c>
      <c r="R69" s="123">
        <f>O69/L69</f>
        <v>0.88140302696373318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-189.01000000000772</v>
      </c>
      <c r="AG69" s="124">
        <f>N69/K69</f>
        <v>0.88446821515891949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1310</v>
      </c>
      <c r="H70" s="243">
        <f>F70*G70</f>
        <v>57495.9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893.18181818181984</v>
      </c>
      <c r="O70" s="138">
        <f>N70/M70</f>
        <v>99.24242424242442</v>
      </c>
      <c r="P70" s="56">
        <f>M70-J70</f>
        <v>-4</v>
      </c>
      <c r="Q70" s="230">
        <f>O70-L70</f>
        <v>-21.142191142190967</v>
      </c>
      <c r="R70" s="52">
        <f>O70/L70</f>
        <v>0.82437796495304627</v>
      </c>
      <c r="S70" s="748">
        <f>R79</f>
        <v>0.82437796495304627</v>
      </c>
      <c r="T70" s="245">
        <v>0.297222222222222</v>
      </c>
      <c r="U70" s="245">
        <v>0.358333333333333</v>
      </c>
      <c r="V70" s="55"/>
      <c r="W70" s="54">
        <f t="shared" si="12"/>
        <v>87.999999999999844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-671.81818181818016</v>
      </c>
      <c r="AG70" s="246">
        <f>N70/K70</f>
        <v>0.57072320650595521</v>
      </c>
      <c r="AH70" s="784">
        <f>AG79</f>
        <v>0.57072320650595521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9">AVERAGE(J70:J78)</f>
        <v>13</v>
      </c>
      <c r="K79" s="240">
        <f t="shared" si="39"/>
        <v>1565</v>
      </c>
      <c r="L79" s="268">
        <f t="shared" si="39"/>
        <v>120.38461538461539</v>
      </c>
      <c r="M79" s="240">
        <f t="shared" si="39"/>
        <v>9</v>
      </c>
      <c r="N79" s="240">
        <f t="shared" si="39"/>
        <v>893.18181818181984</v>
      </c>
      <c r="O79" s="268">
        <f t="shared" si="39"/>
        <v>99.24242424242442</v>
      </c>
      <c r="P79" s="269">
        <f>M79-J79</f>
        <v>-4</v>
      </c>
      <c r="Q79" s="222">
        <f>N79-K79</f>
        <v>-671.81818181818016</v>
      </c>
      <c r="R79" s="223">
        <f>O79/L79</f>
        <v>0.82437796495304627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-671.81818181818016</v>
      </c>
      <c r="AG79" s="124">
        <f>N79/K79</f>
        <v>0.57072320650595521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18" priority="1" operator="greaterThan">
      <formula>0</formula>
    </cfRule>
  </conditionalFormatting>
  <conditionalFormatting sqref="Q5:Q79 AF5:AF79">
    <cfRule type="cellIs" dxfId="117" priority="4" operator="lessThan">
      <formula>0</formula>
    </cfRule>
  </conditionalFormatting>
  <conditionalFormatting sqref="R5:R79 AG5:AG79">
    <cfRule type="cellIs" dxfId="116" priority="2" operator="greaterThan">
      <formula>1</formula>
    </cfRule>
    <cfRule type="cellIs" dxfId="115" priority="3" operator="lessThan">
      <formula>0.8</formula>
    </cfRule>
  </conditionalFormatting>
  <conditionalFormatting sqref="S5:S10 S37:S62 AH59:AH62 S69:S76 AH69:AH76">
    <cfRule type="cellIs" dxfId="114" priority="7" operator="lessThan">
      <formula>0.8</formula>
    </cfRule>
  </conditionalFormatting>
  <conditionalFormatting sqref="S19:S25 AH19:AH25">
    <cfRule type="cellIs" dxfId="113" priority="6" operator="lessThan">
      <formula>0.8</formula>
    </cfRule>
  </conditionalFormatting>
  <conditionalFormatting sqref="S79">
    <cfRule type="cellIs" dxfId="112" priority="5" operator="lessThan">
      <formula>0.8</formula>
    </cfRule>
  </conditionalFormatting>
  <conditionalFormatting sqref="AH5:AH8 S15:S16 AH15:AH16 AH49 AH79">
    <cfRule type="cellIs" dxfId="111" priority="9" operator="lessThan">
      <formula>0.8</formula>
    </cfRule>
  </conditionalFormatting>
  <conditionalFormatting sqref="AH27 S27:S28">
    <cfRule type="cellIs" dxfId="1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C54D-45B9-4D05-936D-7D91F640C91D}">
  <dimension ref="B1:O26"/>
  <sheetViews>
    <sheetView topLeftCell="B1" zoomScale="70" zoomScaleNormal="70" workbookViewId="0">
      <selection activeCell="R21" sqref="R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DATE(2026,8,21)</f>
        <v>46255</v>
      </c>
      <c r="E3" s="706"/>
      <c r="F3" s="3" t="s">
        <v>72</v>
      </c>
      <c r="G3" s="707">
        <f>'0821'!E1</f>
        <v>39573</v>
      </c>
      <c r="H3" s="707"/>
      <c r="I3" s="3" t="s">
        <v>2</v>
      </c>
      <c r="J3" s="708">
        <f>'0821'!G1</f>
        <v>1831667.2569999995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125.83937804570157</v>
      </c>
      <c r="G6" s="713"/>
      <c r="H6" s="714">
        <f>AVERAGE(D13:H13)</f>
        <v>123.93917588402883</v>
      </c>
      <c r="I6" s="714"/>
      <c r="J6" s="714">
        <f>AVERAGE(I13:J13)</f>
        <v>130.58988344988347</v>
      </c>
      <c r="K6" s="714"/>
      <c r="L6" s="716">
        <f>'0821'!Z2</f>
        <v>0</v>
      </c>
      <c r="M6" s="717">
        <f>'0821'!AA2</f>
        <v>0</v>
      </c>
      <c r="N6" s="718">
        <f>'0821'!AD2</f>
        <v>1</v>
      </c>
      <c r="O6" s="717">
        <f>'0821'!AE2</f>
        <v>1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113.28645672307327</v>
      </c>
      <c r="G7" s="737"/>
      <c r="H7" s="738">
        <f>AVERAGE(D14:H14)</f>
        <v>114.31045198579886</v>
      </c>
      <c r="I7" s="738"/>
      <c r="J7" s="738">
        <f>AVERAGE(I14:J14)</f>
        <v>110.72646856625931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0.89946739101053941</v>
      </c>
      <c r="G8" s="710"/>
      <c r="H8" s="710">
        <f>AVERAGE(D15:H15)</f>
        <v>0.91819464986653954</v>
      </c>
      <c r="I8" s="710"/>
      <c r="J8" s="710">
        <f>AVERAGE(I15:J15)</f>
        <v>0.85264924387053931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VALUE('0821'!L15)</f>
        <v>151.35746606334843</v>
      </c>
      <c r="E13" s="13">
        <f>VALUE('0821'!L26)</f>
        <v>170.19230769230771</v>
      </c>
      <c r="F13" s="13">
        <f>VALUE('0821'!L37)</f>
        <v>95.065767973856225</v>
      </c>
      <c r="G13" s="13">
        <f>VALUE('0821'!L48)</f>
        <v>96.300925925925924</v>
      </c>
      <c r="H13" s="13">
        <f>VALUE('0821'!L58)</f>
        <v>106.77941176470588</v>
      </c>
      <c r="I13" s="13">
        <f>VALUE('0821'!L69)</f>
        <v>140.79515151515153</v>
      </c>
      <c r="J13" s="13">
        <f>'0821'!L79</f>
        <v>120.38461538461539</v>
      </c>
    </row>
    <row r="14" spans="2:15" ht="39.950000000000003" customHeight="1">
      <c r="B14" s="731"/>
      <c r="C14" s="12" t="s">
        <v>100</v>
      </c>
      <c r="D14" s="13">
        <f>VALUE('0821'!O15)</f>
        <v>139.34605991296539</v>
      </c>
      <c r="E14" s="13">
        <f>VALUE('0821'!O26)</f>
        <v>162.68910116387357</v>
      </c>
      <c r="F14" s="13">
        <f>VALUE('0821'!O37)</f>
        <v>86.26713856493248</v>
      </c>
      <c r="G14" s="13">
        <f>VALUE('0821'!O48)</f>
        <v>89.121763356276645</v>
      </c>
      <c r="H14" s="13">
        <f>VALUE('0821'!O58)</f>
        <v>94.128196930946203</v>
      </c>
      <c r="I14" s="13">
        <f>VALUE('0821'!O69)</f>
        <v>111.48278787878783</v>
      </c>
      <c r="J14" s="13">
        <f>'0821'!O79</f>
        <v>109.9701492537308</v>
      </c>
    </row>
    <row r="15" spans="2:15" ht="39.950000000000003" customHeight="1">
      <c r="B15" s="732"/>
      <c r="C15" s="10" t="s">
        <v>26</v>
      </c>
      <c r="D15" s="14">
        <f t="shared" ref="D15:I15" si="0">D14/D13</f>
        <v>0.9206421297687698</v>
      </c>
      <c r="E15" s="14">
        <f t="shared" si="0"/>
        <v>0.95591336277078254</v>
      </c>
      <c r="F15" s="14">
        <f t="shared" si="0"/>
        <v>0.90744692231021129</v>
      </c>
      <c r="G15" s="14">
        <f t="shared" si="0"/>
        <v>0.92545074202950606</v>
      </c>
      <c r="H15" s="14">
        <f t="shared" si="0"/>
        <v>0.88152009245342811</v>
      </c>
      <c r="I15" s="14">
        <f t="shared" si="0"/>
        <v>0.79180843004235646</v>
      </c>
      <c r="J15" s="15">
        <f>'0821'!S70</f>
        <v>0.91349005769872227</v>
      </c>
    </row>
    <row r="16" spans="2:15" ht="17.25" customHeight="1">
      <c r="B16" s="733" t="s">
        <v>101</v>
      </c>
      <c r="C16" s="10" t="s">
        <v>34</v>
      </c>
      <c r="D16" s="16">
        <f>'0821'!T5</f>
        <v>0.29375000000000001</v>
      </c>
      <c r="E16" s="16">
        <f>'0821'!T16</f>
        <v>0.29166666666666702</v>
      </c>
      <c r="F16" s="16">
        <f>'0821'!T27</f>
        <v>0.29166666666666702</v>
      </c>
      <c r="G16" s="16">
        <f>'0821'!T38</f>
        <v>0.33333333333333298</v>
      </c>
      <c r="H16" s="16">
        <f>'0821'!T49</f>
        <v>0.29166666666666702</v>
      </c>
      <c r="I16" s="16">
        <f>'0821'!T59</f>
        <v>0.29166666666666702</v>
      </c>
      <c r="J16" s="17">
        <f>'0821'!T70</f>
        <v>0.297222222222222</v>
      </c>
    </row>
    <row r="17" spans="2:10" ht="17.25" customHeight="1">
      <c r="B17" s="734"/>
      <c r="C17" s="10" t="s">
        <v>35</v>
      </c>
      <c r="D17" s="16">
        <v>0.47222222222222199</v>
      </c>
      <c r="E17" s="183">
        <v>0.46875</v>
      </c>
      <c r="F17" s="19">
        <v>0.41180555555555598</v>
      </c>
      <c r="G17" s="328">
        <v>0.56597222222222199</v>
      </c>
      <c r="H17" s="21">
        <v>0.55902777777777801</v>
      </c>
      <c r="I17" s="22">
        <v>0.58333333333333304</v>
      </c>
      <c r="J17" s="110">
        <v>0.34375</v>
      </c>
    </row>
    <row r="18" spans="2:10" ht="17.25" customHeight="1">
      <c r="B18" s="735" t="s">
        <v>102</v>
      </c>
      <c r="C18" s="330" t="s">
        <v>36</v>
      </c>
      <c r="D18" s="386">
        <f>'0821'!Z15</f>
        <v>0</v>
      </c>
      <c r="E18" s="387">
        <f>'0821'!Z26</f>
        <v>0</v>
      </c>
      <c r="F18" s="387">
        <f>'0821'!Z37</f>
        <v>0</v>
      </c>
      <c r="G18" s="388">
        <f>'0821'!Z48</f>
        <v>0</v>
      </c>
      <c r="H18" s="388">
        <f>'0821'!Z58</f>
        <v>0</v>
      </c>
      <c r="I18" s="387">
        <f>'0821'!Z69</f>
        <v>0</v>
      </c>
      <c r="J18" s="387">
        <f>'0821'!AA79</f>
        <v>0</v>
      </c>
    </row>
    <row r="19" spans="2:10" ht="17.25" customHeight="1">
      <c r="B19" s="736"/>
      <c r="C19" s="330" t="s">
        <v>37</v>
      </c>
      <c r="D19" s="386">
        <f>'0821'!AA15</f>
        <v>0</v>
      </c>
      <c r="E19" s="387">
        <f>'0821'!AA26</f>
        <v>0</v>
      </c>
      <c r="F19" s="387">
        <f>'0821'!AA37</f>
        <v>0</v>
      </c>
      <c r="G19" s="388">
        <f>'0821'!AA48</f>
        <v>0</v>
      </c>
      <c r="H19" s="388">
        <f>'0821'!AA58</f>
        <v>0</v>
      </c>
      <c r="I19" s="387">
        <f>'0821'!AA69</f>
        <v>0</v>
      </c>
      <c r="J19" s="387">
        <f>'0821'!AB79</f>
        <v>0</v>
      </c>
    </row>
    <row r="20" spans="2:10" ht="17.25" customHeight="1">
      <c r="B20" s="735" t="s">
        <v>103</v>
      </c>
      <c r="C20" s="330" t="s">
        <v>36</v>
      </c>
      <c r="D20" s="386">
        <f>'0821'!AD15</f>
        <v>0</v>
      </c>
      <c r="E20" s="387">
        <f>'0821'!AD26</f>
        <v>0</v>
      </c>
      <c r="F20" s="387">
        <f>'0821'!AD37</f>
        <v>0</v>
      </c>
      <c r="G20" s="388">
        <f>'0821'!AD48</f>
        <v>0</v>
      </c>
      <c r="H20" s="388">
        <f>'0821'!AD58</f>
        <v>1</v>
      </c>
      <c r="I20" s="387">
        <f>'0821'!AD69</f>
        <v>0</v>
      </c>
      <c r="J20" s="387">
        <f>'0821'!AD79</f>
        <v>0</v>
      </c>
    </row>
    <row r="21" spans="2:10" ht="17.25" customHeight="1">
      <c r="B21" s="736"/>
      <c r="C21" s="330" t="s">
        <v>85</v>
      </c>
      <c r="D21" s="386">
        <f>'0821'!AE15</f>
        <v>0</v>
      </c>
      <c r="E21" s="387">
        <f>'0821'!AE26</f>
        <v>0</v>
      </c>
      <c r="F21" s="387">
        <f>'0821'!AE37</f>
        <v>0</v>
      </c>
      <c r="G21" s="388">
        <f>'0821'!AE48</f>
        <v>0</v>
      </c>
      <c r="H21" s="388">
        <f>'0821'!AE58</f>
        <v>1</v>
      </c>
      <c r="I21" s="387">
        <f>'0821'!AE69</f>
        <v>0</v>
      </c>
      <c r="J21" s="387">
        <f>'0821'!AE79</f>
        <v>0</v>
      </c>
    </row>
    <row r="22" spans="2:10" ht="17.25" customHeight="1">
      <c r="B22" s="719" t="s">
        <v>104</v>
      </c>
      <c r="C22" s="720"/>
      <c r="D22" s="23">
        <f>VALUE('0821'!M15)</f>
        <v>14.25</v>
      </c>
      <c r="E22" s="23">
        <f>VALUE('0821'!M26)</f>
        <v>13</v>
      </c>
      <c r="F22" s="23">
        <f>VALUE('0821'!M37)</f>
        <v>16.5</v>
      </c>
      <c r="G22" s="23">
        <f>VALUE('0821'!M48)</f>
        <v>17.333333333333332</v>
      </c>
      <c r="H22" s="23">
        <f>VALUE('0821'!M58)</f>
        <v>16.5</v>
      </c>
      <c r="I22" s="23">
        <f>VALUE('0821'!M69)</f>
        <v>11.8</v>
      </c>
      <c r="J22" s="23">
        <f>'0821'!M79</f>
        <v>10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0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6A023-C54D-4ADD-87A1-165E15FA7571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8" sqref="U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39573</v>
      </c>
      <c r="F1" s="30" t="s">
        <v>2</v>
      </c>
      <c r="G1" s="31">
        <f>SUM(H5:H79)</f>
        <v>1831667.2569999995</v>
      </c>
      <c r="H1" s="32" t="s">
        <v>3</v>
      </c>
      <c r="I1" s="33">
        <f>M15+M26+M48+M58+M69+M79+M37</f>
        <v>99.383333333333326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180</v>
      </c>
      <c r="B2" s="739"/>
      <c r="C2" s="28"/>
      <c r="D2" s="28" t="s">
        <v>14</v>
      </c>
      <c r="E2" s="35">
        <f>AVERAGE(O15,O26,O37,O48,O58,O69,O79)</f>
        <v>113.28645672307327</v>
      </c>
      <c r="F2" s="36" t="s">
        <v>15</v>
      </c>
      <c r="G2" s="37">
        <f>G1/E1</f>
        <v>46.285782149445318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1</v>
      </c>
      <c r="AE2" s="340">
        <f>AE15+AE26+AE37+AE48+AE58+AE69+AE79</f>
        <v>1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927</v>
      </c>
      <c r="H5" s="43">
        <f>F5*G5</f>
        <v>52718.49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1917.9310344827495</v>
      </c>
      <c r="O5" s="47">
        <f>N5/M5</f>
        <v>136.99507389162497</v>
      </c>
      <c r="P5" s="49">
        <f>M5-J5</f>
        <v>-1</v>
      </c>
      <c r="Q5" s="50">
        <f>O5-L5</f>
        <v>-13.004926108375031</v>
      </c>
      <c r="R5" s="51">
        <f>O5/L5</f>
        <v>0.91330049261083313</v>
      </c>
      <c r="S5" s="748">
        <f>R15</f>
        <v>0.9206421297687698</v>
      </c>
      <c r="T5" s="319">
        <v>0.29375000000000001</v>
      </c>
      <c r="U5" s="320">
        <v>0.31388888888888899</v>
      </c>
      <c r="V5" s="53"/>
      <c r="W5" s="54">
        <f t="shared" ref="W5:W14" si="0">(U5-T5)*24*60</f>
        <v>29.000000000000135</v>
      </c>
      <c r="X5" s="55"/>
      <c r="Y5" s="290"/>
      <c r="Z5" s="169"/>
      <c r="AA5" s="169"/>
      <c r="AB5" s="791" t="s">
        <v>181</v>
      </c>
      <c r="AC5" s="791"/>
      <c r="AD5" s="135"/>
      <c r="AE5" s="135"/>
      <c r="AF5" s="229">
        <f t="shared" ref="AF5:AF11" si="1">N5-K5</f>
        <v>-332.06896551725049</v>
      </c>
      <c r="AG5" s="52">
        <f t="shared" ref="AG5:AG11" si="2">N5/K5</f>
        <v>0.85241379310344423</v>
      </c>
      <c r="AH5" s="784">
        <f>AG15</f>
        <v>0.87486821634775658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862</v>
      </c>
      <c r="H6" s="63">
        <f>F6*G6</f>
        <v>43677.54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1847.1428571429008</v>
      </c>
      <c r="O6" s="67">
        <f>N6/M6</f>
        <v>115.4464285714313</v>
      </c>
      <c r="P6" s="69">
        <f>M6-J6</f>
        <v>-1</v>
      </c>
      <c r="Q6" s="70">
        <f>O6-L6</f>
        <v>-16.906512605039282</v>
      </c>
      <c r="R6" s="71">
        <f>O6/L6</f>
        <v>0.87226190476192544</v>
      </c>
      <c r="S6" s="749"/>
      <c r="T6" s="16">
        <v>0.32638888888888901</v>
      </c>
      <c r="U6" s="16">
        <v>0.34583333333333299</v>
      </c>
      <c r="V6" s="30">
        <f>(T6-U5)*24*60</f>
        <v>18.000000000000014</v>
      </c>
      <c r="W6" s="73">
        <f t="shared" si="0"/>
        <v>27.999999999999339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-402.85714285709923</v>
      </c>
      <c r="AG6" s="72">
        <f t="shared" si="2"/>
        <v>0.82095238095240031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1634</v>
      </c>
      <c r="H7" s="78">
        <f>F7*G7</f>
        <v>95049.78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2085.9574468085034</v>
      </c>
      <c r="O7" s="81">
        <f>N7/M7</f>
        <v>160.45826513911564</v>
      </c>
      <c r="P7" s="74">
        <f>M7-J7</f>
        <v>0</v>
      </c>
      <c r="Q7" s="83">
        <f>O7-L7</f>
        <v>-12.618657937807427</v>
      </c>
      <c r="R7" s="72">
        <f>O7/L7</f>
        <v>0.92709219858155711</v>
      </c>
      <c r="S7" s="749"/>
      <c r="T7" s="18">
        <v>0.35416666666666702</v>
      </c>
      <c r="U7" s="18">
        <v>0.38680555555555601</v>
      </c>
      <c r="V7" s="30">
        <f>(T7-U6)*24*60</f>
        <v>12.000000000000997</v>
      </c>
      <c r="W7" s="73">
        <f t="shared" si="0"/>
        <v>47.000000000000156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-164.04255319149661</v>
      </c>
      <c r="AG7" s="72">
        <f t="shared" si="2"/>
        <v>0.92709219858155711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3877</v>
      </c>
      <c r="H8" s="78">
        <f>F8*G8</f>
        <v>190515.78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14</v>
      </c>
      <c r="N8" s="80">
        <f>G8/W8*60</f>
        <v>2022.7826086956552</v>
      </c>
      <c r="O8" s="81">
        <f>N8/M8</f>
        <v>144.48447204968966</v>
      </c>
      <c r="P8" s="74">
        <f>M8-J8</f>
        <v>-1</v>
      </c>
      <c r="Q8" s="83">
        <f>O8-L8</f>
        <v>-5.5155279503103429</v>
      </c>
      <c r="R8" s="72">
        <f>O8/L8</f>
        <v>0.9632298136645977</v>
      </c>
      <c r="S8" s="749"/>
      <c r="T8" s="16">
        <v>0.39236111111111099</v>
      </c>
      <c r="U8" s="16">
        <v>0.47222222222222199</v>
      </c>
      <c r="V8" s="30">
        <f>(T8-U7)*24*60</f>
        <v>7.9999999999991722</v>
      </c>
      <c r="W8" s="73">
        <f t="shared" si="0"/>
        <v>114.99999999999983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-227.2173913043448</v>
      </c>
      <c r="AG8" s="72">
        <f t="shared" si="2"/>
        <v>0.89901449275362455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151.35746606334843</v>
      </c>
      <c r="M15" s="120">
        <f t="shared" si="3"/>
        <v>14.25</v>
      </c>
      <c r="N15" s="120">
        <f t="shared" si="3"/>
        <v>1968.4534867824523</v>
      </c>
      <c r="O15" s="117">
        <f t="shared" si="3"/>
        <v>139.34605991296539</v>
      </c>
      <c r="P15" s="121">
        <f>M15-J15</f>
        <v>-0.75</v>
      </c>
      <c r="Q15" s="122">
        <f>O15-L15</f>
        <v>-12.011406150383038</v>
      </c>
      <c r="R15" s="123">
        <f>O15/L15</f>
        <v>0.9206421297687698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-281.54651321754773</v>
      </c>
      <c r="AG15" s="124">
        <f>N15/K15</f>
        <v>0.87486821634775658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1355</v>
      </c>
      <c r="H16" s="134">
        <f>F16*G16</f>
        <v>77058.849999999991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2032.50000000006</v>
      </c>
      <c r="O16" s="141">
        <f>N16/M16</f>
        <v>145.17857142857571</v>
      </c>
      <c r="P16" s="142">
        <f>M16-J16</f>
        <v>-1</v>
      </c>
      <c r="Q16" s="143">
        <f>O16-L16</f>
        <v>-4.8214285714242919</v>
      </c>
      <c r="R16" s="144">
        <f>O16/L16</f>
        <v>0.96785714285717139</v>
      </c>
      <c r="S16" s="795">
        <f>R26</f>
        <v>0.95591336277078254</v>
      </c>
      <c r="T16" s="145">
        <v>0.29166666666666702</v>
      </c>
      <c r="U16" s="145">
        <v>0.31944444444444398</v>
      </c>
      <c r="V16" s="135"/>
      <c r="W16" s="146">
        <f t="shared" ref="W16:W78" si="4">(U16-T16)*24*60</f>
        <v>39.99999999999882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-217.49999999993997</v>
      </c>
      <c r="AG16" s="52">
        <f>N16/K16</f>
        <v>0.90333333333335997</v>
      </c>
      <c r="AH16" s="784">
        <f>AG26</f>
        <v>0.93523049042927775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2907</v>
      </c>
      <c r="H17" s="78">
        <f>F17*G17</f>
        <v>147297.69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2153.3333333333326</v>
      </c>
      <c r="O17" s="96">
        <f>N17/M17</f>
        <v>165.64102564102558</v>
      </c>
      <c r="P17" s="97">
        <f>M17-J17</f>
        <v>0</v>
      </c>
      <c r="Q17" s="98">
        <f>O17-L17</f>
        <v>-7.4358974358974876</v>
      </c>
      <c r="R17" s="99">
        <f>O17/L17</f>
        <v>0.95703703703703669</v>
      </c>
      <c r="S17" s="796"/>
      <c r="T17" s="19">
        <v>0.327083333333333</v>
      </c>
      <c r="U17" s="19">
        <v>0.38333333333333303</v>
      </c>
      <c r="V17" s="30">
        <f>(T17-U16)*24*60</f>
        <v>11.000000000000201</v>
      </c>
      <c r="W17" s="149">
        <f t="shared" si="4"/>
        <v>81.000000000000028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-96.666666666667425</v>
      </c>
      <c r="AG17" s="72">
        <f>N17/K17</f>
        <v>0.95703703703703669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3864</v>
      </c>
      <c r="H18" s="78">
        <f>F18*G18</f>
        <v>194706.96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2126.9724770642324</v>
      </c>
      <c r="O18" s="96">
        <f>N18/M18</f>
        <v>177.24770642201938</v>
      </c>
      <c r="P18" s="97">
        <f>M18-J18</f>
        <v>0</v>
      </c>
      <c r="Q18" s="98">
        <f>O18-L18</f>
        <v>-10.252293577980623</v>
      </c>
      <c r="R18" s="99">
        <f>O18/L18</f>
        <v>0.94532110091743671</v>
      </c>
      <c r="S18" s="796"/>
      <c r="T18" s="19">
        <v>0.39305555555555599</v>
      </c>
      <c r="U18" s="19">
        <v>0.46875</v>
      </c>
      <c r="V18" s="30">
        <f>(T18-U17)*24*60</f>
        <v>14.000000000001069</v>
      </c>
      <c r="W18" s="149">
        <f t="shared" si="4"/>
        <v>108.99999999999937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-123.02752293576759</v>
      </c>
      <c r="AG18" s="72">
        <f>N18/K18</f>
        <v>0.9453211009174366</v>
      </c>
      <c r="AH18" s="785"/>
    </row>
    <row r="19" spans="1:34" ht="15" customHeight="1">
      <c r="A19" s="80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96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0</v>
      </c>
      <c r="AG19" s="72" t="e">
        <f>N19/K19</f>
        <v>#DIV/0!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</v>
      </c>
      <c r="N26" s="155">
        <f t="shared" si="5"/>
        <v>2104.268603465875</v>
      </c>
      <c r="O26" s="158">
        <f t="shared" si="5"/>
        <v>162.68910116387357</v>
      </c>
      <c r="P26" s="159">
        <f>M26-J26</f>
        <v>-0.33333333333333393</v>
      </c>
      <c r="Q26" s="160">
        <f>O26-L26</f>
        <v>-7.5032065284341343</v>
      </c>
      <c r="R26" s="161">
        <f>O26/L26</f>
        <v>0.95591336277078254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6">N26-K26</f>
        <v>-145.731396534125</v>
      </c>
      <c r="AG26" s="124">
        <f t="shared" ref="AG26:AG31" si="7">N26/K26</f>
        <v>0.93523049042927775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997</v>
      </c>
      <c r="H27" s="134">
        <f>F27*G27</f>
        <v>46200.98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1533.846153846175</v>
      </c>
      <c r="O27" s="141">
        <f>N27/M27</f>
        <v>95.865384615385935</v>
      </c>
      <c r="P27" s="142">
        <f>M27-J27</f>
        <v>0</v>
      </c>
      <c r="Q27" s="143">
        <f>O27-L27</f>
        <v>-6.3846153846140652</v>
      </c>
      <c r="R27" s="144">
        <f>O27/L27</f>
        <v>0.93755877374460572</v>
      </c>
      <c r="S27" s="795">
        <f>R37</f>
        <v>0.90744692231021129</v>
      </c>
      <c r="T27" s="171">
        <v>0.29166666666666702</v>
      </c>
      <c r="U27" s="171">
        <v>0.31874999999999998</v>
      </c>
      <c r="V27" s="135"/>
      <c r="W27" s="146">
        <f t="shared" si="4"/>
        <v>38.99999999999946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6"/>
        <v>-102.15384615382504</v>
      </c>
      <c r="AG27" s="172">
        <f t="shared" si="7"/>
        <v>0.93755877374460572</v>
      </c>
      <c r="AH27" s="784">
        <f>AG37</f>
        <v>0.86792834882687975</v>
      </c>
    </row>
    <row r="28" spans="1:34" ht="15" customHeight="1">
      <c r="A28" s="793"/>
      <c r="B28" s="75" t="s">
        <v>81</v>
      </c>
      <c r="C28" s="173"/>
      <c r="D28" s="59" t="s">
        <v>125</v>
      </c>
      <c r="E28" s="104"/>
      <c r="F28" s="75">
        <f>VLOOKUP(D28,廠價表!$C$1:$E$43,3,0)</f>
        <v>45.66</v>
      </c>
      <c r="G28" s="90">
        <v>628</v>
      </c>
      <c r="H28" s="91">
        <f>F28*G28</f>
        <v>28674.48</v>
      </c>
      <c r="I28" s="92"/>
      <c r="J28" s="79">
        <f>VLOOKUP(D28,產線配置圖!$A$3:$C$40,2,0)</f>
        <v>17</v>
      </c>
      <c r="K28" s="80">
        <f>VLOOKUP(D28,產線配置圖!$A$3:$C$40,3,0)</f>
        <v>1636</v>
      </c>
      <c r="L28" s="93">
        <f>K28/J28</f>
        <v>96.235294117647058</v>
      </c>
      <c r="M28" s="94">
        <v>16</v>
      </c>
      <c r="N28" s="95">
        <f>G28/W28*60</f>
        <v>1449.2307692307345</v>
      </c>
      <c r="O28" s="96">
        <f>N28/M28</f>
        <v>90.576923076920906</v>
      </c>
      <c r="P28" s="97">
        <f>M28-J28</f>
        <v>-1</v>
      </c>
      <c r="Q28" s="98">
        <f>O28-L28</f>
        <v>-5.658371040726152</v>
      </c>
      <c r="R28" s="99">
        <f>O28/L28</f>
        <v>0.94120274590932484</v>
      </c>
      <c r="S28" s="796"/>
      <c r="T28" s="19">
        <v>0.32500000000000001</v>
      </c>
      <c r="U28" s="19">
        <v>0.343055555555556</v>
      </c>
      <c r="V28" s="92">
        <f>(T28-U27)*24*60</f>
        <v>9.000000000000048</v>
      </c>
      <c r="W28" s="149">
        <f t="shared" si="4"/>
        <v>26.000000000000625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6"/>
        <v>-186.7692307692655</v>
      </c>
      <c r="AG28" s="99">
        <f t="shared" si="7"/>
        <v>0.88583787850289397</v>
      </c>
      <c r="AH28" s="805"/>
    </row>
    <row r="29" spans="1:34" ht="15" customHeight="1">
      <c r="A29" s="793"/>
      <c r="B29" s="75" t="s">
        <v>81</v>
      </c>
      <c r="C29" s="173"/>
      <c r="D29" s="59" t="s">
        <v>124</v>
      </c>
      <c r="E29" s="104"/>
      <c r="F29" s="75">
        <f>VLOOKUP(D29,廠價表!$C$1:$E$43,3,0)</f>
        <v>57.21</v>
      </c>
      <c r="G29" s="90">
        <v>801</v>
      </c>
      <c r="H29" s="91">
        <f>F29*G29</f>
        <v>45825.21</v>
      </c>
      <c r="I29" s="92"/>
      <c r="J29" s="79">
        <f>VLOOKUP(D29,產線配置圖!$A$3:$C$40,2,0)</f>
        <v>18</v>
      </c>
      <c r="K29" s="80">
        <f>VLOOKUP(D29,產線配置圖!$A$3:$C$40,3,0)</f>
        <v>1636</v>
      </c>
      <c r="L29" s="93">
        <f>K29/J29</f>
        <v>90.888888888888886</v>
      </c>
      <c r="M29" s="94">
        <v>17</v>
      </c>
      <c r="N29" s="95">
        <f>G29/W29*60</f>
        <v>1298.9189189189406</v>
      </c>
      <c r="O29" s="96">
        <f>N29/M29</f>
        <v>76.406995230525922</v>
      </c>
      <c r="P29" s="97">
        <f>M29-J29</f>
        <v>-1</v>
      </c>
      <c r="Q29" s="98">
        <f>O29-L29</f>
        <v>-14.481893658362964</v>
      </c>
      <c r="R29" s="99">
        <f>O29/L29</f>
        <v>0.84066376170505297</v>
      </c>
      <c r="S29" s="796"/>
      <c r="T29" s="19">
        <v>0.34930555555555598</v>
      </c>
      <c r="U29" s="19">
        <v>0.375</v>
      </c>
      <c r="V29" s="92">
        <f>(T29-U28)*24*60</f>
        <v>8.999999999999968</v>
      </c>
      <c r="W29" s="149">
        <f t="shared" si="4"/>
        <v>36.999999999999389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6"/>
        <v>-337.08108108105944</v>
      </c>
      <c r="AG29" s="99">
        <f t="shared" si="7"/>
        <v>0.79396021938810546</v>
      </c>
      <c r="AH29" s="805"/>
    </row>
    <row r="30" spans="1:34" ht="15" customHeight="1">
      <c r="A30" s="793"/>
      <c r="B30" s="75" t="s">
        <v>81</v>
      </c>
      <c r="C30" s="88"/>
      <c r="D30" s="59" t="s">
        <v>123</v>
      </c>
      <c r="E30" s="89"/>
      <c r="F30" s="75">
        <f>VLOOKUP(D30,廠價表!$C$1:$E$43,3,0)</f>
        <v>49.91</v>
      </c>
      <c r="G30" s="90">
        <v>1025</v>
      </c>
      <c r="H30" s="91">
        <f>F30*G30</f>
        <v>51157.75</v>
      </c>
      <c r="I30" s="92"/>
      <c r="J30" s="79">
        <f>VLOOKUP(D30,產線配置圖!$A$3:$C$40,2,0)</f>
        <v>18</v>
      </c>
      <c r="K30" s="80">
        <v>1636</v>
      </c>
      <c r="L30" s="93">
        <f>K30/J30</f>
        <v>90.888888888888886</v>
      </c>
      <c r="M30" s="94">
        <v>17</v>
      </c>
      <c r="N30" s="95">
        <f>G30/W30*60</f>
        <v>1397.7272727272523</v>
      </c>
      <c r="O30" s="96">
        <f>N30/M30</f>
        <v>82.219251336897187</v>
      </c>
      <c r="P30" s="97">
        <f>M30-J30</f>
        <v>-1</v>
      </c>
      <c r="Q30" s="98">
        <f>O30-L30</f>
        <v>-8.6696375519916984</v>
      </c>
      <c r="R30" s="99">
        <f>O30/L30</f>
        <v>0.90461278977026249</v>
      </c>
      <c r="S30" s="796"/>
      <c r="T30" s="19">
        <v>0.38124999999999998</v>
      </c>
      <c r="U30" s="19">
        <v>0.41180555555555598</v>
      </c>
      <c r="V30" s="92">
        <f>(T30-U29)*24*60</f>
        <v>8.999999999999968</v>
      </c>
      <c r="W30" s="149">
        <f t="shared" si="4"/>
        <v>44.000000000000639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6"/>
        <v>-238.27272727274772</v>
      </c>
      <c r="AG30" s="99">
        <f t="shared" si="7"/>
        <v>0.85435652367191461</v>
      </c>
      <c r="AH30" s="806"/>
    </row>
    <row r="31" spans="1:34" ht="15" customHeight="1">
      <c r="A31" s="793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6"/>
        <v>0</v>
      </c>
      <c r="AG31" s="99" t="e">
        <f t="shared" si="7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95.065767973856225</v>
      </c>
      <c r="M37" s="155">
        <f t="shared" si="8"/>
        <v>16.5</v>
      </c>
      <c r="N37" s="155">
        <f t="shared" si="8"/>
        <v>1419.9307786807753</v>
      </c>
      <c r="O37" s="158">
        <f t="shared" si="8"/>
        <v>86.26713856493248</v>
      </c>
      <c r="P37" s="159">
        <f>M37-J37</f>
        <v>-0.75</v>
      </c>
      <c r="Q37" s="160">
        <f>N37-K37</f>
        <v>-216.06922131922465</v>
      </c>
      <c r="R37" s="161">
        <f>O37/L37</f>
        <v>0.90744692231021129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-216.06922131922465</v>
      </c>
      <c r="AG37" s="124">
        <f>N37/K37</f>
        <v>0.86792834882687975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1990</v>
      </c>
      <c r="H38" s="134">
        <f>F38*G38</f>
        <v>99320.9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1591.9999999999786</v>
      </c>
      <c r="O38" s="141">
        <f>N38/M38</f>
        <v>99.499999999998664</v>
      </c>
      <c r="P38" s="142">
        <f>M38-J38</f>
        <v>0</v>
      </c>
      <c r="Q38" s="143">
        <f>O38-L38</f>
        <v>-7.6250000000013358</v>
      </c>
      <c r="R38" s="144">
        <f>O38/L38</f>
        <v>0.92882147024502837</v>
      </c>
      <c r="S38" s="817">
        <f>R48</f>
        <v>0.92545074202950606</v>
      </c>
      <c r="T38" s="191">
        <v>0.33333333333333298</v>
      </c>
      <c r="U38" s="191">
        <v>0.38541666666666702</v>
      </c>
      <c r="V38" s="192"/>
      <c r="W38" s="193">
        <f t="shared" si="4"/>
        <v>75.000000000001009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-122.00000000002137</v>
      </c>
      <c r="AG38" s="195">
        <f>N38/K38</f>
        <v>0.92882147024502837</v>
      </c>
      <c r="AH38" s="807">
        <f>AG48</f>
        <v>0.92530590076994435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2892</v>
      </c>
      <c r="H39" s="91">
        <f>F39*G39</f>
        <v>128115.59999999999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1535.5752212389425</v>
      </c>
      <c r="O39" s="203">
        <f>N39/M39</f>
        <v>85.309734513274577</v>
      </c>
      <c r="P39" s="97">
        <f>M39-J39</f>
        <v>0</v>
      </c>
      <c r="Q39" s="98">
        <f>O39-L39</f>
        <v>-5.5791543756143085</v>
      </c>
      <c r="R39" s="99">
        <f>O39/L39</f>
        <v>0.93861566090399906</v>
      </c>
      <c r="S39" s="818"/>
      <c r="T39" s="20">
        <v>0.39374999999999999</v>
      </c>
      <c r="U39" s="20">
        <v>0.47222222222222199</v>
      </c>
      <c r="V39" s="92">
        <f>(T39-U38)*24*60</f>
        <v>11.999999999999478</v>
      </c>
      <c r="W39" s="205">
        <f t="shared" si="4"/>
        <v>112.99999999999967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-100.4247787610575</v>
      </c>
      <c r="AG39" s="206">
        <f>N39/K39</f>
        <v>0.93861566090399906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743</v>
      </c>
      <c r="H40" s="91">
        <f>F40*G40</f>
        <v>32914.9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1486.0000000000211</v>
      </c>
      <c r="O40" s="203">
        <f>N40/M40</f>
        <v>82.555555555556737</v>
      </c>
      <c r="P40" s="97">
        <f>M40-J40</f>
        <v>0</v>
      </c>
      <c r="Q40" s="98">
        <f>O40-L40</f>
        <v>-8.3333333333321491</v>
      </c>
      <c r="R40" s="99">
        <f>O40/L40</f>
        <v>0.90831295843522086</v>
      </c>
      <c r="S40" s="749"/>
      <c r="T40" s="20">
        <v>0.54513888888888895</v>
      </c>
      <c r="U40" s="20">
        <v>0.56597222222222199</v>
      </c>
      <c r="V40" s="92">
        <f>(T40-U39)*24*60</f>
        <v>105.00000000000043</v>
      </c>
      <c r="W40" s="205">
        <f t="shared" si="4"/>
        <v>29.999999999999574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-149.99999999997885</v>
      </c>
      <c r="AG40" s="206">
        <f>N40/K40</f>
        <v>0.90831295843522075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1537.8584070796476</v>
      </c>
      <c r="O48" s="158">
        <f t="shared" si="10"/>
        <v>89.121763356276645</v>
      </c>
      <c r="P48" s="221">
        <f>M48-J48</f>
        <v>0</v>
      </c>
      <c r="Q48" s="222">
        <f>N48-K48</f>
        <v>-124.14159292035242</v>
      </c>
      <c r="R48" s="223">
        <f>O48/L48</f>
        <v>0.92545074202950606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1">N48-K48</f>
        <v>-124.14159292035242</v>
      </c>
      <c r="AG48" s="162">
        <f t="shared" ref="AG48:AG53" si="12">N48/K48</f>
        <v>0.92530590076994435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1834</v>
      </c>
      <c r="H49" s="134">
        <f>F49*G49</f>
        <v>90819.680000000008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1594.7826086956745</v>
      </c>
      <c r="O49" s="141">
        <f>N49/M49</f>
        <v>93.810741687980851</v>
      </c>
      <c r="P49" s="229">
        <f>M49-J49</f>
        <v>0</v>
      </c>
      <c r="Q49" s="230">
        <f>O49-L49</f>
        <v>-12.071611253195613</v>
      </c>
      <c r="R49" s="52">
        <f>O49/L49</f>
        <v>0.88599033816426365</v>
      </c>
      <c r="S49" s="748">
        <f>R58</f>
        <v>0.88152009245342811</v>
      </c>
      <c r="T49" s="191">
        <v>0.29166666666666702</v>
      </c>
      <c r="U49" s="191">
        <v>0.33958333333333302</v>
      </c>
      <c r="V49" s="55"/>
      <c r="W49" s="193">
        <f t="shared" si="4"/>
        <v>68.999999999999034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1"/>
        <v>-205.21739130432547</v>
      </c>
      <c r="AG49" s="52">
        <f t="shared" si="12"/>
        <v>0.88599033816426365</v>
      </c>
      <c r="AH49" s="784">
        <f>AG58</f>
        <v>0.88259757273154138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1563</v>
      </c>
      <c r="H50" s="231">
        <f>F50*G50</f>
        <v>78601.707000000009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1562.9999999999868</v>
      </c>
      <c r="O50" s="235">
        <f>N50/M50</f>
        <v>91.941176470587465</v>
      </c>
      <c r="P50" s="74">
        <f>M50-J50</f>
        <v>0</v>
      </c>
      <c r="Q50" s="83">
        <f>O50-L50</f>
        <v>-4.2941176470595934</v>
      </c>
      <c r="R50" s="72">
        <f>O50/L50</f>
        <v>0.95537897310512643</v>
      </c>
      <c r="S50" s="749"/>
      <c r="T50" s="21">
        <v>0.344444444444444</v>
      </c>
      <c r="U50" s="21">
        <v>0.38611111111111102</v>
      </c>
      <c r="V50" s="30">
        <f>(T50-U49)*24*60</f>
        <v>6.9999999999998153</v>
      </c>
      <c r="W50" s="236">
        <f t="shared" si="4"/>
        <v>60.000000000000504</v>
      </c>
      <c r="X50" s="22"/>
      <c r="Y50" s="84"/>
      <c r="Z50" s="90"/>
      <c r="AA50" s="90"/>
      <c r="AB50" s="789" t="s">
        <v>182</v>
      </c>
      <c r="AC50" s="789"/>
      <c r="AD50" s="92"/>
      <c r="AE50" s="92"/>
      <c r="AF50" s="307">
        <f t="shared" si="11"/>
        <v>-73.000000000013188</v>
      </c>
      <c r="AG50" s="72">
        <f t="shared" si="12"/>
        <v>0.95537897310512643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2219</v>
      </c>
      <c r="H51" s="231">
        <f>F51*G51</f>
        <v>110883.43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1447.1739130434757</v>
      </c>
      <c r="O51" s="235">
        <f>N51/M51</f>
        <v>90.448369565217234</v>
      </c>
      <c r="P51" s="74">
        <f>M51-J51</f>
        <v>0</v>
      </c>
      <c r="Q51" s="83">
        <f>O51-L51</f>
        <v>-22.051630434782766</v>
      </c>
      <c r="R51" s="72">
        <f>O51/L51</f>
        <v>0.80398550724637541</v>
      </c>
      <c r="S51" s="749"/>
      <c r="T51" s="21">
        <v>0.39444444444444399</v>
      </c>
      <c r="U51" s="19">
        <v>0.45833333333333298</v>
      </c>
      <c r="V51" s="30">
        <f>(T51-U50)*24*60</f>
        <v>11.999999999999478</v>
      </c>
      <c r="W51" s="236">
        <f t="shared" si="4"/>
        <v>92.000000000000156</v>
      </c>
      <c r="X51" s="22"/>
      <c r="Y51" s="84"/>
      <c r="Z51" s="90"/>
      <c r="AA51" s="90"/>
      <c r="AB51" s="789" t="s">
        <v>183</v>
      </c>
      <c r="AC51" s="789"/>
      <c r="AD51" s="92">
        <v>1</v>
      </c>
      <c r="AE51" s="92">
        <v>1</v>
      </c>
      <c r="AF51" s="307">
        <f t="shared" si="11"/>
        <v>-352.82608695652425</v>
      </c>
      <c r="AG51" s="72">
        <f t="shared" si="12"/>
        <v>0.80398550724637541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1605</v>
      </c>
      <c r="H52" s="231">
        <f>F52*G52</f>
        <v>80201.849999999991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1604.9999999999884</v>
      </c>
      <c r="O52" s="235">
        <f>N52/M52</f>
        <v>100.31249999999928</v>
      </c>
      <c r="P52" s="74">
        <f>M52-J52</f>
        <v>0</v>
      </c>
      <c r="Q52" s="83">
        <f>O52-L52</f>
        <v>-12.187500000000725</v>
      </c>
      <c r="R52" s="72">
        <f>O52/L52</f>
        <v>0.89166666666666028</v>
      </c>
      <c r="S52" s="749"/>
      <c r="T52" s="21">
        <v>0.51736111111111105</v>
      </c>
      <c r="U52" s="21">
        <v>0.55902777777777801</v>
      </c>
      <c r="V52" s="30">
        <f>(T52-U51)*24*60</f>
        <v>85.000000000000412</v>
      </c>
      <c r="W52" s="236">
        <f t="shared" si="4"/>
        <v>60.000000000000426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1"/>
        <v>-195.0000000000116</v>
      </c>
      <c r="AG52" s="72">
        <f t="shared" si="12"/>
        <v>0.89166666666666028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1"/>
        <v>0</v>
      </c>
      <c r="AG53" s="72" t="e">
        <f t="shared" si="12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1759</v>
      </c>
      <c r="L58" s="117">
        <f t="shared" si="13"/>
        <v>106.77941176470588</v>
      </c>
      <c r="M58" s="120">
        <f t="shared" si="13"/>
        <v>16.5</v>
      </c>
      <c r="N58" s="120">
        <f t="shared" si="13"/>
        <v>1552.4891304347814</v>
      </c>
      <c r="O58" s="117">
        <f t="shared" si="13"/>
        <v>94.128196930946203</v>
      </c>
      <c r="P58" s="121">
        <f>M58-J58</f>
        <v>0</v>
      </c>
      <c r="Q58" s="122">
        <f>N58-K58</f>
        <v>-206.51086956521863</v>
      </c>
      <c r="R58" s="123">
        <f t="shared" ref="R58:R63" si="14">O58/L58</f>
        <v>0.88152009245342811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1</v>
      </c>
      <c r="AE58" s="323">
        <f>SUM(AE49:AE57)</f>
        <v>1</v>
      </c>
      <c r="AF58" s="309">
        <f>N58-K58</f>
        <v>-206.51086956521863</v>
      </c>
      <c r="AG58" s="124">
        <f>N58/K58</f>
        <v>0.88259757273154138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2448</v>
      </c>
      <c r="H59" s="243">
        <f>F59*G59</f>
        <v>66071.51999999999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1468.80000000001</v>
      </c>
      <c r="O59" s="138">
        <f>N59/M59</f>
        <v>97.92000000000067</v>
      </c>
      <c r="P59" s="56">
        <f>M59-J59</f>
        <v>0</v>
      </c>
      <c r="Q59" s="230">
        <f>O59-L59</f>
        <v>-11.146666666665993</v>
      </c>
      <c r="R59" s="52">
        <f t="shared" si="14"/>
        <v>0.89779951100245114</v>
      </c>
      <c r="S59" s="748">
        <f>R69</f>
        <v>0.79180843004235646</v>
      </c>
      <c r="T59" s="245">
        <v>0.29166666666666702</v>
      </c>
      <c r="U59" s="245">
        <v>0.36111111111111099</v>
      </c>
      <c r="V59" s="55"/>
      <c r="W59" s="54">
        <f t="shared" si="4"/>
        <v>99.999999999999318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-167.19999999999004</v>
      </c>
      <c r="AG59" s="246">
        <f>N59/K59</f>
        <v>0.89779951100245103</v>
      </c>
      <c r="AH59" s="784">
        <f>AG69</f>
        <v>0.7974612876935615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997</v>
      </c>
      <c r="H60" s="78">
        <f>F60*G60</f>
        <v>28175.22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1329.3333333333333</v>
      </c>
      <c r="O60" s="81">
        <f>N60/M60</f>
        <v>120.84848484848484</v>
      </c>
      <c r="P60" s="74">
        <f>M60-J60</f>
        <v>0</v>
      </c>
      <c r="Q60" s="83">
        <f>O60-L60</f>
        <v>-27.878787878787875</v>
      </c>
      <c r="R60" s="72">
        <f t="shared" si="14"/>
        <v>0.8125509372453138</v>
      </c>
      <c r="S60" s="829"/>
      <c r="T60" s="22">
        <v>0.37152777777777801</v>
      </c>
      <c r="U60" s="22">
        <v>0.40277777777777801</v>
      </c>
      <c r="V60" s="30">
        <f>(T60-U59)*24*60</f>
        <v>15.000000000000506</v>
      </c>
      <c r="W60" s="248">
        <f t="shared" si="4"/>
        <v>45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-306.66666666666674</v>
      </c>
      <c r="AG60" s="249">
        <f>N60/K60</f>
        <v>0.81255093724531369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643</v>
      </c>
      <c r="H61" s="254">
        <f>F61*G61</f>
        <v>18171.18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964.49999999999181</v>
      </c>
      <c r="O61" s="238">
        <f>N61/M61</f>
        <v>87.681818181817434</v>
      </c>
      <c r="P61" s="111">
        <f>M61-J61</f>
        <v>0</v>
      </c>
      <c r="Q61" s="255">
        <f>O61-L61</f>
        <v>-61.045454545455286</v>
      </c>
      <c r="R61" s="85">
        <f t="shared" si="14"/>
        <v>0.58954767726160873</v>
      </c>
      <c r="S61" s="749"/>
      <c r="T61" s="22">
        <v>0.40972222222222199</v>
      </c>
      <c r="U61" s="22">
        <v>0.4375</v>
      </c>
      <c r="V61" s="30">
        <f>(T61-U60)*24*60</f>
        <v>9.999999999999325</v>
      </c>
      <c r="W61" s="256">
        <f t="shared" si="4"/>
        <v>40.000000000000341</v>
      </c>
      <c r="X61" s="22"/>
      <c r="Y61" s="84"/>
      <c r="Z61" s="90"/>
      <c r="AA61" s="90"/>
      <c r="AB61" s="789" t="s">
        <v>149</v>
      </c>
      <c r="AC61" s="789"/>
      <c r="AD61" s="92"/>
      <c r="AE61" s="92"/>
      <c r="AF61" s="317">
        <f>N61-K61</f>
        <v>-671.50000000000819</v>
      </c>
      <c r="AG61" s="247">
        <f>N61/K61</f>
        <v>0.58954767726160873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1401</v>
      </c>
      <c r="H62" s="254">
        <f t="shared" ref="H62:H63" si="15">F62*G62</f>
        <v>39592.26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6">K62/J62</f>
        <v>148.72727272727272</v>
      </c>
      <c r="M62" s="108">
        <v>11</v>
      </c>
      <c r="N62" s="80">
        <f>G62/W62*60</f>
        <v>1400.9999999999882</v>
      </c>
      <c r="O62" s="81">
        <f>N62/M62</f>
        <v>127.36363636363529</v>
      </c>
      <c r="P62" s="74">
        <f>M62-J62</f>
        <v>0</v>
      </c>
      <c r="Q62" s="83">
        <f>O62-L62</f>
        <v>-21.363636363637426</v>
      </c>
      <c r="R62" s="72">
        <f t="shared" si="14"/>
        <v>0.85635696821515173</v>
      </c>
      <c r="S62" s="749"/>
      <c r="T62" s="22">
        <v>0.44444444444444398</v>
      </c>
      <c r="U62" s="22">
        <v>0.48611111111111099</v>
      </c>
      <c r="V62" s="30">
        <f t="shared" ref="V62:V63" si="17">(T62-U61)*24*60</f>
        <v>9.999999999999325</v>
      </c>
      <c r="W62" s="248">
        <f t="shared" si="4"/>
        <v>60.000000000000504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-235.00000000001182</v>
      </c>
      <c r="AG62" s="247">
        <f>N62/K62</f>
        <v>0.85635696821515173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1133</v>
      </c>
      <c r="H63" s="254">
        <f t="shared" si="15"/>
        <v>32018.58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6"/>
        <v>148.72727272727272</v>
      </c>
      <c r="M63" s="68">
        <v>11</v>
      </c>
      <c r="N63" s="107">
        <f>G63/W63*60</f>
        <v>1359.6000000000092</v>
      </c>
      <c r="O63" s="238">
        <f>N63/M63</f>
        <v>123.60000000000083</v>
      </c>
      <c r="P63" s="111">
        <f>M63-J63</f>
        <v>0</v>
      </c>
      <c r="Q63" s="255">
        <f>O63-L63</f>
        <v>-25.127272727271887</v>
      </c>
      <c r="R63" s="85">
        <f t="shared" si="14"/>
        <v>0.83105134474328191</v>
      </c>
      <c r="S63" s="749"/>
      <c r="T63" s="22">
        <v>0.54861111111111105</v>
      </c>
      <c r="U63" s="22">
        <v>0.58333333333333304</v>
      </c>
      <c r="V63" s="30">
        <f t="shared" si="17"/>
        <v>90.000000000000085</v>
      </c>
      <c r="W63" s="248">
        <f t="shared" si="4"/>
        <v>49.999999999999659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18">AVERAGE(J59:J68)</f>
        <v>11.8</v>
      </c>
      <c r="K69" s="240">
        <f t="shared" si="18"/>
        <v>1636</v>
      </c>
      <c r="L69" s="268">
        <f t="shared" si="18"/>
        <v>140.79515151515153</v>
      </c>
      <c r="M69" s="240">
        <f t="shared" si="18"/>
        <v>11.8</v>
      </c>
      <c r="N69" s="240">
        <f t="shared" si="18"/>
        <v>1304.6466666666665</v>
      </c>
      <c r="O69" s="268">
        <f t="shared" si="18"/>
        <v>111.48278787878783</v>
      </c>
      <c r="P69" s="269">
        <f>M69-J69</f>
        <v>0</v>
      </c>
      <c r="Q69" s="222">
        <f>N69-K69</f>
        <v>-331.35333333333347</v>
      </c>
      <c r="R69" s="123">
        <f>O69/L69</f>
        <v>0.79180843004235646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-331.35333333333347</v>
      </c>
      <c r="AG69" s="124">
        <f>N69/K69</f>
        <v>0.7974612876935615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1228</v>
      </c>
      <c r="H70" s="243">
        <f>F70*G70</f>
        <v>53896.92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10</v>
      </c>
      <c r="N70" s="137">
        <f>G70/W70*60</f>
        <v>1099.701492537308</v>
      </c>
      <c r="O70" s="138">
        <f>N70/M70</f>
        <v>109.9701492537308</v>
      </c>
      <c r="P70" s="56">
        <f>M70-J70</f>
        <v>-3</v>
      </c>
      <c r="Q70" s="230">
        <f>O70-L70</f>
        <v>-10.414466130884591</v>
      </c>
      <c r="R70" s="52">
        <f>O70/L70</f>
        <v>0.91349005769872227</v>
      </c>
      <c r="S70" s="748">
        <f>R79</f>
        <v>0.91349005769872227</v>
      </c>
      <c r="T70" s="245">
        <v>0.297222222222222</v>
      </c>
      <c r="U70" s="245">
        <v>0.34375</v>
      </c>
      <c r="V70" s="55"/>
      <c r="W70" s="54">
        <f t="shared" si="4"/>
        <v>67.000000000000327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-465.29850746269199</v>
      </c>
      <c r="AG70" s="246">
        <f>N70/K70</f>
        <v>0.7026846597682479</v>
      </c>
      <c r="AH70" s="784">
        <f>AG79</f>
        <v>0.7026846597682479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19">AVERAGE(J70:J78)</f>
        <v>13</v>
      </c>
      <c r="K79" s="240">
        <f t="shared" si="19"/>
        <v>1565</v>
      </c>
      <c r="L79" s="268">
        <f t="shared" si="19"/>
        <v>120.38461538461539</v>
      </c>
      <c r="M79" s="240">
        <f t="shared" si="19"/>
        <v>10</v>
      </c>
      <c r="N79" s="240">
        <f t="shared" si="19"/>
        <v>1099.701492537308</v>
      </c>
      <c r="O79" s="268">
        <f t="shared" si="19"/>
        <v>109.9701492537308</v>
      </c>
      <c r="P79" s="269">
        <f>M79-J79</f>
        <v>-3</v>
      </c>
      <c r="Q79" s="222">
        <f>N79-K79</f>
        <v>-465.29850746269199</v>
      </c>
      <c r="R79" s="223">
        <f>O79/L79</f>
        <v>0.91349005769872227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-465.29850746269199</v>
      </c>
      <c r="AG79" s="124">
        <f>N79/K79</f>
        <v>0.7026846597682479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08" priority="1" operator="greaterThan">
      <formula>0</formula>
    </cfRule>
  </conditionalFormatting>
  <conditionalFormatting sqref="Q5:Q79 AF5:AF79">
    <cfRule type="cellIs" dxfId="107" priority="4" operator="lessThan">
      <formula>0</formula>
    </cfRule>
  </conditionalFormatting>
  <conditionalFormatting sqref="R5:R79 AG5:AG79">
    <cfRule type="cellIs" dxfId="106" priority="2" operator="greaterThan">
      <formula>1</formula>
    </cfRule>
    <cfRule type="cellIs" dxfId="105" priority="3" operator="lessThan">
      <formula>0.8</formula>
    </cfRule>
  </conditionalFormatting>
  <conditionalFormatting sqref="S5:S10 S37:S62 AH59:AH62 S69:S76 AH69:AH76">
    <cfRule type="cellIs" dxfId="104" priority="7" operator="lessThan">
      <formula>0.8</formula>
    </cfRule>
  </conditionalFormatting>
  <conditionalFormatting sqref="S19:S25 AH19:AH25">
    <cfRule type="cellIs" dxfId="103" priority="6" operator="lessThan">
      <formula>0.8</formula>
    </cfRule>
  </conditionalFormatting>
  <conditionalFormatting sqref="S79">
    <cfRule type="cellIs" dxfId="102" priority="5" operator="lessThan">
      <formula>0.8</formula>
    </cfRule>
  </conditionalFormatting>
  <conditionalFormatting sqref="AH5:AH8 S15:S16 AH15:AH16 AH49 AH79">
    <cfRule type="cellIs" dxfId="101" priority="9" operator="lessThan">
      <formula>0.8</formula>
    </cfRule>
  </conditionalFormatting>
  <conditionalFormatting sqref="AH27 S27:S28">
    <cfRule type="cellIs" dxfId="10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8F81-5694-48BC-998D-75DFBC9AD02A}">
  <dimension ref="B1:O26"/>
  <sheetViews>
    <sheetView topLeftCell="B1" zoomScale="70" zoomScaleNormal="70" workbookViewId="0">
      <selection activeCell="Y21" sqref="Y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DATE(2026,8,22)</f>
        <v>46256</v>
      </c>
      <c r="E3" s="706"/>
      <c r="F3" s="3" t="s">
        <v>72</v>
      </c>
      <c r="G3" s="707">
        <f>'0822'!E1</f>
        <v>44045</v>
      </c>
      <c r="H3" s="707"/>
      <c r="I3" s="3" t="s">
        <v>2</v>
      </c>
      <c r="J3" s="708">
        <f>'0822'!G1</f>
        <v>2037099.7879999997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125.83937804570157</v>
      </c>
      <c r="G6" s="713"/>
      <c r="H6" s="714">
        <f>AVERAGE(D13:H13)</f>
        <v>123.93917588402883</v>
      </c>
      <c r="I6" s="714"/>
      <c r="J6" s="714">
        <f>AVERAGE(I13:J13)</f>
        <v>130.58988344988347</v>
      </c>
      <c r="K6" s="714"/>
      <c r="L6" s="716">
        <f>'0822'!Z2</f>
        <v>4</v>
      </c>
      <c r="M6" s="717">
        <f>'0822'!AA2</f>
        <v>42</v>
      </c>
      <c r="N6" s="718">
        <f>'0822'!AD2</f>
        <v>0</v>
      </c>
      <c r="O6" s="717">
        <f>'0822'!AE2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113.58044951658273</v>
      </c>
      <c r="G7" s="737"/>
      <c r="H7" s="738">
        <f>AVERAGE(D14:H14)</f>
        <v>112.71483911342591</v>
      </c>
      <c r="I7" s="738"/>
      <c r="J7" s="738">
        <f>AVERAGE(I14:J14)</f>
        <v>115.74447552447478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0.8977037481358926</v>
      </c>
      <c r="G8" s="710"/>
      <c r="H8" s="710">
        <f>AVERAGE(D15:H15)</f>
        <v>0.90257036157564241</v>
      </c>
      <c r="I8" s="710"/>
      <c r="J8" s="710">
        <f>AVERAGE(I15:J15)</f>
        <v>0.88553721453651824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VALUE('0822'!L15)</f>
        <v>151.35746606334843</v>
      </c>
      <c r="E13" s="13">
        <f>VALUE('0822'!L26)</f>
        <v>170.19230769230771</v>
      </c>
      <c r="F13" s="13">
        <f>VALUE('0822'!L37)</f>
        <v>95.065767973856211</v>
      </c>
      <c r="G13" s="13">
        <f>VALUE('0822'!L48)</f>
        <v>96.300925925925924</v>
      </c>
      <c r="H13" s="13">
        <f>VALUE('0822'!L58)</f>
        <v>106.77941176470588</v>
      </c>
      <c r="I13" s="13">
        <f>VALUE('0822'!L69)</f>
        <v>140.79515151515153</v>
      </c>
      <c r="J13" s="13">
        <f>'0822'!L79</f>
        <v>120.38461538461539</v>
      </c>
    </row>
    <row r="14" spans="2:15" ht="39.950000000000003" customHeight="1">
      <c r="B14" s="731"/>
      <c r="C14" s="12" t="s">
        <v>100</v>
      </c>
      <c r="D14" s="13">
        <f>VALUE('0822'!O15)</f>
        <v>142.71941094184922</v>
      </c>
      <c r="E14" s="13">
        <f>VALUE('0822'!O26)</f>
        <v>159.04729564647127</v>
      </c>
      <c r="F14" s="13">
        <f>VALUE('0822'!O37)</f>
        <v>80.724794966063939</v>
      </c>
      <c r="G14" s="13">
        <f>VALUE('0822'!O48)</f>
        <v>88.71567732115615</v>
      </c>
      <c r="H14" s="13">
        <f>VALUE('0822'!O58)</f>
        <v>92.367016691588958</v>
      </c>
      <c r="I14" s="13">
        <f>VALUE('0822'!O69)</f>
        <v>126.09034965034843</v>
      </c>
      <c r="J14" s="13">
        <f>'0822'!O79</f>
        <v>105.39860139860112</v>
      </c>
    </row>
    <row r="15" spans="2:15" ht="39.950000000000003" customHeight="1">
      <c r="B15" s="732"/>
      <c r="C15" s="10" t="s">
        <v>26</v>
      </c>
      <c r="D15" s="14">
        <f t="shared" ref="D15:I15" si="0">D14/D13</f>
        <v>0.94292944149921298</v>
      </c>
      <c r="E15" s="14">
        <f t="shared" si="0"/>
        <v>0.93451518345949214</v>
      </c>
      <c r="F15" s="14">
        <f t="shared" si="0"/>
        <v>0.84914682420978127</v>
      </c>
      <c r="G15" s="14">
        <f t="shared" si="0"/>
        <v>0.92123389747462758</v>
      </c>
      <c r="H15" s="14">
        <f t="shared" si="0"/>
        <v>0.8650264612350983</v>
      </c>
      <c r="I15" s="14">
        <f t="shared" si="0"/>
        <v>0.89555889029871416</v>
      </c>
      <c r="J15" s="15">
        <f>'0822'!S70</f>
        <v>0.87551553877432231</v>
      </c>
    </row>
    <row r="16" spans="2:15" ht="17.25" customHeight="1">
      <c r="B16" s="733" t="s">
        <v>101</v>
      </c>
      <c r="C16" s="10" t="s">
        <v>34</v>
      </c>
      <c r="D16" s="16">
        <f>'0822'!T5</f>
        <v>0.29236111111111102</v>
      </c>
      <c r="E16" s="16">
        <f>'0822'!T16</f>
        <v>0.29097222222222202</v>
      </c>
      <c r="F16" s="16">
        <f>'0822'!T27</f>
        <v>0.29166666666666702</v>
      </c>
      <c r="G16" s="16">
        <f>'0822'!T38</f>
        <v>0.33333333333333298</v>
      </c>
      <c r="H16" s="16">
        <f>'0822'!T49</f>
        <v>0.29166666666666702</v>
      </c>
      <c r="I16" s="16">
        <f>'0822'!T59</f>
        <v>0.29166666666666702</v>
      </c>
      <c r="J16" s="17">
        <f>'0822'!T70</f>
        <v>0.29166666666666702</v>
      </c>
    </row>
    <row r="17" spans="2:10" ht="17.25" customHeight="1">
      <c r="B17" s="734"/>
      <c r="C17" s="10" t="s">
        <v>35</v>
      </c>
      <c r="D17" s="327">
        <v>0.484722222222222</v>
      </c>
      <c r="E17" s="19">
        <v>0.48611111111111099</v>
      </c>
      <c r="F17" s="183">
        <v>0.42916666666666697</v>
      </c>
      <c r="G17" s="20">
        <v>0.57638888888888895</v>
      </c>
      <c r="H17" s="21">
        <v>0.59583333333333299</v>
      </c>
      <c r="I17" s="22">
        <v>0.57638888888888895</v>
      </c>
      <c r="J17" s="110">
        <v>0.33680555555555602</v>
      </c>
    </row>
    <row r="18" spans="2:10" ht="17.25" customHeight="1">
      <c r="B18" s="735" t="s">
        <v>102</v>
      </c>
      <c r="C18" s="330" t="s">
        <v>36</v>
      </c>
      <c r="D18" s="386">
        <f>'0822'!Z15</f>
        <v>0</v>
      </c>
      <c r="E18" s="387">
        <f>'0822'!Z26</f>
        <v>0</v>
      </c>
      <c r="F18" s="387">
        <f>'0822'!Z37</f>
        <v>4</v>
      </c>
      <c r="G18" s="388">
        <f>'0822'!Z48</f>
        <v>0</v>
      </c>
      <c r="H18" s="388">
        <f>'0822'!Z58</f>
        <v>0</v>
      </c>
      <c r="I18" s="387">
        <f>'0822'!Z69</f>
        <v>0</v>
      </c>
      <c r="J18" s="387">
        <f>'0822'!AA79</f>
        <v>0</v>
      </c>
    </row>
    <row r="19" spans="2:10" ht="17.25" customHeight="1">
      <c r="B19" s="736"/>
      <c r="C19" s="330" t="s">
        <v>37</v>
      </c>
      <c r="D19" s="386">
        <f>'0822'!AA15</f>
        <v>0</v>
      </c>
      <c r="E19" s="387">
        <f>'0822'!AA26</f>
        <v>0</v>
      </c>
      <c r="F19" s="387">
        <f>'0822'!AA37</f>
        <v>42</v>
      </c>
      <c r="G19" s="388">
        <f>'0822'!AA48</f>
        <v>0</v>
      </c>
      <c r="H19" s="388">
        <f>'0822'!AA58</f>
        <v>0</v>
      </c>
      <c r="I19" s="387">
        <f>'0822'!AA69</f>
        <v>0</v>
      </c>
      <c r="J19" s="387">
        <f>'0822'!AB79</f>
        <v>0</v>
      </c>
    </row>
    <row r="20" spans="2:10" ht="17.25" customHeight="1">
      <c r="B20" s="735" t="s">
        <v>103</v>
      </c>
      <c r="C20" s="330" t="s">
        <v>36</v>
      </c>
      <c r="D20" s="386">
        <f>'0822'!AD15</f>
        <v>0</v>
      </c>
      <c r="E20" s="387">
        <f>'0822'!AD26</f>
        <v>0</v>
      </c>
      <c r="F20" s="387">
        <f>'0822'!AD37</f>
        <v>0</v>
      </c>
      <c r="G20" s="388">
        <f>'0822'!AD48</f>
        <v>0</v>
      </c>
      <c r="H20" s="388">
        <f>'0822'!AD58</f>
        <v>0</v>
      </c>
      <c r="I20" s="387">
        <f>'0822'!AD69</f>
        <v>0</v>
      </c>
      <c r="J20" s="387">
        <f>'0822'!AD79</f>
        <v>0</v>
      </c>
    </row>
    <row r="21" spans="2:10" ht="17.25" customHeight="1">
      <c r="B21" s="736"/>
      <c r="C21" s="330" t="s">
        <v>85</v>
      </c>
      <c r="D21" s="386">
        <f>'0822'!AE15</f>
        <v>0</v>
      </c>
      <c r="E21" s="387">
        <f>'0822'!AE26</f>
        <v>0</v>
      </c>
      <c r="F21" s="387">
        <f>'0822'!AE37</f>
        <v>0</v>
      </c>
      <c r="G21" s="388">
        <f>'0822'!AE48</f>
        <v>0</v>
      </c>
      <c r="H21" s="388">
        <f>'0822'!AE58</f>
        <v>0</v>
      </c>
      <c r="I21" s="387">
        <f>'0822'!AE69</f>
        <v>0</v>
      </c>
      <c r="J21" s="387">
        <f>'0822'!AE79</f>
        <v>0</v>
      </c>
    </row>
    <row r="22" spans="2:10" ht="17.25" customHeight="1">
      <c r="B22" s="719" t="s">
        <v>104</v>
      </c>
      <c r="C22" s="720"/>
      <c r="D22" s="23">
        <f>VALUE('0822'!M15)</f>
        <v>14.25</v>
      </c>
      <c r="E22" s="23">
        <f>VALUE('0822'!M26)</f>
        <v>13</v>
      </c>
      <c r="F22" s="23">
        <f>VALUE('0822'!M37)</f>
        <v>16.75</v>
      </c>
      <c r="G22" s="23">
        <f>VALUE('0822'!M48)</f>
        <v>17.333333333333332</v>
      </c>
      <c r="H22" s="23">
        <f>VALUE('0822'!M58)</f>
        <v>16.5</v>
      </c>
      <c r="I22" s="23">
        <f>VALUE('0822'!M69)</f>
        <v>11.8</v>
      </c>
      <c r="J22" s="23">
        <f>'0822'!M79</f>
        <v>11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05CDB-6D31-4F9E-AC98-799C505A0545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AB34" sqref="AB34:AC34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44045</v>
      </c>
      <c r="F1" s="30" t="s">
        <v>2</v>
      </c>
      <c r="G1" s="31">
        <f>SUM(H5:H79)</f>
        <v>2037099.7879999997</v>
      </c>
      <c r="H1" s="32" t="s">
        <v>3</v>
      </c>
      <c r="I1" s="33">
        <f>M15+M26+M48+M58+M69+M79+M37</f>
        <v>100.63333333333333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184</v>
      </c>
      <c r="B2" s="739"/>
      <c r="C2" s="28"/>
      <c r="D2" s="28" t="s">
        <v>14</v>
      </c>
      <c r="E2" s="35">
        <f>AVERAGE(O15,O26,O37,O48,O58,O69,O79)</f>
        <v>113.58044951658273</v>
      </c>
      <c r="F2" s="36" t="s">
        <v>15</v>
      </c>
      <c r="G2" s="37">
        <f>G1/E1</f>
        <v>46.250420887728453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4</v>
      </c>
      <c r="AA2" s="339">
        <f>AA15+AA26+AA37+AA48+AA58+AA69+AA79</f>
        <v>42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977</v>
      </c>
      <c r="H5" s="43">
        <f>F5*G5</f>
        <v>55561.99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2021.3793103448184</v>
      </c>
      <c r="O5" s="47">
        <f>N5/M5</f>
        <v>144.38423645320131</v>
      </c>
      <c r="P5" s="49">
        <f>M5-J5</f>
        <v>-1</v>
      </c>
      <c r="Q5" s="50">
        <f>O5-L5</f>
        <v>-5.6157635467986893</v>
      </c>
      <c r="R5" s="51">
        <f>O5/L5</f>
        <v>0.96256157635467543</v>
      </c>
      <c r="S5" s="748">
        <f>R15</f>
        <v>0.94292944149921298</v>
      </c>
      <c r="T5" s="319">
        <v>0.29236111111111102</v>
      </c>
      <c r="U5" s="320">
        <v>0.3125</v>
      </c>
      <c r="V5" s="53"/>
      <c r="W5" s="54">
        <f t="shared" ref="W5:W14" si="0">(U5-T5)*24*60</f>
        <v>29.000000000000135</v>
      </c>
      <c r="X5" s="55"/>
      <c r="Y5" s="290"/>
      <c r="Z5" s="169"/>
      <c r="AA5" s="169"/>
      <c r="AB5" s="791" t="s">
        <v>185</v>
      </c>
      <c r="AC5" s="791"/>
      <c r="AD5" s="135"/>
      <c r="AE5" s="135"/>
      <c r="AF5" s="229">
        <f t="shared" ref="AF5:AF11" si="1">N5-K5</f>
        <v>-228.62068965518165</v>
      </c>
      <c r="AG5" s="52">
        <f t="shared" ref="AG5:AG11" si="2">N5/K5</f>
        <v>0.89839080459769705</v>
      </c>
      <c r="AH5" s="784">
        <f>AG15</f>
        <v>0.89880634682657834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807</v>
      </c>
      <c r="H6" s="63">
        <f>F6*G6</f>
        <v>40890.69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2017.49999999996</v>
      </c>
      <c r="O6" s="67">
        <f>N6/M6</f>
        <v>126.0937499999975</v>
      </c>
      <c r="P6" s="69">
        <f>M6-J6</f>
        <v>-1</v>
      </c>
      <c r="Q6" s="70">
        <f>O6-L6</f>
        <v>-6.259191176473081</v>
      </c>
      <c r="R6" s="71">
        <f>O6/L6</f>
        <v>0.95270833333331451</v>
      </c>
      <c r="S6" s="749"/>
      <c r="T6" s="16">
        <v>0.32361111111111102</v>
      </c>
      <c r="U6" s="16">
        <v>0.34027777777777801</v>
      </c>
      <c r="V6" s="30">
        <f>(T6-U5)*24*60</f>
        <v>15.999999999999863</v>
      </c>
      <c r="W6" s="73">
        <f t="shared" si="0"/>
        <v>24.000000000000476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-232.50000000004002</v>
      </c>
      <c r="AG6" s="72">
        <f t="shared" si="2"/>
        <v>0.89666666666664885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1547</v>
      </c>
      <c r="H7" s="78">
        <f>F7*G7</f>
        <v>89988.99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2017.8260869564867</v>
      </c>
      <c r="O7" s="81">
        <f>N7/M7</f>
        <v>155.21739130434514</v>
      </c>
      <c r="P7" s="74">
        <f>M7-J7</f>
        <v>0</v>
      </c>
      <c r="Q7" s="83">
        <f>O7-L7</f>
        <v>-17.859531772577924</v>
      </c>
      <c r="R7" s="72">
        <f>O7/L7</f>
        <v>0.89681159420288314</v>
      </c>
      <c r="S7" s="749"/>
      <c r="T7" s="18">
        <v>0.34583333333333299</v>
      </c>
      <c r="U7" s="18">
        <v>0.37777777777777799</v>
      </c>
      <c r="V7" s="30">
        <f>(T7-U6)*24*60</f>
        <v>7.9999999999991722</v>
      </c>
      <c r="W7" s="73">
        <f t="shared" si="0"/>
        <v>46.000000000000796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-232.17391304351327</v>
      </c>
      <c r="AG7" s="72">
        <f t="shared" si="2"/>
        <v>0.89681159420288303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4912</v>
      </c>
      <c r="H8" s="78">
        <f>F8*G8</f>
        <v>241375.68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>K8/J8</f>
        <v>150</v>
      </c>
      <c r="M8" s="82">
        <v>14</v>
      </c>
      <c r="N8" s="80">
        <f>G8/W8*60</f>
        <v>2032.5517241379405</v>
      </c>
      <c r="O8" s="81">
        <f>N8/M8</f>
        <v>145.1822660098529</v>
      </c>
      <c r="P8" s="74">
        <f>M8-J8</f>
        <v>-1</v>
      </c>
      <c r="Q8" s="83">
        <f>O8-L8</f>
        <v>-4.8177339901471044</v>
      </c>
      <c r="R8" s="72">
        <f>O8/L8</f>
        <v>0.96788177339901926</v>
      </c>
      <c r="S8" s="749"/>
      <c r="T8" s="16">
        <v>0.38402777777777802</v>
      </c>
      <c r="U8" s="16">
        <v>0.484722222222222</v>
      </c>
      <c r="V8" s="30">
        <f>(T8-U7)*24*60</f>
        <v>9.000000000000048</v>
      </c>
      <c r="W8" s="73">
        <f t="shared" si="0"/>
        <v>144.99999999999932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-217.44827586205952</v>
      </c>
      <c r="AG8" s="72">
        <f t="shared" si="2"/>
        <v>0.90335632183908465</v>
      </c>
      <c r="AH8" s="785"/>
    </row>
    <row r="9" spans="1:34" ht="15" customHeight="1">
      <c r="A9" s="756"/>
      <c r="B9" s="75"/>
      <c r="C9" s="76"/>
      <c r="D9" s="59"/>
      <c r="E9" s="77"/>
      <c r="F9" s="75"/>
      <c r="G9" s="66"/>
      <c r="H9" s="78"/>
      <c r="I9" s="73"/>
      <c r="J9" s="79"/>
      <c r="K9" s="80"/>
      <c r="L9" s="81"/>
      <c r="M9" s="82"/>
      <c r="N9" s="80"/>
      <c r="O9" s="81"/>
      <c r="P9" s="74"/>
      <c r="Q9" s="83"/>
      <c r="R9" s="72"/>
      <c r="S9" s="750"/>
      <c r="T9" s="16"/>
      <c r="U9" s="16"/>
      <c r="V9" s="30"/>
      <c r="W9" s="73">
        <f t="shared" si="0"/>
        <v>0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0</v>
      </c>
      <c r="AG9" s="72" t="e">
        <f t="shared" si="2"/>
        <v>#DIV/0!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3">AVERAGE(J5:J14)</f>
        <v>15</v>
      </c>
      <c r="K15" s="120">
        <f t="shared" si="3"/>
        <v>2250</v>
      </c>
      <c r="L15" s="117">
        <f t="shared" si="3"/>
        <v>151.35746606334843</v>
      </c>
      <c r="M15" s="120">
        <f t="shared" si="3"/>
        <v>14.25</v>
      </c>
      <c r="N15" s="120">
        <f t="shared" si="3"/>
        <v>2022.3142803598014</v>
      </c>
      <c r="O15" s="117">
        <f t="shared" si="3"/>
        <v>142.71941094184922</v>
      </c>
      <c r="P15" s="121">
        <f>M15-J15</f>
        <v>-0.75</v>
      </c>
      <c r="Q15" s="122">
        <f>O15-L15</f>
        <v>-8.6380551214992067</v>
      </c>
      <c r="R15" s="123">
        <f>O15/L15</f>
        <v>0.94292944149921298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-227.68571964019861</v>
      </c>
      <c r="AG15" s="124">
        <f>N15/K15</f>
        <v>0.89880634682657834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1417</v>
      </c>
      <c r="H16" s="134">
        <f>F16*G16</f>
        <v>80584.789999999994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1932.2727272726991</v>
      </c>
      <c r="O16" s="141">
        <f>N16/M16</f>
        <v>138.01948051947849</v>
      </c>
      <c r="P16" s="142">
        <f>M16-J16</f>
        <v>-1</v>
      </c>
      <c r="Q16" s="143">
        <f>O16-L16</f>
        <v>-11.980519480521508</v>
      </c>
      <c r="R16" s="144">
        <f>O16/L16</f>
        <v>0.92012987012985659</v>
      </c>
      <c r="S16" s="795">
        <f>R26</f>
        <v>0.93451518345949214</v>
      </c>
      <c r="T16" s="145">
        <v>0.29097222222222202</v>
      </c>
      <c r="U16" s="145">
        <v>0.32152777777777802</v>
      </c>
      <c r="V16" s="135"/>
      <c r="W16" s="146">
        <f t="shared" ref="W16:W78" si="4">(U16-T16)*24*60</f>
        <v>44.000000000000639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-317.72727272730094</v>
      </c>
      <c r="AG16" s="52">
        <f>N16/K16</f>
        <v>0.85878787878786622</v>
      </c>
      <c r="AH16" s="784">
        <f>AG26</f>
        <v>0.91294759537724068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3272</v>
      </c>
      <c r="H17" s="78">
        <f>F17*G17</f>
        <v>165792.24000000002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2088.5106382978652</v>
      </c>
      <c r="O17" s="96">
        <f>N17/M17</f>
        <v>160.65466448445116</v>
      </c>
      <c r="P17" s="97">
        <f>M17-J17</f>
        <v>0</v>
      </c>
      <c r="Q17" s="98">
        <f>O17-L17</f>
        <v>-12.422258592471906</v>
      </c>
      <c r="R17" s="99">
        <f>O17/L17</f>
        <v>0.92822695035460678</v>
      </c>
      <c r="S17" s="796"/>
      <c r="T17" s="19">
        <v>0.328472222222222</v>
      </c>
      <c r="U17" s="19">
        <v>0.39374999999999999</v>
      </c>
      <c r="V17" s="30">
        <f>(T17-U16)*24*60</f>
        <v>9.999999999999325</v>
      </c>
      <c r="W17" s="149">
        <f t="shared" si="4"/>
        <v>94.000000000000313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-161.48936170213483</v>
      </c>
      <c r="AG17" s="72">
        <f>N17/K17</f>
        <v>0.92822695035460678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4426</v>
      </c>
      <c r="H18" s="78">
        <f>F18*G18</f>
        <v>223026.14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2141.61290322581</v>
      </c>
      <c r="O18" s="96">
        <f>N18/M18</f>
        <v>178.46774193548416</v>
      </c>
      <c r="P18" s="97">
        <f>M18-J18</f>
        <v>0</v>
      </c>
      <c r="Q18" s="98">
        <f>O18-L18</f>
        <v>-9.0322580645158439</v>
      </c>
      <c r="R18" s="99">
        <f>O18/L18</f>
        <v>0.95182795698924882</v>
      </c>
      <c r="S18" s="796"/>
      <c r="T18" s="19">
        <v>0.4</v>
      </c>
      <c r="U18" s="19">
        <v>0.48611111111111099</v>
      </c>
      <c r="V18" s="30">
        <f>(T18-U17)*24*60</f>
        <v>9.000000000000048</v>
      </c>
      <c r="W18" s="149">
        <f t="shared" si="4"/>
        <v>123.9999999999998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-108.38709677419001</v>
      </c>
      <c r="AG18" s="72">
        <f>N18/K18</f>
        <v>0.95182795698924894</v>
      </c>
      <c r="AH18" s="785"/>
    </row>
    <row r="19" spans="1:34" ht="15" customHeight="1">
      <c r="A19" s="80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96"/>
      <c r="T19" s="19"/>
      <c r="U19" s="19"/>
      <c r="V19" s="30"/>
      <c r="W19" s="149">
        <f t="shared" si="4"/>
        <v>0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0</v>
      </c>
      <c r="AG19" s="72" t="e">
        <f>N19/K19</f>
        <v>#DIV/0!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4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4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4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4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4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5">AVERAGE(J16:J25)</f>
        <v>13.333333333333334</v>
      </c>
      <c r="K26" s="155">
        <f t="shared" si="5"/>
        <v>2250</v>
      </c>
      <c r="L26" s="158">
        <f t="shared" si="5"/>
        <v>170.19230769230771</v>
      </c>
      <c r="M26" s="155">
        <f t="shared" si="5"/>
        <v>13</v>
      </c>
      <c r="N26" s="155">
        <f t="shared" si="5"/>
        <v>2054.1320895987915</v>
      </c>
      <c r="O26" s="158">
        <f t="shared" si="5"/>
        <v>159.04729564647127</v>
      </c>
      <c r="P26" s="159">
        <f>M26-J26</f>
        <v>-0.33333333333333393</v>
      </c>
      <c r="Q26" s="160">
        <f>O26-L26</f>
        <v>-11.145012045836438</v>
      </c>
      <c r="R26" s="161">
        <f>O26/L26</f>
        <v>0.93451518345949214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6">N26-K26</f>
        <v>-195.86791040120852</v>
      </c>
      <c r="AG26" s="124">
        <f t="shared" ref="AG26:AG31" si="7">N26/K26</f>
        <v>0.91294759537724068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941</v>
      </c>
      <c r="H27" s="134">
        <f>F27*G27</f>
        <v>43605.94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1411.5000000000416</v>
      </c>
      <c r="O27" s="141">
        <f>N27/M27</f>
        <v>88.218750000002601</v>
      </c>
      <c r="P27" s="142">
        <f>M27-J27</f>
        <v>0</v>
      </c>
      <c r="Q27" s="143">
        <f>O27-L27</f>
        <v>-14.031249999997399</v>
      </c>
      <c r="R27" s="144">
        <f>O27/L27</f>
        <v>0.8627750611247198</v>
      </c>
      <c r="S27" s="795">
        <f>R37</f>
        <v>0.84914682420978127</v>
      </c>
      <c r="T27" s="171">
        <v>0.29166666666666702</v>
      </c>
      <c r="U27" s="171">
        <v>0.31944444444444398</v>
      </c>
      <c r="V27" s="135"/>
      <c r="W27" s="146">
        <f t="shared" si="4"/>
        <v>39.99999999999882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6"/>
        <v>-224.49999999995839</v>
      </c>
      <c r="AG27" s="172">
        <f t="shared" si="7"/>
        <v>0.8627750611247198</v>
      </c>
      <c r="AH27" s="784">
        <f>AG37</f>
        <v>0.82534647122438032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689</v>
      </c>
      <c r="H28" s="91">
        <f>F28*G28</f>
        <v>39417.69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1291.8750000000143</v>
      </c>
      <c r="O28" s="96">
        <f>N28/M28</f>
        <v>75.992647058824375</v>
      </c>
      <c r="P28" s="97">
        <f>M28-J28</f>
        <v>-1</v>
      </c>
      <c r="Q28" s="98">
        <f>O28-L28</f>
        <v>-14.896241830064511</v>
      </c>
      <c r="R28" s="99">
        <f>O28/L28</f>
        <v>0.83610491874012149</v>
      </c>
      <c r="S28" s="796"/>
      <c r="T28" s="19">
        <v>0.32500000000000001</v>
      </c>
      <c r="U28" s="19">
        <v>0.34722222222222199</v>
      </c>
      <c r="V28" s="92">
        <f>(T28-U27)*24*60</f>
        <v>8.000000000000691</v>
      </c>
      <c r="W28" s="149">
        <f t="shared" si="4"/>
        <v>31.999999999999645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6"/>
        <v>-344.12499999998568</v>
      </c>
      <c r="AG28" s="99">
        <f t="shared" si="7"/>
        <v>0.78965464547678133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876</v>
      </c>
      <c r="H29" s="91">
        <f>F29*G29</f>
        <v>43721.159999999996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1347.6923076923263</v>
      </c>
      <c r="O29" s="96">
        <f>N29/M29</f>
        <v>79.276018099548608</v>
      </c>
      <c r="P29" s="97">
        <f>M29-J29</f>
        <v>-1</v>
      </c>
      <c r="Q29" s="98">
        <f>O29-L29</f>
        <v>-11.612870789340278</v>
      </c>
      <c r="R29" s="99">
        <f>O29/L29</f>
        <v>0.8722300279901436</v>
      </c>
      <c r="S29" s="796"/>
      <c r="T29" s="19">
        <v>0.35416666666666702</v>
      </c>
      <c r="U29" s="19">
        <v>0.38124999999999998</v>
      </c>
      <c r="V29" s="92">
        <f>(T29-U28)*24*60</f>
        <v>10.000000000000844</v>
      </c>
      <c r="W29" s="149">
        <f t="shared" si="4"/>
        <v>38.99999999999946</v>
      </c>
      <c r="X29" s="22"/>
      <c r="Y29" s="84"/>
      <c r="Z29" s="90">
        <v>3</v>
      </c>
      <c r="AA29" s="90">
        <v>8</v>
      </c>
      <c r="AB29" s="789" t="s">
        <v>186</v>
      </c>
      <c r="AC29" s="789"/>
      <c r="AD29" s="92"/>
      <c r="AE29" s="92"/>
      <c r="AF29" s="312">
        <f t="shared" si="6"/>
        <v>-288.30769230767373</v>
      </c>
      <c r="AG29" s="99">
        <f t="shared" si="7"/>
        <v>0.82377280421291332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630</v>
      </c>
      <c r="H30" s="91">
        <f>F30*G30</f>
        <v>28765.8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17</v>
      </c>
      <c r="N30" s="95">
        <f>G30/W30*60</f>
        <v>1349.9999999999623</v>
      </c>
      <c r="O30" s="96">
        <f>N30/M30</f>
        <v>79.411764705880131</v>
      </c>
      <c r="P30" s="97">
        <f>M30-J30</f>
        <v>0</v>
      </c>
      <c r="Q30" s="98">
        <f>O30-L30</f>
        <v>-16.823529411766927</v>
      </c>
      <c r="R30" s="99">
        <f>O30/L30</f>
        <v>0.82518337408310649</v>
      </c>
      <c r="S30" s="796"/>
      <c r="T30" s="19">
        <v>0.40972222222222199</v>
      </c>
      <c r="U30" s="19">
        <v>0.42916666666666697</v>
      </c>
      <c r="V30" s="92">
        <f>(T30-U29)*24*60</f>
        <v>40.999999999999694</v>
      </c>
      <c r="W30" s="149">
        <f t="shared" si="4"/>
        <v>28.000000000000782</v>
      </c>
      <c r="X30" s="174"/>
      <c r="Y30" s="301"/>
      <c r="Z30" s="335">
        <v>1</v>
      </c>
      <c r="AA30" s="335">
        <v>34</v>
      </c>
      <c r="AB30" s="789" t="s">
        <v>187</v>
      </c>
      <c r="AC30" s="789"/>
      <c r="AD30" s="92"/>
      <c r="AE30" s="92"/>
      <c r="AF30" s="312">
        <f t="shared" si="6"/>
        <v>-286.00000000003774</v>
      </c>
      <c r="AG30" s="99">
        <f t="shared" si="7"/>
        <v>0.82518337408310649</v>
      </c>
      <c r="AH30" s="806"/>
    </row>
    <row r="31" spans="1:34" ht="15" customHeight="1">
      <c r="A31" s="793"/>
      <c r="B31" s="75"/>
      <c r="C31" s="173"/>
      <c r="D31" s="59"/>
      <c r="E31" s="104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4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6"/>
        <v>0</v>
      </c>
      <c r="AG31" s="99" t="e">
        <f t="shared" si="7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4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4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4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4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4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8">AVERAGE(J27:J36)</f>
        <v>17.25</v>
      </c>
      <c r="K37" s="155">
        <f t="shared" si="8"/>
        <v>1636</v>
      </c>
      <c r="L37" s="158">
        <f t="shared" si="8"/>
        <v>95.065767973856211</v>
      </c>
      <c r="M37" s="155">
        <f t="shared" si="8"/>
        <v>16.75</v>
      </c>
      <c r="N37" s="155">
        <f t="shared" si="8"/>
        <v>1350.2668269230862</v>
      </c>
      <c r="O37" s="158">
        <f t="shared" si="8"/>
        <v>80.724794966063939</v>
      </c>
      <c r="P37" s="159">
        <f>M37-J37</f>
        <v>-0.5</v>
      </c>
      <c r="Q37" s="160">
        <f>N37-K37</f>
        <v>-285.73317307691377</v>
      </c>
      <c r="R37" s="161">
        <f>O37/L37</f>
        <v>0.84914682420978127</v>
      </c>
      <c r="S37" s="797"/>
      <c r="T37" s="163"/>
      <c r="U37" s="163"/>
      <c r="V37" s="164"/>
      <c r="W37" s="164"/>
      <c r="X37" s="321"/>
      <c r="Y37" s="322"/>
      <c r="Z37" s="334">
        <f>SUM(Z27:Z36)</f>
        <v>4</v>
      </c>
      <c r="AA37" s="334">
        <f>SUM(AA27:AA36)</f>
        <v>42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-285.73317307691377</v>
      </c>
      <c r="AG37" s="124">
        <f>N37/K37</f>
        <v>0.82534647122438032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2071</v>
      </c>
      <c r="H38" s="134">
        <f>F38*G38</f>
        <v>103363.60999999999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1656.7999999999777</v>
      </c>
      <c r="O38" s="141">
        <f>N38/M38</f>
        <v>103.5499999999986</v>
      </c>
      <c r="P38" s="142">
        <f>M38-J38</f>
        <v>0</v>
      </c>
      <c r="Q38" s="143">
        <f>O38-L38</f>
        <v>-3.5750000000013955</v>
      </c>
      <c r="R38" s="144">
        <f>O38/L38</f>
        <v>0.96662777129520283</v>
      </c>
      <c r="S38" s="817">
        <f>R48</f>
        <v>0.92123389747462758</v>
      </c>
      <c r="T38" s="191">
        <v>0.33333333333333298</v>
      </c>
      <c r="U38" s="191">
        <v>0.38541666666666702</v>
      </c>
      <c r="V38" s="192"/>
      <c r="W38" s="193">
        <f t="shared" si="4"/>
        <v>75.000000000001009</v>
      </c>
      <c r="X38" s="194"/>
      <c r="Y38" s="302"/>
      <c r="Z38" s="336"/>
      <c r="AA38" s="336"/>
      <c r="AB38" s="819" t="s">
        <v>188</v>
      </c>
      <c r="AC38" s="819"/>
      <c r="AD38" s="192"/>
      <c r="AE38" s="192"/>
      <c r="AF38" s="313">
        <f>N38-K38</f>
        <v>-57.200000000022328</v>
      </c>
      <c r="AG38" s="195">
        <f>N38/K38</f>
        <v>0.96662777129520283</v>
      </c>
      <c r="AH38" s="807">
        <f>AG48</f>
        <v>0.91928330833181604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3709</v>
      </c>
      <c r="H39" s="91">
        <f>F39*G39</f>
        <v>164308.69999999998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1524.2465753424635</v>
      </c>
      <c r="O39" s="203">
        <f>N39/M39</f>
        <v>84.680365296803529</v>
      </c>
      <c r="P39" s="97">
        <f>M39-J39</f>
        <v>0</v>
      </c>
      <c r="Q39" s="98">
        <f>O39-L39</f>
        <v>-6.2085235920853563</v>
      </c>
      <c r="R39" s="99">
        <f>O39/L39</f>
        <v>0.9316910607227773</v>
      </c>
      <c r="S39" s="818"/>
      <c r="T39" s="20">
        <v>0.39513888888888898</v>
      </c>
      <c r="U39" s="20">
        <v>0.49652777777777801</v>
      </c>
      <c r="V39" s="92">
        <f>(T39-U38)*24*60</f>
        <v>13.999999999999631</v>
      </c>
      <c r="W39" s="205">
        <f t="shared" si="4"/>
        <v>146.0000000000002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-111.75342465753647</v>
      </c>
      <c r="AG39" s="206">
        <f>N39/K39</f>
        <v>0.93169106072277719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935</v>
      </c>
      <c r="H40" s="91">
        <f>F40*G40</f>
        <v>41420.5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1402.4999999999939</v>
      </c>
      <c r="O40" s="203">
        <f>N40/M40</f>
        <v>77.91666666666633</v>
      </c>
      <c r="P40" s="97">
        <f>M40-J40</f>
        <v>0</v>
      </c>
      <c r="Q40" s="98">
        <f>O40-L40</f>
        <v>-12.972222222222555</v>
      </c>
      <c r="R40" s="99">
        <f>O40/L40</f>
        <v>0.8572738386308032</v>
      </c>
      <c r="S40" s="749"/>
      <c r="T40" s="20">
        <v>0.54861111111111105</v>
      </c>
      <c r="U40" s="20">
        <v>0.57638888888888895</v>
      </c>
      <c r="V40" s="92">
        <f>(T40-U39)*24*60</f>
        <v>74.999999999999574</v>
      </c>
      <c r="W40" s="205">
        <f t="shared" si="4"/>
        <v>40.000000000000178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-233.50000000000614</v>
      </c>
      <c r="AG40" s="206">
        <f>N40/K40</f>
        <v>0.85727383863080309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4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4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9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9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9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9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9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0">AVERAGE(J38:J47)</f>
        <v>17.333333333333332</v>
      </c>
      <c r="K48" s="155">
        <f t="shared" si="10"/>
        <v>1662</v>
      </c>
      <c r="L48" s="158">
        <f t="shared" si="10"/>
        <v>96.300925925925924</v>
      </c>
      <c r="M48" s="155">
        <f t="shared" si="10"/>
        <v>17.333333333333332</v>
      </c>
      <c r="N48" s="155">
        <f t="shared" si="10"/>
        <v>1527.8488584474783</v>
      </c>
      <c r="O48" s="158">
        <f t="shared" si="10"/>
        <v>88.71567732115615</v>
      </c>
      <c r="P48" s="221">
        <f>M48-J48</f>
        <v>0</v>
      </c>
      <c r="Q48" s="222">
        <f>N48-K48</f>
        <v>-134.15114155252172</v>
      </c>
      <c r="R48" s="223">
        <f>O48/L48</f>
        <v>0.92123389747462758</v>
      </c>
      <c r="S48" s="752"/>
      <c r="T48" s="224"/>
      <c r="U48" s="224"/>
      <c r="V48" s="225"/>
      <c r="W48" s="226">
        <f t="shared" si="9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1">N48-K48</f>
        <v>-134.15114155252172</v>
      </c>
      <c r="AG48" s="162">
        <f t="shared" ref="AG48:AG53" si="12">N48/K48</f>
        <v>0.91928330833181604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1825</v>
      </c>
      <c r="H49" s="134">
        <f>F49*G49</f>
        <v>90374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1710.9375000000166</v>
      </c>
      <c r="O49" s="141">
        <f>N49/M49</f>
        <v>100.64338235294215</v>
      </c>
      <c r="P49" s="229">
        <f>M49-J49</f>
        <v>0</v>
      </c>
      <c r="Q49" s="230">
        <f>O49-L49</f>
        <v>-5.2389705882343094</v>
      </c>
      <c r="R49" s="52">
        <f>O49/L49</f>
        <v>0.95052083333334259</v>
      </c>
      <c r="S49" s="748">
        <f>R58</f>
        <v>0.8650264612350983</v>
      </c>
      <c r="T49" s="191">
        <v>0.29166666666666702</v>
      </c>
      <c r="U49" s="191">
        <v>0.33611111111111103</v>
      </c>
      <c r="V49" s="55"/>
      <c r="W49" s="193">
        <f t="shared" si="4"/>
        <v>63.999999999999375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1"/>
        <v>-89.062499999983402</v>
      </c>
      <c r="AG49" s="52">
        <f t="shared" si="12"/>
        <v>0.95052083333334259</v>
      </c>
      <c r="AH49" s="784">
        <f>AG58</f>
        <v>0.86569967764327138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1722</v>
      </c>
      <c r="H50" s="231">
        <f>F50*G50</f>
        <v>86597.657999999996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1341.8181818181879</v>
      </c>
      <c r="O50" s="235">
        <f>N50/M50</f>
        <v>78.930481283422822</v>
      </c>
      <c r="P50" s="74">
        <f>M50-J50</f>
        <v>0</v>
      </c>
      <c r="Q50" s="83">
        <f>O50-L50</f>
        <v>-17.304812834224236</v>
      </c>
      <c r="R50" s="72">
        <f>O50/L50</f>
        <v>0.82018226272505379</v>
      </c>
      <c r="S50" s="749"/>
      <c r="T50" s="21">
        <v>0.34236111111111101</v>
      </c>
      <c r="U50" s="21">
        <v>0.39583333333333298</v>
      </c>
      <c r="V50" s="30">
        <f>(T50-U49)*24*60</f>
        <v>8.999999999999968</v>
      </c>
      <c r="W50" s="236">
        <f t="shared" si="4"/>
        <v>76.999999999999645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1"/>
        <v>-294.1818181818121</v>
      </c>
      <c r="AG50" s="72">
        <f t="shared" si="12"/>
        <v>0.82018226272505368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2319</v>
      </c>
      <c r="H51" s="231">
        <f>F51*G51</f>
        <v>115880.43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1496.1290322580724</v>
      </c>
      <c r="O51" s="235">
        <f>N51/M51</f>
        <v>93.508064516129522</v>
      </c>
      <c r="P51" s="74">
        <f>M51-J51</f>
        <v>0</v>
      </c>
      <c r="Q51" s="83">
        <f>O51-L51</f>
        <v>-18.991935483870478</v>
      </c>
      <c r="R51" s="72">
        <f>O51/L51</f>
        <v>0.83118279569892906</v>
      </c>
      <c r="S51" s="749"/>
      <c r="T51" s="21">
        <v>0.40277777777777801</v>
      </c>
      <c r="U51" s="19">
        <v>0.46736111111111101</v>
      </c>
      <c r="V51" s="30">
        <f>(T51-U50)*24*60</f>
        <v>10.000000000000844</v>
      </c>
      <c r="W51" s="236">
        <f t="shared" si="4"/>
        <v>92.999999999999517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1"/>
        <v>-303.87096774192764</v>
      </c>
      <c r="AG51" s="72">
        <f t="shared" si="12"/>
        <v>0.83118279569892906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2596</v>
      </c>
      <c r="H52" s="231">
        <f>F52*G52</f>
        <v>129722.12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1542.1782178217804</v>
      </c>
      <c r="O52" s="235">
        <f>N52/M52</f>
        <v>96.386138613861277</v>
      </c>
      <c r="P52" s="74">
        <f>M52-J52</f>
        <v>0</v>
      </c>
      <c r="Q52" s="83">
        <f>O52-L52</f>
        <v>-16.113861386138723</v>
      </c>
      <c r="R52" s="72">
        <f>O52/L52</f>
        <v>0.85676567656765579</v>
      </c>
      <c r="S52" s="749"/>
      <c r="T52" s="21">
        <v>0.52569444444444402</v>
      </c>
      <c r="U52" s="21">
        <v>0.59583333333333299</v>
      </c>
      <c r="V52" s="30">
        <f>(T52-U51)*24*60</f>
        <v>83.999999999999545</v>
      </c>
      <c r="W52" s="236">
        <f t="shared" si="4"/>
        <v>101.00000000000011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1"/>
        <v>-257.82178217821956</v>
      </c>
      <c r="AG52" s="72">
        <f t="shared" si="12"/>
        <v>0.85676567656765579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4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1"/>
        <v>0</v>
      </c>
      <c r="AG53" s="72" t="e">
        <f t="shared" si="12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4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4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4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4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13">AVERAGE(J49:J57)</f>
        <v>16.5</v>
      </c>
      <c r="K58" s="120">
        <f t="shared" si="13"/>
        <v>1759</v>
      </c>
      <c r="L58" s="117">
        <f t="shared" si="13"/>
        <v>106.77941176470588</v>
      </c>
      <c r="M58" s="120">
        <f t="shared" si="13"/>
        <v>16.5</v>
      </c>
      <c r="N58" s="120">
        <f t="shared" si="13"/>
        <v>1522.7657329745143</v>
      </c>
      <c r="O58" s="117">
        <f t="shared" si="13"/>
        <v>92.367016691588958</v>
      </c>
      <c r="P58" s="121">
        <f>M58-J58</f>
        <v>0</v>
      </c>
      <c r="Q58" s="122">
        <f>N58-K58</f>
        <v>-236.23426702548568</v>
      </c>
      <c r="R58" s="123">
        <f t="shared" ref="R58:R63" si="14">O58/L58</f>
        <v>0.8650264612350983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-236.23426702548568</v>
      </c>
      <c r="AG58" s="124">
        <f>N58/K58</f>
        <v>0.86569967764327138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2818</v>
      </c>
      <c r="H59" s="243">
        <f>F59*G59</f>
        <v>76057.819999999992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1537.0909090909067</v>
      </c>
      <c r="O59" s="138">
        <f>N59/M59</f>
        <v>102.47272727272711</v>
      </c>
      <c r="P59" s="56">
        <f>M59-J59</f>
        <v>0</v>
      </c>
      <c r="Q59" s="230">
        <f>O59-L59</f>
        <v>-6.5939393939395501</v>
      </c>
      <c r="R59" s="52">
        <f t="shared" si="14"/>
        <v>0.93954212047121444</v>
      </c>
      <c r="S59" s="748">
        <f>R69</f>
        <v>0.89555889029871416</v>
      </c>
      <c r="T59" s="245">
        <v>0.29166666666666702</v>
      </c>
      <c r="U59" s="245">
        <v>0.36805555555555602</v>
      </c>
      <c r="V59" s="55"/>
      <c r="W59" s="54">
        <f t="shared" si="4"/>
        <v>110.00000000000017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-98.909090909093266</v>
      </c>
      <c r="AG59" s="246">
        <f>N59/K59</f>
        <v>0.93954212047121444</v>
      </c>
      <c r="AH59" s="784">
        <f>AG69</f>
        <v>0.89790466257458101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998</v>
      </c>
      <c r="H60" s="78">
        <f>F60*G60</f>
        <v>28203.480000000003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1496.9999999999873</v>
      </c>
      <c r="O60" s="81">
        <f>N60/M60</f>
        <v>136.09090909090793</v>
      </c>
      <c r="P60" s="74">
        <f>M60-J60</f>
        <v>0</v>
      </c>
      <c r="Q60" s="83">
        <f>O60-L60</f>
        <v>-12.636363636364791</v>
      </c>
      <c r="R60" s="72">
        <f t="shared" si="14"/>
        <v>0.9150366748166181</v>
      </c>
      <c r="S60" s="829"/>
      <c r="T60" s="22">
        <v>0.375</v>
      </c>
      <c r="U60" s="22">
        <v>0.40277777777777801</v>
      </c>
      <c r="V60" s="30">
        <f>(T60-U59)*24*60</f>
        <v>9.999999999999325</v>
      </c>
      <c r="W60" s="248">
        <f t="shared" si="4"/>
        <v>40.000000000000341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-139.00000000001273</v>
      </c>
      <c r="AG60" s="249">
        <f>N60/K60</f>
        <v>0.9150366748166181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609</v>
      </c>
      <c r="H61" s="254">
        <f>F61*G61</f>
        <v>17210.34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1217.9999999999588</v>
      </c>
      <c r="O61" s="238">
        <f>N61/M61</f>
        <v>110.72727272726898</v>
      </c>
      <c r="P61" s="111">
        <f>M61-J61</f>
        <v>0</v>
      </c>
      <c r="Q61" s="255">
        <f>O61-L61</f>
        <v>-38.000000000003737</v>
      </c>
      <c r="R61" s="85">
        <f t="shared" si="14"/>
        <v>0.74449877750608728</v>
      </c>
      <c r="S61" s="749"/>
      <c r="T61" s="22">
        <v>0.40972222222222199</v>
      </c>
      <c r="U61" s="22">
        <v>0.43055555555555602</v>
      </c>
      <c r="V61" s="30">
        <f>(T61-U60)*24*60</f>
        <v>9.999999999999325</v>
      </c>
      <c r="W61" s="256">
        <f t="shared" si="4"/>
        <v>30.000000000001013</v>
      </c>
      <c r="X61" s="22"/>
      <c r="Y61" s="84"/>
      <c r="Z61" s="90"/>
      <c r="AA61" s="90"/>
      <c r="AB61" s="789" t="s">
        <v>149</v>
      </c>
      <c r="AC61" s="789"/>
      <c r="AD61" s="92"/>
      <c r="AE61" s="92"/>
      <c r="AF61" s="317">
        <f>N61-K61</f>
        <v>-418.00000000004115</v>
      </c>
      <c r="AG61" s="247">
        <f>N61/K61</f>
        <v>0.74449877750608728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1641</v>
      </c>
      <c r="H62" s="254">
        <f t="shared" ref="H62:H63" si="15">F62*G62</f>
        <v>46374.66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16">K62/J62</f>
        <v>148.72727272727272</v>
      </c>
      <c r="M62" s="108">
        <v>11</v>
      </c>
      <c r="N62" s="80">
        <f>G62/W62*60</f>
        <v>1514.7692307692269</v>
      </c>
      <c r="O62" s="81">
        <f>N62/M62</f>
        <v>137.70629370629334</v>
      </c>
      <c r="P62" s="74">
        <f>M62-J62</f>
        <v>0</v>
      </c>
      <c r="Q62" s="83">
        <f>O62-L62</f>
        <v>-11.020979020979382</v>
      </c>
      <c r="R62" s="72">
        <f t="shared" si="14"/>
        <v>0.92589806281737574</v>
      </c>
      <c r="S62" s="749"/>
      <c r="T62" s="22">
        <v>0.45138888888888901</v>
      </c>
      <c r="U62" s="22">
        <v>0.49652777777777801</v>
      </c>
      <c r="V62" s="30">
        <f>(T62-U61)*24*60</f>
        <v>29.999999999999496</v>
      </c>
      <c r="W62" s="248">
        <f t="shared" si="4"/>
        <v>65.000000000000171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-121.23076923077315</v>
      </c>
      <c r="AG62" s="247">
        <f>N62/K62</f>
        <v>0.92589806281737586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1052</v>
      </c>
      <c r="H63" s="254">
        <f t="shared" si="15"/>
        <v>29729.52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16"/>
        <v>148.72727272727272</v>
      </c>
      <c r="M63" s="68">
        <v>11</v>
      </c>
      <c r="N63" s="107">
        <f>G63/W63*60</f>
        <v>1577.999999999993</v>
      </c>
      <c r="O63" s="238">
        <f>N63/M63</f>
        <v>143.45454545454481</v>
      </c>
      <c r="P63" s="111">
        <f>M63-J63</f>
        <v>0</v>
      </c>
      <c r="Q63" s="255">
        <f>O63-L63</f>
        <v>-5.2727272727279058</v>
      </c>
      <c r="R63" s="85">
        <f t="shared" si="14"/>
        <v>0.96454767726160939</v>
      </c>
      <c r="S63" s="749"/>
      <c r="T63" s="22">
        <v>0.54861111111111105</v>
      </c>
      <c r="U63" s="22">
        <v>0.57638888888888895</v>
      </c>
      <c r="V63" s="30">
        <f>(T63-U62)*24*60</f>
        <v>74.999999999999574</v>
      </c>
      <c r="W63" s="248">
        <f t="shared" si="4"/>
        <v>40.000000000000178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4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4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4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4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4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17">AVERAGE(J59:J68)</f>
        <v>11.8</v>
      </c>
      <c r="K69" s="240">
        <f t="shared" si="17"/>
        <v>1636</v>
      </c>
      <c r="L69" s="268">
        <f t="shared" si="17"/>
        <v>140.79515151515153</v>
      </c>
      <c r="M69" s="240">
        <f t="shared" si="17"/>
        <v>11.8</v>
      </c>
      <c r="N69" s="240">
        <f t="shared" si="17"/>
        <v>1468.9720279720145</v>
      </c>
      <c r="O69" s="268">
        <f t="shared" si="17"/>
        <v>126.09034965034843</v>
      </c>
      <c r="P69" s="269">
        <f>M69-J69</f>
        <v>0</v>
      </c>
      <c r="Q69" s="222">
        <f>N69-K69</f>
        <v>-167.02797202798547</v>
      </c>
      <c r="R69" s="123">
        <f>O69/L69</f>
        <v>0.89555889029871416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-167.02797202798547</v>
      </c>
      <c r="AG69" s="124">
        <f>N69/K69</f>
        <v>0.89790466257458101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1256</v>
      </c>
      <c r="H70" s="243">
        <f>F70*G70</f>
        <v>55125.840000000004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11</v>
      </c>
      <c r="N70" s="137">
        <f>G70/W70*60</f>
        <v>1159.3846153846123</v>
      </c>
      <c r="O70" s="138">
        <f>N70/M70</f>
        <v>105.39860139860112</v>
      </c>
      <c r="P70" s="56">
        <f>M70-J70</f>
        <v>-2</v>
      </c>
      <c r="Q70" s="230">
        <f>O70-L70</f>
        <v>-14.986013986014271</v>
      </c>
      <c r="R70" s="52">
        <f>O70/L70</f>
        <v>0.87551553877432231</v>
      </c>
      <c r="S70" s="748">
        <f>R79</f>
        <v>0.87551553877432231</v>
      </c>
      <c r="T70" s="245">
        <v>0.29166666666666702</v>
      </c>
      <c r="U70" s="245">
        <v>0.33680555555555602</v>
      </c>
      <c r="V70" s="55"/>
      <c r="W70" s="54">
        <f t="shared" si="4"/>
        <v>65.000000000000171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-405.61538461538771</v>
      </c>
      <c r="AG70" s="246">
        <f>N70/K70</f>
        <v>0.74082084050134966</v>
      </c>
      <c r="AH70" s="784">
        <f>AG79</f>
        <v>0.74082084050134966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4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4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4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4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4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4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4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4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18">AVERAGE(J70:J78)</f>
        <v>13</v>
      </c>
      <c r="K79" s="240">
        <f t="shared" si="18"/>
        <v>1565</v>
      </c>
      <c r="L79" s="268">
        <f t="shared" si="18"/>
        <v>120.38461538461539</v>
      </c>
      <c r="M79" s="240">
        <f t="shared" si="18"/>
        <v>11</v>
      </c>
      <c r="N79" s="240">
        <f t="shared" si="18"/>
        <v>1159.3846153846123</v>
      </c>
      <c r="O79" s="268">
        <f t="shared" si="18"/>
        <v>105.39860139860112</v>
      </c>
      <c r="P79" s="269">
        <f>M79-J79</f>
        <v>-2</v>
      </c>
      <c r="Q79" s="222">
        <f>N79-K79</f>
        <v>-405.61538461538771</v>
      </c>
      <c r="R79" s="223">
        <f>O79/L79</f>
        <v>0.87551553877432231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-405.61538461538771</v>
      </c>
      <c r="AG79" s="124">
        <f>N79/K79</f>
        <v>0.74082084050134966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98" priority="1" operator="greaterThan">
      <formula>0</formula>
    </cfRule>
  </conditionalFormatting>
  <conditionalFormatting sqref="Q5:Q79 AF5:AF79">
    <cfRule type="cellIs" dxfId="97" priority="4" operator="lessThan">
      <formula>0</formula>
    </cfRule>
  </conditionalFormatting>
  <conditionalFormatting sqref="R5:R79 AG5:AG79">
    <cfRule type="cellIs" dxfId="96" priority="2" operator="greaterThan">
      <formula>1</formula>
    </cfRule>
    <cfRule type="cellIs" dxfId="95" priority="3" operator="lessThan">
      <formula>0.8</formula>
    </cfRule>
  </conditionalFormatting>
  <conditionalFormatting sqref="S5:S10 S37:S62 AH59:AH62 S69:S76 AH69:AH76">
    <cfRule type="cellIs" dxfId="94" priority="7" operator="lessThan">
      <formula>0.8</formula>
    </cfRule>
  </conditionalFormatting>
  <conditionalFormatting sqref="S19:S25 AH19:AH25">
    <cfRule type="cellIs" dxfId="93" priority="6" operator="lessThan">
      <formula>0.8</formula>
    </cfRule>
  </conditionalFormatting>
  <conditionalFormatting sqref="S79">
    <cfRule type="cellIs" dxfId="92" priority="5" operator="lessThan">
      <formula>0.8</formula>
    </cfRule>
  </conditionalFormatting>
  <conditionalFormatting sqref="AH5:AH8 S15:S16 AH15:AH16 AH49 AH79">
    <cfRule type="cellIs" dxfId="91" priority="9" operator="lessThan">
      <formula>0.8</formula>
    </cfRule>
  </conditionalFormatting>
  <conditionalFormatting sqref="AH27 S27:S28">
    <cfRule type="cellIs" dxfId="9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5EF6-08C9-4FE8-A5D2-6DFBB28BBD5F}">
  <dimension ref="B1:O26"/>
  <sheetViews>
    <sheetView topLeftCell="B1" zoomScale="70" zoomScaleNormal="70" workbookViewId="0">
      <selection activeCell="T23" sqref="T23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DATE(2026,8,23)</f>
        <v>46257</v>
      </c>
      <c r="E3" s="706"/>
      <c r="F3" s="3" t="s">
        <v>72</v>
      </c>
      <c r="G3" s="707">
        <f>'0823'!E1</f>
        <v>62066</v>
      </c>
      <c r="H3" s="707"/>
      <c r="I3" s="3" t="s">
        <v>2</v>
      </c>
      <c r="J3" s="708">
        <f>'0823'!G1</f>
        <v>2878721.1159999995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128.56096765435001</v>
      </c>
      <c r="G6" s="713"/>
      <c r="H6" s="714">
        <f>AVERAGE(D13:H13)</f>
        <v>125.31174166247695</v>
      </c>
      <c r="I6" s="714"/>
      <c r="J6" s="714">
        <f>AVERAGE(I13:J13)</f>
        <v>136.68403263403263</v>
      </c>
      <c r="K6" s="714"/>
      <c r="L6" s="716">
        <f>'0823'!Z2</f>
        <v>1</v>
      </c>
      <c r="M6" s="717">
        <f>'0823'!AA2</f>
        <v>22</v>
      </c>
      <c r="N6" s="718">
        <f>'0823'!AD2</f>
        <v>0</v>
      </c>
      <c r="O6" s="717">
        <f>'0823'!AE2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115.36104605547129</v>
      </c>
      <c r="G7" s="737"/>
      <c r="H7" s="738">
        <f>AVERAGE(D14:H14)</f>
        <v>112.7575631567582</v>
      </c>
      <c r="I7" s="738"/>
      <c r="J7" s="738">
        <f>AVERAGE(I14:J14)</f>
        <v>121.86975330225403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0.89481815390983821</v>
      </c>
      <c r="G8" s="710"/>
      <c r="H8" s="710">
        <f>AVERAGE(D15:H15)</f>
        <v>0.89615501461594038</v>
      </c>
      <c r="I8" s="710"/>
      <c r="J8" s="710">
        <f>AVERAGE(I15:J15)</f>
        <v>0.89147600214458289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VALUE('0823'!L15)</f>
        <v>151.08597285067873</v>
      </c>
      <c r="E13" s="13">
        <f>VALUE('0823'!L26)</f>
        <v>174.23076923076923</v>
      </c>
      <c r="F13" s="13">
        <f>VALUE('0823'!L37)</f>
        <v>95.455610021786484</v>
      </c>
      <c r="G13" s="13">
        <f>VALUE('0823'!L48)</f>
        <v>99.006944444444457</v>
      </c>
      <c r="H13" s="13">
        <f>VALUE('0823'!L58)</f>
        <v>106.77941176470588</v>
      </c>
      <c r="I13" s="13">
        <f>VALUE('0823'!L69)</f>
        <v>138.81212121212121</v>
      </c>
      <c r="J13" s="13">
        <f>'0823'!L79</f>
        <v>134.55594405594405</v>
      </c>
    </row>
    <row r="14" spans="2:15" ht="39.950000000000003" customHeight="1">
      <c r="B14" s="731"/>
      <c r="C14" s="12" t="s">
        <v>100</v>
      </c>
      <c r="D14" s="13">
        <f>VALUE('0823'!O15)</f>
        <v>143.83155594084968</v>
      </c>
      <c r="E14" s="13">
        <f>VALUE('0823'!O26)</f>
        <v>155.56925766853263</v>
      </c>
      <c r="F14" s="13">
        <f>VALUE('0823'!O37)</f>
        <v>88.357108969493666</v>
      </c>
      <c r="G14" s="13">
        <f>VALUE('0823'!O48)</f>
        <v>83.956561483444673</v>
      </c>
      <c r="H14" s="13">
        <f>VALUE('0823'!O58)</f>
        <v>92.073331721470282</v>
      </c>
      <c r="I14" s="13">
        <f>VALUE('0823'!O69)</f>
        <v>125.00125874125901</v>
      </c>
      <c r="J14" s="13">
        <f>'0823'!O79</f>
        <v>118.73824786324906</v>
      </c>
    </row>
    <row r="15" spans="2:15" ht="39.950000000000003" customHeight="1">
      <c r="B15" s="732"/>
      <c r="C15" s="10" t="s">
        <v>26</v>
      </c>
      <c r="D15" s="14">
        <f t="shared" ref="D15:I15" si="0">D14/D13</f>
        <v>0.95198484165701647</v>
      </c>
      <c r="E15" s="14">
        <f t="shared" si="0"/>
        <v>0.89289198661850955</v>
      </c>
      <c r="F15" s="14">
        <f t="shared" si="0"/>
        <v>0.92563558023805326</v>
      </c>
      <c r="G15" s="14">
        <f t="shared" si="0"/>
        <v>0.8479865928046596</v>
      </c>
      <c r="H15" s="14">
        <f t="shared" si="0"/>
        <v>0.86227607176146248</v>
      </c>
      <c r="I15" s="14">
        <f t="shared" si="0"/>
        <v>0.90050679760337649</v>
      </c>
      <c r="J15" s="15">
        <f>'0823'!S70</f>
        <v>0.8824452066857893</v>
      </c>
    </row>
    <row r="16" spans="2:15" ht="17.25" customHeight="1">
      <c r="B16" s="733" t="s">
        <v>101</v>
      </c>
      <c r="C16" s="10" t="s">
        <v>34</v>
      </c>
      <c r="D16" s="16">
        <f>'0823'!T5</f>
        <v>0.29166666666666702</v>
      </c>
      <c r="E16" s="16">
        <f>'0823'!T16</f>
        <v>0.297916666666667</v>
      </c>
      <c r="F16" s="16">
        <f>'0823'!T27</f>
        <v>0.29166666666666702</v>
      </c>
      <c r="G16" s="16">
        <f>'0823'!T38</f>
        <v>0.33333333333333298</v>
      </c>
      <c r="H16" s="16">
        <f>'0823'!T49</f>
        <v>0.29166666666666702</v>
      </c>
      <c r="I16" s="16">
        <f>'0823'!T59</f>
        <v>0.29166666666666702</v>
      </c>
      <c r="J16" s="17">
        <f>'0823'!T70</f>
        <v>0.29513888888888901</v>
      </c>
    </row>
    <row r="17" spans="2:10" ht="17.25" customHeight="1">
      <c r="B17" s="734"/>
      <c r="C17" s="10" t="s">
        <v>35</v>
      </c>
      <c r="D17" s="16">
        <v>0.59791666666666698</v>
      </c>
      <c r="E17" s="183">
        <v>0.64444444444444404</v>
      </c>
      <c r="F17" s="19">
        <v>0.64861111111111103</v>
      </c>
      <c r="G17" s="328">
        <v>0.65972222222222199</v>
      </c>
      <c r="H17" s="21">
        <v>0.63888888888888895</v>
      </c>
      <c r="I17" s="110">
        <v>0.58680555555555602</v>
      </c>
      <c r="J17" s="22">
        <v>0.42569444444444399</v>
      </c>
    </row>
    <row r="18" spans="2:10" ht="17.25" customHeight="1">
      <c r="B18" s="735" t="s">
        <v>102</v>
      </c>
      <c r="C18" s="330" t="s">
        <v>36</v>
      </c>
      <c r="D18" s="386">
        <f>'0823'!Z15</f>
        <v>0</v>
      </c>
      <c r="E18" s="387">
        <f>'0823'!Z26</f>
        <v>0</v>
      </c>
      <c r="F18" s="387">
        <f>'0823'!Z37</f>
        <v>0</v>
      </c>
      <c r="G18" s="388">
        <f>'0823'!Z48</f>
        <v>1</v>
      </c>
      <c r="H18" s="388">
        <f>'0823'!Z58</f>
        <v>0</v>
      </c>
      <c r="I18" s="387">
        <f>'0823'!Z69</f>
        <v>0</v>
      </c>
      <c r="J18" s="387">
        <f>'0823'!AA79</f>
        <v>0</v>
      </c>
    </row>
    <row r="19" spans="2:10" ht="17.25" customHeight="1">
      <c r="B19" s="736"/>
      <c r="C19" s="330" t="s">
        <v>37</v>
      </c>
      <c r="D19" s="386">
        <f>'0823'!AA15</f>
        <v>0</v>
      </c>
      <c r="E19" s="387">
        <f>'0823'!AA26</f>
        <v>0</v>
      </c>
      <c r="F19" s="387">
        <f>'0823'!AA37</f>
        <v>0</v>
      </c>
      <c r="G19" s="388">
        <f>'0823'!AA48</f>
        <v>22</v>
      </c>
      <c r="H19" s="388">
        <f>'0823'!AA58</f>
        <v>0</v>
      </c>
      <c r="I19" s="387">
        <f>'0823'!AA69</f>
        <v>0</v>
      </c>
      <c r="J19" s="387">
        <f>'0823'!AB79</f>
        <v>0</v>
      </c>
    </row>
    <row r="20" spans="2:10" ht="17.25" customHeight="1">
      <c r="B20" s="735" t="s">
        <v>103</v>
      </c>
      <c r="C20" s="330" t="s">
        <v>36</v>
      </c>
      <c r="D20" s="386">
        <f>'0823'!AD15</f>
        <v>0</v>
      </c>
      <c r="E20" s="387">
        <f>'0823'!AD26</f>
        <v>0</v>
      </c>
      <c r="F20" s="387">
        <f>'0823'!AD37</f>
        <v>0</v>
      </c>
      <c r="G20" s="388">
        <f>'0823'!AD48</f>
        <v>0</v>
      </c>
      <c r="H20" s="388">
        <f>'0823'!AD58</f>
        <v>0</v>
      </c>
      <c r="I20" s="387">
        <f>'0823'!AD69</f>
        <v>0</v>
      </c>
      <c r="J20" s="387">
        <f>'0823'!AD79</f>
        <v>0</v>
      </c>
    </row>
    <row r="21" spans="2:10" ht="17.25" customHeight="1">
      <c r="B21" s="736"/>
      <c r="C21" s="330" t="s">
        <v>85</v>
      </c>
      <c r="D21" s="386">
        <f>'0823'!AE15</f>
        <v>0</v>
      </c>
      <c r="E21" s="387">
        <f>'0823'!AE26</f>
        <v>0</v>
      </c>
      <c r="F21" s="387">
        <f>'0823'!AE37</f>
        <v>0</v>
      </c>
      <c r="G21" s="388">
        <f>'0823'!AE48</f>
        <v>0</v>
      </c>
      <c r="H21" s="388">
        <f>'0823'!AE58</f>
        <v>0</v>
      </c>
      <c r="I21" s="387">
        <f>'0823'!AE69</f>
        <v>0</v>
      </c>
      <c r="J21" s="387">
        <f>'0823'!AE79</f>
        <v>0</v>
      </c>
    </row>
    <row r="22" spans="2:10" ht="17.25" customHeight="1">
      <c r="B22" s="719" t="s">
        <v>104</v>
      </c>
      <c r="C22" s="720"/>
      <c r="D22" s="23">
        <f>VALUE('0823'!M15)</f>
        <v>15</v>
      </c>
      <c r="E22" s="23">
        <f>VALUE('0823'!M26)</f>
        <v>13</v>
      </c>
      <c r="F22" s="23">
        <f>VALUE('0823'!M37)</f>
        <v>16.833333333333332</v>
      </c>
      <c r="G22" s="23">
        <f>VALUE('0823'!M48)</f>
        <v>16.75</v>
      </c>
      <c r="H22" s="23">
        <f>VALUE('0823'!M58)</f>
        <v>16.5</v>
      </c>
      <c r="I22" s="23">
        <f>VALUE('0823'!M69)</f>
        <v>12</v>
      </c>
      <c r="J22" s="23">
        <f>'0823'!M79</f>
        <v>8.5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8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3F9-51FE-4BEC-83E1-DDD32A05DAFC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Z16" sqref="Z16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62066</v>
      </c>
      <c r="F1" s="30" t="s">
        <v>2</v>
      </c>
      <c r="G1" s="31">
        <f>SUM(H5:H79)</f>
        <v>2878721.1159999995</v>
      </c>
      <c r="H1" s="32" t="s">
        <v>3</v>
      </c>
      <c r="I1" s="33">
        <f>M15+M26+M48+M58+M69+M79+M37</f>
        <v>98.583333333333329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189</v>
      </c>
      <c r="B2" s="739"/>
      <c r="C2" s="28"/>
      <c r="D2" s="28" t="s">
        <v>14</v>
      </c>
      <c r="E2" s="35">
        <f>AVERAGE(O15,O26,O37,O48,O58,O69,O79)</f>
        <v>115.36104605547129</v>
      </c>
      <c r="F2" s="36" t="s">
        <v>15</v>
      </c>
      <c r="G2" s="37">
        <f>G1/E1</f>
        <v>46.3816117681178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22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1543</v>
      </c>
      <c r="H5" s="43">
        <f>F5*G5</f>
        <v>87750.409999999989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15</v>
      </c>
      <c r="N5" s="46">
        <f>G5/W5*60</f>
        <v>2104.0909090909472</v>
      </c>
      <c r="O5" s="47">
        <f>N5/M5</f>
        <v>140.27272727272981</v>
      </c>
      <c r="P5" s="49">
        <f>M5-J5</f>
        <v>0</v>
      </c>
      <c r="Q5" s="50">
        <f>O5-L5</f>
        <v>-9.72727272727019</v>
      </c>
      <c r="R5" s="51">
        <f>O5/L5</f>
        <v>0.93515151515153205</v>
      </c>
      <c r="S5" s="748">
        <f>R15</f>
        <v>0.95198484165701647</v>
      </c>
      <c r="T5" s="319">
        <v>0.29166666666666702</v>
      </c>
      <c r="U5" s="320">
        <v>0.32222222222222202</v>
      </c>
      <c r="V5" s="53"/>
      <c r="W5" s="54">
        <f t="shared" ref="W5:W14" si="0">(U5-T5)*24*60</f>
        <v>43.999999999999204</v>
      </c>
      <c r="X5" s="55"/>
      <c r="Y5" s="290"/>
      <c r="Z5" s="169"/>
      <c r="AA5" s="169"/>
      <c r="AB5" s="791" t="s">
        <v>190</v>
      </c>
      <c r="AC5" s="791"/>
      <c r="AD5" s="135"/>
      <c r="AE5" s="135"/>
      <c r="AF5" s="229">
        <f t="shared" ref="AF5:AF11" si="1">N5-K5</f>
        <v>-145.90909090905279</v>
      </c>
      <c r="AG5" s="52">
        <f t="shared" ref="AG5:AG11" si="2">N5/K5</f>
        <v>0.93515151515153205</v>
      </c>
      <c r="AH5" s="784">
        <f>AG15</f>
        <v>0.95195829181494485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1225</v>
      </c>
      <c r="H6" s="63">
        <f>F6*G6</f>
        <v>62070.75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2161.7647058823654</v>
      </c>
      <c r="O6" s="67">
        <f>N6/M6</f>
        <v>127.16262975778621</v>
      </c>
      <c r="P6" s="69">
        <f>M6-J6</f>
        <v>0</v>
      </c>
      <c r="Q6" s="70">
        <f>O6-L6</f>
        <v>-5.1903114186843737</v>
      </c>
      <c r="R6" s="71">
        <f>O6/L6</f>
        <v>0.96078431372549589</v>
      </c>
      <c r="S6" s="749"/>
      <c r="T6" s="16">
        <v>0.33611111111111103</v>
      </c>
      <c r="U6" s="16">
        <v>0.359722222222222</v>
      </c>
      <c r="V6" s="30">
        <f>(T6-U5)*24*60</f>
        <v>20.000000000000171</v>
      </c>
      <c r="W6" s="73">
        <f t="shared" si="0"/>
        <v>33.999999999999801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-88.235294117634567</v>
      </c>
      <c r="AG6" s="72">
        <f t="shared" si="2"/>
        <v>0.96078431372549578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2267</v>
      </c>
      <c r="H7" s="78">
        <f>F7*G7</f>
        <v>131871.39000000001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2159.0476190476184</v>
      </c>
      <c r="O7" s="81">
        <f>N7/M7</f>
        <v>166.08058608058602</v>
      </c>
      <c r="P7" s="74">
        <f>M7-J7</f>
        <v>0</v>
      </c>
      <c r="Q7" s="83">
        <f>O7-L7</f>
        <v>-6.9963369963370496</v>
      </c>
      <c r="R7" s="72">
        <f>O7/L7</f>
        <v>0.95957671957671931</v>
      </c>
      <c r="S7" s="749"/>
      <c r="T7" s="18">
        <v>0.36527777777777798</v>
      </c>
      <c r="U7" s="18">
        <v>0.40902777777777799</v>
      </c>
      <c r="V7" s="30">
        <f>(T7-U6)*24*60</f>
        <v>8.0000000000006111</v>
      </c>
      <c r="W7" s="73">
        <f t="shared" si="0"/>
        <v>63.000000000000014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-90.952380952381645</v>
      </c>
      <c r="AG7" s="72">
        <f t="shared" si="2"/>
        <v>0.95957671957671931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3179</v>
      </c>
      <c r="H8" s="78">
        <f t="shared" ref="H8:H9" si="3">F8*G8</f>
        <v>156216.06</v>
      </c>
      <c r="I8" s="73"/>
      <c r="J8" s="79">
        <f>VLOOKUP(D8,產線配置圖!$A$3:$C$40,2,0)</f>
        <v>15</v>
      </c>
      <c r="K8" s="80">
        <f>VLOOKUP(D8,產線配置圖!$A$3:$C$40,3,0)</f>
        <v>2250</v>
      </c>
      <c r="L8" s="81">
        <f t="shared" ref="L8:L9" si="4">K8/J8</f>
        <v>150</v>
      </c>
      <c r="M8" s="82">
        <v>15</v>
      </c>
      <c r="N8" s="80">
        <f t="shared" ref="N8:N9" si="5">G8/W8*60</f>
        <v>2143.146067415717</v>
      </c>
      <c r="O8" s="81">
        <f t="shared" ref="O8:O9" si="6">N8/M8</f>
        <v>142.87640449438112</v>
      </c>
      <c r="P8" s="74">
        <f t="shared" ref="P8:P9" si="7">M8-J8</f>
        <v>0</v>
      </c>
      <c r="Q8" s="83">
        <f t="shared" ref="Q8:Q9" si="8">O8-L8</f>
        <v>-7.12359550561888</v>
      </c>
      <c r="R8" s="72">
        <f t="shared" ref="R8:R9" si="9">O8/L8</f>
        <v>0.9525093632958741</v>
      </c>
      <c r="S8" s="749"/>
      <c r="T8" s="16">
        <v>0.41458333333333303</v>
      </c>
      <c r="U8" s="16">
        <v>0.47638888888888897</v>
      </c>
      <c r="V8" s="30">
        <f t="shared" ref="V8:V9" si="10">(T8-U7)*24*60</f>
        <v>7.9999999999992522</v>
      </c>
      <c r="W8" s="73">
        <f t="shared" si="0"/>
        <v>89.000000000000568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-106.85393258428303</v>
      </c>
      <c r="AG8" s="72">
        <f t="shared" si="2"/>
        <v>0.95250936329587421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2891</v>
      </c>
      <c r="H9" s="78">
        <f t="shared" si="3"/>
        <v>142063.74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 t="shared" si="4"/>
        <v>150</v>
      </c>
      <c r="M9" s="82">
        <v>15</v>
      </c>
      <c r="N9" s="80">
        <f t="shared" si="5"/>
        <v>2141.4814814814808</v>
      </c>
      <c r="O9" s="81">
        <f t="shared" si="6"/>
        <v>142.76543209876539</v>
      </c>
      <c r="P9" s="74">
        <f t="shared" si="7"/>
        <v>0</v>
      </c>
      <c r="Q9" s="83">
        <f t="shared" si="8"/>
        <v>-7.2345679012346125</v>
      </c>
      <c r="R9" s="72">
        <f t="shared" si="9"/>
        <v>0.95176954732510255</v>
      </c>
      <c r="S9" s="750"/>
      <c r="T9" s="16">
        <v>0.54166666666666696</v>
      </c>
      <c r="U9" s="16">
        <v>0.59791666666666698</v>
      </c>
      <c r="V9" s="30">
        <f t="shared" si="10"/>
        <v>94.000000000000313</v>
      </c>
      <c r="W9" s="73">
        <f t="shared" si="0"/>
        <v>81.000000000000028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-108.51851851851916</v>
      </c>
      <c r="AG9" s="72">
        <f t="shared" si="2"/>
        <v>0.95176954732510255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2250</v>
      </c>
      <c r="L15" s="117">
        <f t="shared" si="11"/>
        <v>151.08597285067873</v>
      </c>
      <c r="M15" s="120">
        <f t="shared" si="11"/>
        <v>15</v>
      </c>
      <c r="N15" s="120">
        <f t="shared" si="11"/>
        <v>2141.9061565836259</v>
      </c>
      <c r="O15" s="117">
        <f t="shared" si="11"/>
        <v>143.83155594084968</v>
      </c>
      <c r="P15" s="121">
        <f>M15-J15</f>
        <v>0</v>
      </c>
      <c r="Q15" s="122">
        <f>O15-L15</f>
        <v>-7.2544169098290467</v>
      </c>
      <c r="R15" s="123">
        <f>O15/L15</f>
        <v>0.95198484165701647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-108.09384341637406</v>
      </c>
      <c r="AG15" s="124">
        <f>N15/K15</f>
        <v>0.95195829181494485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1740</v>
      </c>
      <c r="H16" s="134">
        <f>F16*G16</f>
        <v>98953.799999999988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15</v>
      </c>
      <c r="N16" s="140">
        <f>G16/W16*60</f>
        <v>1898.1818181818389</v>
      </c>
      <c r="O16" s="141">
        <f>N16/M16</f>
        <v>126.54545454545593</v>
      </c>
      <c r="P16" s="142">
        <f>M16-J16</f>
        <v>0</v>
      </c>
      <c r="Q16" s="143">
        <f>O16-L16</f>
        <v>-23.454545454544075</v>
      </c>
      <c r="R16" s="144">
        <f>O16/L16</f>
        <v>0.84363636363637284</v>
      </c>
      <c r="S16" s="795">
        <f>R26</f>
        <v>0.89289198661850955</v>
      </c>
      <c r="T16" s="145">
        <v>0.297916666666667</v>
      </c>
      <c r="U16" s="145">
        <v>0.33611111111111103</v>
      </c>
      <c r="V16" s="135"/>
      <c r="W16" s="146">
        <f t="shared" ref="W16:W78" si="12">(U16-T16)*24*60</f>
        <v>54.999999999999403</v>
      </c>
      <c r="X16" s="141"/>
      <c r="Y16" s="296"/>
      <c r="Z16" s="169"/>
      <c r="AA16" s="169"/>
      <c r="AB16" s="791" t="s">
        <v>191</v>
      </c>
      <c r="AC16" s="791"/>
      <c r="AD16" s="135"/>
      <c r="AE16" s="135"/>
      <c r="AF16" s="229">
        <f>N16-K16</f>
        <v>-351.81818181816107</v>
      </c>
      <c r="AG16" s="52">
        <f>N16/K16</f>
        <v>0.84363636363637284</v>
      </c>
      <c r="AH16" s="784">
        <f>AG26</f>
        <v>0.89052166017974221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3298</v>
      </c>
      <c r="H17" s="78">
        <f>F17*G17</f>
        <v>167109.66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2082.9473684210598</v>
      </c>
      <c r="O17" s="96">
        <f>N17/M17</f>
        <v>160.22672064777382</v>
      </c>
      <c r="P17" s="97">
        <f>M17-J17</f>
        <v>0</v>
      </c>
      <c r="Q17" s="98">
        <f>O17-L17</f>
        <v>-12.850202429149249</v>
      </c>
      <c r="R17" s="99">
        <f>O17/L17</f>
        <v>0.92575438596491544</v>
      </c>
      <c r="S17" s="796"/>
      <c r="T17" s="19">
        <v>0.35486111111111102</v>
      </c>
      <c r="U17" s="19">
        <v>0.420833333333333</v>
      </c>
      <c r="V17" s="30">
        <f>(T17-U16)*24*60</f>
        <v>26.999999999999986</v>
      </c>
      <c r="W17" s="149">
        <f t="shared" si="12"/>
        <v>94.999999999999659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-167.05263157894024</v>
      </c>
      <c r="AG17" s="72">
        <f>N17/K17</f>
        <v>0.92575438596491544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2082</v>
      </c>
      <c r="H18" s="78">
        <f>F18*G18</f>
        <v>104911.98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2014.8387096774447</v>
      </c>
      <c r="O18" s="96">
        <f>N18/M18</f>
        <v>167.90322580645372</v>
      </c>
      <c r="P18" s="97">
        <f>M18-J18</f>
        <v>0</v>
      </c>
      <c r="Q18" s="98">
        <f>O18-L18</f>
        <v>-19.596774193546281</v>
      </c>
      <c r="R18" s="99">
        <f>O18/L18</f>
        <v>0.89548387096775317</v>
      </c>
      <c r="S18" s="796"/>
      <c r="T18" s="19">
        <v>0.43402777777777801</v>
      </c>
      <c r="U18" s="19">
        <v>0.47708333333333303</v>
      </c>
      <c r="V18" s="30">
        <f>(T18-U17)*24*60</f>
        <v>19.00000000000081</v>
      </c>
      <c r="W18" s="149">
        <f t="shared" si="12"/>
        <v>61.999999999999218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-235.16129032255526</v>
      </c>
      <c r="AG18" s="72">
        <f>N18/K18</f>
        <v>0.89548387096775317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3791</v>
      </c>
      <c r="H19" s="78">
        <f t="shared" ref="H19:H20" si="13">F19*G19</f>
        <v>191028.49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0" si="14">K19/J19</f>
        <v>187.5</v>
      </c>
      <c r="M19" s="148">
        <v>12</v>
      </c>
      <c r="N19" s="95">
        <f t="shared" ref="N19:N20" si="15">G19/W19*60</f>
        <v>2145.8490566037458</v>
      </c>
      <c r="O19" s="96">
        <f t="shared" ref="O19:O20" si="16">N19/M19</f>
        <v>178.82075471697883</v>
      </c>
      <c r="P19" s="97">
        <f t="shared" ref="P19:P20" si="17">M19-J19</f>
        <v>0</v>
      </c>
      <c r="Q19" s="98">
        <f t="shared" ref="Q19:Q20" si="18">O19-L19</f>
        <v>-8.6792452830211744</v>
      </c>
      <c r="R19" s="99">
        <f t="shared" ref="R19:R20" si="19">O19/L19</f>
        <v>0.95371069182388712</v>
      </c>
      <c r="S19" s="796"/>
      <c r="T19" s="19">
        <v>0.54444444444444395</v>
      </c>
      <c r="U19" s="19">
        <v>0.61805555555555602</v>
      </c>
      <c r="V19" s="30">
        <f>(T19-U18)*24*60</f>
        <v>96.99999999999973</v>
      </c>
      <c r="W19" s="149">
        <f t="shared" si="12"/>
        <v>106.00000000000138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-104.15094339625421</v>
      </c>
      <c r="AG19" s="72">
        <f>N19/K19</f>
        <v>0.95371069182388701</v>
      </c>
      <c r="AH19" s="786"/>
    </row>
    <row r="20" spans="1:34" ht="15" customHeight="1">
      <c r="A20" s="802"/>
      <c r="B20" s="75" t="s">
        <v>81</v>
      </c>
      <c r="C20" s="76"/>
      <c r="D20" s="59" t="s">
        <v>119</v>
      </c>
      <c r="E20" s="77"/>
      <c r="F20" s="75">
        <f>VLOOKUP(D20,廠價表!$C$1:$E$43,3,0)</f>
        <v>50.67</v>
      </c>
      <c r="G20" s="147">
        <v>907</v>
      </c>
      <c r="H20" s="78">
        <f t="shared" si="13"/>
        <v>45957.69</v>
      </c>
      <c r="I20" s="30"/>
      <c r="J20" s="79">
        <f>VLOOKUP(D20,產線配置圖!$A$3:$C$40,2,0)</f>
        <v>13</v>
      </c>
      <c r="K20" s="80">
        <f>VLOOKUP(D20,產線配置圖!$A$3:$C$40,3,0)</f>
        <v>2250</v>
      </c>
      <c r="L20" s="81">
        <f t="shared" si="14"/>
        <v>173.07692307692307</v>
      </c>
      <c r="M20" s="148">
        <v>13</v>
      </c>
      <c r="N20" s="95">
        <f t="shared" si="15"/>
        <v>1876.5517241380101</v>
      </c>
      <c r="O20" s="96">
        <f t="shared" si="16"/>
        <v>144.35013262600077</v>
      </c>
      <c r="P20" s="97">
        <f t="shared" si="17"/>
        <v>0</v>
      </c>
      <c r="Q20" s="98">
        <f t="shared" si="18"/>
        <v>-28.726790450922294</v>
      </c>
      <c r="R20" s="99">
        <f t="shared" si="19"/>
        <v>0.83402298850578227</v>
      </c>
      <c r="S20" s="796"/>
      <c r="T20" s="19">
        <v>0.624305555555556</v>
      </c>
      <c r="U20" s="19">
        <v>0.64444444444444404</v>
      </c>
      <c r="V20" s="30">
        <f>(T20-U19)*24*60</f>
        <v>8.999999999999968</v>
      </c>
      <c r="W20" s="149">
        <f t="shared" si="12"/>
        <v>28.999999999998778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/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0">AVERAGE(J16:J25)</f>
        <v>13</v>
      </c>
      <c r="K26" s="155">
        <f t="shared" si="20"/>
        <v>2250</v>
      </c>
      <c r="L26" s="158">
        <f t="shared" si="20"/>
        <v>174.23076923076923</v>
      </c>
      <c r="M26" s="155">
        <f t="shared" si="20"/>
        <v>13</v>
      </c>
      <c r="N26" s="155">
        <f t="shared" si="20"/>
        <v>2003.6737354044199</v>
      </c>
      <c r="O26" s="158">
        <f t="shared" si="20"/>
        <v>155.56925766853263</v>
      </c>
      <c r="P26" s="159">
        <f>M26-J26</f>
        <v>0</v>
      </c>
      <c r="Q26" s="160">
        <f>O26-L26</f>
        <v>-18.661511562236598</v>
      </c>
      <c r="R26" s="161">
        <f>O26/L26</f>
        <v>0.89289198661850955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1">N26-K26</f>
        <v>-246.32626459558014</v>
      </c>
      <c r="AG26" s="124">
        <f t="shared" ref="AG26:AG31" si="22">N26/K26</f>
        <v>0.89052166017974221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1447</v>
      </c>
      <c r="H27" s="134">
        <f>F27*G27</f>
        <v>67053.98000000001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1607.7777777777787</v>
      </c>
      <c r="O27" s="141">
        <f>N27/M27</f>
        <v>100.48611111111117</v>
      </c>
      <c r="P27" s="142">
        <f>M27-J27</f>
        <v>0</v>
      </c>
      <c r="Q27" s="143">
        <f>O27-L27</f>
        <v>-1.7638888888888289</v>
      </c>
      <c r="R27" s="144">
        <f>O27/L27</f>
        <v>0.98274925292040261</v>
      </c>
      <c r="S27" s="795">
        <f>R37</f>
        <v>0.92563558023805326</v>
      </c>
      <c r="T27" s="171">
        <v>0.29166666666666702</v>
      </c>
      <c r="U27" s="171">
        <v>0.329166666666667</v>
      </c>
      <c r="V27" s="135"/>
      <c r="W27" s="146">
        <f t="shared" si="12"/>
        <v>53.999999999999972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21"/>
        <v>-28.222222222221262</v>
      </c>
      <c r="AG27" s="172">
        <f t="shared" si="22"/>
        <v>0.98274925292040261</v>
      </c>
      <c r="AH27" s="784">
        <f>AG37</f>
        <v>0.90789924651357412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1175</v>
      </c>
      <c r="H28" s="91">
        <f>F28*G28</f>
        <v>67221.75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1500.0000000000412</v>
      </c>
      <c r="O28" s="96">
        <f>N28/M28</f>
        <v>88.235294117649474</v>
      </c>
      <c r="P28" s="97">
        <f>M28-J28</f>
        <v>-1</v>
      </c>
      <c r="Q28" s="98">
        <f>O28-L28</f>
        <v>-2.6535947712394119</v>
      </c>
      <c r="R28" s="99">
        <f>O28/L28</f>
        <v>0.9708039695095908</v>
      </c>
      <c r="S28" s="796"/>
      <c r="T28" s="19">
        <v>0.33680555555555602</v>
      </c>
      <c r="U28" s="19">
        <v>0.36944444444444402</v>
      </c>
      <c r="V28" s="92">
        <f>(T28-U27)*24*60</f>
        <v>11.000000000000201</v>
      </c>
      <c r="W28" s="149">
        <f t="shared" si="12"/>
        <v>46.999999999998714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21"/>
        <v>-135.99999999995885</v>
      </c>
      <c r="AG28" s="99">
        <f t="shared" si="22"/>
        <v>0.91687041564794691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1387</v>
      </c>
      <c r="H29" s="91">
        <f>F29*G29</f>
        <v>69225.17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17</v>
      </c>
      <c r="N29" s="95">
        <f>G29/W29*60</f>
        <v>1410.5084745762783</v>
      </c>
      <c r="O29" s="96">
        <f>N29/M29</f>
        <v>82.971086739781072</v>
      </c>
      <c r="P29" s="97">
        <f>M29-J29</f>
        <v>-1</v>
      </c>
      <c r="Q29" s="98">
        <f>O29-L29</f>
        <v>-7.9178021491078141</v>
      </c>
      <c r="R29" s="99">
        <f>O29/L29</f>
        <v>0.9128848174303541</v>
      </c>
      <c r="S29" s="796"/>
      <c r="T29" s="19">
        <v>0.37986111111111098</v>
      </c>
      <c r="U29" s="19">
        <v>0.420833333333333</v>
      </c>
      <c r="V29" s="92">
        <f>(T29-U28)*24*60</f>
        <v>15.000000000000426</v>
      </c>
      <c r="W29" s="149">
        <f t="shared" si="12"/>
        <v>58.999999999999709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1"/>
        <v>-225.49152542372167</v>
      </c>
      <c r="AG29" s="99">
        <f t="shared" si="22"/>
        <v>0.86216899423977889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1486</v>
      </c>
      <c r="H30" s="91">
        <f t="shared" ref="H30:H32" si="23">F30*G30</f>
        <v>67850.759999999995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24">K30/J30</f>
        <v>96.235294117647058</v>
      </c>
      <c r="M30" s="94">
        <v>17</v>
      </c>
      <c r="N30" s="95">
        <f t="shared" ref="N30:N32" si="25">G30/W30*60</f>
        <v>1438.064516129017</v>
      </c>
      <c r="O30" s="96">
        <f t="shared" ref="O30:O32" si="26">N30/M30</f>
        <v>84.592030360530416</v>
      </c>
      <c r="P30" s="97">
        <f t="shared" ref="P30:P32" si="27">M30-J30</f>
        <v>0</v>
      </c>
      <c r="Q30" s="98">
        <f t="shared" ref="Q30:Q32" si="28">O30-L30</f>
        <v>-11.643263757116642</v>
      </c>
      <c r="R30" s="99">
        <f t="shared" ref="R30:R32" si="29">O30/L30</f>
        <v>0.87901254042115962</v>
      </c>
      <c r="S30" s="796"/>
      <c r="T30" s="19">
        <v>0.42569444444444399</v>
      </c>
      <c r="U30" s="19">
        <v>0.46875</v>
      </c>
      <c r="V30" s="92">
        <f>(T30-U29)*24*60</f>
        <v>6.9999999999998153</v>
      </c>
      <c r="W30" s="149">
        <f t="shared" si="12"/>
        <v>62.000000000000661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1"/>
        <v>-197.93548387098303</v>
      </c>
      <c r="AG30" s="99">
        <f t="shared" si="22"/>
        <v>0.87901254042115951</v>
      </c>
      <c r="AH30" s="806"/>
    </row>
    <row r="31" spans="1:34" ht="15" customHeight="1">
      <c r="A31" s="793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3190</v>
      </c>
      <c r="H31" s="91">
        <f t="shared" si="23"/>
        <v>145655.4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24"/>
        <v>96.235294117647058</v>
      </c>
      <c r="M31" s="94">
        <v>17</v>
      </c>
      <c r="N31" s="95">
        <f t="shared" si="25"/>
        <v>1595.0000000000057</v>
      </c>
      <c r="O31" s="96">
        <f t="shared" si="26"/>
        <v>93.823529411765037</v>
      </c>
      <c r="P31" s="97">
        <f t="shared" si="27"/>
        <v>0</v>
      </c>
      <c r="Q31" s="98">
        <f t="shared" si="28"/>
        <v>-2.4117647058820211</v>
      </c>
      <c r="R31" s="99">
        <f t="shared" si="29"/>
        <v>0.97493887530562695</v>
      </c>
      <c r="S31" s="796"/>
      <c r="T31" s="19">
        <v>0.52777777777777801</v>
      </c>
      <c r="U31" s="19">
        <v>0.61111111111111105</v>
      </c>
      <c r="V31" s="92">
        <f t="shared" ref="V31:V32" si="30">(T31-U30)*24*60</f>
        <v>85.000000000000341</v>
      </c>
      <c r="W31" s="149">
        <f t="shared" si="12"/>
        <v>119.99999999999957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1"/>
        <v>-40.999999999994316</v>
      </c>
      <c r="AG31" s="99">
        <f t="shared" si="22"/>
        <v>0.97493887530562695</v>
      </c>
      <c r="AH31" s="786"/>
    </row>
    <row r="32" spans="1:34" ht="15" customHeight="1">
      <c r="A32" s="793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771</v>
      </c>
      <c r="H32" s="91">
        <f t="shared" si="23"/>
        <v>38772.819000000003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24"/>
        <v>96.235294117647058</v>
      </c>
      <c r="M32" s="94">
        <v>17</v>
      </c>
      <c r="N32" s="95">
        <f t="shared" si="25"/>
        <v>1360.5882352941226</v>
      </c>
      <c r="O32" s="96">
        <f t="shared" si="26"/>
        <v>80.034602076124855</v>
      </c>
      <c r="P32" s="97">
        <f t="shared" si="27"/>
        <v>0</v>
      </c>
      <c r="Q32" s="98">
        <f t="shared" si="28"/>
        <v>-16.200692041522203</v>
      </c>
      <c r="R32" s="99">
        <f t="shared" si="29"/>
        <v>0.83165540054652964</v>
      </c>
      <c r="S32" s="796"/>
      <c r="T32" s="19">
        <v>0.625</v>
      </c>
      <c r="U32" s="19">
        <v>0.64861111111111103</v>
      </c>
      <c r="V32" s="92">
        <f t="shared" si="30"/>
        <v>20.000000000000089</v>
      </c>
      <c r="W32" s="149">
        <f t="shared" si="12"/>
        <v>33.999999999999879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31">AVERAGE(J27:J36)</f>
        <v>17.166666666666668</v>
      </c>
      <c r="K37" s="155">
        <f t="shared" si="31"/>
        <v>1636</v>
      </c>
      <c r="L37" s="158">
        <f t="shared" si="31"/>
        <v>95.455610021786484</v>
      </c>
      <c r="M37" s="155">
        <f t="shared" si="31"/>
        <v>16.833333333333332</v>
      </c>
      <c r="N37" s="155">
        <f t="shared" si="31"/>
        <v>1485.3231672962072</v>
      </c>
      <c r="O37" s="158">
        <f t="shared" si="31"/>
        <v>88.357108969493666</v>
      </c>
      <c r="P37" s="159">
        <f>M37-J37</f>
        <v>-0.3333333333333357</v>
      </c>
      <c r="Q37" s="160">
        <f>N37-K37</f>
        <v>-150.6768327037928</v>
      </c>
      <c r="R37" s="161">
        <f>O37/L37</f>
        <v>0.92563558023805326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-150.6768327037928</v>
      </c>
      <c r="AG37" s="124">
        <f>N37/K37</f>
        <v>0.90789924651357412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1315</v>
      </c>
      <c r="H38" s="134">
        <f>F38*G38</f>
        <v>65631.649999999994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1434.5454545454324</v>
      </c>
      <c r="O38" s="141">
        <f>N38/M38</f>
        <v>95.636363636362162</v>
      </c>
      <c r="P38" s="142">
        <f>M38-J38</f>
        <v>-1</v>
      </c>
      <c r="Q38" s="143">
        <f>O38-L38</f>
        <v>-11.488636363637838</v>
      </c>
      <c r="R38" s="144">
        <f>O38/L38</f>
        <v>0.89275485308156044</v>
      </c>
      <c r="S38" s="817">
        <f>R48</f>
        <v>0.8479865928046596</v>
      </c>
      <c r="T38" s="191">
        <v>0.33333333333333298</v>
      </c>
      <c r="U38" s="191">
        <v>0.37152777777777801</v>
      </c>
      <c r="V38" s="192"/>
      <c r="W38" s="193">
        <f t="shared" si="12"/>
        <v>55.000000000000846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-279.45454545456755</v>
      </c>
      <c r="AG38" s="195">
        <f>N38/K38</f>
        <v>0.83695767476396288</v>
      </c>
      <c r="AH38" s="807">
        <f>AG48</f>
        <v>0.83266550123686356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3728</v>
      </c>
      <c r="H39" s="91">
        <f>F39*G39</f>
        <v>165150.39999999999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1380.7407407407409</v>
      </c>
      <c r="O39" s="203">
        <f>N39/M39</f>
        <v>76.707818930041157</v>
      </c>
      <c r="P39" s="97">
        <f>M39-J39</f>
        <v>0</v>
      </c>
      <c r="Q39" s="98">
        <f>O39-L39</f>
        <v>-14.181069958847729</v>
      </c>
      <c r="R39" s="99">
        <f>O39/L39</f>
        <v>0.84397355790998829</v>
      </c>
      <c r="S39" s="818"/>
      <c r="T39" s="20">
        <v>0.37708333333333299</v>
      </c>
      <c r="U39" s="20">
        <v>0.48958333333333298</v>
      </c>
      <c r="V39" s="92">
        <f>(T39-U38)*24*60</f>
        <v>7.9999999999991722</v>
      </c>
      <c r="W39" s="205">
        <f t="shared" si="12"/>
        <v>161.99999999999997</v>
      </c>
      <c r="X39" s="22"/>
      <c r="Y39" s="84"/>
      <c r="Z39" s="90">
        <v>1</v>
      </c>
      <c r="AA39" s="90">
        <v>22</v>
      </c>
      <c r="AB39" s="810" t="s">
        <v>192</v>
      </c>
      <c r="AC39" s="810"/>
      <c r="AD39" s="200"/>
      <c r="AE39" s="200"/>
      <c r="AF39" s="314">
        <f>N39-K39</f>
        <v>-255.25925925925912</v>
      </c>
      <c r="AG39" s="206">
        <f>N39/K39</f>
        <v>0.84397355790998829</v>
      </c>
      <c r="AH39" s="808"/>
    </row>
    <row r="40" spans="1:34" ht="15" customHeight="1">
      <c r="A40" s="815"/>
      <c r="B40" s="75" t="s">
        <v>116</v>
      </c>
      <c r="C40" s="207"/>
      <c r="D40" s="198" t="s">
        <v>126</v>
      </c>
      <c r="E40" s="178"/>
      <c r="F40" s="75">
        <f>VLOOKUP(D40,廠價表!$C$1:$E$43,3,0)</f>
        <v>49.91</v>
      </c>
      <c r="G40" s="199">
        <v>1600</v>
      </c>
      <c r="H40" s="91">
        <f>F40*G40</f>
        <v>79856</v>
      </c>
      <c r="I40" s="200"/>
      <c r="J40" s="148">
        <f>VLOOKUP(D40,產線配置圖!$A$3:$C$40,2,0)</f>
        <v>16</v>
      </c>
      <c r="K40" s="95">
        <f>VLOOKUP(D40,產線配置圖!$A$3:$C$40,3,0)</f>
        <v>1714</v>
      </c>
      <c r="L40" s="96">
        <f>K40/J40</f>
        <v>107.125</v>
      </c>
      <c r="M40" s="201">
        <v>16</v>
      </c>
      <c r="N40" s="202">
        <f>G40/W40*60</f>
        <v>1432.8358208955447</v>
      </c>
      <c r="O40" s="203">
        <f>N40/M40</f>
        <v>89.552238805971541</v>
      </c>
      <c r="P40" s="97">
        <f>M40-J40</f>
        <v>0</v>
      </c>
      <c r="Q40" s="98">
        <f>O40-L40</f>
        <v>-17.572761194028459</v>
      </c>
      <c r="R40" s="99">
        <f>O40/L40</f>
        <v>0.83596022222610544</v>
      </c>
      <c r="S40" s="749"/>
      <c r="T40" s="20">
        <v>0.54166666666666696</v>
      </c>
      <c r="U40" s="20">
        <v>0.58819444444444402</v>
      </c>
      <c r="V40" s="92">
        <f>(T40-U39)*24*60</f>
        <v>75.000000000000938</v>
      </c>
      <c r="W40" s="205">
        <f t="shared" si="12"/>
        <v>66.999999999998963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-281.16417910445534</v>
      </c>
      <c r="AG40" s="206">
        <f>N40/K40</f>
        <v>0.83596022222610544</v>
      </c>
      <c r="AH40" s="808"/>
    </row>
    <row r="41" spans="1:34" ht="15" customHeight="1">
      <c r="A41" s="815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2107</v>
      </c>
      <c r="H41" s="91">
        <f>F41*G41</f>
        <v>93340.099999999991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1330.7368421052679</v>
      </c>
      <c r="O41" s="203">
        <f>N41/M41</f>
        <v>73.929824561403777</v>
      </c>
      <c r="P41" s="97">
        <f>M41-J41</f>
        <v>0</v>
      </c>
      <c r="Q41" s="98">
        <f>O41-L41</f>
        <v>-16.959064327485109</v>
      </c>
      <c r="R41" s="99">
        <f>O41/L41</f>
        <v>0.81340882769270662</v>
      </c>
      <c r="S41" s="749"/>
      <c r="T41" s="20">
        <v>0.59375</v>
      </c>
      <c r="U41" s="210">
        <v>0.65972222222222199</v>
      </c>
      <c r="V41" s="92">
        <f>(T41-U40)*24*60</f>
        <v>8.0000000000006111</v>
      </c>
      <c r="W41" s="205">
        <f t="shared" si="12"/>
        <v>94.999999999999659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-305.2631578947321</v>
      </c>
      <c r="AG41" s="206">
        <f>N41/K41</f>
        <v>0.8134088276927065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32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32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32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32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32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33">AVERAGE(J38:J47)</f>
        <v>17</v>
      </c>
      <c r="K48" s="155">
        <f t="shared" si="33"/>
        <v>1675</v>
      </c>
      <c r="L48" s="158">
        <f t="shared" si="33"/>
        <v>99.006944444444457</v>
      </c>
      <c r="M48" s="155">
        <f t="shared" si="33"/>
        <v>16.75</v>
      </c>
      <c r="N48" s="155">
        <f t="shared" si="33"/>
        <v>1394.7147145717465</v>
      </c>
      <c r="O48" s="158">
        <f t="shared" si="33"/>
        <v>83.956561483444673</v>
      </c>
      <c r="P48" s="221">
        <f>M48-J48</f>
        <v>-0.25</v>
      </c>
      <c r="Q48" s="222">
        <f>N48-K48</f>
        <v>-280.28528542825347</v>
      </c>
      <c r="R48" s="223">
        <f>O48/L48</f>
        <v>0.8479865928046596</v>
      </c>
      <c r="S48" s="752"/>
      <c r="T48" s="224"/>
      <c r="U48" s="224"/>
      <c r="V48" s="225"/>
      <c r="W48" s="226">
        <f t="shared" si="32"/>
        <v>0</v>
      </c>
      <c r="X48" s="227"/>
      <c r="Y48" s="303"/>
      <c r="Z48" s="334">
        <f>SUM(Z38:Z47)</f>
        <v>1</v>
      </c>
      <c r="AA48" s="334">
        <f>SUM(AA38:AA47)</f>
        <v>22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34">N48-K48</f>
        <v>-280.28528542825347</v>
      </c>
      <c r="AG48" s="162">
        <f t="shared" ref="AG48:AG53" si="35">N48/K48</f>
        <v>0.83266550123686356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2477</v>
      </c>
      <c r="H49" s="134">
        <f>F49*G49</f>
        <v>122661.04000000001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1581.0638297872531</v>
      </c>
      <c r="O49" s="141">
        <f>N49/M49</f>
        <v>93.003754693367824</v>
      </c>
      <c r="P49" s="229">
        <f>M49-J49</f>
        <v>0</v>
      </c>
      <c r="Q49" s="230">
        <f>O49-L49</f>
        <v>-12.87859824780864</v>
      </c>
      <c r="R49" s="52">
        <f>O49/L49</f>
        <v>0.8783687943262517</v>
      </c>
      <c r="S49" s="748">
        <f>R58</f>
        <v>0.86227607176146248</v>
      </c>
      <c r="T49" s="191">
        <v>0.29166666666666702</v>
      </c>
      <c r="U49" s="191">
        <v>0.35694444444444401</v>
      </c>
      <c r="V49" s="55"/>
      <c r="W49" s="193">
        <f t="shared" si="12"/>
        <v>93.999999999998863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34"/>
        <v>-218.9361702127469</v>
      </c>
      <c r="AG49" s="52">
        <f t="shared" si="35"/>
        <v>0.8783687943262517</v>
      </c>
      <c r="AH49" s="784">
        <f>AG58</f>
        <v>0.86244899126130237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1753</v>
      </c>
      <c r="H50" s="231">
        <f>F50*G50</f>
        <v>88156.616999999998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1402.3999999999812</v>
      </c>
      <c r="O50" s="235">
        <f>N50/M50</f>
        <v>82.49411764705772</v>
      </c>
      <c r="P50" s="74">
        <f>M50-J50</f>
        <v>0</v>
      </c>
      <c r="Q50" s="83">
        <f>O50-L50</f>
        <v>-13.741176470589338</v>
      </c>
      <c r="R50" s="72">
        <f>O50/L50</f>
        <v>0.85721271393641885</v>
      </c>
      <c r="S50" s="749"/>
      <c r="T50" s="21">
        <v>0.36458333333333298</v>
      </c>
      <c r="U50" s="21">
        <v>0.41666666666666702</v>
      </c>
      <c r="V50" s="30">
        <f>(T50-U49)*24*60</f>
        <v>11.000000000000121</v>
      </c>
      <c r="W50" s="236">
        <f t="shared" si="12"/>
        <v>75.000000000001009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34"/>
        <v>-233.60000000001878</v>
      </c>
      <c r="AG50" s="72">
        <f t="shared" si="35"/>
        <v>0.85721271393641885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1674</v>
      </c>
      <c r="H51" s="231">
        <f>F51*G51</f>
        <v>83649.78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1521.8181818181927</v>
      </c>
      <c r="O51" s="235">
        <f>N51/M51</f>
        <v>95.113636363637042</v>
      </c>
      <c r="P51" s="74">
        <f>M51-J51</f>
        <v>0</v>
      </c>
      <c r="Q51" s="83">
        <f>O51-L51</f>
        <v>-17.386363636362958</v>
      </c>
      <c r="R51" s="72">
        <f>O51/L51</f>
        <v>0.84545454545455145</v>
      </c>
      <c r="S51" s="749"/>
      <c r="T51" s="21">
        <v>0.422916666666667</v>
      </c>
      <c r="U51" s="19">
        <v>0.46875</v>
      </c>
      <c r="V51" s="30">
        <f>(T51-U50)*24*60</f>
        <v>8.999999999999968</v>
      </c>
      <c r="W51" s="236">
        <f t="shared" si="12"/>
        <v>65.999999999999531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34"/>
        <v>-278.18181818180733</v>
      </c>
      <c r="AG51" s="72">
        <f t="shared" si="35"/>
        <v>0.84545454545455145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4298</v>
      </c>
      <c r="H52" s="231">
        <f>F52*G52</f>
        <v>214771.06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1562.9090909090967</v>
      </c>
      <c r="O52" s="235">
        <f>N52/M52</f>
        <v>97.681818181818542</v>
      </c>
      <c r="P52" s="74">
        <f>M52-J52</f>
        <v>0</v>
      </c>
      <c r="Q52" s="83">
        <f>O52-L52</f>
        <v>-14.818181818181458</v>
      </c>
      <c r="R52" s="72">
        <f>O52/L52</f>
        <v>0.86828282828283143</v>
      </c>
      <c r="S52" s="749"/>
      <c r="T52" s="21">
        <v>0.52430555555555602</v>
      </c>
      <c r="U52" s="21">
        <v>0.63888888888888895</v>
      </c>
      <c r="V52" s="30">
        <f>(T52-U51)*24*60</f>
        <v>80.000000000000682</v>
      </c>
      <c r="W52" s="236">
        <f t="shared" si="12"/>
        <v>164.9999999999994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4"/>
        <v>-237.09090909090332</v>
      </c>
      <c r="AG52" s="72">
        <f t="shared" si="35"/>
        <v>0.86828282828283143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34"/>
        <v>0</v>
      </c>
      <c r="AG53" s="72" t="e">
        <f t="shared" si="35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6">AVERAGE(J49:J57)</f>
        <v>16.5</v>
      </c>
      <c r="K58" s="120">
        <f t="shared" si="36"/>
        <v>1759</v>
      </c>
      <c r="L58" s="117">
        <f t="shared" si="36"/>
        <v>106.77941176470588</v>
      </c>
      <c r="M58" s="120">
        <f t="shared" si="36"/>
        <v>16.5</v>
      </c>
      <c r="N58" s="120">
        <f t="shared" si="36"/>
        <v>1517.0477756286309</v>
      </c>
      <c r="O58" s="117">
        <f t="shared" si="36"/>
        <v>92.073331721470282</v>
      </c>
      <c r="P58" s="121">
        <f>M58-J58</f>
        <v>0</v>
      </c>
      <c r="Q58" s="122">
        <f>N58-K58</f>
        <v>-241.95222437136908</v>
      </c>
      <c r="R58" s="123">
        <f>O58/L58</f>
        <v>0.86227607176146248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-241.95222437136908</v>
      </c>
      <c r="AG58" s="124">
        <f>N58/K58</f>
        <v>0.86244899126130237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3834</v>
      </c>
      <c r="H59" s="243">
        <f>F59*G59</f>
        <v>103479.65999999999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1533.6000000000104</v>
      </c>
      <c r="O59" s="138">
        <f>N59/M59</f>
        <v>102.24000000000069</v>
      </c>
      <c r="P59" s="56">
        <f>M59-J59</f>
        <v>0</v>
      </c>
      <c r="Q59" s="230">
        <f>O59-L59</f>
        <v>-6.8266666666659717</v>
      </c>
      <c r="R59" s="52">
        <f>O59/L59</f>
        <v>0.93740831295844163</v>
      </c>
      <c r="S59" s="748">
        <f>R69</f>
        <v>0.90050679760337649</v>
      </c>
      <c r="T59" s="245">
        <v>0.29166666666666702</v>
      </c>
      <c r="U59" s="245">
        <v>0.39583333333333298</v>
      </c>
      <c r="V59" s="55"/>
      <c r="W59" s="54">
        <f t="shared" si="12"/>
        <v>149.99999999999898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-102.39999999998963</v>
      </c>
      <c r="AG59" s="246">
        <f>N59/K59</f>
        <v>0.93740831295844151</v>
      </c>
      <c r="AH59" s="784">
        <f>AG69</f>
        <v>0.90296689862704749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1289</v>
      </c>
      <c r="H60" s="78">
        <f>F60*G60</f>
        <v>36427.14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1546.8000000000104</v>
      </c>
      <c r="O60" s="81">
        <f>N60/M60</f>
        <v>140.61818181818276</v>
      </c>
      <c r="P60" s="74">
        <f>M60-J60</f>
        <v>0</v>
      </c>
      <c r="Q60" s="83">
        <f>O60-L60</f>
        <v>-8.1090909090899572</v>
      </c>
      <c r="R60" s="72">
        <f>O60/L60</f>
        <v>0.94547677261614327</v>
      </c>
      <c r="S60" s="829"/>
      <c r="T60" s="22">
        <v>0.40277777777777801</v>
      </c>
      <c r="U60" s="22">
        <v>0.4375</v>
      </c>
      <c r="V60" s="30">
        <f>(T60-U59)*24*60</f>
        <v>10.000000000000844</v>
      </c>
      <c r="W60" s="248">
        <f t="shared" si="12"/>
        <v>49.999999999999659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-89.199999999989586</v>
      </c>
      <c r="AG60" s="249">
        <f>N60/K60</f>
        <v>0.94547677261614327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930</v>
      </c>
      <c r="H61" s="254">
        <f>F61*G61</f>
        <v>26281.800000000003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1240</v>
      </c>
      <c r="O61" s="238">
        <f>N61/M61</f>
        <v>112.72727272727273</v>
      </c>
      <c r="P61" s="111">
        <f>M61-J61</f>
        <v>0</v>
      </c>
      <c r="Q61" s="255">
        <f>O61-L61</f>
        <v>-35.999999999999986</v>
      </c>
      <c r="R61" s="85">
        <f>O61/L61</f>
        <v>0.75794621026894871</v>
      </c>
      <c r="S61" s="749"/>
      <c r="T61" s="22">
        <v>0.44444444444444398</v>
      </c>
      <c r="U61" s="22">
        <v>0.47569444444444398</v>
      </c>
      <c r="V61" s="30">
        <f>(T61-U60)*24*60</f>
        <v>9.999999999999325</v>
      </c>
      <c r="W61" s="256">
        <f t="shared" si="12"/>
        <v>45</v>
      </c>
      <c r="X61" s="22"/>
      <c r="Y61" s="84"/>
      <c r="Z61" s="90"/>
      <c r="AA61" s="90"/>
      <c r="AB61" s="789" t="s">
        <v>149</v>
      </c>
      <c r="AC61" s="789"/>
      <c r="AD61" s="92"/>
      <c r="AE61" s="92"/>
      <c r="AF61" s="317">
        <f>N61-K61</f>
        <v>-396</v>
      </c>
      <c r="AG61" s="247">
        <f>N61/K61</f>
        <v>0.75794621026894871</v>
      </c>
      <c r="AH61" s="785"/>
    </row>
    <row r="62" spans="1:34" ht="15" customHeight="1">
      <c r="A62" s="827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1721</v>
      </c>
      <c r="H62" s="254">
        <f>F62*G62</f>
        <v>48635.46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68">
        <v>11</v>
      </c>
      <c r="N62" s="107">
        <f>G62/W62*60</f>
        <v>1588.6153846153784</v>
      </c>
      <c r="O62" s="238">
        <f>N62/M62</f>
        <v>144.41958041957986</v>
      </c>
      <c r="P62" s="111">
        <f>M62-J62</f>
        <v>0</v>
      </c>
      <c r="Q62" s="255">
        <f>O62-L62</f>
        <v>-4.3076923076928608</v>
      </c>
      <c r="R62" s="85">
        <f>O62/L62</f>
        <v>0.97103629866465679</v>
      </c>
      <c r="S62" s="749"/>
      <c r="T62" s="22">
        <v>0.54166666666666696</v>
      </c>
      <c r="U62" s="22">
        <v>0.58680555555555602</v>
      </c>
      <c r="V62" s="30">
        <f>(T62-U61)*24*60</f>
        <v>95.000000000001108</v>
      </c>
      <c r="W62" s="248">
        <f t="shared" si="12"/>
        <v>65.000000000000256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-47.384615384621611</v>
      </c>
      <c r="AG62" s="247">
        <f>N62/K62</f>
        <v>0.97103629866465668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7">AVERAGE(J59:J68)</f>
        <v>12</v>
      </c>
      <c r="K69" s="240">
        <f t="shared" si="37"/>
        <v>1636</v>
      </c>
      <c r="L69" s="268">
        <f t="shared" si="37"/>
        <v>138.81212121212121</v>
      </c>
      <c r="M69" s="240">
        <f t="shared" si="37"/>
        <v>12</v>
      </c>
      <c r="N69" s="240">
        <f t="shared" si="37"/>
        <v>1477.2538461538497</v>
      </c>
      <c r="O69" s="268">
        <f t="shared" si="37"/>
        <v>125.00125874125901</v>
      </c>
      <c r="P69" s="269">
        <f>M69-J69</f>
        <v>0</v>
      </c>
      <c r="Q69" s="222">
        <f>N69-K69</f>
        <v>-158.74615384615026</v>
      </c>
      <c r="R69" s="123">
        <f>O69/L69</f>
        <v>0.90050679760337649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-158.74615384615026</v>
      </c>
      <c r="AG69" s="124">
        <f>N69/K69</f>
        <v>0.90296689862704749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1490</v>
      </c>
      <c r="H70" s="243">
        <f>F70*G70</f>
        <v>65396.1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894.00000000000614</v>
      </c>
      <c r="O70" s="138">
        <f>N70/M70</f>
        <v>111.75000000000077</v>
      </c>
      <c r="P70" s="56">
        <f>M70-J70</f>
        <v>-5</v>
      </c>
      <c r="Q70" s="230">
        <f>O70-L70</f>
        <v>-8.6346153846146194</v>
      </c>
      <c r="R70" s="52">
        <f>O70/L70</f>
        <v>0.92827476038339296</v>
      </c>
      <c r="S70" s="748">
        <f>R79</f>
        <v>0.8824452066857893</v>
      </c>
      <c r="T70" s="245">
        <v>0.29513888888888901</v>
      </c>
      <c r="U70" s="245">
        <v>0.36458333333333298</v>
      </c>
      <c r="V70" s="55"/>
      <c r="W70" s="54">
        <f t="shared" si="12"/>
        <v>99.999999999999318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-670.99999999999386</v>
      </c>
      <c r="AG70" s="246">
        <f>N70/K70</f>
        <v>0.57124600638978029</v>
      </c>
      <c r="AH70" s="784">
        <f>AG79</f>
        <v>0.63278302453560831</v>
      </c>
    </row>
    <row r="71" spans="1:36" ht="15" customHeight="1">
      <c r="A71" s="822"/>
      <c r="B71" s="75" t="s">
        <v>130</v>
      </c>
      <c r="C71" s="76"/>
      <c r="D71" s="59" t="s">
        <v>134</v>
      </c>
      <c r="E71" s="77"/>
      <c r="F71" s="250">
        <f>VLOOKUP(D71,廠價表!$C$1:$E$43,3,0)</f>
        <v>28.26</v>
      </c>
      <c r="G71" s="30">
        <v>1471</v>
      </c>
      <c r="H71" s="254">
        <f>F71*G71</f>
        <v>41570.46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1131.538461538476</v>
      </c>
      <c r="O71" s="238">
        <f>N71/M71</f>
        <v>125.72649572649733</v>
      </c>
      <c r="P71" s="111">
        <f>M71-J71</f>
        <v>-2</v>
      </c>
      <c r="Q71" s="255">
        <f>O71-L71</f>
        <v>-23.000777000775386</v>
      </c>
      <c r="R71" s="85">
        <f>O71/L71</f>
        <v>0.84534929889454202</v>
      </c>
      <c r="S71" s="749"/>
      <c r="T71" s="22">
        <v>0.37152777777777801</v>
      </c>
      <c r="U71" s="22">
        <v>0.42569444444444399</v>
      </c>
      <c r="V71" s="30">
        <f>(T71-U70)*24*60</f>
        <v>10.000000000000844</v>
      </c>
      <c r="W71" s="73">
        <f t="shared" si="12"/>
        <v>77.999999999999005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8">AVERAGE(J70:J78)</f>
        <v>12</v>
      </c>
      <c r="K79" s="240">
        <f t="shared" si="38"/>
        <v>1600.5</v>
      </c>
      <c r="L79" s="268">
        <f t="shared" si="38"/>
        <v>134.55594405594405</v>
      </c>
      <c r="M79" s="240">
        <f t="shared" si="38"/>
        <v>8.5</v>
      </c>
      <c r="N79" s="240">
        <f t="shared" si="38"/>
        <v>1012.7692307692411</v>
      </c>
      <c r="O79" s="268">
        <f t="shared" si="38"/>
        <v>118.73824786324906</v>
      </c>
      <c r="P79" s="269">
        <f>M79-J79</f>
        <v>-3.5</v>
      </c>
      <c r="Q79" s="222">
        <f>N79-K79</f>
        <v>-587.73076923075894</v>
      </c>
      <c r="R79" s="223">
        <f>O79/L79</f>
        <v>0.8824452066857893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-587.73076923075894</v>
      </c>
      <c r="AG79" s="124">
        <f>N79/K79</f>
        <v>0.63278302453560831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8" priority="1" operator="greaterThan">
      <formula>0</formula>
    </cfRule>
  </conditionalFormatting>
  <conditionalFormatting sqref="Q5:Q79 AF5:AF79">
    <cfRule type="cellIs" dxfId="87" priority="4" operator="lessThan">
      <formula>0</formula>
    </cfRule>
  </conditionalFormatting>
  <conditionalFormatting sqref="R5:R79 AG5:AG79">
    <cfRule type="cellIs" dxfId="86" priority="2" operator="greaterThan">
      <formula>1</formula>
    </cfRule>
    <cfRule type="cellIs" dxfId="85" priority="3" operator="lessThan">
      <formula>0.8</formula>
    </cfRule>
  </conditionalFormatting>
  <conditionalFormatting sqref="S5:S10 S37:S62 AH59:AH62 S69:S76 AH69:AH76">
    <cfRule type="cellIs" dxfId="84" priority="7" operator="lessThan">
      <formula>0.8</formula>
    </cfRule>
  </conditionalFormatting>
  <conditionalFormatting sqref="S19:S25 AH19:AH25">
    <cfRule type="cellIs" dxfId="83" priority="6" operator="lessThan">
      <formula>0.8</formula>
    </cfRule>
  </conditionalFormatting>
  <conditionalFormatting sqref="S79">
    <cfRule type="cellIs" dxfId="82" priority="5" operator="lessThan">
      <formula>0.8</formula>
    </cfRule>
  </conditionalFormatting>
  <conditionalFormatting sqref="AH5:AH8 S15:S16 AH15:AH16 AH49 AH79">
    <cfRule type="cellIs" dxfId="81" priority="9" operator="lessThan">
      <formula>0.8</formula>
    </cfRule>
  </conditionalFormatting>
  <conditionalFormatting sqref="AH27 S27:S28">
    <cfRule type="cellIs" dxfId="8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78A9-B249-46DF-B65C-A90997CFCDC3}">
  <dimension ref="B1:O26"/>
  <sheetViews>
    <sheetView topLeftCell="B1" zoomScale="70" zoomScaleNormal="70" workbookViewId="0">
      <selection activeCell="P24" sqref="P24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DATE(2026,8,24)</f>
        <v>46258</v>
      </c>
      <c r="E3" s="706"/>
      <c r="F3" s="3" t="s">
        <v>72</v>
      </c>
      <c r="G3" s="707">
        <f>'0824'!E1</f>
        <v>63324</v>
      </c>
      <c r="H3" s="707"/>
      <c r="I3" s="3" t="s">
        <v>2</v>
      </c>
      <c r="J3" s="708">
        <f>'0824'!G1</f>
        <v>2931375.7609999995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130.32879209181732</v>
      </c>
      <c r="G6" s="713"/>
      <c r="H6" s="714">
        <f>AVERAGE(D13:H13)</f>
        <v>127.78669587493118</v>
      </c>
      <c r="I6" s="714"/>
      <c r="J6" s="714">
        <f>AVERAGE(I13:J13)</f>
        <v>136.68403263403263</v>
      </c>
      <c r="K6" s="714"/>
      <c r="L6" s="716">
        <f>'0824'!Z2</f>
        <v>1</v>
      </c>
      <c r="M6" s="717">
        <f>'0824'!AA2</f>
        <v>46</v>
      </c>
      <c r="N6" s="718">
        <f>'0824'!AD2</f>
        <v>1</v>
      </c>
      <c r="O6" s="717">
        <f>'0824'!AE2</f>
        <v>1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117.10242052814293</v>
      </c>
      <c r="G7" s="737"/>
      <c r="H7" s="738">
        <f>AVERAGE(D14:H14)</f>
        <v>113.03032256747674</v>
      </c>
      <c r="I7" s="738"/>
      <c r="J7" s="738">
        <f>AVERAGE(I14:J14)</f>
        <v>127.28266542980836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0.89716148657331052</v>
      </c>
      <c r="G8" s="710"/>
      <c r="H8" s="710">
        <f>AVERAGE(D15:H15)</f>
        <v>0.88336012461483659</v>
      </c>
      <c r="I8" s="710"/>
      <c r="J8" s="710">
        <f>AVERAGE(I15:J15)</f>
        <v>0.93166489146949538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VALUE('0824'!L15)</f>
        <v>157.51454427925017</v>
      </c>
      <c r="E13" s="13">
        <f>VALUE('0824'!L26)</f>
        <v>177.19780219780219</v>
      </c>
      <c r="F13" s="13">
        <f>VALUE('0824'!L37)</f>
        <v>101.14079520697169</v>
      </c>
      <c r="G13" s="13">
        <f>VALUE('0824'!L48)</f>
        <v>96.300925925925924</v>
      </c>
      <c r="H13" s="13">
        <f>VALUE('0824'!L58)</f>
        <v>106.77941176470588</v>
      </c>
      <c r="I13" s="13">
        <f>VALUE('0824'!L69)</f>
        <v>138.81212121212121</v>
      </c>
      <c r="J13" s="13">
        <f>'0824'!L79</f>
        <v>134.55594405594405</v>
      </c>
    </row>
    <row r="14" spans="2:15" ht="39.950000000000003" customHeight="1">
      <c r="B14" s="731"/>
      <c r="C14" s="12" t="s">
        <v>100</v>
      </c>
      <c r="D14" s="13">
        <f>VALUE('0824'!O15)</f>
        <v>144.74691738301067</v>
      </c>
      <c r="E14" s="13">
        <f>VALUE('0824'!O26)</f>
        <v>153.21298506749548</v>
      </c>
      <c r="F14" s="13">
        <f>VALUE('0824'!O37)</f>
        <v>91.786055641566051</v>
      </c>
      <c r="G14" s="13">
        <f>VALUE('0824'!O48)</f>
        <v>81.465096718252681</v>
      </c>
      <c r="H14" s="13">
        <f>VALUE('0824'!O58)</f>
        <v>93.940558027058856</v>
      </c>
      <c r="I14" s="13">
        <f>VALUE('0824'!O69)</f>
        <v>125.34424242424274</v>
      </c>
      <c r="J14" s="13">
        <f>'0824'!O79</f>
        <v>129.22108843537399</v>
      </c>
    </row>
    <row r="15" spans="2:15" ht="39.950000000000003" customHeight="1">
      <c r="B15" s="732"/>
      <c r="C15" s="10" t="s">
        <v>26</v>
      </c>
      <c r="D15" s="14">
        <f t="shared" ref="D15:I15" si="0">D14/D13</f>
        <v>0.91894318740747916</v>
      </c>
      <c r="E15" s="14">
        <f t="shared" si="0"/>
        <v>0.86464382270648621</v>
      </c>
      <c r="F15" s="14">
        <f t="shared" si="0"/>
        <v>0.90750775148383633</v>
      </c>
      <c r="G15" s="14">
        <f t="shared" si="0"/>
        <v>0.84594302635174168</v>
      </c>
      <c r="H15" s="14">
        <f t="shared" si="0"/>
        <v>0.87976283512463882</v>
      </c>
      <c r="I15" s="14">
        <f t="shared" si="0"/>
        <v>0.90297764582605888</v>
      </c>
      <c r="J15" s="15">
        <f>'0824'!S70</f>
        <v>0.96035213711293199</v>
      </c>
    </row>
    <row r="16" spans="2:15" ht="17.25" customHeight="1">
      <c r="B16" s="733" t="s">
        <v>101</v>
      </c>
      <c r="C16" s="10" t="s">
        <v>34</v>
      </c>
      <c r="D16" s="16">
        <f>'0824'!T5</f>
        <v>0.29513888888888901</v>
      </c>
      <c r="E16" s="16">
        <f>'0824'!T16</f>
        <v>0.29166666666666702</v>
      </c>
      <c r="F16" s="16">
        <f>'0824'!T27</f>
        <v>0.29166666666666702</v>
      </c>
      <c r="G16" s="16">
        <f>'0824'!T38</f>
        <v>0.33333333333333298</v>
      </c>
      <c r="H16" s="16">
        <f>'0824'!T49</f>
        <v>0.29166666666666702</v>
      </c>
      <c r="I16" s="16">
        <f>'0824'!T59</f>
        <v>0.29166666666666702</v>
      </c>
      <c r="J16" s="17">
        <f>'0824'!T70</f>
        <v>0.30138888888888898</v>
      </c>
    </row>
    <row r="17" spans="2:10" ht="17.25" customHeight="1">
      <c r="B17" s="734"/>
      <c r="C17" s="10" t="s">
        <v>35</v>
      </c>
      <c r="D17" s="16">
        <v>0.63333333333333297</v>
      </c>
      <c r="E17" s="183">
        <v>0.63124999999999998</v>
      </c>
      <c r="F17" s="19">
        <v>0.59027777777777801</v>
      </c>
      <c r="G17" s="328">
        <v>0.66319444444444398</v>
      </c>
      <c r="H17" s="21">
        <v>0.656944444444444</v>
      </c>
      <c r="I17" s="110">
        <v>0.60416666666666696</v>
      </c>
      <c r="J17" s="22">
        <v>0.43055555555555602</v>
      </c>
    </row>
    <row r="18" spans="2:10" ht="17.25" customHeight="1">
      <c r="B18" s="735" t="s">
        <v>102</v>
      </c>
      <c r="C18" s="330" t="s">
        <v>36</v>
      </c>
      <c r="D18" s="386">
        <f>'0824'!Z15</f>
        <v>0</v>
      </c>
      <c r="E18" s="387">
        <f>'0824'!Z26</f>
        <v>0</v>
      </c>
      <c r="F18" s="387">
        <f>'0824'!Z37</f>
        <v>0</v>
      </c>
      <c r="G18" s="388">
        <f>'0824'!Z48</f>
        <v>1</v>
      </c>
      <c r="H18" s="388">
        <f>'0824'!Z58</f>
        <v>0</v>
      </c>
      <c r="I18" s="387">
        <f>'0824'!Z69</f>
        <v>0</v>
      </c>
      <c r="J18" s="387">
        <f>'0824'!AA79</f>
        <v>0</v>
      </c>
    </row>
    <row r="19" spans="2:10" ht="17.25" customHeight="1">
      <c r="B19" s="736"/>
      <c r="C19" s="330" t="s">
        <v>37</v>
      </c>
      <c r="D19" s="386">
        <f>'0824'!AA15</f>
        <v>0</v>
      </c>
      <c r="E19" s="387">
        <f>'0824'!AA26</f>
        <v>0</v>
      </c>
      <c r="F19" s="387">
        <f>'0824'!AA37</f>
        <v>0</v>
      </c>
      <c r="G19" s="388">
        <f>'0824'!AA48</f>
        <v>46</v>
      </c>
      <c r="H19" s="388">
        <f>'0824'!AA58</f>
        <v>0</v>
      </c>
      <c r="I19" s="387">
        <f>'0824'!AA69</f>
        <v>0</v>
      </c>
      <c r="J19" s="387">
        <f>'0824'!AB79</f>
        <v>0</v>
      </c>
    </row>
    <row r="20" spans="2:10" ht="17.25" customHeight="1">
      <c r="B20" s="735" t="s">
        <v>103</v>
      </c>
      <c r="C20" s="330" t="s">
        <v>36</v>
      </c>
      <c r="D20" s="386">
        <f>'0824'!AD15</f>
        <v>0</v>
      </c>
      <c r="E20" s="387">
        <f>'0824'!AD26</f>
        <v>1</v>
      </c>
      <c r="F20" s="387">
        <f>'0824'!AD37</f>
        <v>0</v>
      </c>
      <c r="G20" s="388">
        <f>'0824'!AD48</f>
        <v>0</v>
      </c>
      <c r="H20" s="388">
        <f>'0824'!AD58</f>
        <v>0</v>
      </c>
      <c r="I20" s="387">
        <f>'0824'!AD69</f>
        <v>0</v>
      </c>
      <c r="J20" s="387">
        <f>'0824'!AD79</f>
        <v>0</v>
      </c>
    </row>
    <row r="21" spans="2:10" ht="17.25" customHeight="1">
      <c r="B21" s="736"/>
      <c r="C21" s="330" t="s">
        <v>85</v>
      </c>
      <c r="D21" s="386">
        <f>'0824'!AE15</f>
        <v>0</v>
      </c>
      <c r="E21" s="387">
        <f>'0824'!AE26</f>
        <v>1</v>
      </c>
      <c r="F21" s="387">
        <f>'0824'!AE37</f>
        <v>0</v>
      </c>
      <c r="G21" s="388">
        <f>'0824'!AE48</f>
        <v>0</v>
      </c>
      <c r="H21" s="388">
        <f>'0824'!AE58</f>
        <v>0</v>
      </c>
      <c r="I21" s="387">
        <f>'0824'!AE69</f>
        <v>0</v>
      </c>
      <c r="J21" s="387">
        <f>'0824'!AE79</f>
        <v>0</v>
      </c>
    </row>
    <row r="22" spans="2:10" ht="17.25" customHeight="1">
      <c r="B22" s="719" t="s">
        <v>104</v>
      </c>
      <c r="C22" s="720"/>
      <c r="D22" s="23">
        <f>VALUE('0824'!M15)</f>
        <v>14.4</v>
      </c>
      <c r="E22" s="23">
        <f>VALUE('0824'!M26)</f>
        <v>12.75</v>
      </c>
      <c r="F22" s="23">
        <f>VALUE('0824'!M37)</f>
        <v>16.666666666666668</v>
      </c>
      <c r="G22" s="23">
        <f>VALUE('0824'!M48)</f>
        <v>17.333333333333332</v>
      </c>
      <c r="H22" s="23">
        <f>VALUE('0824'!M58)</f>
        <v>16.5</v>
      </c>
      <c r="I22" s="23">
        <f>VALUE('0824'!M69)</f>
        <v>11.75</v>
      </c>
      <c r="J22" s="23">
        <f>'0824'!M79</f>
        <v>8.5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7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6E5AE-01D3-4663-84E8-900A4B00DDA8}">
  <sheetPr>
    <tabColor theme="9" tint="0.79998168889431442"/>
  </sheetPr>
  <dimension ref="A1:AJ92"/>
  <sheetViews>
    <sheetView zoomScale="64" zoomScaleNormal="64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9" sqref="U9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63324</v>
      </c>
      <c r="F1" s="30" t="s">
        <v>2</v>
      </c>
      <c r="G1" s="31">
        <f>SUM(H5:H79)</f>
        <v>2931375.7609999995</v>
      </c>
      <c r="H1" s="32" t="s">
        <v>3</v>
      </c>
      <c r="I1" s="33">
        <f>M15+M26+M48+M58+M69+M79+M37</f>
        <v>97.9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193</v>
      </c>
      <c r="B2" s="739"/>
      <c r="C2" s="28"/>
      <c r="D2" s="28" t="s">
        <v>14</v>
      </c>
      <c r="E2" s="35">
        <f>AVERAGE(O15,O26,O37,O48,O58,O69,O79)</f>
        <v>117.10242052814293</v>
      </c>
      <c r="F2" s="36" t="s">
        <v>15</v>
      </c>
      <c r="G2" s="37">
        <f>G1/E1</f>
        <v>46.291702371928487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46</v>
      </c>
      <c r="AB2" s="783"/>
      <c r="AC2" s="783"/>
      <c r="AD2" s="340">
        <f>AD15+AD26+AD37+AD48+AD58+AD69+AD79</f>
        <v>1</v>
      </c>
      <c r="AE2" s="340">
        <f>AE15+AE26+AE37+AE48+AE58+AE69+AE79</f>
        <v>1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1707</v>
      </c>
      <c r="H5" s="43">
        <f>F5*G5</f>
        <v>97077.09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2179.1489361702056</v>
      </c>
      <c r="O5" s="47">
        <f>N5/M5</f>
        <v>155.65349544072896</v>
      </c>
      <c r="P5" s="49">
        <f>M5-J5</f>
        <v>0</v>
      </c>
      <c r="Q5" s="50">
        <f>O5-L5</f>
        <v>-5.060790273556762</v>
      </c>
      <c r="R5" s="51">
        <f>O5/L5</f>
        <v>0.96851063829786899</v>
      </c>
      <c r="S5" s="748">
        <f>R15</f>
        <v>0.91894318740747916</v>
      </c>
      <c r="T5" s="319">
        <v>0.29513888888888901</v>
      </c>
      <c r="U5" s="320">
        <v>0.327777777777778</v>
      </c>
      <c r="V5" s="53"/>
      <c r="W5" s="54">
        <f t="shared" ref="W5:W14" si="0">(U5-T5)*24*60</f>
        <v>47.000000000000156</v>
      </c>
      <c r="X5" s="55"/>
      <c r="Y5" s="290"/>
      <c r="Z5" s="169"/>
      <c r="AA5" s="169"/>
      <c r="AB5" s="791" t="s">
        <v>194</v>
      </c>
      <c r="AC5" s="791"/>
      <c r="AD5" s="135"/>
      <c r="AE5" s="135"/>
      <c r="AF5" s="229">
        <f t="shared" ref="AF5:AF11" si="1">N5-K5</f>
        <v>-70.851063829794384</v>
      </c>
      <c r="AG5" s="52">
        <f t="shared" ref="AG5:AG11" si="2">N5/K5</f>
        <v>0.96851063829786921</v>
      </c>
      <c r="AH5" s="784">
        <f>AG15</f>
        <v>0.92001412312205844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1534</v>
      </c>
      <c r="H6" s="63">
        <f>F6*G6</f>
        <v>77727.78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17</v>
      </c>
      <c r="N6" s="66">
        <f>G6/W6*60</f>
        <v>2140.4651162790055</v>
      </c>
      <c r="O6" s="67">
        <f>N6/M6</f>
        <v>125.90971272229444</v>
      </c>
      <c r="P6" s="69">
        <f>M6-J6</f>
        <v>0</v>
      </c>
      <c r="Q6" s="70">
        <f>O6-L6</f>
        <v>-6.4432284541761362</v>
      </c>
      <c r="R6" s="71">
        <f>O6/L6</f>
        <v>0.9513178294573359</v>
      </c>
      <c r="S6" s="749"/>
      <c r="T6" s="16">
        <v>0.33819444444444402</v>
      </c>
      <c r="U6" s="16">
        <v>0.36805555555555602</v>
      </c>
      <c r="V6" s="30">
        <f>(T6-U5)*24*60</f>
        <v>14.999999999999067</v>
      </c>
      <c r="W6" s="73">
        <f t="shared" si="0"/>
        <v>43.000000000001286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-109.53488372099446</v>
      </c>
      <c r="AG6" s="72">
        <f t="shared" si="2"/>
        <v>0.95131782945733578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2563</v>
      </c>
      <c r="H7" s="78">
        <f>F7*G7</f>
        <v>149089.71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2078.1081081081447</v>
      </c>
      <c r="O7" s="81">
        <f>N7/M7</f>
        <v>159.85446985447268</v>
      </c>
      <c r="P7" s="74">
        <f>M7-J7</f>
        <v>0</v>
      </c>
      <c r="Q7" s="83">
        <f>O7-L7</f>
        <v>-13.222453222450383</v>
      </c>
      <c r="R7" s="72">
        <f>O7/L7</f>
        <v>0.92360360360362004</v>
      </c>
      <c r="S7" s="749"/>
      <c r="T7" s="18">
        <v>0.374305555555556</v>
      </c>
      <c r="U7" s="18">
        <v>0.42569444444444399</v>
      </c>
      <c r="V7" s="30">
        <f>(T7-U6)*24*60</f>
        <v>8.999999999999968</v>
      </c>
      <c r="W7" s="73">
        <f t="shared" si="0"/>
        <v>73.999999999998693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-171.89189189185527</v>
      </c>
      <c r="AG7" s="72">
        <f t="shared" si="2"/>
        <v>0.92360360360361993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2166</v>
      </c>
      <c r="H8" s="78">
        <f t="shared" ref="H8:H9" si="3">F8*G8</f>
        <v>106437.24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2096.1290322580935</v>
      </c>
      <c r="O8" s="81">
        <f t="shared" ref="O8:O9" si="6">N8/M8</f>
        <v>149.72350230414955</v>
      </c>
      <c r="P8" s="74">
        <f t="shared" ref="P8:P9" si="7">M8-J8</f>
        <v>0</v>
      </c>
      <c r="Q8" s="83">
        <f t="shared" ref="Q8:Q9" si="8">O8-L8</f>
        <v>-10.990783410136174</v>
      </c>
      <c r="R8" s="72">
        <f t="shared" ref="R8:R9" si="9">O8/L8</f>
        <v>0.93161290322581936</v>
      </c>
      <c r="S8" s="749"/>
      <c r="T8" s="16">
        <v>0.43263888888888902</v>
      </c>
      <c r="U8" s="16">
        <v>0.47569444444444398</v>
      </c>
      <c r="V8" s="30">
        <f t="shared" ref="V8:V9" si="10">(T8-U7)*24*60</f>
        <v>10.000000000000844</v>
      </c>
      <c r="W8" s="73">
        <f t="shared" si="0"/>
        <v>61.99999999999914</v>
      </c>
      <c r="X8" s="22">
        <v>0.48611111111111099</v>
      </c>
      <c r="Y8" s="84">
        <v>0.52777777777777801</v>
      </c>
      <c r="Z8" s="90"/>
      <c r="AA8" s="90"/>
      <c r="AB8" s="788"/>
      <c r="AC8" s="788"/>
      <c r="AD8" s="149"/>
      <c r="AE8" s="149"/>
      <c r="AF8" s="307">
        <f t="shared" si="1"/>
        <v>-153.8709677419065</v>
      </c>
      <c r="AG8" s="72">
        <f t="shared" si="2"/>
        <v>0.93161290322581936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4022</v>
      </c>
      <c r="H9" s="78">
        <f t="shared" si="3"/>
        <v>197641.08000000002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1856.3076923077081</v>
      </c>
      <c r="O9" s="81">
        <f t="shared" si="6"/>
        <v>132.59340659340771</v>
      </c>
      <c r="P9" s="74">
        <f t="shared" si="7"/>
        <v>0</v>
      </c>
      <c r="Q9" s="83">
        <f t="shared" si="8"/>
        <v>-28.120879120878016</v>
      </c>
      <c r="R9" s="72">
        <f t="shared" si="9"/>
        <v>0.8250256410256479</v>
      </c>
      <c r="S9" s="750"/>
      <c r="T9" s="16">
        <v>0.54305555555555596</v>
      </c>
      <c r="U9" s="16">
        <v>0.63333333333333297</v>
      </c>
      <c r="V9" s="30">
        <f t="shared" si="10"/>
        <v>97.000000000001251</v>
      </c>
      <c r="W9" s="73">
        <f t="shared" si="0"/>
        <v>129.99999999999889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-393.69230769229193</v>
      </c>
      <c r="AG9" s="72">
        <f t="shared" si="2"/>
        <v>0.82502564102564802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14.4</v>
      </c>
      <c r="K15" s="120">
        <f t="shared" si="11"/>
        <v>2250</v>
      </c>
      <c r="L15" s="117">
        <f t="shared" si="11"/>
        <v>157.51454427925017</v>
      </c>
      <c r="M15" s="120">
        <f t="shared" si="11"/>
        <v>14.4</v>
      </c>
      <c r="N15" s="120">
        <f t="shared" si="11"/>
        <v>2070.0317770246315</v>
      </c>
      <c r="O15" s="117">
        <f t="shared" si="11"/>
        <v>144.74691738301067</v>
      </c>
      <c r="P15" s="121">
        <f>M15-J15</f>
        <v>0</v>
      </c>
      <c r="Q15" s="122">
        <f>O15-L15</f>
        <v>-12.767626896239506</v>
      </c>
      <c r="R15" s="123">
        <f>O15/L15</f>
        <v>0.91894318740747916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-179.96822297536846</v>
      </c>
      <c r="AG15" s="124">
        <f>N15/K15</f>
        <v>0.92001412312205844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1866</v>
      </c>
      <c r="H16" s="134">
        <f>F16*G16</f>
        <v>106119.42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1866.0000000000314</v>
      </c>
      <c r="O16" s="141">
        <f>N16/M16</f>
        <v>133.28571428571652</v>
      </c>
      <c r="P16" s="142">
        <f>M16-J16</f>
        <v>0</v>
      </c>
      <c r="Q16" s="143">
        <f>O16-L16</f>
        <v>-27.428571428569199</v>
      </c>
      <c r="R16" s="144">
        <f>O16/L16</f>
        <v>0.82933333333334724</v>
      </c>
      <c r="S16" s="795">
        <f>R26</f>
        <v>0.86464382270648621</v>
      </c>
      <c r="T16" s="145">
        <v>0.29166666666666702</v>
      </c>
      <c r="U16" s="145">
        <v>0.33333333333333298</v>
      </c>
      <c r="V16" s="135"/>
      <c r="W16" s="146">
        <f t="shared" ref="W16:W78" si="12">(U16-T16)*24*60</f>
        <v>59.999999999998991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-383.99999999996862</v>
      </c>
      <c r="AG16" s="52">
        <f>N16/K16</f>
        <v>0.82933333333334724</v>
      </c>
      <c r="AH16" s="784">
        <f>AG26</f>
        <v>0.8645577613915737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4270</v>
      </c>
      <c r="H17" s="78">
        <f>F17*G17</f>
        <v>216360.9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2082.9268292683096</v>
      </c>
      <c r="O17" s="96">
        <f>N17/M17</f>
        <v>160.22514071294688</v>
      </c>
      <c r="P17" s="97">
        <f>M17-J17</f>
        <v>0</v>
      </c>
      <c r="Q17" s="98">
        <f>O17-L17</f>
        <v>-12.851782363976184</v>
      </c>
      <c r="R17" s="99">
        <f>O17/L17</f>
        <v>0.92574525745258207</v>
      </c>
      <c r="S17" s="796"/>
      <c r="T17" s="19">
        <v>0.34027777777777801</v>
      </c>
      <c r="U17" s="19">
        <v>0.42569444444444399</v>
      </c>
      <c r="V17" s="30">
        <f>(T17-U16)*24*60</f>
        <v>10.000000000000844</v>
      </c>
      <c r="W17" s="149">
        <f t="shared" si="12"/>
        <v>122.99999999999901</v>
      </c>
      <c r="X17" s="19"/>
      <c r="Y17" s="297"/>
      <c r="Z17" s="90"/>
      <c r="AA17" s="90"/>
      <c r="AB17" s="789" t="s">
        <v>195</v>
      </c>
      <c r="AC17" s="789"/>
      <c r="AD17" s="92">
        <v>1</v>
      </c>
      <c r="AE17" s="92">
        <v>1</v>
      </c>
      <c r="AF17" s="307">
        <f>N17-K17</f>
        <v>-167.07317073169042</v>
      </c>
      <c r="AG17" s="72">
        <f>N17/K17</f>
        <v>0.92574525745258207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2100</v>
      </c>
      <c r="H18" s="78">
        <f>F18*G18</f>
        <v>105819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2000.0000000000018</v>
      </c>
      <c r="O18" s="96">
        <f>N18/M18</f>
        <v>166.66666666666683</v>
      </c>
      <c r="P18" s="97">
        <f>M18-J18</f>
        <v>0</v>
      </c>
      <c r="Q18" s="98">
        <f>O18-L18</f>
        <v>-20.833333333333172</v>
      </c>
      <c r="R18" s="99">
        <f>O18/L18</f>
        <v>0.88888888888888973</v>
      </c>
      <c r="S18" s="796"/>
      <c r="T18" s="19">
        <v>0.43194444444444402</v>
      </c>
      <c r="U18" s="19">
        <v>0.47569444444444398</v>
      </c>
      <c r="V18" s="30">
        <f>(T18-U17)*24*60</f>
        <v>9.000000000000048</v>
      </c>
      <c r="W18" s="149">
        <f t="shared" si="12"/>
        <v>62.999999999999936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>
        <f>N18-K18</f>
        <v>-249.99999999999818</v>
      </c>
      <c r="AG18" s="72">
        <f>N18/K18</f>
        <v>0.88888888888888973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3939</v>
      </c>
      <c r="H19" s="78">
        <f>F19*G19</f>
        <v>198486.21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1832.0930232558205</v>
      </c>
      <c r="O19" s="96">
        <f>N19/M19</f>
        <v>152.67441860465172</v>
      </c>
      <c r="P19" s="97">
        <f>M19-J19</f>
        <v>0</v>
      </c>
      <c r="Q19" s="98">
        <f>O19-L19</f>
        <v>-34.82558139534828</v>
      </c>
      <c r="R19" s="99">
        <f>O19/L19</f>
        <v>0.81426356589147586</v>
      </c>
      <c r="S19" s="796"/>
      <c r="T19" s="19">
        <v>0.54166666666666696</v>
      </c>
      <c r="U19" s="19">
        <v>0.63124999999999998</v>
      </c>
      <c r="V19" s="30">
        <f>(T19-U18)*24*60</f>
        <v>95.000000000001108</v>
      </c>
      <c r="W19" s="149">
        <f t="shared" si="12"/>
        <v>128.99999999999955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-417.90697674417947</v>
      </c>
      <c r="AG19" s="72">
        <f>N19/K19</f>
        <v>0.81426356589147575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1945.2549631310408</v>
      </c>
      <c r="O26" s="158">
        <f t="shared" si="13"/>
        <v>153.21298506749548</v>
      </c>
      <c r="P26" s="159">
        <f>M26-J26</f>
        <v>0</v>
      </c>
      <c r="Q26" s="160">
        <f>O26-L26</f>
        <v>-23.984817130306709</v>
      </c>
      <c r="R26" s="161">
        <f>O26/L26</f>
        <v>0.86464382270648621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1</v>
      </c>
      <c r="AE26" s="323">
        <f>SUM(AE16:AE25)</f>
        <v>1</v>
      </c>
      <c r="AF26" s="309">
        <f t="shared" ref="AF26:AF31" si="14">N26-K26</f>
        <v>-304.74503686895923</v>
      </c>
      <c r="AG26" s="124">
        <f t="shared" ref="AG26:AG31" si="15">N26/K26</f>
        <v>0.8645577613915737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1649</v>
      </c>
      <c r="H27" s="134">
        <f>F27*G27</f>
        <v>76414.66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1570.4761904761922</v>
      </c>
      <c r="O27" s="141">
        <f>N27/M27</f>
        <v>98.154761904762012</v>
      </c>
      <c r="P27" s="142">
        <f>M27-J27</f>
        <v>0</v>
      </c>
      <c r="Q27" s="143">
        <f>O27-L27</f>
        <v>-4.0952380952379883</v>
      </c>
      <c r="R27" s="144">
        <f>O27/L27</f>
        <v>0.95994877168471404</v>
      </c>
      <c r="S27" s="795">
        <f>R37</f>
        <v>0.90750775148383633</v>
      </c>
      <c r="T27" s="171">
        <v>0.29166666666666702</v>
      </c>
      <c r="U27" s="171">
        <v>0.33541666666666697</v>
      </c>
      <c r="V27" s="135"/>
      <c r="W27" s="146">
        <f t="shared" si="12"/>
        <v>62.999999999999936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14"/>
        <v>-65.523809523807813</v>
      </c>
      <c r="AG27" s="172">
        <f t="shared" si="15"/>
        <v>0.95994877168471404</v>
      </c>
      <c r="AH27" s="784">
        <f>AG37</f>
        <v>0.87800661352912246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1364</v>
      </c>
      <c r="H28" s="91">
        <f>F28*G28</f>
        <v>78034.44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1411.0344827586491</v>
      </c>
      <c r="O28" s="96">
        <f>N28/M28</f>
        <v>83.002028397567599</v>
      </c>
      <c r="P28" s="97">
        <f>M28-J28</f>
        <v>-1</v>
      </c>
      <c r="Q28" s="98">
        <f>O28-L28</f>
        <v>-7.8868604913212863</v>
      </c>
      <c r="R28" s="99">
        <f>O28/L28</f>
        <v>0.91322525131798094</v>
      </c>
      <c r="S28" s="796"/>
      <c r="T28" s="19">
        <v>0.34166666666666701</v>
      </c>
      <c r="U28" s="19">
        <v>0.38194444444444398</v>
      </c>
      <c r="V28" s="92">
        <f>(T28-U27)*24*60</f>
        <v>9.000000000000048</v>
      </c>
      <c r="W28" s="149">
        <f t="shared" si="12"/>
        <v>57.999999999998835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-224.96551724135088</v>
      </c>
      <c r="AG28" s="99">
        <f t="shared" si="15"/>
        <v>0.86249051513364861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1731</v>
      </c>
      <c r="H29" s="91">
        <f>F29*G29</f>
        <v>86394.209999999992</v>
      </c>
      <c r="I29" s="92"/>
      <c r="J29" s="79">
        <f>VLOOKUP(D29,產線配置圖!$A$3:$C$40,2,0)</f>
        <v>18</v>
      </c>
      <c r="K29" s="80">
        <f>VLOOKUP(D29,產線配置圖!$A$3:$C$40,3,0)</f>
        <v>2250</v>
      </c>
      <c r="L29" s="93">
        <f>K29/J29</f>
        <v>125</v>
      </c>
      <c r="M29" s="94">
        <v>16</v>
      </c>
      <c r="N29" s="95">
        <f>G29/W29*60</f>
        <v>1702.6229508196359</v>
      </c>
      <c r="O29" s="96">
        <f>N29/M29</f>
        <v>106.41393442622724</v>
      </c>
      <c r="P29" s="97">
        <f>M29-J29</f>
        <v>-2</v>
      </c>
      <c r="Q29" s="98">
        <f>O29-L29</f>
        <v>-18.586065573772757</v>
      </c>
      <c r="R29" s="99">
        <f>O29/L29</f>
        <v>0.851311475409818</v>
      </c>
      <c r="S29" s="796"/>
      <c r="T29" s="19">
        <v>0.38819444444444401</v>
      </c>
      <c r="U29" s="19">
        <v>0.43055555555555602</v>
      </c>
      <c r="V29" s="92">
        <f>(T29-U28)*24*60</f>
        <v>9.000000000000048</v>
      </c>
      <c r="W29" s="149">
        <f t="shared" si="12"/>
        <v>61.0000000000013</v>
      </c>
      <c r="X29" s="22"/>
      <c r="Y29" s="84"/>
      <c r="Z29" s="90"/>
      <c r="AA29" s="90"/>
      <c r="AB29" s="789" t="s">
        <v>196</v>
      </c>
      <c r="AC29" s="789"/>
      <c r="AD29" s="92"/>
      <c r="AE29" s="92"/>
      <c r="AF29" s="312">
        <f t="shared" si="14"/>
        <v>-547.37704918036411</v>
      </c>
      <c r="AG29" s="99">
        <f t="shared" si="15"/>
        <v>0.75672131147539368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679</v>
      </c>
      <c r="H30" s="91">
        <f t="shared" ref="H30:H32" si="16">F30*G30</f>
        <v>31003.14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7">K30/J30</f>
        <v>96.235294117647058</v>
      </c>
      <c r="M30" s="94">
        <v>17</v>
      </c>
      <c r="N30" s="95">
        <f t="shared" ref="N30:N32" si="18">G30/W30*60</f>
        <v>1508.8888888888853</v>
      </c>
      <c r="O30" s="96">
        <f t="shared" ref="O30:O32" si="19">N30/M30</f>
        <v>88.758169934640307</v>
      </c>
      <c r="P30" s="97">
        <f t="shared" ref="P30:P32" si="20">M30-J30</f>
        <v>0</v>
      </c>
      <c r="Q30" s="98">
        <f t="shared" ref="Q30:Q32" si="21">O30-L30</f>
        <v>-7.477124183006751</v>
      </c>
      <c r="R30" s="99">
        <f t="shared" ref="R30:R32" si="22">O30/L30</f>
        <v>0.92230372181472198</v>
      </c>
      <c r="S30" s="796"/>
      <c r="T30" s="19">
        <v>0.44305555555555598</v>
      </c>
      <c r="U30" s="19">
        <v>0.46180555555555602</v>
      </c>
      <c r="V30" s="92">
        <f>(T30-U29)*24*60</f>
        <v>17.999999999999936</v>
      </c>
      <c r="W30" s="149">
        <f t="shared" si="12"/>
        <v>27.000000000000064</v>
      </c>
      <c r="X30" s="174">
        <v>0.49652777777777801</v>
      </c>
      <c r="Y30" s="301">
        <v>0.53819444444444398</v>
      </c>
      <c r="Z30" s="335"/>
      <c r="AA30" s="335"/>
      <c r="AB30" s="789"/>
      <c r="AC30" s="789"/>
      <c r="AD30" s="92"/>
      <c r="AE30" s="92"/>
      <c r="AF30" s="312">
        <f t="shared" si="14"/>
        <v>-127.11111111111472</v>
      </c>
      <c r="AG30" s="99">
        <f t="shared" si="15"/>
        <v>0.92230372181472209</v>
      </c>
      <c r="AH30" s="806"/>
    </row>
    <row r="31" spans="1:34" ht="15" customHeight="1">
      <c r="A31" s="793"/>
      <c r="B31" s="75" t="s">
        <v>81</v>
      </c>
      <c r="C31" s="88"/>
      <c r="D31" s="59" t="s">
        <v>125</v>
      </c>
      <c r="E31" s="89"/>
      <c r="F31" s="75">
        <f>VLOOKUP(D31,廠價表!$C$1:$E$43,3,0)</f>
        <v>45.66</v>
      </c>
      <c r="G31" s="90">
        <v>1485</v>
      </c>
      <c r="H31" s="91">
        <f t="shared" si="16"/>
        <v>67805.099999999991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7"/>
        <v>96.235294117647058</v>
      </c>
      <c r="M31" s="94">
        <v>17</v>
      </c>
      <c r="N31" s="95">
        <f t="shared" si="18"/>
        <v>1563.1578947368564</v>
      </c>
      <c r="O31" s="96">
        <f t="shared" si="19"/>
        <v>91.950464396285668</v>
      </c>
      <c r="P31" s="97">
        <f t="shared" si="20"/>
        <v>0</v>
      </c>
      <c r="Q31" s="98">
        <f t="shared" si="21"/>
        <v>-4.2848297213613904</v>
      </c>
      <c r="R31" s="99">
        <f t="shared" si="22"/>
        <v>0.95547548578047459</v>
      </c>
      <c r="S31" s="796"/>
      <c r="T31" s="19">
        <v>0.52500000000000002</v>
      </c>
      <c r="U31" s="19">
        <v>0.56458333333333299</v>
      </c>
      <c r="V31" s="92">
        <f>(T31-U30)*24*60</f>
        <v>90.999999999999361</v>
      </c>
      <c r="W31" s="149">
        <f t="shared" si="12"/>
        <v>56.999999999999474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-72.842105263143594</v>
      </c>
      <c r="AG31" s="99">
        <f t="shared" si="15"/>
        <v>0.95547548578047459</v>
      </c>
      <c r="AH31" s="786"/>
    </row>
    <row r="32" spans="1:34" ht="15" customHeight="1">
      <c r="A32" s="793"/>
      <c r="B32" s="75" t="s">
        <v>81</v>
      </c>
      <c r="C32" s="102"/>
      <c r="D32" s="175" t="s">
        <v>128</v>
      </c>
      <c r="E32" s="176"/>
      <c r="F32" s="75">
        <f>VLOOKUP(D32,廠價表!$C$1:$E$43,3,0)</f>
        <v>50.289000000000001</v>
      </c>
      <c r="G32" s="90">
        <v>654</v>
      </c>
      <c r="H32" s="91">
        <f t="shared" si="16"/>
        <v>32889.006000000001</v>
      </c>
      <c r="I32" s="92"/>
      <c r="J32" s="79">
        <f>VLOOKUP(D32,產線配置圖!$A$3:$C$40,2,0)</f>
        <v>17</v>
      </c>
      <c r="K32" s="80">
        <f>VLOOKUP(D32,產線配置圖!$A$3:$C$40,3,0)</f>
        <v>1636</v>
      </c>
      <c r="L32" s="93">
        <f t="shared" si="17"/>
        <v>96.235294117647058</v>
      </c>
      <c r="M32" s="94">
        <v>17</v>
      </c>
      <c r="N32" s="95">
        <f t="shared" si="18"/>
        <v>1401.4285714285284</v>
      </c>
      <c r="O32" s="96">
        <f t="shared" si="19"/>
        <v>82.436974789913435</v>
      </c>
      <c r="P32" s="97">
        <f t="shared" si="20"/>
        <v>0</v>
      </c>
      <c r="Q32" s="98">
        <f t="shared" si="21"/>
        <v>-13.798319327733623</v>
      </c>
      <c r="R32" s="99">
        <f t="shared" si="22"/>
        <v>0.85661893119103205</v>
      </c>
      <c r="S32" s="796"/>
      <c r="T32" s="19">
        <v>0.57083333333333297</v>
      </c>
      <c r="U32" s="19">
        <v>0.59027777777777801</v>
      </c>
      <c r="V32" s="92">
        <f>(T32-U31)*24*60</f>
        <v>8.999999999999968</v>
      </c>
      <c r="W32" s="149">
        <f t="shared" si="12"/>
        <v>28.00000000000086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3">AVERAGE(J27:J36)</f>
        <v>17.166666666666668</v>
      </c>
      <c r="K37" s="155">
        <f t="shared" si="23"/>
        <v>1738.3333333333333</v>
      </c>
      <c r="L37" s="158">
        <f t="shared" si="23"/>
        <v>101.14079520697169</v>
      </c>
      <c r="M37" s="155">
        <f t="shared" si="23"/>
        <v>16.666666666666668</v>
      </c>
      <c r="N37" s="155">
        <f t="shared" si="23"/>
        <v>1526.2681631847911</v>
      </c>
      <c r="O37" s="158">
        <f t="shared" si="23"/>
        <v>91.786055641566051</v>
      </c>
      <c r="P37" s="159">
        <f>M37-J37</f>
        <v>-0.5</v>
      </c>
      <c r="Q37" s="160">
        <f>N37-K37</f>
        <v>-212.06517014854217</v>
      </c>
      <c r="R37" s="161">
        <f>O37/L37</f>
        <v>0.90750775148383633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-212.06517014854217</v>
      </c>
      <c r="AG37" s="124">
        <f>N37/K37</f>
        <v>0.87800661352912246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3046</v>
      </c>
      <c r="H38" s="134">
        <f>F38*G38</f>
        <v>152025.85999999999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1589.2173913043503</v>
      </c>
      <c r="O38" s="141">
        <f>N38/M38</f>
        <v>99.326086956521891</v>
      </c>
      <c r="P38" s="142">
        <f>M38-J38</f>
        <v>0</v>
      </c>
      <c r="Q38" s="143">
        <f>O38-L38</f>
        <v>-7.7989130434781089</v>
      </c>
      <c r="R38" s="144">
        <f>O38/L38</f>
        <v>0.92719801126274815</v>
      </c>
      <c r="S38" s="817">
        <f>R48</f>
        <v>0.84594302635174168</v>
      </c>
      <c r="T38" s="191">
        <v>0.33333333333333298</v>
      </c>
      <c r="U38" s="191">
        <v>0.41319444444444398</v>
      </c>
      <c r="V38" s="192"/>
      <c r="W38" s="193">
        <f t="shared" si="12"/>
        <v>114.99999999999983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-124.78260869564974</v>
      </c>
      <c r="AG38" s="195">
        <f>N38/K38</f>
        <v>0.92719801126274815</v>
      </c>
      <c r="AH38" s="807">
        <f>AG48</f>
        <v>0.84245147390144426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2373</v>
      </c>
      <c r="H39" s="91">
        <f>F39*G39</f>
        <v>105123.9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1216.9230769230771</v>
      </c>
      <c r="O39" s="203">
        <f>N39/M39</f>
        <v>67.606837606837615</v>
      </c>
      <c r="P39" s="97">
        <f>M39-J39</f>
        <v>0</v>
      </c>
      <c r="Q39" s="98">
        <f>O39-L39</f>
        <v>-23.28205128205127</v>
      </c>
      <c r="R39" s="99">
        <f>O39/L39</f>
        <v>0.74384051156667308</v>
      </c>
      <c r="S39" s="818"/>
      <c r="T39" s="20">
        <v>0.42430555555555599</v>
      </c>
      <c r="U39" s="20">
        <v>0.50555555555555598</v>
      </c>
      <c r="V39" s="92">
        <f>(T39-U38)*24*60</f>
        <v>16.0000000000013</v>
      </c>
      <c r="W39" s="205">
        <f t="shared" si="12"/>
        <v>116.99999999999999</v>
      </c>
      <c r="X39" s="22"/>
      <c r="Y39" s="84"/>
      <c r="Z39" s="90">
        <v>1</v>
      </c>
      <c r="AA39" s="90">
        <v>46</v>
      </c>
      <c r="AB39" s="810" t="s">
        <v>197</v>
      </c>
      <c r="AC39" s="810"/>
      <c r="AD39" s="200"/>
      <c r="AE39" s="200"/>
      <c r="AF39" s="314">
        <f>N39-K39</f>
        <v>-419.07692307692287</v>
      </c>
      <c r="AG39" s="206">
        <f>N39/K39</f>
        <v>0.74384051156667308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3602</v>
      </c>
      <c r="H40" s="91">
        <f>F40*G40</f>
        <v>159568.59999999998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1394.3225806451737</v>
      </c>
      <c r="O40" s="203">
        <f>N40/M40</f>
        <v>77.462365591398537</v>
      </c>
      <c r="P40" s="97">
        <f>M40-J40</f>
        <v>0</v>
      </c>
      <c r="Q40" s="98">
        <f>O40-L40</f>
        <v>-13.426523297490348</v>
      </c>
      <c r="R40" s="99">
        <f>O40/L40</f>
        <v>0.85227541604228219</v>
      </c>
      <c r="S40" s="749"/>
      <c r="T40" s="20">
        <v>0.55555555555555602</v>
      </c>
      <c r="U40" s="210">
        <v>0.66319444444444398</v>
      </c>
      <c r="V40" s="92">
        <f>(T40-U39)*24*60</f>
        <v>72.000000000000057</v>
      </c>
      <c r="W40" s="205">
        <f t="shared" si="12"/>
        <v>154.99999999999864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-241.67741935482627</v>
      </c>
      <c r="AG40" s="206">
        <f>N40/K40</f>
        <v>0.85227541604228219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4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4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4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4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4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5">AVERAGE(J38:J47)</f>
        <v>17.333333333333332</v>
      </c>
      <c r="K48" s="155">
        <f t="shared" si="25"/>
        <v>1662</v>
      </c>
      <c r="L48" s="158">
        <f t="shared" si="25"/>
        <v>96.300925925925924</v>
      </c>
      <c r="M48" s="155">
        <f t="shared" si="25"/>
        <v>17.333333333333332</v>
      </c>
      <c r="N48" s="155">
        <f t="shared" si="25"/>
        <v>1400.1543496242004</v>
      </c>
      <c r="O48" s="158">
        <f t="shared" si="25"/>
        <v>81.465096718252681</v>
      </c>
      <c r="P48" s="221">
        <f>M48-J48</f>
        <v>0</v>
      </c>
      <c r="Q48" s="222">
        <f>N48-K48</f>
        <v>-261.84565037579955</v>
      </c>
      <c r="R48" s="223">
        <f>O48/L48</f>
        <v>0.84594302635174168</v>
      </c>
      <c r="S48" s="752"/>
      <c r="T48" s="224"/>
      <c r="U48" s="224"/>
      <c r="V48" s="225"/>
      <c r="W48" s="226">
        <f t="shared" si="24"/>
        <v>0</v>
      </c>
      <c r="X48" s="227"/>
      <c r="Y48" s="303"/>
      <c r="Z48" s="334">
        <f>SUM(Z38:Z47)</f>
        <v>1</v>
      </c>
      <c r="AA48" s="334">
        <f>SUM(AA38:AA47)</f>
        <v>46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6">N48-K48</f>
        <v>-261.84565037579955</v>
      </c>
      <c r="AG48" s="162">
        <f t="shared" ref="AG48:AG53" si="27">N48/K48</f>
        <v>0.84245147390144426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2745</v>
      </c>
      <c r="H49" s="134">
        <f>F49*G49</f>
        <v>135932.4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1663.636363636364</v>
      </c>
      <c r="O49" s="141">
        <f>N49/M49</f>
        <v>97.860962566844933</v>
      </c>
      <c r="P49" s="229">
        <f>M49-J49</f>
        <v>0</v>
      </c>
      <c r="Q49" s="230">
        <f>O49-L49</f>
        <v>-8.0213903743315313</v>
      </c>
      <c r="R49" s="52">
        <f>O49/L49</f>
        <v>0.92424242424242442</v>
      </c>
      <c r="S49" s="748">
        <f>R58</f>
        <v>0.87976283512463882</v>
      </c>
      <c r="T49" s="191">
        <v>0.29166666666666702</v>
      </c>
      <c r="U49" s="191">
        <v>0.360416666666667</v>
      </c>
      <c r="V49" s="55"/>
      <c r="W49" s="193">
        <f t="shared" si="12"/>
        <v>98.999999999999972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6"/>
        <v>-136.36363636363603</v>
      </c>
      <c r="AG49" s="52">
        <f t="shared" si="27"/>
        <v>0.92424242424242442</v>
      </c>
      <c r="AH49" s="784">
        <f>AG58</f>
        <v>0.88151592161317682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1935</v>
      </c>
      <c r="H50" s="231">
        <f>F50*G50</f>
        <v>97309.214999999997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1568.918918918916</v>
      </c>
      <c r="O50" s="235">
        <f>N50/M50</f>
        <v>92.289348171700937</v>
      </c>
      <c r="P50" s="74">
        <f>M50-J50</f>
        <v>0</v>
      </c>
      <c r="Q50" s="83">
        <f>O50-L50</f>
        <v>-3.9459459459461215</v>
      </c>
      <c r="R50" s="72">
        <f>O50/L50</f>
        <v>0.95899689420471634</v>
      </c>
      <c r="S50" s="749"/>
      <c r="T50" s="21">
        <v>0.36736111111111103</v>
      </c>
      <c r="U50" s="21">
        <v>0.41875000000000001</v>
      </c>
      <c r="V50" s="30">
        <f>(T50-U49)*24*60</f>
        <v>9.9999999999994049</v>
      </c>
      <c r="W50" s="236">
        <f t="shared" si="12"/>
        <v>74.000000000000142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6"/>
        <v>-67.081081081083994</v>
      </c>
      <c r="AG50" s="72">
        <f t="shared" si="27"/>
        <v>0.95899689420471634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1886</v>
      </c>
      <c r="H51" s="231">
        <f>F51*G51</f>
        <v>94243.42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1488.947368421047</v>
      </c>
      <c r="O51" s="235">
        <f>N51/M51</f>
        <v>93.059210526315439</v>
      </c>
      <c r="P51" s="74">
        <f>M51-J51</f>
        <v>0</v>
      </c>
      <c r="Q51" s="83">
        <f>O51-L51</f>
        <v>-19.440789473684561</v>
      </c>
      <c r="R51" s="72">
        <f>O51/L51</f>
        <v>0.82719298245613726</v>
      </c>
      <c r="S51" s="749"/>
      <c r="T51" s="21">
        <v>0.42361111111111099</v>
      </c>
      <c r="U51" s="19">
        <v>0.47638888888888897</v>
      </c>
      <c r="V51" s="30">
        <f>(T51-U50)*24*60</f>
        <v>6.9999999999998153</v>
      </c>
      <c r="W51" s="236">
        <f t="shared" si="12"/>
        <v>76.000000000000284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6"/>
        <v>-311.05263157895297</v>
      </c>
      <c r="AG51" s="72">
        <f t="shared" si="27"/>
        <v>0.82719298245613726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4097</v>
      </c>
      <c r="H52" s="231">
        <f>F52*G52</f>
        <v>204727.09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1480.8433734939856</v>
      </c>
      <c r="O52" s="235">
        <f>N52/M52</f>
        <v>92.552710843374101</v>
      </c>
      <c r="P52" s="74">
        <f>M52-J52</f>
        <v>0</v>
      </c>
      <c r="Q52" s="83">
        <f>O52-L52</f>
        <v>-19.947289156625899</v>
      </c>
      <c r="R52" s="72">
        <f>O52/L52</f>
        <v>0.82269076305221422</v>
      </c>
      <c r="S52" s="749"/>
      <c r="T52" s="21">
        <v>0.54166666666666696</v>
      </c>
      <c r="U52" s="21">
        <v>0.656944444444444</v>
      </c>
      <c r="V52" s="30">
        <f>(T52-U51)*24*60</f>
        <v>94.000000000000313</v>
      </c>
      <c r="W52" s="236">
        <f t="shared" si="12"/>
        <v>165.99999999999892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6"/>
        <v>-319.15662650601439</v>
      </c>
      <c r="AG52" s="72">
        <f t="shared" si="27"/>
        <v>0.82269076305221422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6"/>
        <v>0</v>
      </c>
      <c r="AG53" s="72" t="e">
        <f t="shared" si="27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8">AVERAGE(J49:J57)</f>
        <v>16.5</v>
      </c>
      <c r="K58" s="120">
        <f t="shared" si="28"/>
        <v>1759</v>
      </c>
      <c r="L58" s="117">
        <f t="shared" si="28"/>
        <v>106.77941176470588</v>
      </c>
      <c r="M58" s="120">
        <f t="shared" si="28"/>
        <v>16.5</v>
      </c>
      <c r="N58" s="120">
        <f t="shared" si="28"/>
        <v>1550.586506117578</v>
      </c>
      <c r="O58" s="117">
        <f t="shared" si="28"/>
        <v>93.940558027058856</v>
      </c>
      <c r="P58" s="121">
        <f>M58-J58</f>
        <v>0</v>
      </c>
      <c r="Q58" s="122">
        <f>N58-K58</f>
        <v>-208.41349388242202</v>
      </c>
      <c r="R58" s="123">
        <f>O58/L58</f>
        <v>0.87976283512463882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-208.41349388242202</v>
      </c>
      <c r="AG58" s="124">
        <f>N58/K58</f>
        <v>0.88151592161317682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3898</v>
      </c>
      <c r="H59" s="243">
        <f>F59*G59</f>
        <v>105207.01999999999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1559.2000000000105</v>
      </c>
      <c r="O59" s="138">
        <f>N59/M59</f>
        <v>103.94666666666737</v>
      </c>
      <c r="P59" s="56">
        <f>M59-J59</f>
        <v>0</v>
      </c>
      <c r="Q59" s="230">
        <f>O59-L59</f>
        <v>-5.119999999999294</v>
      </c>
      <c r="R59" s="52">
        <f>O59/L59</f>
        <v>0.95305623471883283</v>
      </c>
      <c r="S59" s="748">
        <f>R69</f>
        <v>0.90297764582605888</v>
      </c>
      <c r="T59" s="245">
        <v>0.29166666666666702</v>
      </c>
      <c r="U59" s="245">
        <v>0.39583333333333298</v>
      </c>
      <c r="V59" s="55"/>
      <c r="W59" s="54">
        <f t="shared" si="12"/>
        <v>149.99999999999898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-76.799999999989495</v>
      </c>
      <c r="AG59" s="246">
        <f>N59/K59</f>
        <v>0.95305623471883283</v>
      </c>
      <c r="AH59" s="784">
        <f>AG69</f>
        <v>0.8860431947840286</v>
      </c>
    </row>
    <row r="60" spans="1:34" ht="15" customHeight="1">
      <c r="A60" s="826"/>
      <c r="B60" s="250" t="s">
        <v>130</v>
      </c>
      <c r="C60" s="251"/>
      <c r="D60" s="252" t="s">
        <v>132</v>
      </c>
      <c r="E60" s="253"/>
      <c r="F60" s="250">
        <f>VLOOKUP(D60,廠價表!$C$1:$E$43,3,0)</f>
        <v>28.26</v>
      </c>
      <c r="G60" s="38">
        <v>1612</v>
      </c>
      <c r="H60" s="254">
        <f>F60*G60</f>
        <v>45555.12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1487.9999999999959</v>
      </c>
      <c r="O60" s="238">
        <f>N60/M60</f>
        <v>135.27272727272691</v>
      </c>
      <c r="P60" s="111">
        <f>M60-J60</f>
        <v>0</v>
      </c>
      <c r="Q60" s="255">
        <f>O60-L60</f>
        <v>-13.454545454545809</v>
      </c>
      <c r="R60" s="85">
        <f>O60/L60</f>
        <v>0.90953545232273603</v>
      </c>
      <c r="S60" s="829"/>
      <c r="T60" s="22">
        <v>0.40277777777777801</v>
      </c>
      <c r="U60" s="22">
        <v>0.44791666666666702</v>
      </c>
      <c r="V60" s="30">
        <f>(T60-U59)*24*60</f>
        <v>10.000000000000844</v>
      </c>
      <c r="W60" s="248">
        <f t="shared" si="12"/>
        <v>65.000000000000171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-148.00000000000409</v>
      </c>
      <c r="AG60" s="249">
        <f>N60/K60</f>
        <v>0.90953545232273592</v>
      </c>
      <c r="AH60" s="820"/>
    </row>
    <row r="61" spans="1:34" ht="15" customHeight="1">
      <c r="A61" s="827"/>
      <c r="B61" s="250" t="s">
        <v>130</v>
      </c>
      <c r="C61" s="251"/>
      <c r="D61" s="257" t="s">
        <v>133</v>
      </c>
      <c r="E61" s="253"/>
      <c r="F61" s="250">
        <f>VLOOKUP(D61,廠價表!$C$1:$E$43,3,0)</f>
        <v>28.26</v>
      </c>
      <c r="G61" s="38">
        <v>1187</v>
      </c>
      <c r="H61" s="254">
        <f t="shared" ref="H61:H62" si="29">F61*G61</f>
        <v>33544.620000000003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0">K61/J61</f>
        <v>148.72727272727272</v>
      </c>
      <c r="M61" s="108">
        <v>11</v>
      </c>
      <c r="N61" s="107">
        <f t="shared" ref="N61:N62" si="31">G61/W61*60</f>
        <v>1424.4000000000096</v>
      </c>
      <c r="O61" s="238">
        <f t="shared" ref="O61:O62" si="32">N61/M61</f>
        <v>129.49090909090998</v>
      </c>
      <c r="P61" s="111">
        <f t="shared" ref="P61:P62" si="33">M61-J61</f>
        <v>0</v>
      </c>
      <c r="Q61" s="255">
        <f t="shared" ref="Q61:Q62" si="34">O61-L61</f>
        <v>-19.236363636362739</v>
      </c>
      <c r="R61" s="85">
        <f t="shared" ref="R61:R62" si="35">O61/L61</f>
        <v>0.8706601466992725</v>
      </c>
      <c r="S61" s="749"/>
      <c r="T61" s="22">
        <v>0.45486111111111099</v>
      </c>
      <c r="U61" s="22">
        <v>0.48958333333333298</v>
      </c>
      <c r="V61" s="30">
        <f>(T61-U60)*24*60</f>
        <v>9.999999999999325</v>
      </c>
      <c r="W61" s="256">
        <f t="shared" si="12"/>
        <v>49.999999999999659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-211.59999999999036</v>
      </c>
      <c r="AG61" s="247">
        <f>N61/K61</f>
        <v>0.87066014669927239</v>
      </c>
      <c r="AH61" s="785"/>
    </row>
    <row r="62" spans="1:34" ht="15" customHeight="1">
      <c r="A62" s="827"/>
      <c r="B62" s="258" t="s">
        <v>130</v>
      </c>
      <c r="C62" s="58"/>
      <c r="D62" s="259" t="s">
        <v>134</v>
      </c>
      <c r="E62" s="60"/>
      <c r="F62" s="250">
        <f>VLOOKUP(D62,廠價表!$C$1:$E$43,3,0)</f>
        <v>28.26</v>
      </c>
      <c r="G62" s="260">
        <v>1990</v>
      </c>
      <c r="H62" s="254">
        <f t="shared" si="29"/>
        <v>56237.4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si="30"/>
        <v>148.72727272727272</v>
      </c>
      <c r="M62" s="68">
        <v>10</v>
      </c>
      <c r="N62" s="107">
        <f t="shared" si="31"/>
        <v>1326.6666666666667</v>
      </c>
      <c r="O62" s="238">
        <f t="shared" si="32"/>
        <v>132.66666666666669</v>
      </c>
      <c r="P62" s="111">
        <f t="shared" si="33"/>
        <v>-1</v>
      </c>
      <c r="Q62" s="255">
        <f t="shared" si="34"/>
        <v>-16.060606060606034</v>
      </c>
      <c r="R62" s="85">
        <f t="shared" si="35"/>
        <v>0.89201303993480052</v>
      </c>
      <c r="S62" s="749"/>
      <c r="T62" s="22">
        <v>0.54166666666666696</v>
      </c>
      <c r="U62" s="22">
        <v>0.60416666666666696</v>
      </c>
      <c r="V62" s="30">
        <f>(T62-U61)*24*60</f>
        <v>75.000000000000938</v>
      </c>
      <c r="W62" s="248">
        <f t="shared" si="12"/>
        <v>90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-309.33333333333326</v>
      </c>
      <c r="AG62" s="247">
        <f>N62/K62</f>
        <v>0.81092094539527304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182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6">AVERAGE(J59:J68)</f>
        <v>12</v>
      </c>
      <c r="K69" s="240">
        <f t="shared" si="36"/>
        <v>1636</v>
      </c>
      <c r="L69" s="268">
        <f t="shared" si="36"/>
        <v>138.81212121212121</v>
      </c>
      <c r="M69" s="240">
        <f t="shared" si="36"/>
        <v>11.75</v>
      </c>
      <c r="N69" s="240">
        <f t="shared" si="36"/>
        <v>1449.5666666666707</v>
      </c>
      <c r="O69" s="268">
        <f t="shared" si="36"/>
        <v>125.34424242424274</v>
      </c>
      <c r="P69" s="269">
        <f>M69-J69</f>
        <v>-0.25</v>
      </c>
      <c r="Q69" s="222">
        <f>N69-K69</f>
        <v>-186.4333333333293</v>
      </c>
      <c r="R69" s="123">
        <f>O69/L69</f>
        <v>0.90297764582605888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-186.4333333333293</v>
      </c>
      <c r="AG69" s="124">
        <f>N69/K69</f>
        <v>0.8860431947840286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1503</v>
      </c>
      <c r="H70" s="243">
        <f>F70*G70</f>
        <v>65966.67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8</v>
      </c>
      <c r="N70" s="137">
        <f>G70/W70*60</f>
        <v>920.20408163266006</v>
      </c>
      <c r="O70" s="138">
        <f>N70/M70</f>
        <v>115.02551020408251</v>
      </c>
      <c r="P70" s="56">
        <f>M70-J70</f>
        <v>-5</v>
      </c>
      <c r="Q70" s="230">
        <f>O70-L70</f>
        <v>-5.3591051805328789</v>
      </c>
      <c r="R70" s="52">
        <f>O70/L70</f>
        <v>0.95548347134381639</v>
      </c>
      <c r="S70" s="748">
        <f>R79</f>
        <v>0.96035213711293199</v>
      </c>
      <c r="T70" s="245">
        <v>0.30138888888888898</v>
      </c>
      <c r="U70" s="245">
        <v>0.36944444444444402</v>
      </c>
      <c r="V70" s="55"/>
      <c r="W70" s="54">
        <f t="shared" si="12"/>
        <v>97.999999999999247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-644.79591836733994</v>
      </c>
      <c r="AG70" s="246">
        <f>N70/K70</f>
        <v>0.58798982851927162</v>
      </c>
      <c r="AH70" s="784">
        <f>AG79</f>
        <v>0.69070730447755357</v>
      </c>
    </row>
    <row r="71" spans="1:36" ht="15" customHeight="1">
      <c r="A71" s="822"/>
      <c r="B71" s="75" t="s">
        <v>130</v>
      </c>
      <c r="C71" s="76"/>
      <c r="D71" s="59" t="s">
        <v>134</v>
      </c>
      <c r="E71" s="77"/>
      <c r="F71" s="250">
        <f>VLOOKUP(D71,廠價表!$C$1:$E$43,3,0)</f>
        <v>28.26</v>
      </c>
      <c r="G71" s="30">
        <v>1721</v>
      </c>
      <c r="H71" s="254">
        <f>F71*G71</f>
        <v>48635.46</v>
      </c>
      <c r="I71" s="182"/>
      <c r="J71" s="106">
        <f>VLOOKUP(D71,產線配置圖!$A$3:$C$40,2,0)</f>
        <v>11</v>
      </c>
      <c r="K71" s="107">
        <f>VLOOKUP(D71,產線配置圖!$A$3:$C$40,3,0)</f>
        <v>1636</v>
      </c>
      <c r="L71" s="238">
        <f>K71/J71</f>
        <v>148.72727272727272</v>
      </c>
      <c r="M71" s="82">
        <v>9</v>
      </c>
      <c r="N71" s="107">
        <f>G71/W71*60</f>
        <v>1290.7499999999891</v>
      </c>
      <c r="O71" s="238">
        <f>N71/M71</f>
        <v>143.41666666666546</v>
      </c>
      <c r="P71" s="111">
        <f>M71-J71</f>
        <v>-2</v>
      </c>
      <c r="Q71" s="255">
        <f>O71-L71</f>
        <v>-5.310606060607256</v>
      </c>
      <c r="R71" s="85">
        <f>O71/L71</f>
        <v>0.96429299103503674</v>
      </c>
      <c r="S71" s="749"/>
      <c r="T71" s="22">
        <v>0.375</v>
      </c>
      <c r="U71" s="22">
        <v>0.43055555555555602</v>
      </c>
      <c r="V71" s="30">
        <f>(T71-U70)*24*60</f>
        <v>8.0000000000006111</v>
      </c>
      <c r="W71" s="73">
        <f t="shared" si="12"/>
        <v>80.000000000000682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7">AVERAGE(J70:J78)</f>
        <v>12</v>
      </c>
      <c r="K79" s="240">
        <f t="shared" si="37"/>
        <v>1600.5</v>
      </c>
      <c r="L79" s="268">
        <f t="shared" si="37"/>
        <v>134.55594405594405</v>
      </c>
      <c r="M79" s="240">
        <f t="shared" si="37"/>
        <v>8.5</v>
      </c>
      <c r="N79" s="240">
        <f t="shared" si="37"/>
        <v>1105.4770408163245</v>
      </c>
      <c r="O79" s="268">
        <f t="shared" si="37"/>
        <v>129.22108843537399</v>
      </c>
      <c r="P79" s="269">
        <f>M79-J79</f>
        <v>-3.5</v>
      </c>
      <c r="Q79" s="222">
        <f>N79-K79</f>
        <v>-495.02295918367554</v>
      </c>
      <c r="R79" s="223">
        <f>O79/L79</f>
        <v>0.96035213711293199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-495.02295918367554</v>
      </c>
      <c r="AG79" s="124">
        <f>N79/K79</f>
        <v>0.69070730447755357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78" priority="1" operator="greaterThan">
      <formula>0</formula>
    </cfRule>
  </conditionalFormatting>
  <conditionalFormatting sqref="Q5:Q79 AF5:AF79">
    <cfRule type="cellIs" dxfId="77" priority="4" operator="lessThan">
      <formula>0</formula>
    </cfRule>
  </conditionalFormatting>
  <conditionalFormatting sqref="R5:R79 AG5:AG79">
    <cfRule type="cellIs" dxfId="76" priority="2" operator="greaterThan">
      <formula>1</formula>
    </cfRule>
    <cfRule type="cellIs" dxfId="75" priority="3" operator="lessThan">
      <formula>0.8</formula>
    </cfRule>
  </conditionalFormatting>
  <conditionalFormatting sqref="S5:S10 S37:S62 AH59:AH62 S69:S76 AH69:AH76">
    <cfRule type="cellIs" dxfId="74" priority="7" operator="lessThan">
      <formula>0.8</formula>
    </cfRule>
  </conditionalFormatting>
  <conditionalFormatting sqref="S19:S25 AH19:AH25">
    <cfRule type="cellIs" dxfId="73" priority="6" operator="lessThan">
      <formula>0.8</formula>
    </cfRule>
  </conditionalFormatting>
  <conditionalFormatting sqref="S79">
    <cfRule type="cellIs" dxfId="72" priority="5" operator="lessThan">
      <formula>0.8</formula>
    </cfRule>
  </conditionalFormatting>
  <conditionalFormatting sqref="AH5:AH8 S15:S16 AH15:AH16 AH49 AH79">
    <cfRule type="cellIs" dxfId="71" priority="9" operator="lessThan">
      <formula>0.8</formula>
    </cfRule>
  </conditionalFormatting>
  <conditionalFormatting sqref="AH27 S27:S28">
    <cfRule type="cellIs" dxfId="7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EEFD-CFB3-43DB-ACB7-6C3781F04FAA}">
  <dimension ref="B1:O26"/>
  <sheetViews>
    <sheetView topLeftCell="B8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DATE(2026,8,25)</f>
        <v>46259</v>
      </c>
      <c r="E3" s="706"/>
      <c r="F3" s="3" t="s">
        <v>72</v>
      </c>
      <c r="G3" s="707">
        <f>'0825'!E1</f>
        <v>55190</v>
      </c>
      <c r="H3" s="707"/>
      <c r="I3" s="3" t="s">
        <v>2</v>
      </c>
      <c r="J3" s="708">
        <f>'0825'!G1</f>
        <v>2545500.733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132.13676823876403</v>
      </c>
      <c r="G6" s="713"/>
      <c r="H6" s="714">
        <f>AVERAGE(D13:H13)</f>
        <v>127.48359674639087</v>
      </c>
      <c r="I6" s="714"/>
      <c r="J6" s="714">
        <f>AVERAGE(I13:J13)</f>
        <v>143.76969696969695</v>
      </c>
      <c r="K6" s="714"/>
      <c r="L6" s="716">
        <f>'0825'!Z2</f>
        <v>0</v>
      </c>
      <c r="M6" s="717">
        <f>'0825'!AA2</f>
        <v>0</v>
      </c>
      <c r="N6" s="718">
        <f>'0825'!AD2</f>
        <v>0</v>
      </c>
      <c r="O6" s="717">
        <f>'0825'!AE2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118.66304522353401</v>
      </c>
      <c r="G7" s="737"/>
      <c r="H7" s="738">
        <f>AVERAGE(D14:H14)</f>
        <v>113.99466441121383</v>
      </c>
      <c r="I7" s="738"/>
      <c r="J7" s="738">
        <f>AVERAGE(I14:J14)</f>
        <v>130.33399725433449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0.90166082440636697</v>
      </c>
      <c r="G8" s="710"/>
      <c r="H8" s="710">
        <f>AVERAGE(D15:H15)</f>
        <v>0.89958407852431677</v>
      </c>
      <c r="I8" s="710"/>
      <c r="J8" s="710">
        <f>AVERAGE(I15:J15)</f>
        <v>0.90685268911149286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VALUE('0825'!L15)</f>
        <v>157.51454427925017</v>
      </c>
      <c r="E13" s="13">
        <f>VALUE('0825'!L26)</f>
        <v>177.19780219780219</v>
      </c>
      <c r="F13" s="13">
        <f>VALUE('0825'!L37)</f>
        <v>96.919281045751632</v>
      </c>
      <c r="G13" s="13">
        <f>VALUE('0825'!L48)</f>
        <v>99.006944444444457</v>
      </c>
      <c r="H13" s="13">
        <f>VALUE('0825'!L58)</f>
        <v>106.77941176470588</v>
      </c>
      <c r="I13" s="13">
        <f>VALUE('0825'!L69)</f>
        <v>138.81212121212121</v>
      </c>
      <c r="J13" s="13">
        <f>'0825'!L79</f>
        <v>148.72727272727272</v>
      </c>
    </row>
    <row r="14" spans="2:15" ht="39.950000000000003" customHeight="1">
      <c r="B14" s="731"/>
      <c r="C14" s="12" t="s">
        <v>100</v>
      </c>
      <c r="D14" s="13">
        <f>VALUE('0825'!O15)</f>
        <v>140.90997175337546</v>
      </c>
      <c r="E14" s="13">
        <f>VALUE('0825'!O26)</f>
        <v>152.04783785799214</v>
      </c>
      <c r="F14" s="13">
        <f>VALUE('0825'!O37)</f>
        <v>87.680042911465506</v>
      </c>
      <c r="G14" s="13">
        <f>VALUE('0825'!O48)</f>
        <v>91.745689033188697</v>
      </c>
      <c r="H14" s="13">
        <f>VALUE('0825'!O58)</f>
        <v>97.58978050004734</v>
      </c>
      <c r="I14" s="13">
        <f>VALUE('0825'!O69)</f>
        <v>127.11243895311284</v>
      </c>
      <c r="J14" s="13">
        <f>'0825'!O79</f>
        <v>133.55555555555614</v>
      </c>
    </row>
    <row r="15" spans="2:15" ht="39.950000000000003" customHeight="1">
      <c r="B15" s="732"/>
      <c r="C15" s="10" t="s">
        <v>26</v>
      </c>
      <c r="D15" s="14">
        <f t="shared" ref="D15:I15" si="0">D14/D13</f>
        <v>0.89458387730572209</v>
      </c>
      <c r="E15" s="14">
        <f t="shared" si="0"/>
        <v>0.85806841829936653</v>
      </c>
      <c r="F15" s="14">
        <f t="shared" si="0"/>
        <v>0.90467079373066484</v>
      </c>
      <c r="G15" s="14">
        <f t="shared" si="0"/>
        <v>0.92665913030645797</v>
      </c>
      <c r="H15" s="14">
        <f t="shared" si="0"/>
        <v>0.91393817297937185</v>
      </c>
      <c r="I15" s="14">
        <f t="shared" si="0"/>
        <v>0.91571570150469872</v>
      </c>
      <c r="J15" s="15">
        <f>'0825'!S70</f>
        <v>0.897989676718287</v>
      </c>
    </row>
    <row r="16" spans="2:15" ht="17.25" customHeight="1">
      <c r="B16" s="733" t="s">
        <v>101</v>
      </c>
      <c r="C16" s="10" t="s">
        <v>34</v>
      </c>
      <c r="D16" s="16">
        <f>'0825'!T5</f>
        <v>0.29930555555555599</v>
      </c>
      <c r="E16" s="16">
        <f>'0825'!T16</f>
        <v>0.30069444444444399</v>
      </c>
      <c r="F16" s="16">
        <f>'0825'!T27</f>
        <v>0.29166666666666702</v>
      </c>
      <c r="G16" s="16">
        <f>'0825'!T38</f>
        <v>0.33333333333333298</v>
      </c>
      <c r="H16" s="16">
        <f>'0825'!T49</f>
        <v>0.29027777777777802</v>
      </c>
      <c r="I16" s="16">
        <f>'0825'!T59</f>
        <v>0.29166666666666702</v>
      </c>
      <c r="J16" s="17">
        <f>'0825'!T70</f>
        <v>0.41666666666666702</v>
      </c>
    </row>
    <row r="17" spans="2:10" ht="17.25" customHeight="1">
      <c r="B17" s="734"/>
      <c r="C17" s="10" t="s">
        <v>35</v>
      </c>
      <c r="D17" s="327">
        <v>0.60763888888888895</v>
      </c>
      <c r="E17" s="19">
        <v>0.61458333333333304</v>
      </c>
      <c r="F17" s="183">
        <v>0.48819444444444399</v>
      </c>
      <c r="G17" s="210">
        <v>0.63541666666666696</v>
      </c>
      <c r="H17" s="329">
        <v>0.63194444444444398</v>
      </c>
      <c r="I17" s="22">
        <v>0.56388888888888899</v>
      </c>
      <c r="J17" s="110">
        <v>0.5</v>
      </c>
    </row>
    <row r="18" spans="2:10" ht="17.25" customHeight="1">
      <c r="B18" s="735" t="s">
        <v>102</v>
      </c>
      <c r="C18" s="330" t="s">
        <v>36</v>
      </c>
      <c r="D18" s="386">
        <f>'0825'!Z15</f>
        <v>0</v>
      </c>
      <c r="E18" s="387">
        <f>'0825'!Z26</f>
        <v>0</v>
      </c>
      <c r="F18" s="387">
        <f>'0825'!Z37</f>
        <v>0</v>
      </c>
      <c r="G18" s="388">
        <f>'0825'!Z48</f>
        <v>0</v>
      </c>
      <c r="H18" s="388">
        <f>'0825'!Z58</f>
        <v>0</v>
      </c>
      <c r="I18" s="387">
        <f>'0825'!Z69</f>
        <v>0</v>
      </c>
      <c r="J18" s="387">
        <f>'0825'!AA79</f>
        <v>0</v>
      </c>
    </row>
    <row r="19" spans="2:10" ht="17.25" customHeight="1">
      <c r="B19" s="736"/>
      <c r="C19" s="330" t="s">
        <v>37</v>
      </c>
      <c r="D19" s="386">
        <f>'0825'!AA15</f>
        <v>0</v>
      </c>
      <c r="E19" s="387">
        <f>'0825'!AA26</f>
        <v>0</v>
      </c>
      <c r="F19" s="387">
        <f>'0825'!AA37</f>
        <v>0</v>
      </c>
      <c r="G19" s="388">
        <f>'0825'!AA48</f>
        <v>0</v>
      </c>
      <c r="H19" s="388">
        <f>'0825'!AA58</f>
        <v>0</v>
      </c>
      <c r="I19" s="387">
        <f>'0825'!AA69</f>
        <v>0</v>
      </c>
      <c r="J19" s="387">
        <f>'0825'!AB79</f>
        <v>0</v>
      </c>
    </row>
    <row r="20" spans="2:10" ht="17.25" customHeight="1">
      <c r="B20" s="735" t="s">
        <v>103</v>
      </c>
      <c r="C20" s="330" t="s">
        <v>36</v>
      </c>
      <c r="D20" s="386">
        <f>'0825'!AD15</f>
        <v>0</v>
      </c>
      <c r="E20" s="387">
        <f>'0825'!AD26</f>
        <v>0</v>
      </c>
      <c r="F20" s="387">
        <f>'0825'!AD37</f>
        <v>0</v>
      </c>
      <c r="G20" s="388">
        <f>'0825'!AD48</f>
        <v>0</v>
      </c>
      <c r="H20" s="388">
        <f>'0825'!AD58</f>
        <v>0</v>
      </c>
      <c r="I20" s="387">
        <f>'0825'!AD69</f>
        <v>0</v>
      </c>
      <c r="J20" s="387">
        <f>'0825'!AD79</f>
        <v>0</v>
      </c>
    </row>
    <row r="21" spans="2:10" ht="17.25" customHeight="1">
      <c r="B21" s="736"/>
      <c r="C21" s="330" t="s">
        <v>85</v>
      </c>
      <c r="D21" s="386">
        <f>'0825'!AE15</f>
        <v>0</v>
      </c>
      <c r="E21" s="387">
        <f>'0825'!AE26</f>
        <v>0</v>
      </c>
      <c r="F21" s="387">
        <f>'0825'!AE37</f>
        <v>0</v>
      </c>
      <c r="G21" s="388">
        <f>'0825'!AE48</f>
        <v>0</v>
      </c>
      <c r="H21" s="388">
        <f>'0825'!AE58</f>
        <v>0</v>
      </c>
      <c r="I21" s="387">
        <f>'0825'!AE69</f>
        <v>0</v>
      </c>
      <c r="J21" s="387">
        <f>'0825'!AE79</f>
        <v>0</v>
      </c>
    </row>
    <row r="22" spans="2:10" ht="17.25" customHeight="1">
      <c r="B22" s="719" t="s">
        <v>104</v>
      </c>
      <c r="C22" s="720"/>
      <c r="D22" s="23">
        <f>VALUE('0825'!M15)</f>
        <v>14.2</v>
      </c>
      <c r="E22" s="23">
        <f>VALUE('0825'!M26)</f>
        <v>12.75</v>
      </c>
      <c r="F22" s="23">
        <f>VALUE('0825'!M37)</f>
        <v>16.399999999999999</v>
      </c>
      <c r="G22" s="23">
        <f>VALUE('0825'!M48)</f>
        <v>16.75</v>
      </c>
      <c r="H22" s="23">
        <f>VALUE('0825'!M58)</f>
        <v>16</v>
      </c>
      <c r="I22" s="23">
        <f>VALUE('0825'!M69)</f>
        <v>12</v>
      </c>
      <c r="J22" s="23">
        <f>'0825'!M79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6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1AD4-1051-415A-93E7-257C3185E774}">
  <sheetPr>
    <tabColor theme="9" tint="0.79998168889431442"/>
  </sheetPr>
  <dimension ref="A1:AJ92"/>
  <sheetViews>
    <sheetView zoomScale="69" zoomScaleNormal="69" workbookViewId="0">
      <pane xSplit="5" ySplit="4" topLeftCell="I17" activePane="bottomRight" state="frozen"/>
      <selection activeCell="G76" sqref="G76"/>
      <selection pane="topRight" activeCell="G76" sqref="G76"/>
      <selection pane="bottomLeft" activeCell="G76" sqref="G76"/>
      <selection pane="bottomRight" activeCell="T28" sqref="T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55190</v>
      </c>
      <c r="F1" s="30" t="s">
        <v>2</v>
      </c>
      <c r="G1" s="31">
        <f>SUM(H5:H79)</f>
        <v>2545500.733</v>
      </c>
      <c r="H1" s="32" t="s">
        <v>3</v>
      </c>
      <c r="I1" s="33">
        <f>M15+M26+M48+M58+M69+M79+M37</f>
        <v>97.1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198</v>
      </c>
      <c r="B2" s="739"/>
      <c r="C2" s="28"/>
      <c r="D2" s="28" t="s">
        <v>14</v>
      </c>
      <c r="E2" s="35">
        <f>AVERAGE(O15,O26,O37,O48,O58,O69,O79)</f>
        <v>118.66304522353401</v>
      </c>
      <c r="F2" s="36" t="s">
        <v>15</v>
      </c>
      <c r="G2" s="37">
        <f>G1/E1</f>
        <v>46.122499238992575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1719</v>
      </c>
      <c r="H5" s="43">
        <f>F5*G5</f>
        <v>97759.53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1909.9999999999982</v>
      </c>
      <c r="O5" s="47">
        <f>N5/M5</f>
        <v>136.4285714285713</v>
      </c>
      <c r="P5" s="49">
        <f>M5-J5</f>
        <v>0</v>
      </c>
      <c r="Q5" s="50">
        <f>O5-L5</f>
        <v>-24.28571428571442</v>
      </c>
      <c r="R5" s="51">
        <f>O5/L5</f>
        <v>0.84888888888888803</v>
      </c>
      <c r="S5" s="748">
        <f>R15</f>
        <v>0.89458387730572209</v>
      </c>
      <c r="T5" s="319">
        <v>0.29930555555555599</v>
      </c>
      <c r="U5" s="320">
        <v>0.33680555555555602</v>
      </c>
      <c r="V5" s="53"/>
      <c r="W5" s="54">
        <f t="shared" ref="W5:W14" si="0">(U5-T5)*24*60</f>
        <v>54.00000000000005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-340.00000000000182</v>
      </c>
      <c r="AG5" s="52">
        <f t="shared" ref="AG5:AG11" si="2">N5/K5</f>
        <v>0.84888888888888803</v>
      </c>
      <c r="AH5" s="784">
        <f>AG15</f>
        <v>0.8832412300446304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1162</v>
      </c>
      <c r="H6" s="63">
        <f>F6*G6</f>
        <v>58878.54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1884.3243243242823</v>
      </c>
      <c r="O6" s="67">
        <f>N6/M6</f>
        <v>117.77027027026764</v>
      </c>
      <c r="P6" s="69">
        <f>M6-J6</f>
        <v>-1</v>
      </c>
      <c r="Q6" s="70">
        <f>O6-L6</f>
        <v>-14.582670906202935</v>
      </c>
      <c r="R6" s="71">
        <f>O6/L6</f>
        <v>0.88981981981980007</v>
      </c>
      <c r="S6" s="749"/>
      <c r="T6" s="16">
        <v>0.344444444444444</v>
      </c>
      <c r="U6" s="16">
        <v>0.37013888888888902</v>
      </c>
      <c r="V6" s="30">
        <f>(T6-U5)*24*60</f>
        <v>10.999999999998682</v>
      </c>
      <c r="W6" s="73">
        <f t="shared" si="0"/>
        <v>37.000000000000824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-365.67567567571768</v>
      </c>
      <c r="AG6" s="72">
        <f t="shared" si="2"/>
        <v>0.83747747747745882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1975</v>
      </c>
      <c r="H7" s="78">
        <f>F7*G7</f>
        <v>114885.75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2116.0714285714212</v>
      </c>
      <c r="O7" s="81">
        <f>N7/M7</f>
        <v>162.77472527472472</v>
      </c>
      <c r="P7" s="74">
        <f>M7-J7</f>
        <v>0</v>
      </c>
      <c r="Q7" s="83">
        <f>O7-L7</f>
        <v>-10.30219780219835</v>
      </c>
      <c r="R7" s="72">
        <f>O7/L7</f>
        <v>0.94047619047618736</v>
      </c>
      <c r="S7" s="749"/>
      <c r="T7" s="18">
        <v>0.37708333333333299</v>
      </c>
      <c r="U7" s="18">
        <v>0.41597222222222202</v>
      </c>
      <c r="V7" s="30">
        <f>(T7-U6)*24*60</f>
        <v>9.999999999999325</v>
      </c>
      <c r="W7" s="73">
        <f t="shared" si="0"/>
        <v>56.000000000000199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-133.92857142857883</v>
      </c>
      <c r="AG7" s="72">
        <f t="shared" si="2"/>
        <v>0.94047619047618713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2552</v>
      </c>
      <c r="H8" s="63">
        <f>F8*G8</f>
        <v>125405.28</v>
      </c>
      <c r="I8" s="64"/>
      <c r="J8" s="65">
        <v>14</v>
      </c>
      <c r="K8" s="66">
        <f>VLOOKUP(D8,產線配置圖!$A$3:$C$40,3,0)</f>
        <v>2250</v>
      </c>
      <c r="L8" s="67">
        <f>K8/J8</f>
        <v>160.71428571428572</v>
      </c>
      <c r="M8" s="82">
        <v>14</v>
      </c>
      <c r="N8" s="80">
        <f t="shared" ref="N8:N9" si="3">G8/W8*60</f>
        <v>2041.600000000014</v>
      </c>
      <c r="O8" s="81">
        <f t="shared" ref="O8:O9" si="4">N8/M8</f>
        <v>145.82857142857242</v>
      </c>
      <c r="P8" s="74">
        <f t="shared" ref="P8:P9" si="5">M8-J8</f>
        <v>0</v>
      </c>
      <c r="Q8" s="83">
        <f t="shared" ref="Q8:Q9" si="6">O8-L8</f>
        <v>-14.885714285713306</v>
      </c>
      <c r="R8" s="72">
        <f t="shared" ref="R8:R9" si="7">O8/L8</f>
        <v>0.90737777777778383</v>
      </c>
      <c r="S8" s="749"/>
      <c r="T8" s="16">
        <v>0.42361111111111099</v>
      </c>
      <c r="U8" s="16">
        <v>0.47569444444444398</v>
      </c>
      <c r="V8" s="30">
        <f t="shared" ref="V8:V9" si="8">(T8-U7)*24*60</f>
        <v>11.000000000000121</v>
      </c>
      <c r="W8" s="73">
        <f t="shared" si="0"/>
        <v>74.999999999999488</v>
      </c>
      <c r="X8" s="22">
        <v>0.48611111111111099</v>
      </c>
      <c r="Y8" s="84">
        <v>0.52777777777777801</v>
      </c>
      <c r="Z8" s="90"/>
      <c r="AA8" s="90"/>
      <c r="AB8" s="788"/>
      <c r="AC8" s="788"/>
      <c r="AD8" s="149"/>
      <c r="AE8" s="149"/>
      <c r="AF8" s="307">
        <f t="shared" si="1"/>
        <v>-208.39999999998599</v>
      </c>
      <c r="AG8" s="72">
        <f t="shared" si="2"/>
        <v>0.90737777777778406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3109</v>
      </c>
      <c r="H9" s="78">
        <f>F9*G9</f>
        <v>152776.26</v>
      </c>
      <c r="I9" s="73"/>
      <c r="J9" s="79">
        <v>14</v>
      </c>
      <c r="K9" s="80">
        <f>VLOOKUP(D9,產線配置圖!$A$3:$C$40,3,0)</f>
        <v>2250</v>
      </c>
      <c r="L9" s="81">
        <f>K9/J9</f>
        <v>160.71428571428572</v>
      </c>
      <c r="M9" s="82">
        <v>14</v>
      </c>
      <c r="N9" s="80">
        <f t="shared" si="3"/>
        <v>1984.4680851063765</v>
      </c>
      <c r="O9" s="81">
        <f t="shared" si="4"/>
        <v>141.74772036474118</v>
      </c>
      <c r="P9" s="74">
        <f t="shared" si="5"/>
        <v>0</v>
      </c>
      <c r="Q9" s="83">
        <f t="shared" si="6"/>
        <v>-18.966565349544538</v>
      </c>
      <c r="R9" s="72">
        <f t="shared" si="7"/>
        <v>0.88198581560283396</v>
      </c>
      <c r="S9" s="750"/>
      <c r="T9" s="16">
        <v>0.54236111111111096</v>
      </c>
      <c r="U9" s="16">
        <v>0.60763888888888895</v>
      </c>
      <c r="V9" s="30">
        <f t="shared" si="8"/>
        <v>96.000000000000455</v>
      </c>
      <c r="W9" s="73">
        <f t="shared" si="0"/>
        <v>94.000000000000313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-265.53191489362348</v>
      </c>
      <c r="AG9" s="72">
        <f t="shared" si="2"/>
        <v>0.88198581560283396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9">AVERAGE(J5:J14)</f>
        <v>14.4</v>
      </c>
      <c r="K15" s="120">
        <f t="shared" si="9"/>
        <v>2250</v>
      </c>
      <c r="L15" s="117">
        <f t="shared" si="9"/>
        <v>157.51454427925017</v>
      </c>
      <c r="M15" s="120">
        <f t="shared" si="9"/>
        <v>14.2</v>
      </c>
      <c r="N15" s="120">
        <f t="shared" si="9"/>
        <v>1987.2927676004183</v>
      </c>
      <c r="O15" s="117">
        <f t="shared" si="9"/>
        <v>140.90997175337546</v>
      </c>
      <c r="P15" s="121">
        <f>M15-J15</f>
        <v>-0.20000000000000107</v>
      </c>
      <c r="Q15" s="122">
        <f>O15-L15</f>
        <v>-16.604572525874715</v>
      </c>
      <c r="R15" s="123">
        <f>O15/L15</f>
        <v>0.89458387730572209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-262.7072323995817</v>
      </c>
      <c r="AG15" s="124">
        <f>N15/K15</f>
        <v>0.8832412300446304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1358</v>
      </c>
      <c r="H16" s="134">
        <f>F16*G16</f>
        <v>77229.459999999992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1851.8181818181549</v>
      </c>
      <c r="O16" s="141">
        <f>N16/M16</f>
        <v>132.27272727272535</v>
      </c>
      <c r="P16" s="142">
        <f>M16-J16</f>
        <v>0</v>
      </c>
      <c r="Q16" s="143">
        <f>O16-L16</f>
        <v>-28.441558441560375</v>
      </c>
      <c r="R16" s="144">
        <f>O16/L16</f>
        <v>0.82303030303029101</v>
      </c>
      <c r="S16" s="795">
        <f>R26</f>
        <v>0.85806841829936653</v>
      </c>
      <c r="T16" s="145">
        <v>0.30069444444444399</v>
      </c>
      <c r="U16" s="145">
        <v>0.33124999999999999</v>
      </c>
      <c r="V16" s="135"/>
      <c r="W16" s="146">
        <f t="shared" ref="W16:W78" si="10">(U16-T16)*24*60</f>
        <v>44.000000000000639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-398.18181818184507</v>
      </c>
      <c r="AG16" s="52">
        <f>N16/K16</f>
        <v>0.82303030303029112</v>
      </c>
      <c r="AH16" s="784">
        <f>AG26</f>
        <v>0.85769366772463507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3897</v>
      </c>
      <c r="H17" s="78">
        <f>F17*G17</f>
        <v>197460.99000000002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2033.2173913043507</v>
      </c>
      <c r="O17" s="96">
        <f>N17/M17</f>
        <v>156.40133779264235</v>
      </c>
      <c r="P17" s="97">
        <f>M17-J17</f>
        <v>0</v>
      </c>
      <c r="Q17" s="98">
        <f>O17-L17</f>
        <v>-16.675585284280714</v>
      </c>
      <c r="R17" s="99">
        <f>O17/L17</f>
        <v>0.90365217391304475</v>
      </c>
      <c r="S17" s="796"/>
      <c r="T17" s="19">
        <v>0.33958333333333302</v>
      </c>
      <c r="U17" s="19">
        <v>0.41944444444444401</v>
      </c>
      <c r="V17" s="30">
        <f>(T17-U16)*24*60</f>
        <v>11.999999999999558</v>
      </c>
      <c r="W17" s="149">
        <f t="shared" si="10"/>
        <v>114.99999999999983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-216.78260869564929</v>
      </c>
      <c r="AG17" s="72">
        <f>N17/K17</f>
        <v>0.90365217391304475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2322</v>
      </c>
      <c r="H18" s="78">
        <f>F18*G18</f>
        <v>117005.58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1908.4931506849093</v>
      </c>
      <c r="O18" s="96">
        <f>N18/M18</f>
        <v>159.04109589040911</v>
      </c>
      <c r="P18" s="97">
        <f>M18-J18</f>
        <v>0</v>
      </c>
      <c r="Q18" s="98">
        <f>O18-L18</f>
        <v>-28.45890410959089</v>
      </c>
      <c r="R18" s="99">
        <f>O18/L18</f>
        <v>0.84821917808218195</v>
      </c>
      <c r="S18" s="796"/>
      <c r="T18" s="19">
        <v>0.42847222222222198</v>
      </c>
      <c r="U18" s="19">
        <v>0.47916666666666702</v>
      </c>
      <c r="V18" s="30">
        <f>(T18-U17)*24*60</f>
        <v>13.000000000000274</v>
      </c>
      <c r="W18" s="149">
        <f t="shared" si="10"/>
        <v>73.000000000000853</v>
      </c>
      <c r="X18" s="22">
        <v>0.48611111111111099</v>
      </c>
      <c r="Y18" s="84">
        <v>0.52777777777777801</v>
      </c>
      <c r="Z18" s="90"/>
      <c r="AA18" s="90"/>
      <c r="AB18" s="789"/>
      <c r="AC18" s="789"/>
      <c r="AD18" s="92"/>
      <c r="AE18" s="92"/>
      <c r="AF18" s="307">
        <f>N18-K18</f>
        <v>-341.50684931509068</v>
      </c>
      <c r="AG18" s="72">
        <f>N18/K18</f>
        <v>0.84821917808218195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3370</v>
      </c>
      <c r="H19" s="78">
        <f>F19*G19</f>
        <v>169814.3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1925.7142857143015</v>
      </c>
      <c r="O19" s="96">
        <f>N19/M19</f>
        <v>160.47619047619179</v>
      </c>
      <c r="P19" s="97">
        <f>M19-J19</f>
        <v>0</v>
      </c>
      <c r="Q19" s="98">
        <f>O19-L19</f>
        <v>-27.023809523808211</v>
      </c>
      <c r="R19" s="99">
        <f>O19/L19</f>
        <v>0.85587301587302289</v>
      </c>
      <c r="S19" s="796"/>
      <c r="T19" s="19">
        <v>0.54166666666666696</v>
      </c>
      <c r="U19" s="19">
        <v>0.61458333333333304</v>
      </c>
      <c r="V19" s="30">
        <f>(T19-U18)*24*60</f>
        <v>89.999999999999915</v>
      </c>
      <c r="W19" s="149">
        <f t="shared" si="10"/>
        <v>104.99999999999915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-324.28571428569853</v>
      </c>
      <c r="AG19" s="72">
        <f>N19/K19</f>
        <v>0.85587301587302289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0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0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0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0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0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1">AVERAGE(J16:J25)</f>
        <v>12.75</v>
      </c>
      <c r="K26" s="155">
        <f t="shared" si="11"/>
        <v>2250</v>
      </c>
      <c r="L26" s="158">
        <f t="shared" si="11"/>
        <v>177.19780219780219</v>
      </c>
      <c r="M26" s="155">
        <f t="shared" si="11"/>
        <v>12.75</v>
      </c>
      <c r="N26" s="155">
        <f t="shared" si="11"/>
        <v>1929.810752380429</v>
      </c>
      <c r="O26" s="158">
        <f t="shared" si="11"/>
        <v>152.04783785799214</v>
      </c>
      <c r="P26" s="159">
        <f>M26-J26</f>
        <v>0</v>
      </c>
      <c r="Q26" s="160">
        <f>O26-L26</f>
        <v>-25.149964339810055</v>
      </c>
      <c r="R26" s="161">
        <f>O26/L26</f>
        <v>0.85806841829936653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2">N26-K26</f>
        <v>-320.18924761957101</v>
      </c>
      <c r="AG26" s="124">
        <f t="shared" ref="AG26:AG31" si="13">N26/K26</f>
        <v>0.85769366772463507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1232</v>
      </c>
      <c r="H27" s="134">
        <f>F27*G27</f>
        <v>57090.880000000005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1572.7659574468032</v>
      </c>
      <c r="O27" s="141">
        <f>N27/M27</f>
        <v>98.297872340425201</v>
      </c>
      <c r="P27" s="142">
        <f>M27-J27</f>
        <v>0</v>
      </c>
      <c r="Q27" s="143">
        <f>O27-L27</f>
        <v>-3.9521276595747992</v>
      </c>
      <c r="R27" s="144">
        <f>O27/L27</f>
        <v>0.96134838474743478</v>
      </c>
      <c r="S27" s="795">
        <f>R37</f>
        <v>0.90467079373066484</v>
      </c>
      <c r="T27" s="171">
        <v>0.29166666666666702</v>
      </c>
      <c r="U27" s="171">
        <v>0.32430555555555601</v>
      </c>
      <c r="V27" s="135"/>
      <c r="W27" s="146">
        <f t="shared" si="10"/>
        <v>47.000000000000156</v>
      </c>
      <c r="X27" s="135"/>
      <c r="Y27" s="300" t="s">
        <v>46</v>
      </c>
      <c r="Z27" s="169"/>
      <c r="AA27" s="169"/>
      <c r="AB27" s="791"/>
      <c r="AC27" s="791"/>
      <c r="AD27" s="135"/>
      <c r="AE27" s="135"/>
      <c r="AF27" s="310">
        <f t="shared" si="12"/>
        <v>-63.234042553196787</v>
      </c>
      <c r="AG27" s="172">
        <f t="shared" si="13"/>
        <v>0.96134838474743478</v>
      </c>
      <c r="AH27" s="784">
        <f>AG37</f>
        <v>0.886180125612406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1058</v>
      </c>
      <c r="H28" s="91">
        <f>F28*G28</f>
        <v>60528.18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16</v>
      </c>
      <c r="N28" s="95">
        <f>G28/W28*60</f>
        <v>1380.0000000000191</v>
      </c>
      <c r="O28" s="96">
        <f>N28/M28</f>
        <v>86.250000000001194</v>
      </c>
      <c r="P28" s="97">
        <f>M28-J28</f>
        <v>-2</v>
      </c>
      <c r="Q28" s="98">
        <f>O28-L28</f>
        <v>-4.638888888887692</v>
      </c>
      <c r="R28" s="99">
        <f>O28/L28</f>
        <v>0.9489608801956122</v>
      </c>
      <c r="S28" s="796"/>
      <c r="T28" s="19">
        <v>0.33055555555555599</v>
      </c>
      <c r="U28" s="19">
        <v>0.36249999999999999</v>
      </c>
      <c r="V28" s="92">
        <f>(T28-U27)*24*60</f>
        <v>8.999999999999968</v>
      </c>
      <c r="W28" s="149">
        <f t="shared" si="10"/>
        <v>45.999999999999361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2"/>
        <v>-255.9999999999809</v>
      </c>
      <c r="AG28" s="99">
        <f t="shared" si="13"/>
        <v>0.84352078239609973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1210</v>
      </c>
      <c r="H29" s="91">
        <f>F29*G29</f>
        <v>60391.1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1544.6808510638248</v>
      </c>
      <c r="O29" s="96">
        <f>N29/M29</f>
        <v>85.815602836879151</v>
      </c>
      <c r="P29" s="97">
        <f>M29-J29</f>
        <v>0</v>
      </c>
      <c r="Q29" s="98">
        <f>O29-L29</f>
        <v>-5.0732860520097347</v>
      </c>
      <c r="R29" s="99">
        <f>O29/L29</f>
        <v>0.9441814493055164</v>
      </c>
      <c r="S29" s="796"/>
      <c r="T29" s="19">
        <v>0.36875000000000002</v>
      </c>
      <c r="U29" s="19">
        <v>0.40138888888888902</v>
      </c>
      <c r="V29" s="92">
        <f>(T29-U28)*24*60</f>
        <v>9.000000000000048</v>
      </c>
      <c r="W29" s="149">
        <f t="shared" si="10"/>
        <v>47.000000000000156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2"/>
        <v>-91.319148936175225</v>
      </c>
      <c r="AG29" s="99">
        <f t="shared" si="13"/>
        <v>0.9441814493055164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928</v>
      </c>
      <c r="H30" s="91">
        <f t="shared" ref="H30:H31" si="14">F30*G30</f>
        <v>42372.479999999996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1" si="15">K30/J30</f>
        <v>96.235294117647058</v>
      </c>
      <c r="M30" s="94">
        <v>16</v>
      </c>
      <c r="N30" s="95">
        <f t="shared" ref="N30:N31" si="16">G30/W30*60</f>
        <v>1427.6923076922717</v>
      </c>
      <c r="O30" s="96">
        <f t="shared" ref="O30:O31" si="17">N30/M30</f>
        <v>89.230769230766981</v>
      </c>
      <c r="P30" s="97">
        <f t="shared" ref="P30:P31" si="18">M30-J30</f>
        <v>-1</v>
      </c>
      <c r="Q30" s="98">
        <f t="shared" ref="Q30:Q31" si="19">O30-L30</f>
        <v>-7.0045248868800769</v>
      </c>
      <c r="R30" s="99">
        <f t="shared" ref="R30:R31" si="20">O30/L30</f>
        <v>0.92721459469623391</v>
      </c>
      <c r="S30" s="796"/>
      <c r="T30" s="19">
        <v>0.406944444444444</v>
      </c>
      <c r="U30" s="19">
        <v>0.43402777777777801</v>
      </c>
      <c r="V30" s="92">
        <f t="shared" ref="V30:V31" si="21">(T30-U29)*24*60</f>
        <v>7.9999999999991722</v>
      </c>
      <c r="W30" s="149">
        <f t="shared" si="10"/>
        <v>39.000000000000981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2"/>
        <v>-208.3076923077283</v>
      </c>
      <c r="AG30" s="99">
        <f t="shared" si="13"/>
        <v>0.87267255971410251</v>
      </c>
      <c r="AH30" s="806"/>
    </row>
    <row r="31" spans="1:34" ht="15" customHeight="1">
      <c r="A31" s="793"/>
      <c r="B31" s="75" t="s">
        <v>81</v>
      </c>
      <c r="C31" s="88"/>
      <c r="D31" s="59" t="s">
        <v>142</v>
      </c>
      <c r="E31" s="89"/>
      <c r="F31" s="75">
        <f>VLOOKUP(D31,廠價表!$C$1:$E$43,3,0)</f>
        <v>43.89</v>
      </c>
      <c r="G31" s="90">
        <v>1408</v>
      </c>
      <c r="H31" s="91">
        <f t="shared" si="14"/>
        <v>61797.120000000003</v>
      </c>
      <c r="I31" s="92"/>
      <c r="J31" s="698">
        <v>15</v>
      </c>
      <c r="K31" s="80">
        <f>VLOOKUP(D31,產線配置圖!$A$3:$C$40,3,0)</f>
        <v>1565</v>
      </c>
      <c r="L31" s="93">
        <f t="shared" si="15"/>
        <v>104.33333333333333</v>
      </c>
      <c r="M31" s="94">
        <v>16</v>
      </c>
      <c r="N31" s="95">
        <f t="shared" si="16"/>
        <v>1260.8955223880807</v>
      </c>
      <c r="O31" s="96">
        <f t="shared" si="17"/>
        <v>78.805970149255046</v>
      </c>
      <c r="P31" s="97">
        <f t="shared" si="18"/>
        <v>1</v>
      </c>
      <c r="Q31" s="98">
        <f t="shared" si="19"/>
        <v>-25.527363184078283</v>
      </c>
      <c r="R31" s="99">
        <f t="shared" si="20"/>
        <v>0.75532878737305165</v>
      </c>
      <c r="S31" s="796"/>
      <c r="T31" s="19">
        <v>0.44166666666666698</v>
      </c>
      <c r="U31" s="19">
        <v>0.48819444444444399</v>
      </c>
      <c r="V31" s="92">
        <f t="shared" si="21"/>
        <v>11.000000000000121</v>
      </c>
      <c r="W31" s="149">
        <f t="shared" si="10"/>
        <v>66.999999999998877</v>
      </c>
      <c r="X31" s="174"/>
      <c r="Y31" s="301"/>
      <c r="Z31" s="335"/>
      <c r="AA31" s="335"/>
      <c r="AB31" s="789" t="s">
        <v>199</v>
      </c>
      <c r="AC31" s="789"/>
      <c r="AD31" s="92"/>
      <c r="AE31" s="92"/>
      <c r="AF31" s="312">
        <f t="shared" si="12"/>
        <v>-304.10447761191926</v>
      </c>
      <c r="AG31" s="99">
        <f t="shared" si="13"/>
        <v>0.80568403986458836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50"/>
      <c r="U32" s="150"/>
      <c r="V32" s="92"/>
      <c r="W32" s="149">
        <f t="shared" si="10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0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0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0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0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2">AVERAGE(J27:J36)</f>
        <v>16.8</v>
      </c>
      <c r="K37" s="155">
        <f t="shared" si="22"/>
        <v>1621.8</v>
      </c>
      <c r="L37" s="158">
        <f t="shared" si="22"/>
        <v>96.919281045751632</v>
      </c>
      <c r="M37" s="155">
        <f t="shared" si="22"/>
        <v>16.399999999999999</v>
      </c>
      <c r="N37" s="155">
        <f t="shared" si="22"/>
        <v>1437.2069277181999</v>
      </c>
      <c r="O37" s="158">
        <f t="shared" si="22"/>
        <v>87.680042911465506</v>
      </c>
      <c r="P37" s="159">
        <f>M37-J37</f>
        <v>-0.40000000000000213</v>
      </c>
      <c r="Q37" s="160">
        <f>N37-K37</f>
        <v>-184.5930722818</v>
      </c>
      <c r="R37" s="161">
        <f>O37/L37</f>
        <v>0.90467079373066484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-184.5930722818</v>
      </c>
      <c r="AG37" s="124">
        <f>N37/K37</f>
        <v>0.886180125612406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1016</v>
      </c>
      <c r="H38" s="134">
        <f>F38*G38</f>
        <v>50708.56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1523.9999999999868</v>
      </c>
      <c r="O38" s="141">
        <f>N38/M38</f>
        <v>101.59999999999913</v>
      </c>
      <c r="P38" s="142">
        <f>M38-J38</f>
        <v>-1</v>
      </c>
      <c r="Q38" s="143">
        <f>O38-L38</f>
        <v>-5.5250000000008725</v>
      </c>
      <c r="R38" s="144">
        <f>O38/L38</f>
        <v>0.94842473745623457</v>
      </c>
      <c r="S38" s="817">
        <f>R48</f>
        <v>0.92665913030645797</v>
      </c>
      <c r="T38" s="191">
        <v>0.33333333333333298</v>
      </c>
      <c r="U38" s="191">
        <v>0.36111111111111099</v>
      </c>
      <c r="V38" s="192"/>
      <c r="W38" s="193">
        <f t="shared" si="10"/>
        <v>40.000000000000341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-190.00000000001319</v>
      </c>
      <c r="AG38" s="195">
        <f>N38/K38</f>
        <v>0.88914819136521983</v>
      </c>
      <c r="AH38" s="807">
        <f>AG48</f>
        <v>0.91006525812495642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4108</v>
      </c>
      <c r="H39" s="91">
        <f>F39*G39</f>
        <v>181984.4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1493.8181818181863</v>
      </c>
      <c r="O39" s="203">
        <f>N39/M39</f>
        <v>82.989898989899245</v>
      </c>
      <c r="P39" s="97">
        <f>M39-J39</f>
        <v>0</v>
      </c>
      <c r="Q39" s="98">
        <f>O39-L39</f>
        <v>-7.8989898989896403</v>
      </c>
      <c r="R39" s="99">
        <f>O39/L39</f>
        <v>0.91309179817737562</v>
      </c>
      <c r="S39" s="818"/>
      <c r="T39" s="20">
        <v>0.36805555555555602</v>
      </c>
      <c r="U39" s="20">
        <v>0.48263888888888901</v>
      </c>
      <c r="V39" s="92">
        <f>(T39-U38)*24*60</f>
        <v>10.000000000000844</v>
      </c>
      <c r="W39" s="205">
        <f t="shared" si="10"/>
        <v>164.99999999999949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-142.1818181818137</v>
      </c>
      <c r="AG39" s="206">
        <f>N39/K39</f>
        <v>0.91309179817737551</v>
      </c>
      <c r="AH39" s="808"/>
    </row>
    <row r="40" spans="1:34" ht="15" customHeight="1">
      <c r="A40" s="815"/>
      <c r="B40" s="75" t="s">
        <v>116</v>
      </c>
      <c r="C40" s="207"/>
      <c r="D40" s="198" t="s">
        <v>126</v>
      </c>
      <c r="E40" s="178"/>
      <c r="F40" s="75">
        <f>VLOOKUP(D40,廠價表!$C$1:$E$43,3,0)</f>
        <v>49.91</v>
      </c>
      <c r="G40" s="199">
        <v>1709</v>
      </c>
      <c r="H40" s="91">
        <f>F40*G40</f>
        <v>85296.189999999988</v>
      </c>
      <c r="I40" s="200"/>
      <c r="J40" s="148">
        <f>VLOOKUP(D40,產線配置圖!$A$3:$C$40,2,0)</f>
        <v>16</v>
      </c>
      <c r="K40" s="95">
        <f>VLOOKUP(D40,產線配置圖!$A$3:$C$40,3,0)</f>
        <v>1714</v>
      </c>
      <c r="L40" s="96">
        <f>K40/J40</f>
        <v>107.125</v>
      </c>
      <c r="M40" s="201">
        <v>16</v>
      </c>
      <c r="N40" s="202">
        <f>G40/W40*60</f>
        <v>1627.619047619045</v>
      </c>
      <c r="O40" s="203">
        <f>N40/M40</f>
        <v>101.72619047619031</v>
      </c>
      <c r="P40" s="97">
        <f>M40-J40</f>
        <v>0</v>
      </c>
      <c r="Q40" s="98">
        <f>O40-L40</f>
        <v>-5.3988095238096889</v>
      </c>
      <c r="R40" s="99">
        <f>O40/L40</f>
        <v>0.94960271156303677</v>
      </c>
      <c r="S40" s="749"/>
      <c r="T40" s="20">
        <v>0.54305555555555596</v>
      </c>
      <c r="U40" s="20">
        <v>0.58680555555555602</v>
      </c>
      <c r="V40" s="92">
        <f>(T40-U39)*24*60</f>
        <v>87.000000000000412</v>
      </c>
      <c r="W40" s="205">
        <f t="shared" si="10"/>
        <v>63.000000000000099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-86.380952380955023</v>
      </c>
      <c r="AG40" s="206">
        <f>N40/K40</f>
        <v>0.94960271156303677</v>
      </c>
      <c r="AH40" s="808"/>
    </row>
    <row r="41" spans="1:34" ht="15" customHeight="1">
      <c r="A41" s="815"/>
      <c r="B41" s="75" t="s">
        <v>116</v>
      </c>
      <c r="C41" s="207"/>
      <c r="D41" s="198" t="s">
        <v>117</v>
      </c>
      <c r="E41" s="178"/>
      <c r="F41" s="75">
        <f>VLOOKUP(D41,廠價表!$C$1:$E$43,3,0)</f>
        <v>44.3</v>
      </c>
      <c r="G41" s="199">
        <v>1452</v>
      </c>
      <c r="H41" s="91">
        <f>F41*G41</f>
        <v>64323.6</v>
      </c>
      <c r="I41" s="200"/>
      <c r="J41" s="148">
        <f>VLOOKUP(D41,產線配置圖!$A$3:$C$40,2,0)</f>
        <v>18</v>
      </c>
      <c r="K41" s="95">
        <f>VLOOKUP(D41,產線配置圖!$A$3:$C$40,3,0)</f>
        <v>1636</v>
      </c>
      <c r="L41" s="96">
        <f>K41/J41</f>
        <v>90.888888888888886</v>
      </c>
      <c r="M41" s="201">
        <v>18</v>
      </c>
      <c r="N41" s="202">
        <f>G41/W41*60</f>
        <v>1451.9999999999898</v>
      </c>
      <c r="O41" s="203">
        <f>N41/M41</f>
        <v>80.666666666666103</v>
      </c>
      <c r="P41" s="97">
        <f>M41-J41</f>
        <v>0</v>
      </c>
      <c r="Q41" s="98">
        <f>O41-L41</f>
        <v>-10.222222222222783</v>
      </c>
      <c r="R41" s="99">
        <f>O41/L41</f>
        <v>0.88753056234718208</v>
      </c>
      <c r="S41" s="749"/>
      <c r="T41" s="20">
        <v>0.59375</v>
      </c>
      <c r="U41" s="210">
        <v>0.63541666666666696</v>
      </c>
      <c r="V41" s="92">
        <f>(T41-U40)*24*60</f>
        <v>9.999999999999325</v>
      </c>
      <c r="W41" s="205">
        <f t="shared" si="10"/>
        <v>60.000000000000426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-184.00000000001023</v>
      </c>
      <c r="AG41" s="206">
        <f>N41/K41</f>
        <v>0.88753056234718197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0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3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3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3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3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3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4">AVERAGE(J38:J47)</f>
        <v>17</v>
      </c>
      <c r="K48" s="155">
        <f t="shared" si="24"/>
        <v>1675</v>
      </c>
      <c r="L48" s="158">
        <f t="shared" si="24"/>
        <v>99.006944444444457</v>
      </c>
      <c r="M48" s="155">
        <f t="shared" si="24"/>
        <v>16.75</v>
      </c>
      <c r="N48" s="155">
        <f t="shared" si="24"/>
        <v>1524.359307359302</v>
      </c>
      <c r="O48" s="158">
        <f t="shared" si="24"/>
        <v>91.745689033188697</v>
      </c>
      <c r="P48" s="221">
        <f>M48-J48</f>
        <v>-0.25</v>
      </c>
      <c r="Q48" s="222">
        <f>N48-K48</f>
        <v>-150.64069264069803</v>
      </c>
      <c r="R48" s="223">
        <f>O48/L48</f>
        <v>0.92665913030645797</v>
      </c>
      <c r="S48" s="752"/>
      <c r="T48" s="224"/>
      <c r="U48" s="224"/>
      <c r="V48" s="225"/>
      <c r="W48" s="226">
        <f t="shared" si="23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5">N48-K48</f>
        <v>-150.64069264069803</v>
      </c>
      <c r="AG48" s="162">
        <f t="shared" ref="AG48:AG53" si="26">N48/K48</f>
        <v>0.91006525812495642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2376</v>
      </c>
      <c r="H49" s="134">
        <f>F49*G49</f>
        <v>117659.52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1738.5365853658684</v>
      </c>
      <c r="O49" s="141">
        <f>N49/M49</f>
        <v>102.26685796269814</v>
      </c>
      <c r="P49" s="229">
        <f>M49-J49</f>
        <v>0</v>
      </c>
      <c r="Q49" s="230">
        <f>O49-L49</f>
        <v>-3.6154949784783241</v>
      </c>
      <c r="R49" s="52">
        <f>O49/L49</f>
        <v>0.96585365853659355</v>
      </c>
      <c r="S49" s="748">
        <f>R58</f>
        <v>0.91393817297937185</v>
      </c>
      <c r="T49" s="191">
        <v>0.29027777777777802</v>
      </c>
      <c r="U49" s="191">
        <v>0.34722222222222199</v>
      </c>
      <c r="V49" s="55"/>
      <c r="W49" s="193">
        <f t="shared" si="10"/>
        <v>81.999999999999304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5"/>
        <v>-61.463414634131595</v>
      </c>
      <c r="AG49" s="52">
        <f t="shared" si="26"/>
        <v>0.96585365853659355</v>
      </c>
      <c r="AH49" s="784">
        <f>AG58</f>
        <v>0.88592627266264135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2187</v>
      </c>
      <c r="H50" s="231">
        <f>F50*G50</f>
        <v>109982.04300000001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1474.3820224719234</v>
      </c>
      <c r="O50" s="235">
        <f>N50/M50</f>
        <v>86.728354263054314</v>
      </c>
      <c r="P50" s="74">
        <f>M50-J50</f>
        <v>0</v>
      </c>
      <c r="Q50" s="83">
        <f>O50-L50</f>
        <v>-9.5069398545927442</v>
      </c>
      <c r="R50" s="72">
        <f>O50/L50</f>
        <v>0.90121150517843729</v>
      </c>
      <c r="S50" s="749"/>
      <c r="T50" s="21">
        <v>0.35277777777777802</v>
      </c>
      <c r="U50" s="21">
        <v>0.41458333333333303</v>
      </c>
      <c r="V50" s="30">
        <f>(T50-U49)*24*60</f>
        <v>8.000000000000691</v>
      </c>
      <c r="W50" s="236">
        <f t="shared" si="10"/>
        <v>88.999999999999204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5"/>
        <v>-161.61797752807661</v>
      </c>
      <c r="AG50" s="72">
        <f t="shared" si="26"/>
        <v>0.90121150517843729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1749</v>
      </c>
      <c r="H51" s="231">
        <f>F51*G51</f>
        <v>87397.53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>G51/W51*60</f>
        <v>1499.142857142861</v>
      </c>
      <c r="O51" s="235">
        <f>N51/M51</f>
        <v>99.942857142857392</v>
      </c>
      <c r="P51" s="74">
        <f>M51-J51</f>
        <v>-1</v>
      </c>
      <c r="Q51" s="83">
        <f>O51-L51</f>
        <v>-12.557142857142608</v>
      </c>
      <c r="R51" s="72">
        <f>O51/L51</f>
        <v>0.8883809523809546</v>
      </c>
      <c r="S51" s="749"/>
      <c r="T51" s="21">
        <v>0.42013888888888901</v>
      </c>
      <c r="U51" s="19">
        <v>0.46875</v>
      </c>
      <c r="V51" s="30">
        <f>(T51-U50)*24*60</f>
        <v>8.0000000000006111</v>
      </c>
      <c r="W51" s="236">
        <f t="shared" si="10"/>
        <v>69.999999999999829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5"/>
        <v>-300.85714285713902</v>
      </c>
      <c r="AG51" s="72">
        <f t="shared" si="26"/>
        <v>0.83285714285714496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3854</v>
      </c>
      <c r="H52" s="231">
        <f>F52*G52</f>
        <v>192584.38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>G52/W52*60</f>
        <v>1521.3157894736928</v>
      </c>
      <c r="O52" s="235">
        <f>N52/M52</f>
        <v>101.42105263157951</v>
      </c>
      <c r="P52" s="74">
        <f>M52-J52</f>
        <v>-1</v>
      </c>
      <c r="Q52" s="83">
        <f>O52-L52</f>
        <v>-11.078947368420486</v>
      </c>
      <c r="R52" s="72">
        <f>O52/L52</f>
        <v>0.90152046783626238</v>
      </c>
      <c r="S52" s="749"/>
      <c r="T52" s="21">
        <v>0.52638888888888902</v>
      </c>
      <c r="U52" s="21">
        <v>0.63194444444444398</v>
      </c>
      <c r="V52" s="30">
        <f>(T52-U51)*24*60</f>
        <v>83.000000000000185</v>
      </c>
      <c r="W52" s="236">
        <f t="shared" si="10"/>
        <v>151.99999999999915</v>
      </c>
      <c r="X52" s="22">
        <v>0.47916666666666702</v>
      </c>
      <c r="Y52" s="84">
        <v>0.52083333333333304</v>
      </c>
      <c r="Z52" s="90"/>
      <c r="AA52" s="90"/>
      <c r="AB52" s="789"/>
      <c r="AC52" s="789"/>
      <c r="AD52" s="92"/>
      <c r="AE52" s="92"/>
      <c r="AF52" s="307">
        <f t="shared" si="25"/>
        <v>-278.6842105263072</v>
      </c>
      <c r="AG52" s="72">
        <f t="shared" si="26"/>
        <v>0.84517543859649602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231"/>
      <c r="I53" s="232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0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5"/>
        <v>0</v>
      </c>
      <c r="AG53" s="72" t="e">
        <f t="shared" si="26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0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0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0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0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7">AVERAGE(J49:J57)</f>
        <v>16.5</v>
      </c>
      <c r="K58" s="120">
        <f t="shared" si="27"/>
        <v>1759</v>
      </c>
      <c r="L58" s="117">
        <f t="shared" si="27"/>
        <v>106.77941176470588</v>
      </c>
      <c r="M58" s="120">
        <f t="shared" si="27"/>
        <v>16</v>
      </c>
      <c r="N58" s="120">
        <f t="shared" si="27"/>
        <v>1558.3443136135861</v>
      </c>
      <c r="O58" s="117">
        <f t="shared" si="27"/>
        <v>97.58978050004734</v>
      </c>
      <c r="P58" s="121">
        <f>M58-J58</f>
        <v>-0.5</v>
      </c>
      <c r="Q58" s="122">
        <f>N58-K58</f>
        <v>-200.65568638641389</v>
      </c>
      <c r="R58" s="123">
        <f>O58/L58</f>
        <v>0.91393817297937185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-200.65568638641389</v>
      </c>
      <c r="AG58" s="124">
        <f>N58/K58</f>
        <v>0.88592627266264135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3604</v>
      </c>
      <c r="H59" s="243">
        <f>F59*G59</f>
        <v>97271.959999999992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1566.956521739136</v>
      </c>
      <c r="O59" s="138">
        <f>N59/M59</f>
        <v>104.4637681159424</v>
      </c>
      <c r="P59" s="56">
        <f>M59-J59</f>
        <v>0</v>
      </c>
      <c r="Q59" s="230">
        <f>O59-L59</f>
        <v>-4.6028985507242623</v>
      </c>
      <c r="R59" s="52">
        <f>O59/L59</f>
        <v>0.95779738492612232</v>
      </c>
      <c r="S59" s="748">
        <f>R69</f>
        <v>0.91571570150469872</v>
      </c>
      <c r="T59" s="245">
        <v>0.29166666666666702</v>
      </c>
      <c r="U59" s="245">
        <v>0.38750000000000001</v>
      </c>
      <c r="V59" s="55"/>
      <c r="W59" s="54">
        <f t="shared" si="10"/>
        <v>137.99999999999952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-69.043478260864049</v>
      </c>
      <c r="AG59" s="246">
        <f>N59/K59</f>
        <v>0.95779738492612221</v>
      </c>
      <c r="AH59" s="784">
        <f>AG69</f>
        <v>0.91852114706612675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1399</v>
      </c>
      <c r="H60" s="78">
        <f>F60*G60</f>
        <v>39535.740000000005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1472.6315789473426</v>
      </c>
      <c r="O60" s="81">
        <f>N60/M60</f>
        <v>133.87559808612207</v>
      </c>
      <c r="P60" s="74">
        <f>M60-J60</f>
        <v>0</v>
      </c>
      <c r="Q60" s="83">
        <f>O60-L60</f>
        <v>-14.851674641150652</v>
      </c>
      <c r="R60" s="72">
        <f>O60/L60</f>
        <v>0.90014155192380363</v>
      </c>
      <c r="S60" s="829"/>
      <c r="T60" s="22">
        <v>0.39444444444444399</v>
      </c>
      <c r="U60" s="22">
        <v>0.43402777777777801</v>
      </c>
      <c r="V60" s="30">
        <f>(T60-U59)*24*60</f>
        <v>9.999999999999325</v>
      </c>
      <c r="W60" s="248">
        <f t="shared" si="10"/>
        <v>57.000000000000995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-163.36842105265737</v>
      </c>
      <c r="AG60" s="249">
        <f>N60/K60</f>
        <v>0.90014155192380352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957</v>
      </c>
      <c r="H61" s="254">
        <f>F61*G61</f>
        <v>27044.82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1435.4999999999877</v>
      </c>
      <c r="O61" s="238">
        <f>N61/M61</f>
        <v>130.49999999999889</v>
      </c>
      <c r="P61" s="111">
        <f>M61-J61</f>
        <v>0</v>
      </c>
      <c r="Q61" s="255">
        <f>O61-L61</f>
        <v>-18.227272727273828</v>
      </c>
      <c r="R61" s="85">
        <f>O61/L61</f>
        <v>0.87744498777505375</v>
      </c>
      <c r="S61" s="749"/>
      <c r="T61" s="22">
        <v>0.44097222222222199</v>
      </c>
      <c r="U61" s="22">
        <v>0.46875</v>
      </c>
      <c r="V61" s="30">
        <f>(T61-U60)*24*60</f>
        <v>9.999999999999325</v>
      </c>
      <c r="W61" s="256">
        <f t="shared" si="10"/>
        <v>40.000000000000341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-200.50000000001228</v>
      </c>
      <c r="AG61" s="247">
        <f>N61/K61</f>
        <v>0.87744498777505364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1075</v>
      </c>
      <c r="H62" s="254">
        <f>F62*G62</f>
        <v>30379.5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>K62/J62</f>
        <v>148.72727272727272</v>
      </c>
      <c r="M62" s="108">
        <v>11</v>
      </c>
      <c r="N62" s="107">
        <f>G62/W62*60</f>
        <v>1535.7142857142678</v>
      </c>
      <c r="O62" s="238">
        <f>N62/M62</f>
        <v>139.61038961038798</v>
      </c>
      <c r="P62" s="111">
        <f>M62-J62</f>
        <v>0</v>
      </c>
      <c r="Q62" s="255">
        <f>O62-L62</f>
        <v>-9.1168831168847362</v>
      </c>
      <c r="R62" s="85">
        <f>O62/L62</f>
        <v>0.93870066363952809</v>
      </c>
      <c r="S62" s="749"/>
      <c r="T62" s="22">
        <v>0.53472222222222199</v>
      </c>
      <c r="U62" s="22">
        <v>0.56388888888888899</v>
      </c>
      <c r="V62" s="30">
        <f>(T62-U61)*24*60</f>
        <v>94.999999999999659</v>
      </c>
      <c r="W62" s="248">
        <f t="shared" si="10"/>
        <v>42.00000000000049</v>
      </c>
      <c r="X62" s="22">
        <v>0.50347222222222199</v>
      </c>
      <c r="Y62" s="84">
        <v>0.54513888888888895</v>
      </c>
      <c r="Z62" s="90"/>
      <c r="AA62" s="90"/>
      <c r="AB62" s="789"/>
      <c r="AC62" s="789"/>
      <c r="AD62" s="92"/>
      <c r="AE62" s="92"/>
      <c r="AF62" s="317">
        <f>N62-K62</f>
        <v>-100.28571428573218</v>
      </c>
      <c r="AG62" s="247">
        <f>N62/K62</f>
        <v>0.93870066363952798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0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0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0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0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0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0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1502.7005966001834</v>
      </c>
      <c r="O69" s="268">
        <f t="shared" si="28"/>
        <v>127.11243895311284</v>
      </c>
      <c r="P69" s="269">
        <f>M69-J69</f>
        <v>0</v>
      </c>
      <c r="Q69" s="222">
        <f>N69-K69</f>
        <v>-133.29940339981658</v>
      </c>
      <c r="R69" s="123">
        <f>O69/L69</f>
        <v>0.91571570150469872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-133.29940339981658</v>
      </c>
      <c r="AG69" s="124">
        <f>N69/K69</f>
        <v>0.91852114706612675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2404</v>
      </c>
      <c r="H70" s="243">
        <f>F70*G70</f>
        <v>67937.040000000008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9</v>
      </c>
      <c r="N70" s="137">
        <f>G70/W70*60</f>
        <v>1202.0000000000052</v>
      </c>
      <c r="O70" s="138">
        <f>N70/M70</f>
        <v>133.55555555555614</v>
      </c>
      <c r="P70" s="56">
        <f>M70-J70</f>
        <v>-2</v>
      </c>
      <c r="Q70" s="230">
        <f>O70-L70</f>
        <v>-15.17171717171658</v>
      </c>
      <c r="R70" s="52">
        <f>O70/L70</f>
        <v>0.897989676718287</v>
      </c>
      <c r="S70" s="748">
        <f>R79</f>
        <v>0.897989676718287</v>
      </c>
      <c r="T70" s="245">
        <v>0.41666666666666702</v>
      </c>
      <c r="U70" s="245">
        <v>0.5</v>
      </c>
      <c r="V70" s="55"/>
      <c r="W70" s="54">
        <f t="shared" si="10"/>
        <v>119.99999999999949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-433.99999999999477</v>
      </c>
      <c r="AG70" s="246">
        <f>N70/K70</f>
        <v>0.73471882640587116</v>
      </c>
      <c r="AH70" s="784">
        <f>AG79</f>
        <v>0.73471882640587116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0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0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0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0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0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0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0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0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29">AVERAGE(J70:J78)</f>
        <v>11</v>
      </c>
      <c r="K79" s="240">
        <f t="shared" si="29"/>
        <v>1636</v>
      </c>
      <c r="L79" s="268">
        <f t="shared" si="29"/>
        <v>148.72727272727272</v>
      </c>
      <c r="M79" s="240">
        <f t="shared" si="29"/>
        <v>9</v>
      </c>
      <c r="N79" s="240">
        <f t="shared" si="29"/>
        <v>1202.0000000000052</v>
      </c>
      <c r="O79" s="268">
        <f t="shared" si="29"/>
        <v>133.55555555555614</v>
      </c>
      <c r="P79" s="269">
        <f>M79-J79</f>
        <v>-2</v>
      </c>
      <c r="Q79" s="222">
        <f>N79-K79</f>
        <v>-433.99999999999477</v>
      </c>
      <c r="R79" s="223">
        <f>O79/L79</f>
        <v>0.897989676718287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-433.99999999999477</v>
      </c>
      <c r="AG79" s="124">
        <f>N79/K79</f>
        <v>0.73471882640587116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68" priority="1" operator="greaterThan">
      <formula>0</formula>
    </cfRule>
  </conditionalFormatting>
  <conditionalFormatting sqref="Q5:Q79 AF5:AF79">
    <cfRule type="cellIs" dxfId="67" priority="4" operator="lessThan">
      <formula>0</formula>
    </cfRule>
  </conditionalFormatting>
  <conditionalFormatting sqref="R5:R79 AG5:AG79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S5:S10 S37:S62 AH59:AH62 S69:S76 AH69:AH76">
    <cfRule type="cellIs" dxfId="64" priority="7" operator="lessThan">
      <formula>0.8</formula>
    </cfRule>
  </conditionalFormatting>
  <conditionalFormatting sqref="S19:S25 AH19:AH25">
    <cfRule type="cellIs" dxfId="63" priority="6" operator="lessThan">
      <formula>0.8</formula>
    </cfRule>
  </conditionalFormatting>
  <conditionalFormatting sqref="S79">
    <cfRule type="cellIs" dxfId="62" priority="5" operator="lessThan">
      <formula>0.8</formula>
    </cfRule>
  </conditionalFormatting>
  <conditionalFormatting sqref="AH5:AH8 S15:S16 AH15:AH16 AH49 AH79">
    <cfRule type="cellIs" dxfId="61" priority="9" operator="lessThan">
      <formula>0.8</formula>
    </cfRule>
  </conditionalFormatting>
  <conditionalFormatting sqref="AH27 S27:S28">
    <cfRule type="cellIs" dxfId="6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F1C8-2B72-48C9-B9B4-0D7441ECF645}">
  <dimension ref="B1:O26"/>
  <sheetViews>
    <sheetView topLeftCell="B9" zoomScale="70" zoomScaleNormal="70" workbookViewId="0">
      <selection activeCell="J18" sqref="J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DATE(2026,8,26)</f>
        <v>46260</v>
      </c>
      <c r="E3" s="706"/>
      <c r="F3" s="3" t="s">
        <v>72</v>
      </c>
      <c r="G3" s="707">
        <f>'0826'!E1</f>
        <v>55532</v>
      </c>
      <c r="H3" s="707"/>
      <c r="I3" s="3" t="s">
        <v>2</v>
      </c>
      <c r="J3" s="708">
        <f>'0826'!G1</f>
        <v>2562375.6249999995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126.62524555509849</v>
      </c>
      <c r="G6" s="713"/>
      <c r="H6" s="714">
        <f>AVERAGE(D13:H13)</f>
        <v>125.0393903971845</v>
      </c>
      <c r="I6" s="714"/>
      <c r="J6" s="714">
        <f>AVERAGE(I13:J13)</f>
        <v>130.58988344988347</v>
      </c>
      <c r="K6" s="714"/>
      <c r="L6" s="716">
        <f>'0826'!Z2</f>
        <v>0</v>
      </c>
      <c r="M6" s="717">
        <f>'0826'!AA2</f>
        <v>0</v>
      </c>
      <c r="N6" s="718">
        <f>'0826'!AD2</f>
        <v>0</v>
      </c>
      <c r="O6" s="717">
        <f>'0826'!AE2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117.17963236618721</v>
      </c>
      <c r="G7" s="737"/>
      <c r="H7" s="738">
        <f>AVERAGE(D14:H14)</f>
        <v>116.36120306222529</v>
      </c>
      <c r="I7" s="738"/>
      <c r="J7" s="738">
        <f>AVERAGE(I14:J14)</f>
        <v>119.22570562609202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0.92562902016505866</v>
      </c>
      <c r="G8" s="710"/>
      <c r="H8" s="710">
        <f>AVERAGE(D15:H15)</f>
        <v>0.93061819946847568</v>
      </c>
      <c r="I8" s="710"/>
      <c r="J8" s="710">
        <f>AVERAGE(I15:J15)</f>
        <v>0.91315607190651593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VALUE('0826'!L15)</f>
        <v>151.08597285067873</v>
      </c>
      <c r="E13" s="13">
        <f>VALUE('0826'!L26)</f>
        <v>174.51923076923077</v>
      </c>
      <c r="F13" s="13">
        <f>VALUE('0826'!L37)</f>
        <v>95.914215686274517</v>
      </c>
      <c r="G13" s="13">
        <f>VALUE('0826'!L48)</f>
        <v>99.006944444444443</v>
      </c>
      <c r="H13" s="13">
        <f>VALUE('0826'!L58)</f>
        <v>104.67058823529412</v>
      </c>
      <c r="I13" s="13">
        <f>VALUE('0826'!L69)</f>
        <v>140.79515151515153</v>
      </c>
      <c r="J13" s="13">
        <f>'0826'!L79</f>
        <v>120.38461538461539</v>
      </c>
    </row>
    <row r="14" spans="2:15" ht="39.950000000000003" customHeight="1">
      <c r="B14" s="731"/>
      <c r="C14" s="12" t="s">
        <v>100</v>
      </c>
      <c r="D14" s="13">
        <f>VALUE('0826'!O15)</f>
        <v>141.72987720051449</v>
      </c>
      <c r="E14" s="13">
        <f>VALUE('0826'!O26)</f>
        <v>161.83573728006684</v>
      </c>
      <c r="F14" s="13">
        <f>VALUE('0826'!O37)</f>
        <v>89.12461942287932</v>
      </c>
      <c r="G14" s="13">
        <f>VALUE('0826'!O48)</f>
        <v>94.618118279569131</v>
      </c>
      <c r="H14" s="13">
        <f>VALUE('0826'!O58)</f>
        <v>94.497663128096676</v>
      </c>
      <c r="I14" s="13">
        <f>VALUE('0826'!O69)</f>
        <v>128.2473296195331</v>
      </c>
      <c r="J14" s="13">
        <f>'0826'!O79</f>
        <v>110.20408163265094</v>
      </c>
    </row>
    <row r="15" spans="2:15" ht="39.950000000000003" customHeight="1">
      <c r="B15" s="732"/>
      <c r="C15" s="10" t="s">
        <v>26</v>
      </c>
      <c r="D15" s="14">
        <f t="shared" ref="D15:I15" si="0">D14/D13</f>
        <v>0.93807435942838291</v>
      </c>
      <c r="E15" s="14">
        <f t="shared" si="0"/>
        <v>0.92732323289955654</v>
      </c>
      <c r="F15" s="14">
        <f t="shared" si="0"/>
        <v>0.92921178352119083</v>
      </c>
      <c r="G15" s="14">
        <f t="shared" si="0"/>
        <v>0.95567153203745214</v>
      </c>
      <c r="H15" s="14">
        <f t="shared" si="0"/>
        <v>0.90281008945579599</v>
      </c>
      <c r="I15" s="14">
        <f t="shared" si="0"/>
        <v>0.91087887785490895</v>
      </c>
      <c r="J15" s="15">
        <f>'0826'!S70</f>
        <v>0.9154332659581228</v>
      </c>
    </row>
    <row r="16" spans="2:15" ht="17.25" customHeight="1">
      <c r="B16" s="733" t="s">
        <v>101</v>
      </c>
      <c r="C16" s="10" t="s">
        <v>34</v>
      </c>
      <c r="D16" s="16">
        <f>'0826'!T5</f>
        <v>0.29861111111111099</v>
      </c>
      <c r="E16" s="16">
        <f>'0826'!T16</f>
        <v>0.29861111111111099</v>
      </c>
      <c r="F16" s="16">
        <f>'0826'!T27</f>
        <v>0.29166666666666702</v>
      </c>
      <c r="G16" s="16">
        <f>'0826'!T38</f>
        <v>0.33333333333333298</v>
      </c>
      <c r="H16" s="16">
        <f>'0826'!T49</f>
        <v>0.29166666666666702</v>
      </c>
      <c r="I16" s="16">
        <f>'0826'!T59</f>
        <v>0.29166666666666702</v>
      </c>
      <c r="J16" s="17">
        <f>'0826'!T70</f>
        <v>0.29861111111111099</v>
      </c>
    </row>
    <row r="17" spans="2:10" ht="17.25" customHeight="1">
      <c r="B17" s="734"/>
      <c r="C17" s="10" t="s">
        <v>35</v>
      </c>
      <c r="D17" s="16">
        <v>0.60069444444444398</v>
      </c>
      <c r="E17" s="183">
        <v>0.58680555555555602</v>
      </c>
      <c r="F17" s="19">
        <v>0.61458333333333304</v>
      </c>
      <c r="G17" s="328">
        <v>0.49652777777777801</v>
      </c>
      <c r="H17" s="21">
        <v>0.65277777777777801</v>
      </c>
      <c r="I17" s="22">
        <v>0.62847222222222199</v>
      </c>
      <c r="J17" s="110">
        <v>0.32291666666666702</v>
      </c>
    </row>
    <row r="18" spans="2:10" ht="17.25" customHeight="1">
      <c r="B18" s="735" t="s">
        <v>102</v>
      </c>
      <c r="C18" s="330" t="s">
        <v>36</v>
      </c>
      <c r="D18" s="386">
        <f>'0826'!Z15</f>
        <v>0</v>
      </c>
      <c r="E18" s="387">
        <f>'0826'!Z26</f>
        <v>0</v>
      </c>
      <c r="F18" s="387">
        <f>'0826'!Z37</f>
        <v>0</v>
      </c>
      <c r="G18" s="388">
        <f>'0826'!Z48</f>
        <v>0</v>
      </c>
      <c r="H18" s="388">
        <f>'0826'!Z58</f>
        <v>0</v>
      </c>
      <c r="I18" s="387">
        <f>'0826'!Z69</f>
        <v>0</v>
      </c>
      <c r="J18" s="387">
        <f>'0826'!AA79</f>
        <v>0</v>
      </c>
    </row>
    <row r="19" spans="2:10" ht="17.25" customHeight="1">
      <c r="B19" s="736"/>
      <c r="C19" s="330" t="s">
        <v>37</v>
      </c>
      <c r="D19" s="386">
        <f>'0826'!AA15</f>
        <v>0</v>
      </c>
      <c r="E19" s="387">
        <f>'0826'!AA26</f>
        <v>0</v>
      </c>
      <c r="F19" s="387">
        <f>'0826'!AA37</f>
        <v>0</v>
      </c>
      <c r="G19" s="388">
        <f>'0826'!AA48</f>
        <v>0</v>
      </c>
      <c r="H19" s="388">
        <f>'0826'!AA58</f>
        <v>0</v>
      </c>
      <c r="I19" s="387">
        <f>'0826'!AA69</f>
        <v>0</v>
      </c>
      <c r="J19" s="387">
        <f>'0826'!AB79</f>
        <v>0</v>
      </c>
    </row>
    <row r="20" spans="2:10" ht="17.25" customHeight="1">
      <c r="B20" s="735" t="s">
        <v>103</v>
      </c>
      <c r="C20" s="330" t="s">
        <v>36</v>
      </c>
      <c r="D20" s="386">
        <f>'0826'!AD15</f>
        <v>0</v>
      </c>
      <c r="E20" s="387">
        <f>'0826'!AD26</f>
        <v>0</v>
      </c>
      <c r="F20" s="387">
        <f>'0826'!AD37</f>
        <v>0</v>
      </c>
      <c r="G20" s="388">
        <f>'0826'!AD48</f>
        <v>0</v>
      </c>
      <c r="H20" s="388">
        <f>'0826'!AD58</f>
        <v>0</v>
      </c>
      <c r="I20" s="387">
        <f>'0826'!AD69</f>
        <v>0</v>
      </c>
      <c r="J20" s="387">
        <f>'0826'!AD79</f>
        <v>0</v>
      </c>
    </row>
    <row r="21" spans="2:10" ht="17.25" customHeight="1">
      <c r="B21" s="736"/>
      <c r="C21" s="330" t="s">
        <v>85</v>
      </c>
      <c r="D21" s="386">
        <f>'0826'!AE15</f>
        <v>0</v>
      </c>
      <c r="E21" s="387">
        <f>'0826'!AE26</f>
        <v>0</v>
      </c>
      <c r="F21" s="387">
        <f>'0826'!AE37</f>
        <v>0</v>
      </c>
      <c r="G21" s="388">
        <f>'0826'!AE48</f>
        <v>0</v>
      </c>
      <c r="H21" s="388">
        <f>'0826'!AE58</f>
        <v>0</v>
      </c>
      <c r="I21" s="387">
        <f>'0826'!AE69</f>
        <v>0</v>
      </c>
      <c r="J21" s="387">
        <f>'0826'!AE79</f>
        <v>0</v>
      </c>
    </row>
    <row r="22" spans="2:10" ht="17.25" customHeight="1">
      <c r="B22" s="719" t="s">
        <v>104</v>
      </c>
      <c r="C22" s="720"/>
      <c r="D22" s="23">
        <f>VALUE('0826'!M15)</f>
        <v>14.2</v>
      </c>
      <c r="E22" s="23">
        <f>VALUE('0826'!M26)</f>
        <v>12.75</v>
      </c>
      <c r="F22" s="23">
        <f>VALUE('0826'!M37)</f>
        <v>17</v>
      </c>
      <c r="G22" s="23">
        <f>VALUE('0826'!M48)</f>
        <v>17</v>
      </c>
      <c r="H22" s="23">
        <f>VALUE('0826'!M58)</f>
        <v>16.600000000000001</v>
      </c>
      <c r="I22" s="23">
        <f>VALUE('0826'!M69)</f>
        <v>11.8</v>
      </c>
      <c r="J22" s="23">
        <f>'0826'!M79</f>
        <v>7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5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2534E-B7F2-4F51-AE88-C38712C28283}">
  <sheetPr>
    <tabColor theme="9" tint="0.79998168889431442"/>
  </sheetPr>
  <dimension ref="A1:AJ92"/>
  <sheetViews>
    <sheetView zoomScale="69" zoomScaleNormal="69" workbookViewId="0">
      <pane xSplit="5" ySplit="4" topLeftCell="I59" activePane="bottomRight" state="frozen"/>
      <selection activeCell="G76" sqref="G76"/>
      <selection pane="topRight" activeCell="G76" sqref="G76"/>
      <selection pane="bottomLeft" activeCell="G76" sqref="G76"/>
      <selection pane="bottomRight" activeCell="U63" sqref="U63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55532</v>
      </c>
      <c r="F1" s="30" t="s">
        <v>2</v>
      </c>
      <c r="G1" s="31">
        <f>SUM(H5:H79)</f>
        <v>2562375.6249999995</v>
      </c>
      <c r="H1" s="32" t="s">
        <v>3</v>
      </c>
      <c r="I1" s="33">
        <f>M15+M26+M48+M58+M69+M79+M37</f>
        <v>96.350000000000009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200</v>
      </c>
      <c r="B2" s="739"/>
      <c r="C2" s="28"/>
      <c r="D2" s="28" t="s">
        <v>14</v>
      </c>
      <c r="E2" s="35">
        <f>AVERAGE(O15,O26,O37,O48,O58,O69,O79)</f>
        <v>117.17963236618721</v>
      </c>
      <c r="F2" s="36" t="s">
        <v>15</v>
      </c>
      <c r="G2" s="37">
        <f>G1/E1</f>
        <v>46.142325596052721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1381</v>
      </c>
      <c r="H5" s="43">
        <f>F5*G5</f>
        <v>78537.47</v>
      </c>
      <c r="I5" s="44"/>
      <c r="J5" s="45">
        <f>VLOOKUP(D5,產線配置圖!$A$3:$C$40,2,0)</f>
        <v>15</v>
      </c>
      <c r="K5" s="46">
        <f>VLOOKUP(D5,產線配置圖!$A$3:$C$40,3,0)</f>
        <v>2250</v>
      </c>
      <c r="L5" s="47">
        <f>K5/J5</f>
        <v>150</v>
      </c>
      <c r="M5" s="48">
        <v>14</v>
      </c>
      <c r="N5" s="46">
        <f>G5/W5*60</f>
        <v>1926.9767441860536</v>
      </c>
      <c r="O5" s="47">
        <f>N5/M5</f>
        <v>137.64119601328954</v>
      </c>
      <c r="P5" s="49">
        <f>M5-J5</f>
        <v>-1</v>
      </c>
      <c r="Q5" s="50">
        <f>O5-L5</f>
        <v>-12.358803986710456</v>
      </c>
      <c r="R5" s="51">
        <f>O5/L5</f>
        <v>0.91760797342193035</v>
      </c>
      <c r="S5" s="748">
        <f>R15</f>
        <v>0.93807435942838291</v>
      </c>
      <c r="T5" s="319">
        <v>0.29861111111111099</v>
      </c>
      <c r="U5" s="320">
        <v>0.328472222222222</v>
      </c>
      <c r="V5" s="53"/>
      <c r="W5" s="54">
        <f t="shared" ref="W5:W14" si="0">(U5-T5)*24*60</f>
        <v>42.999999999999844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-323.02325581394643</v>
      </c>
      <c r="AG5" s="52">
        <f t="shared" ref="AG5:AG11" si="2">N5/K5</f>
        <v>0.85643410852713486</v>
      </c>
      <c r="AH5" s="784">
        <f>AG15</f>
        <v>0.88969250316993276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1134</v>
      </c>
      <c r="H6" s="63">
        <f>F6*G6</f>
        <v>57459.78</v>
      </c>
      <c r="I6" s="64"/>
      <c r="J6" s="65">
        <f>VLOOKUP(D6,產線配置圖!$A$3:$C$40,2,0)</f>
        <v>17</v>
      </c>
      <c r="K6" s="66">
        <f>VLOOKUP(D6,產線配置圖!$A$3:$C$40,3,0)</f>
        <v>2250</v>
      </c>
      <c r="L6" s="67">
        <f>K6/J6</f>
        <v>132.35294117647058</v>
      </c>
      <c r="M6" s="68">
        <v>16</v>
      </c>
      <c r="N6" s="66">
        <f>G6/W6*60</f>
        <v>2001.1764705882424</v>
      </c>
      <c r="O6" s="67">
        <f>N6/M6</f>
        <v>125.07352941176515</v>
      </c>
      <c r="P6" s="69">
        <f>M6-J6</f>
        <v>-1</v>
      </c>
      <c r="Q6" s="70">
        <f>O6-L6</f>
        <v>-7.2794117647054293</v>
      </c>
      <c r="R6" s="71">
        <f>O6/L6</f>
        <v>0.94500000000000339</v>
      </c>
      <c r="S6" s="749"/>
      <c r="T6" s="16">
        <v>0.33472222222222198</v>
      </c>
      <c r="U6" s="16">
        <v>0.358333333333333</v>
      </c>
      <c r="V6" s="30">
        <f>(T6-U5)*24*60</f>
        <v>8.999999999999968</v>
      </c>
      <c r="W6" s="73">
        <f t="shared" si="0"/>
        <v>33.999999999999879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-248.82352941175759</v>
      </c>
      <c r="AG6" s="72">
        <f t="shared" si="2"/>
        <v>0.88941176470588557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1968</v>
      </c>
      <c r="H7" s="78">
        <f>F7*G7</f>
        <v>114478.56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2108.5714285714212</v>
      </c>
      <c r="O7" s="81">
        <f>N7/M7</f>
        <v>162.19780219780162</v>
      </c>
      <c r="P7" s="74">
        <f>M7-J7</f>
        <v>0</v>
      </c>
      <c r="Q7" s="83">
        <f>O7-L7</f>
        <v>-10.879120879121444</v>
      </c>
      <c r="R7" s="72">
        <f>O7/L7</f>
        <v>0.93714285714285384</v>
      </c>
      <c r="S7" s="749"/>
      <c r="T7" s="18">
        <v>0.36388888888888898</v>
      </c>
      <c r="U7" s="18">
        <v>0.40277777777777801</v>
      </c>
      <c r="V7" s="30">
        <f>(T7-U6)*24*60</f>
        <v>8.0000000000006111</v>
      </c>
      <c r="W7" s="73">
        <f t="shared" si="0"/>
        <v>56.000000000000199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-141.42857142857883</v>
      </c>
      <c r="AG7" s="72">
        <f t="shared" si="2"/>
        <v>0.93714285714285384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3305</v>
      </c>
      <c r="H8" s="63">
        <f>F8*G8</f>
        <v>162407.70000000001</v>
      </c>
      <c r="I8" s="64"/>
      <c r="J8" s="65">
        <f>VLOOKUP(D8,產線配置圖!$A$3:$C$40,2,0)</f>
        <v>15</v>
      </c>
      <c r="K8" s="66">
        <f>VLOOKUP(D8,產線配置圖!$A$3:$C$40,3,0)</f>
        <v>2250</v>
      </c>
      <c r="L8" s="67">
        <f>K8/J8</f>
        <v>150</v>
      </c>
      <c r="M8" s="82">
        <v>14</v>
      </c>
      <c r="N8" s="66">
        <f>G8/W8*60</f>
        <v>2003.0303030303021</v>
      </c>
      <c r="O8" s="67">
        <f>N8/M8</f>
        <v>143.073593073593</v>
      </c>
      <c r="P8" s="69">
        <f>M8-J8</f>
        <v>-1</v>
      </c>
      <c r="Q8" s="70">
        <f>O8-L8</f>
        <v>-6.9264069264069974</v>
      </c>
      <c r="R8" s="71">
        <f>O8/L8</f>
        <v>0.95382395382395335</v>
      </c>
      <c r="S8" s="749"/>
      <c r="T8" s="16">
        <v>0.40902777777777799</v>
      </c>
      <c r="U8" s="16">
        <v>0.47777777777777802</v>
      </c>
      <c r="V8" s="30">
        <f t="shared" ref="V8:V9" si="3">(T8-U7)*24*60</f>
        <v>8.999999999999968</v>
      </c>
      <c r="W8" s="73">
        <f t="shared" si="0"/>
        <v>99.000000000000043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-246.96969696969791</v>
      </c>
      <c r="AG8" s="72">
        <f t="shared" si="2"/>
        <v>0.89023569023568982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2757</v>
      </c>
      <c r="H9" s="78">
        <f>F9*G9</f>
        <v>135478.98000000001</v>
      </c>
      <c r="I9" s="73"/>
      <c r="J9" s="79">
        <f>VLOOKUP(D9,產線配置圖!$A$3:$C$40,2,0)</f>
        <v>15</v>
      </c>
      <c r="K9" s="80">
        <f>VLOOKUP(D9,產線配置圖!$A$3:$C$40,3,0)</f>
        <v>2250</v>
      </c>
      <c r="L9" s="81">
        <f>K9/J9</f>
        <v>150</v>
      </c>
      <c r="M9" s="82">
        <v>14</v>
      </c>
      <c r="N9" s="80">
        <f>G9/W9*60</f>
        <v>1969.2857142857249</v>
      </c>
      <c r="O9" s="81">
        <f>N9/M9</f>
        <v>140.66326530612321</v>
      </c>
      <c r="P9" s="74">
        <f>M9-J9</f>
        <v>-1</v>
      </c>
      <c r="Q9" s="83">
        <f>O9-L9</f>
        <v>-9.3367346938767923</v>
      </c>
      <c r="R9" s="72">
        <f>O9/L9</f>
        <v>0.93775510204082135</v>
      </c>
      <c r="S9" s="750"/>
      <c r="T9" s="16">
        <v>0.54236111111111096</v>
      </c>
      <c r="U9" s="16">
        <v>0.60069444444444398</v>
      </c>
      <c r="V9" s="30">
        <f t="shared" si="3"/>
        <v>92.999999999999432</v>
      </c>
      <c r="W9" s="73">
        <f t="shared" si="0"/>
        <v>83.999999999999545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-280.71428571427509</v>
      </c>
      <c r="AG9" s="72">
        <f t="shared" si="2"/>
        <v>0.87523809523809992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4">AVERAGE(J5:J14)</f>
        <v>15</v>
      </c>
      <c r="K15" s="120">
        <f t="shared" si="4"/>
        <v>2250</v>
      </c>
      <c r="L15" s="117">
        <f t="shared" si="4"/>
        <v>151.08597285067873</v>
      </c>
      <c r="M15" s="120">
        <f t="shared" si="4"/>
        <v>14.2</v>
      </c>
      <c r="N15" s="120">
        <f t="shared" si="4"/>
        <v>2001.8081321323486</v>
      </c>
      <c r="O15" s="117">
        <f t="shared" si="4"/>
        <v>141.72987720051449</v>
      </c>
      <c r="P15" s="121">
        <f>M15-J15</f>
        <v>-0.80000000000000071</v>
      </c>
      <c r="Q15" s="122">
        <f>O15-L15</f>
        <v>-9.3560956501642352</v>
      </c>
      <c r="R15" s="123">
        <f>O15/L15</f>
        <v>0.93807435942838291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-248.19186786765135</v>
      </c>
      <c r="AG15" s="124">
        <f>N15/K15</f>
        <v>0.88969250316993276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1661</v>
      </c>
      <c r="H16" s="134">
        <f>F16*G16</f>
        <v>94461.069999999992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1880.3773584905443</v>
      </c>
      <c r="O16" s="141">
        <f>N16/M16</f>
        <v>134.31266846361032</v>
      </c>
      <c r="P16" s="142">
        <f>M16-J16</f>
        <v>-1</v>
      </c>
      <c r="Q16" s="143">
        <f>O16-L16</f>
        <v>-15.687331536389678</v>
      </c>
      <c r="R16" s="144">
        <f>O16/L16</f>
        <v>0.89541778975740216</v>
      </c>
      <c r="S16" s="795">
        <f>R26</f>
        <v>0.92732323289955654</v>
      </c>
      <c r="T16" s="145">
        <v>0.29861111111111099</v>
      </c>
      <c r="U16" s="145">
        <v>0.33541666666666697</v>
      </c>
      <c r="V16" s="135"/>
      <c r="W16" s="146">
        <f t="shared" ref="W16:W78" si="5">(U16-T16)*24*60</f>
        <v>53.000000000000611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-369.62264150945566</v>
      </c>
      <c r="AG16" s="52">
        <f>N16/K16</f>
        <v>0.83572327044024197</v>
      </c>
      <c r="AH16" s="784">
        <f>AG26</f>
        <v>0.91159662137220099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3523</v>
      </c>
      <c r="H17" s="78">
        <f>F17*G17</f>
        <v>178510.41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2179.1752577319626</v>
      </c>
      <c r="O17" s="96">
        <f>N17/M17</f>
        <v>167.62886597938174</v>
      </c>
      <c r="P17" s="97">
        <f>M17-J17</f>
        <v>0</v>
      </c>
      <c r="Q17" s="98">
        <f>O17-L17</f>
        <v>-5.4480570975413229</v>
      </c>
      <c r="R17" s="99">
        <f>O17/L17</f>
        <v>0.96852233676976129</v>
      </c>
      <c r="S17" s="796"/>
      <c r="T17" s="19">
        <v>0.34166666666666701</v>
      </c>
      <c r="U17" s="19">
        <v>0.40902777777777799</v>
      </c>
      <c r="V17" s="30">
        <f>(T17-U16)*24*60</f>
        <v>9.000000000000048</v>
      </c>
      <c r="W17" s="149">
        <f t="shared" si="5"/>
        <v>96.999999999999815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-70.824742268037426</v>
      </c>
      <c r="AG17" s="72">
        <f>N17/K17</f>
        <v>0.96852233676976118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3056</v>
      </c>
      <c r="H18" s="78">
        <f>F18*G18</f>
        <v>153991.84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2107.5862068965416</v>
      </c>
      <c r="O18" s="96">
        <f>N18/M18</f>
        <v>175.63218390804514</v>
      </c>
      <c r="P18" s="97">
        <f>M18-J18</f>
        <v>0</v>
      </c>
      <c r="Q18" s="98">
        <f>O18-L18</f>
        <v>-11.867816091954865</v>
      </c>
      <c r="R18" s="99">
        <f>O18/L18</f>
        <v>0.93670498084290743</v>
      </c>
      <c r="S18" s="796"/>
      <c r="T18" s="19">
        <v>0.41597222222222202</v>
      </c>
      <c r="U18" s="19">
        <v>0.47638888888888897</v>
      </c>
      <c r="V18" s="30">
        <f>(T18-U17)*24*60</f>
        <v>9.9999999999994049</v>
      </c>
      <c r="W18" s="149">
        <f t="shared" si="5"/>
        <v>87.000000000000412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-142.41379310345837</v>
      </c>
      <c r="AG18" s="72">
        <f>N18/K18</f>
        <v>0.93670498084290743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2207</v>
      </c>
      <c r="H19" s="78">
        <f>F19*G19</f>
        <v>111210.73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2037.2307692307613</v>
      </c>
      <c r="O19" s="96">
        <f>N19/M19</f>
        <v>169.76923076923012</v>
      </c>
      <c r="P19" s="97">
        <f>M19-J19</f>
        <v>0</v>
      </c>
      <c r="Q19" s="98">
        <f>O19-L19</f>
        <v>-17.73076923076988</v>
      </c>
      <c r="R19" s="99">
        <f>O19/L19</f>
        <v>0.90543589743589392</v>
      </c>
      <c r="S19" s="796"/>
      <c r="T19" s="19">
        <v>0.54166666666666696</v>
      </c>
      <c r="U19" s="19">
        <v>0.58680555555555602</v>
      </c>
      <c r="V19" s="30">
        <f>(T19-U18)*24*60</f>
        <v>94.000000000000313</v>
      </c>
      <c r="W19" s="149">
        <f t="shared" si="5"/>
        <v>65.000000000000256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-212.76923076923867</v>
      </c>
      <c r="AG19" s="72">
        <f>N19/K19</f>
        <v>0.90543589743589392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5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5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5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5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5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6">AVERAGE(J16:J25)</f>
        <v>13</v>
      </c>
      <c r="K26" s="155">
        <f t="shared" si="6"/>
        <v>2250</v>
      </c>
      <c r="L26" s="158">
        <f t="shared" si="6"/>
        <v>174.51923076923077</v>
      </c>
      <c r="M26" s="155">
        <f t="shared" si="6"/>
        <v>12.75</v>
      </c>
      <c r="N26" s="155">
        <f t="shared" si="6"/>
        <v>2051.0923980874522</v>
      </c>
      <c r="O26" s="158">
        <f t="shared" si="6"/>
        <v>161.83573728006684</v>
      </c>
      <c r="P26" s="159">
        <f>M26-J26</f>
        <v>-0.25</v>
      </c>
      <c r="Q26" s="160">
        <f>O26-L26</f>
        <v>-12.683493489163936</v>
      </c>
      <c r="R26" s="161">
        <f>O26/L26</f>
        <v>0.92732323289955654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7">N26-K26</f>
        <v>-198.90760191254776</v>
      </c>
      <c r="AG26" s="124">
        <f t="shared" ref="AG26:AG31" si="8">N26/K26</f>
        <v>0.91159662137220099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122</v>
      </c>
      <c r="E27" s="132"/>
      <c r="F27" s="129">
        <f>VLOOKUP(D27,廠價表!$C$1:$E$43,3,0)</f>
        <v>46.34</v>
      </c>
      <c r="G27" s="169">
        <v>1172</v>
      </c>
      <c r="H27" s="134">
        <f>F27*G27</f>
        <v>54310.48</v>
      </c>
      <c r="I27" s="135"/>
      <c r="J27" s="136">
        <f>VLOOKUP(D27,產線配置圖!$A$3:$C$40,2,0)</f>
        <v>16</v>
      </c>
      <c r="K27" s="137">
        <f>VLOOKUP(D27,產線配置圖!$A$3:$C$40,3,0)</f>
        <v>1636</v>
      </c>
      <c r="L27" s="138">
        <f>K27/J27</f>
        <v>102.25</v>
      </c>
      <c r="M27" s="170">
        <v>16</v>
      </c>
      <c r="N27" s="140">
        <f>G27/W27*60</f>
        <v>1562.6666666666667</v>
      </c>
      <c r="O27" s="141">
        <f>N27/M27</f>
        <v>97.666666666666671</v>
      </c>
      <c r="P27" s="142">
        <f>M27-J27</f>
        <v>0</v>
      </c>
      <c r="Q27" s="143">
        <f>O27-L27</f>
        <v>-4.5833333333333286</v>
      </c>
      <c r="R27" s="144">
        <f>O27/L27</f>
        <v>0.95517522412387945</v>
      </c>
      <c r="S27" s="795">
        <f>R37</f>
        <v>0.92921178352119083</v>
      </c>
      <c r="T27" s="171">
        <v>0.29166666666666702</v>
      </c>
      <c r="U27" s="171">
        <v>0.32291666666666702</v>
      </c>
      <c r="V27" s="135"/>
      <c r="W27" s="146">
        <f t="shared" si="5"/>
        <v>45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7"/>
        <v>-73.333333333333258</v>
      </c>
      <c r="AG27" s="172">
        <f t="shared" si="8"/>
        <v>0.95517522412387945</v>
      </c>
      <c r="AH27" s="784">
        <f>AG37</f>
        <v>0.92908159472640561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1027</v>
      </c>
      <c r="H28" s="91">
        <f>F28*G28</f>
        <v>58754.67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1502.9268292683039</v>
      </c>
      <c r="O28" s="96">
        <f>N28/M28</f>
        <v>83.495934959350222</v>
      </c>
      <c r="P28" s="97">
        <f>M28-J28</f>
        <v>0</v>
      </c>
      <c r="Q28" s="98">
        <f>O28-L28</f>
        <v>-7.3929539295386633</v>
      </c>
      <c r="R28" s="99">
        <f>O28/L28</f>
        <v>0.91865943109309534</v>
      </c>
      <c r="S28" s="796"/>
      <c r="T28" s="19">
        <v>0.32986111111111099</v>
      </c>
      <c r="U28" s="19">
        <v>0.358333333333333</v>
      </c>
      <c r="V28" s="92">
        <f>(T28-U27)*24*60</f>
        <v>9.999999999999325</v>
      </c>
      <c r="W28" s="149">
        <f t="shared" si="5"/>
        <v>40.999999999999694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7"/>
        <v>-133.07317073169611</v>
      </c>
      <c r="AG28" s="99">
        <f t="shared" si="8"/>
        <v>0.91865943109309534</v>
      </c>
      <c r="AH28" s="805"/>
    </row>
    <row r="29" spans="1:34" ht="15" customHeight="1">
      <c r="A29" s="793"/>
      <c r="B29" s="75" t="s">
        <v>81</v>
      </c>
      <c r="C29" s="173"/>
      <c r="D29" s="59" t="s">
        <v>123</v>
      </c>
      <c r="E29" s="104"/>
      <c r="F29" s="75">
        <f>VLOOKUP(D29,廠價表!$C$1:$E$43,3,0)</f>
        <v>49.91</v>
      </c>
      <c r="G29" s="90">
        <v>1174</v>
      </c>
      <c r="H29" s="91">
        <f>F29*G29</f>
        <v>58594.34</v>
      </c>
      <c r="I29" s="92"/>
      <c r="J29" s="79">
        <f>VLOOKUP(D29,產線配置圖!$A$3:$C$40,2,0)</f>
        <v>18</v>
      </c>
      <c r="K29" s="80">
        <v>1636</v>
      </c>
      <c r="L29" s="93">
        <f>K29/J29</f>
        <v>90.888888888888886</v>
      </c>
      <c r="M29" s="94">
        <v>18</v>
      </c>
      <c r="N29" s="95">
        <f>G29/W29*60</f>
        <v>1531.3043478261081</v>
      </c>
      <c r="O29" s="96">
        <f>N29/M29</f>
        <v>85.072463768117117</v>
      </c>
      <c r="P29" s="97">
        <f>M29-J29</f>
        <v>0</v>
      </c>
      <c r="Q29" s="98">
        <f>O29-L29</f>
        <v>-5.8164251207717683</v>
      </c>
      <c r="R29" s="99">
        <f>O29/L29</f>
        <v>0.93600510258319569</v>
      </c>
      <c r="S29" s="796"/>
      <c r="T29" s="19">
        <v>0.36388888888888898</v>
      </c>
      <c r="U29" s="19">
        <v>0.39583333333333298</v>
      </c>
      <c r="V29" s="92">
        <f>(T29-U28)*24*60</f>
        <v>8.0000000000006111</v>
      </c>
      <c r="W29" s="149">
        <f t="shared" si="5"/>
        <v>45.999999999999361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7"/>
        <v>-104.69565217389186</v>
      </c>
      <c r="AG29" s="99">
        <f t="shared" si="8"/>
        <v>0.93600510258319569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1530</v>
      </c>
      <c r="H30" s="91">
        <f t="shared" ref="H30:H32" si="9">F30*G30</f>
        <v>69859.799999999988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2" si="10">K30/J30</f>
        <v>96.235294117647058</v>
      </c>
      <c r="M30" s="94">
        <v>17</v>
      </c>
      <c r="N30" s="95">
        <f t="shared" ref="N30:N32" si="11">G30/W30*60</f>
        <v>1555.9322033898025</v>
      </c>
      <c r="O30" s="96">
        <f t="shared" ref="O30:O32" si="12">N30/M30</f>
        <v>91.525423728811916</v>
      </c>
      <c r="P30" s="97">
        <f t="shared" ref="P30:P32" si="13">M30-J30</f>
        <v>0</v>
      </c>
      <c r="Q30" s="98">
        <f t="shared" ref="Q30:Q32" si="14">O30-L30</f>
        <v>-4.7098703888351423</v>
      </c>
      <c r="R30" s="99">
        <f t="shared" ref="R30:R32" si="15">O30/L30</f>
        <v>0.9510588040279967</v>
      </c>
      <c r="S30" s="796"/>
      <c r="T30" s="19">
        <v>0.40208333333333302</v>
      </c>
      <c r="U30" s="19">
        <v>0.44305555555555598</v>
      </c>
      <c r="V30" s="92">
        <f>(T30-U29)*24*60</f>
        <v>9.000000000000048</v>
      </c>
      <c r="W30" s="149">
        <f t="shared" si="5"/>
        <v>59.000000000001066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7"/>
        <v>-80.067796610197547</v>
      </c>
      <c r="AG30" s="99">
        <f t="shared" si="8"/>
        <v>0.95105880402799658</v>
      </c>
      <c r="AH30" s="806"/>
    </row>
    <row r="31" spans="1:34" ht="15" customHeight="1">
      <c r="A31" s="793"/>
      <c r="B31" s="75" t="s">
        <v>81</v>
      </c>
      <c r="C31" s="88"/>
      <c r="D31" s="59" t="s">
        <v>142</v>
      </c>
      <c r="E31" s="89"/>
      <c r="F31" s="75">
        <f>VLOOKUP(D31,廠價表!$C$1:$E$43,3,0)</f>
        <v>43.89</v>
      </c>
      <c r="G31" s="90">
        <v>949</v>
      </c>
      <c r="H31" s="91">
        <f t="shared" si="9"/>
        <v>41651.61</v>
      </c>
      <c r="I31" s="92"/>
      <c r="J31" s="79">
        <v>15</v>
      </c>
      <c r="K31" s="80">
        <f>VLOOKUP(D31,產線配置圖!$A$3:$C$40,3,0)</f>
        <v>1565</v>
      </c>
      <c r="L31" s="93">
        <f t="shared" si="10"/>
        <v>104.33333333333333</v>
      </c>
      <c r="M31" s="94">
        <v>15</v>
      </c>
      <c r="N31" s="95">
        <f t="shared" si="11"/>
        <v>1423.4999999999879</v>
      </c>
      <c r="O31" s="96">
        <f t="shared" si="12"/>
        <v>94.899999999999196</v>
      </c>
      <c r="P31" s="97">
        <f t="shared" si="13"/>
        <v>0</v>
      </c>
      <c r="Q31" s="98">
        <f t="shared" si="14"/>
        <v>-9.4333333333341329</v>
      </c>
      <c r="R31" s="99">
        <f t="shared" si="15"/>
        <v>0.90958466453673359</v>
      </c>
      <c r="S31" s="796"/>
      <c r="T31" s="19">
        <v>0.45</v>
      </c>
      <c r="U31" s="19">
        <v>0.47777777777777802</v>
      </c>
      <c r="V31" s="92">
        <f t="shared" ref="V31:V32" si="16">(T31-U30)*24*60</f>
        <v>9.9999999999994049</v>
      </c>
      <c r="W31" s="149">
        <f t="shared" si="5"/>
        <v>40.000000000000341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7"/>
        <v>-141.50000000001205</v>
      </c>
      <c r="AG31" s="99">
        <f t="shared" si="8"/>
        <v>0.90958466453673348</v>
      </c>
      <c r="AH31" s="786"/>
    </row>
    <row r="32" spans="1:34" ht="15" customHeight="1">
      <c r="A32" s="793"/>
      <c r="B32" s="75" t="s">
        <v>116</v>
      </c>
      <c r="C32" s="102"/>
      <c r="D32" s="175" t="s">
        <v>117</v>
      </c>
      <c r="E32" s="176"/>
      <c r="F32" s="75">
        <f>VLOOKUP(D32,廠價表!$C$1:$E$43,3,0)</f>
        <v>44.3</v>
      </c>
      <c r="G32" s="90">
        <v>2635</v>
      </c>
      <c r="H32" s="91">
        <f t="shared" si="9"/>
        <v>116730.49999999999</v>
      </c>
      <c r="I32" s="92"/>
      <c r="J32" s="79">
        <f>VLOOKUP(D32,產線配置圖!$A$3:$C$40,2,0)</f>
        <v>18</v>
      </c>
      <c r="K32" s="80">
        <f>VLOOKUP(D32,產線配置圖!$A$3:$C$40,3,0)</f>
        <v>1636</v>
      </c>
      <c r="L32" s="93">
        <f t="shared" si="10"/>
        <v>90.888888888888886</v>
      </c>
      <c r="M32" s="94">
        <v>18</v>
      </c>
      <c r="N32" s="95">
        <f t="shared" si="11"/>
        <v>1477.5700934579534</v>
      </c>
      <c r="O32" s="96">
        <f t="shared" si="12"/>
        <v>82.087227414330741</v>
      </c>
      <c r="P32" s="97">
        <f t="shared" si="13"/>
        <v>0</v>
      </c>
      <c r="Q32" s="98">
        <f t="shared" si="14"/>
        <v>-8.801661474558145</v>
      </c>
      <c r="R32" s="99">
        <f t="shared" si="15"/>
        <v>0.90316020382515483</v>
      </c>
      <c r="S32" s="796"/>
      <c r="T32" s="19">
        <v>0.54027777777777797</v>
      </c>
      <c r="U32" s="19">
        <v>0.61458333333333304</v>
      </c>
      <c r="V32" s="92">
        <f t="shared" si="16"/>
        <v>89.999999999999915</v>
      </c>
      <c r="W32" s="149">
        <f t="shared" si="5"/>
        <v>106.9999999999993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5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5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5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5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7">AVERAGE(J27:J36)</f>
        <v>17</v>
      </c>
      <c r="K37" s="155">
        <f t="shared" si="17"/>
        <v>1624.1666666666667</v>
      </c>
      <c r="L37" s="158">
        <f t="shared" si="17"/>
        <v>95.914215686274517</v>
      </c>
      <c r="M37" s="155">
        <f t="shared" si="17"/>
        <v>17</v>
      </c>
      <c r="N37" s="155">
        <f t="shared" si="17"/>
        <v>1508.9833567681371</v>
      </c>
      <c r="O37" s="158">
        <f t="shared" si="17"/>
        <v>89.12461942287932</v>
      </c>
      <c r="P37" s="159">
        <f>M37-J37</f>
        <v>0</v>
      </c>
      <c r="Q37" s="160">
        <f>N37-K37</f>
        <v>-115.18330989852961</v>
      </c>
      <c r="R37" s="161">
        <f>O37/L37</f>
        <v>0.92921178352119083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-115.18330989852961</v>
      </c>
      <c r="AG37" s="124">
        <f>N37/K37</f>
        <v>0.92908159472640561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2551</v>
      </c>
      <c r="H38" s="134">
        <f>F38*G38</f>
        <v>127320.40999999999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1645.8064516128863</v>
      </c>
      <c r="O38" s="141">
        <f>N38/M38</f>
        <v>102.8629032258054</v>
      </c>
      <c r="P38" s="142">
        <f>M38-J38</f>
        <v>0</v>
      </c>
      <c r="Q38" s="143">
        <f>O38-L38</f>
        <v>-4.2620967741946032</v>
      </c>
      <c r="R38" s="144">
        <f>O38/L38</f>
        <v>0.96021379907402937</v>
      </c>
      <c r="S38" s="817">
        <f>R48</f>
        <v>0.95567153203745214</v>
      </c>
      <c r="T38" s="191">
        <v>0.33333333333333298</v>
      </c>
      <c r="U38" s="191">
        <v>0.39791666666666697</v>
      </c>
      <c r="V38" s="192"/>
      <c r="W38" s="193">
        <f t="shared" si="5"/>
        <v>93.000000000000952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-68.193548387113651</v>
      </c>
      <c r="AG38" s="195">
        <f>N38/K38</f>
        <v>0.96021379907402937</v>
      </c>
      <c r="AH38" s="807">
        <f>AG48</f>
        <v>0.95538103033220234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3239</v>
      </c>
      <c r="H39" s="91">
        <f>F39*G39</f>
        <v>143487.69999999998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1554.7199999999914</v>
      </c>
      <c r="O39" s="203">
        <f>N39/M39</f>
        <v>86.373333333332852</v>
      </c>
      <c r="P39" s="97">
        <f>M39-J39</f>
        <v>0</v>
      </c>
      <c r="Q39" s="98">
        <f>O39-L39</f>
        <v>-4.5155555555560341</v>
      </c>
      <c r="R39" s="99">
        <f>O39/L39</f>
        <v>0.95031784841075273</v>
      </c>
      <c r="S39" s="818"/>
      <c r="T39" s="20">
        <v>0.40972222222222199</v>
      </c>
      <c r="U39" s="20">
        <v>0.49652777777777801</v>
      </c>
      <c r="V39" s="92">
        <f>(T39-U38)*24*60</f>
        <v>16.999999999999218</v>
      </c>
      <c r="W39" s="205">
        <f t="shared" si="5"/>
        <v>125.00000000000068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-81.280000000008613</v>
      </c>
      <c r="AG39" s="206">
        <f>N39/K39</f>
        <v>0.95031784841075273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5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5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5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8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8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8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8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8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9">AVERAGE(J38:J47)</f>
        <v>17</v>
      </c>
      <c r="K48" s="155">
        <f t="shared" si="19"/>
        <v>1675</v>
      </c>
      <c r="L48" s="158">
        <f t="shared" si="19"/>
        <v>99.006944444444443</v>
      </c>
      <c r="M48" s="155">
        <f t="shared" si="19"/>
        <v>17</v>
      </c>
      <c r="N48" s="155">
        <f t="shared" si="19"/>
        <v>1600.2632258064389</v>
      </c>
      <c r="O48" s="158">
        <f t="shared" si="19"/>
        <v>94.618118279569131</v>
      </c>
      <c r="P48" s="221">
        <f>M48-J48</f>
        <v>0</v>
      </c>
      <c r="Q48" s="222">
        <f>N48-K48</f>
        <v>-74.736774193561132</v>
      </c>
      <c r="R48" s="223">
        <f>O48/L48</f>
        <v>0.95567153203745214</v>
      </c>
      <c r="S48" s="752"/>
      <c r="T48" s="224"/>
      <c r="U48" s="224"/>
      <c r="V48" s="225"/>
      <c r="W48" s="226">
        <f t="shared" si="18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0">N48-K48</f>
        <v>-74.736774193561132</v>
      </c>
      <c r="AG48" s="162">
        <f t="shared" ref="AG48:AG53" si="21">N48/K48</f>
        <v>0.95538103033220234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2296</v>
      </c>
      <c r="H49" s="134">
        <f>F49*G49</f>
        <v>113697.92000000001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1743.7974683544348</v>
      </c>
      <c r="O49" s="141">
        <f>N49/M49</f>
        <v>102.57632166790793</v>
      </c>
      <c r="P49" s="229">
        <f>M49-J49</f>
        <v>0</v>
      </c>
      <c r="Q49" s="230">
        <f>O49-L49</f>
        <v>-3.3060312732685304</v>
      </c>
      <c r="R49" s="52">
        <f>O49/L49</f>
        <v>0.96877637130801941</v>
      </c>
      <c r="S49" s="748">
        <f>R58</f>
        <v>0.90281008945579599</v>
      </c>
      <c r="T49" s="191">
        <v>0.29166666666666702</v>
      </c>
      <c r="U49" s="191">
        <v>0.34652777777777799</v>
      </c>
      <c r="V49" s="55"/>
      <c r="W49" s="193">
        <f t="shared" si="5"/>
        <v>78.999999999999801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0"/>
        <v>-56.202531645565159</v>
      </c>
      <c r="AG49" s="52">
        <f t="shared" si="21"/>
        <v>0.9687763713080193</v>
      </c>
      <c r="AH49" s="784">
        <f>AG58</f>
        <v>0.90349971781724148</v>
      </c>
    </row>
    <row r="50" spans="1:34" ht="15" customHeight="1">
      <c r="A50" s="812"/>
      <c r="B50" s="75" t="s">
        <v>81</v>
      </c>
      <c r="C50" s="76"/>
      <c r="D50" s="59" t="s">
        <v>129</v>
      </c>
      <c r="E50" s="77"/>
      <c r="F50" s="75">
        <f>VLOOKUP(D50,廠價表!$C$1:$E$43,3,0)</f>
        <v>49.97</v>
      </c>
      <c r="G50" s="202">
        <v>3603</v>
      </c>
      <c r="H50" s="231">
        <f>F50*G50</f>
        <v>180041.91</v>
      </c>
      <c r="I50" s="232"/>
      <c r="J50" s="79">
        <f>VLOOKUP(D50,產線配置圖!$A$3:$C$40,2,0)</f>
        <v>16</v>
      </c>
      <c r="K50" s="80">
        <f>VLOOKUP(D50,產線配置圖!$A$3:$C$40,3,0)</f>
        <v>1800</v>
      </c>
      <c r="L50" s="81">
        <f>K50/J50</f>
        <v>112.5</v>
      </c>
      <c r="M50" s="233">
        <v>16</v>
      </c>
      <c r="N50" s="234">
        <f>G50/W50*60</f>
        <v>1650.2290076335919</v>
      </c>
      <c r="O50" s="235">
        <f>N50/M50</f>
        <v>103.13931297709949</v>
      </c>
      <c r="P50" s="74">
        <f>M50-J50</f>
        <v>0</v>
      </c>
      <c r="Q50" s="83">
        <f>O50-L50</f>
        <v>-9.3606870229005068</v>
      </c>
      <c r="R50" s="72">
        <f>O50/L50</f>
        <v>0.91679389312977322</v>
      </c>
      <c r="S50" s="749"/>
      <c r="T50" s="21">
        <v>0.359722222222222</v>
      </c>
      <c r="U50" s="21">
        <v>0.45069444444444401</v>
      </c>
      <c r="V50" s="30">
        <f>(T50-U49)*24*60</f>
        <v>18.999999999999375</v>
      </c>
      <c r="W50" s="236">
        <f t="shared" si="5"/>
        <v>130.99999999999969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0"/>
        <v>-149.77099236640811</v>
      </c>
      <c r="AG50" s="72">
        <f t="shared" si="21"/>
        <v>0.91679389312977322</v>
      </c>
      <c r="AH50" s="785"/>
    </row>
    <row r="51" spans="1:34" ht="15" customHeight="1">
      <c r="A51" s="812"/>
      <c r="B51" s="75" t="s">
        <v>81</v>
      </c>
      <c r="C51" s="76"/>
      <c r="D51" s="59" t="s">
        <v>128</v>
      </c>
      <c r="E51" s="77"/>
      <c r="F51" s="75">
        <f>VLOOKUP(D51,廠價表!$C$1:$E$43,3,0)</f>
        <v>50.289000000000001</v>
      </c>
      <c r="G51" s="202">
        <v>895</v>
      </c>
      <c r="H51" s="231">
        <f>F51*G51</f>
        <v>45008.654999999999</v>
      </c>
      <c r="I51" s="232"/>
      <c r="J51" s="79">
        <f>VLOOKUP(D51,產線配置圖!$A$3:$C$40,2,0)</f>
        <v>17</v>
      </c>
      <c r="K51" s="80">
        <f>VLOOKUP(D51,產線配置圖!$A$3:$C$40,3,0)</f>
        <v>1636</v>
      </c>
      <c r="L51" s="81">
        <f>K51/J51</f>
        <v>96.235294117647058</v>
      </c>
      <c r="M51" s="233">
        <v>17</v>
      </c>
      <c r="N51" s="234">
        <f>G51/W51*60</f>
        <v>1376.9230769230928</v>
      </c>
      <c r="O51" s="235">
        <f>N51/M51</f>
        <v>80.995475113123106</v>
      </c>
      <c r="P51" s="74">
        <f>M51-J51</f>
        <v>0</v>
      </c>
      <c r="Q51" s="83">
        <f>O51-L51</f>
        <v>-15.239819004523952</v>
      </c>
      <c r="R51" s="72">
        <f>O51/L51</f>
        <v>0.84164002256912762</v>
      </c>
      <c r="S51" s="749"/>
      <c r="T51" s="21">
        <v>0.45555555555555599</v>
      </c>
      <c r="U51" s="19">
        <v>0.48263888888888901</v>
      </c>
      <c r="V51" s="30">
        <f>(T51-U50)*24*60</f>
        <v>7.0000000000012541</v>
      </c>
      <c r="W51" s="236">
        <f t="shared" si="5"/>
        <v>38.999999999999545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0"/>
        <v>-259.07692307690718</v>
      </c>
      <c r="AG51" s="72">
        <f t="shared" si="21"/>
        <v>0.84164002256912762</v>
      </c>
      <c r="AH51" s="785"/>
    </row>
    <row r="52" spans="1:34" ht="15" customHeight="1">
      <c r="A52" s="812"/>
      <c r="B52" s="75" t="s">
        <v>81</v>
      </c>
      <c r="C52" s="86"/>
      <c r="D52" s="59" t="s">
        <v>128</v>
      </c>
      <c r="E52" s="87"/>
      <c r="F52" s="75">
        <f>VLOOKUP(D52,廠價表!$C$1:$E$43,3,0)</f>
        <v>50.289000000000001</v>
      </c>
      <c r="G52" s="202">
        <v>1300</v>
      </c>
      <c r="H52" s="231">
        <f t="shared" ref="H52:H53" si="22">F52*G52</f>
        <v>65375.700000000004</v>
      </c>
      <c r="I52" s="232"/>
      <c r="J52" s="79">
        <f>VLOOKUP(D52,產線配置圖!$A$3:$C$40,2,0)</f>
        <v>17</v>
      </c>
      <c r="K52" s="80">
        <f>VLOOKUP(D52,產線配置圖!$A$3:$C$40,3,0)</f>
        <v>1636</v>
      </c>
      <c r="L52" s="81">
        <f t="shared" ref="L52:L53" si="23">K52/J52</f>
        <v>96.235294117647058</v>
      </c>
      <c r="M52" s="233">
        <v>17</v>
      </c>
      <c r="N52" s="234">
        <f t="shared" ref="N52:N53" si="24">G52/W52*60</f>
        <v>1560.0000000000107</v>
      </c>
      <c r="O52" s="235">
        <f t="shared" ref="O52:O53" si="25">N52/M52</f>
        <v>91.764705882353567</v>
      </c>
      <c r="P52" s="74">
        <f t="shared" ref="P52:P53" si="26">M52-J52</f>
        <v>0</v>
      </c>
      <c r="Q52" s="83">
        <f t="shared" ref="Q52:Q53" si="27">O52-L52</f>
        <v>-4.4705882352934907</v>
      </c>
      <c r="R52" s="72">
        <f t="shared" ref="R52:R53" si="28">O52/L52</f>
        <v>0.95354523227384513</v>
      </c>
      <c r="S52" s="749"/>
      <c r="T52" s="21">
        <v>0.54305555555555596</v>
      </c>
      <c r="U52" s="21">
        <v>0.57777777777777795</v>
      </c>
      <c r="V52" s="30">
        <f>(T52-U51)*24*60</f>
        <v>87.000000000000412</v>
      </c>
      <c r="W52" s="236">
        <f t="shared" si="5"/>
        <v>49.999999999999659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0"/>
        <v>-75.999999999989313</v>
      </c>
      <c r="AG52" s="72">
        <f t="shared" si="21"/>
        <v>0.95354523227384513</v>
      </c>
      <c r="AH52" s="785"/>
    </row>
    <row r="53" spans="1:34" ht="15" customHeight="1">
      <c r="A53" s="812"/>
      <c r="B53" s="101" t="s">
        <v>81</v>
      </c>
      <c r="C53" s="102"/>
      <c r="D53" s="103" t="s">
        <v>129</v>
      </c>
      <c r="E53" s="104"/>
      <c r="F53" s="75">
        <f>VLOOKUP(D53,廠價表!$C$1:$E$43,3,0)</f>
        <v>49.97</v>
      </c>
      <c r="G53" s="202">
        <v>2507</v>
      </c>
      <c r="H53" s="231">
        <f t="shared" si="22"/>
        <v>125274.79</v>
      </c>
      <c r="I53" s="232"/>
      <c r="J53" s="79">
        <f>VLOOKUP(D53,產線配置圖!$A$3:$C$40,2,0)</f>
        <v>16</v>
      </c>
      <c r="K53" s="80">
        <f>VLOOKUP(D53,產線配置圖!$A$3:$C$40,3,0)</f>
        <v>1800</v>
      </c>
      <c r="L53" s="81">
        <f t="shared" si="23"/>
        <v>112.5</v>
      </c>
      <c r="M53" s="108">
        <v>16</v>
      </c>
      <c r="N53" s="234">
        <f t="shared" si="24"/>
        <v>1504.1999999999884</v>
      </c>
      <c r="O53" s="235">
        <f t="shared" si="25"/>
        <v>94.012499999999278</v>
      </c>
      <c r="P53" s="74">
        <f t="shared" si="26"/>
        <v>0</v>
      </c>
      <c r="Q53" s="83">
        <f t="shared" si="27"/>
        <v>-18.487500000000722</v>
      </c>
      <c r="R53" s="72">
        <f t="shared" si="28"/>
        <v>0.83566666666666023</v>
      </c>
      <c r="S53" s="749"/>
      <c r="T53" s="21">
        <v>0.58333333333333304</v>
      </c>
      <c r="U53" s="21">
        <v>0.65277777777777801</v>
      </c>
      <c r="V53" s="30">
        <f>(T53-U52)*24*60</f>
        <v>7.9999999999993321</v>
      </c>
      <c r="W53" s="236">
        <f t="shared" si="5"/>
        <v>100.00000000000077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0"/>
        <v>-295.80000000001155</v>
      </c>
      <c r="AG53" s="72">
        <f t="shared" si="21"/>
        <v>0.83566666666666023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5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5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5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5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9">AVERAGE(J49:J57)</f>
        <v>16.600000000000001</v>
      </c>
      <c r="K58" s="120">
        <f t="shared" si="29"/>
        <v>1734.4</v>
      </c>
      <c r="L58" s="117">
        <f t="shared" si="29"/>
        <v>104.67058823529412</v>
      </c>
      <c r="M58" s="120">
        <f t="shared" si="29"/>
        <v>16.600000000000001</v>
      </c>
      <c r="N58" s="120">
        <f t="shared" si="29"/>
        <v>1567.0299105822237</v>
      </c>
      <c r="O58" s="117">
        <f t="shared" si="29"/>
        <v>94.497663128096676</v>
      </c>
      <c r="P58" s="121">
        <f>M58-J58</f>
        <v>0</v>
      </c>
      <c r="Q58" s="122">
        <f>N58-K58</f>
        <v>-167.3700894177764</v>
      </c>
      <c r="R58" s="123">
        <f>O58/L58</f>
        <v>0.90281008945579599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-167.3700894177764</v>
      </c>
      <c r="AG58" s="124">
        <f>N58/K58</f>
        <v>0.90349971781724148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3426</v>
      </c>
      <c r="H59" s="243">
        <f>F59*G59</f>
        <v>92467.739999999991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1581.2307692307836</v>
      </c>
      <c r="O59" s="138">
        <f>N59/M59</f>
        <v>105.41538461538558</v>
      </c>
      <c r="P59" s="56">
        <f>M59-J59</f>
        <v>0</v>
      </c>
      <c r="Q59" s="230">
        <f>O59-L59</f>
        <v>-3.6512820512810862</v>
      </c>
      <c r="R59" s="52">
        <f>O59/L59</f>
        <v>0.96652247507994116</v>
      </c>
      <c r="S59" s="748">
        <f>R69</f>
        <v>0.91087887785490895</v>
      </c>
      <c r="T59" s="245">
        <v>0.29166666666666702</v>
      </c>
      <c r="U59" s="245">
        <v>0.38194444444444398</v>
      </c>
      <c r="V59" s="55"/>
      <c r="W59" s="54">
        <f t="shared" si="5"/>
        <v>129.99999999999881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-54.769230769216392</v>
      </c>
      <c r="AG59" s="246">
        <f>N59/K59</f>
        <v>0.96652247507994105</v>
      </c>
      <c r="AH59" s="784">
        <f>AG69</f>
        <v>0.91384653637357727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1300</v>
      </c>
      <c r="H60" s="78">
        <f>F60*G60</f>
        <v>36738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1322.0338983050913</v>
      </c>
      <c r="O60" s="81">
        <f>N60/M60</f>
        <v>120.18489984591739</v>
      </c>
      <c r="P60" s="74">
        <f>M60-J60</f>
        <v>0</v>
      </c>
      <c r="Q60" s="83">
        <f>O60-L60</f>
        <v>-28.542372881355334</v>
      </c>
      <c r="R60" s="72">
        <f>O60/L60</f>
        <v>0.80808917989308759</v>
      </c>
      <c r="S60" s="829"/>
      <c r="T60" s="22">
        <v>0.38888888888888901</v>
      </c>
      <c r="U60" s="22">
        <v>0.42986111111111103</v>
      </c>
      <c r="V60" s="30">
        <f>(T60-U59)*24*60</f>
        <v>10.000000000000844</v>
      </c>
      <c r="W60" s="248">
        <f t="shared" si="5"/>
        <v>58.999999999999709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-313.96610169490873</v>
      </c>
      <c r="AG60" s="249">
        <f>N60/K60</f>
        <v>0.80808917989308759</v>
      </c>
      <c r="AH60" s="820"/>
    </row>
    <row r="61" spans="1:34" ht="15" customHeight="1">
      <c r="A61" s="827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956</v>
      </c>
      <c r="H61" s="254">
        <f>F61*G61</f>
        <v>27016.560000000001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1433.9999999999877</v>
      </c>
      <c r="O61" s="238">
        <f>N61/M61</f>
        <v>130.36363636363524</v>
      </c>
      <c r="P61" s="111">
        <f>M61-J61</f>
        <v>0</v>
      </c>
      <c r="Q61" s="255">
        <f>O61-L61</f>
        <v>-18.363636363637482</v>
      </c>
      <c r="R61" s="85">
        <f>O61/L61</f>
        <v>0.87652811735940572</v>
      </c>
      <c r="S61" s="749"/>
      <c r="T61" s="22">
        <v>0.4375</v>
      </c>
      <c r="U61" s="22">
        <v>0.46527777777777801</v>
      </c>
      <c r="V61" s="30">
        <f>(T61-U60)*24*60</f>
        <v>11.000000000000121</v>
      </c>
      <c r="W61" s="256">
        <f t="shared" si="5"/>
        <v>40.000000000000341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-202.00000000001228</v>
      </c>
      <c r="AG61" s="247">
        <f>N61/K61</f>
        <v>0.87652811735940572</v>
      </c>
      <c r="AH61" s="785"/>
    </row>
    <row r="62" spans="1:34" ht="15" customHeight="1">
      <c r="A62" s="827"/>
      <c r="B62" s="250" t="s">
        <v>130</v>
      </c>
      <c r="C62" s="251"/>
      <c r="D62" s="259" t="s">
        <v>134</v>
      </c>
      <c r="E62" s="253"/>
      <c r="F62" s="75">
        <f>VLOOKUP(D62,廠價表!$C$1:$E$43,3,0)</f>
        <v>28.26</v>
      </c>
      <c r="G62" s="260">
        <v>1703</v>
      </c>
      <c r="H62" s="254">
        <f t="shared" ref="H62:H63" si="30">F62*G62</f>
        <v>48126.780000000006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31">K62/J62</f>
        <v>148.72727272727272</v>
      </c>
      <c r="M62" s="108">
        <v>11</v>
      </c>
      <c r="N62" s="107">
        <f t="shared" ref="N62:N63" si="32">G62/W62*60</f>
        <v>1571.9999999999939</v>
      </c>
      <c r="O62" s="238">
        <f t="shared" ref="O62:O63" si="33">N62/M62</f>
        <v>142.90909090909034</v>
      </c>
      <c r="P62" s="111">
        <f t="shared" ref="P62:P63" si="34">M62-J62</f>
        <v>0</v>
      </c>
      <c r="Q62" s="255">
        <f t="shared" ref="Q62:Q63" si="35">O62-L62</f>
        <v>-5.8181818181823814</v>
      </c>
      <c r="R62" s="85">
        <f t="shared" ref="R62:R63" si="36">O62/L62</f>
        <v>0.96088019559901816</v>
      </c>
      <c r="S62" s="749"/>
      <c r="T62" s="22">
        <v>0.47222222222222199</v>
      </c>
      <c r="U62" s="22">
        <v>0.51736111111111105</v>
      </c>
      <c r="V62" s="30">
        <f>(T62-U61)*24*60</f>
        <v>9.999999999999325</v>
      </c>
      <c r="W62" s="248">
        <f t="shared" si="5"/>
        <v>65.000000000000256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-64.000000000006139</v>
      </c>
      <c r="AG62" s="247">
        <f>N62/K62</f>
        <v>0.96088019559901827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75">
        <f>VLOOKUP(D63,廠價表!$C$1:$E$43,3,0)</f>
        <v>28.26</v>
      </c>
      <c r="G63" s="30">
        <v>1827</v>
      </c>
      <c r="H63" s="254">
        <f t="shared" si="30"/>
        <v>51631.020000000004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31"/>
        <v>148.72727272727272</v>
      </c>
      <c r="M63" s="68">
        <v>11</v>
      </c>
      <c r="N63" s="107">
        <f t="shared" si="32"/>
        <v>1566.0000000000057</v>
      </c>
      <c r="O63" s="238">
        <f t="shared" si="33"/>
        <v>142.36363636363689</v>
      </c>
      <c r="P63" s="111">
        <f t="shared" si="34"/>
        <v>0</v>
      </c>
      <c r="Q63" s="255">
        <f t="shared" si="35"/>
        <v>-6.363636363635834</v>
      </c>
      <c r="R63" s="85">
        <f t="shared" si="36"/>
        <v>0.95721271393643392</v>
      </c>
      <c r="S63" s="749"/>
      <c r="T63" s="22">
        <v>0.57986111111111105</v>
      </c>
      <c r="U63" s="22">
        <v>0.62847222222222199</v>
      </c>
      <c r="V63" s="30">
        <f>(T63-U62)*24*60</f>
        <v>90</v>
      </c>
      <c r="W63" s="248">
        <f t="shared" si="5"/>
        <v>69.999999999999744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75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5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5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5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5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5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7">AVERAGE(J59:J68)</f>
        <v>11.8</v>
      </c>
      <c r="K69" s="240">
        <f t="shared" si="37"/>
        <v>1636</v>
      </c>
      <c r="L69" s="268">
        <f t="shared" si="37"/>
        <v>140.79515151515153</v>
      </c>
      <c r="M69" s="240">
        <f t="shared" si="37"/>
        <v>11.8</v>
      </c>
      <c r="N69" s="240">
        <f t="shared" si="37"/>
        <v>1495.0529335071724</v>
      </c>
      <c r="O69" s="268">
        <f t="shared" si="37"/>
        <v>128.2473296195331</v>
      </c>
      <c r="P69" s="269">
        <f>M69-J69</f>
        <v>0</v>
      </c>
      <c r="Q69" s="222">
        <f>N69-K69</f>
        <v>-140.94706649282762</v>
      </c>
      <c r="R69" s="123">
        <f>O69/L69</f>
        <v>0.91087887785490895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-140.94706649282762</v>
      </c>
      <c r="AG69" s="124">
        <f>N69/K69</f>
        <v>0.91384653637357727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450</v>
      </c>
      <c r="H70" s="243">
        <f>F70*G70</f>
        <v>19750.5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7</v>
      </c>
      <c r="N70" s="137">
        <f>G70/W70*60</f>
        <v>771.42857142855655</v>
      </c>
      <c r="O70" s="138">
        <f>N70/M70</f>
        <v>110.20408163265094</v>
      </c>
      <c r="P70" s="56">
        <f>M70-J70</f>
        <v>-6</v>
      </c>
      <c r="Q70" s="230">
        <f>O70-L70</f>
        <v>-10.180533751964447</v>
      </c>
      <c r="R70" s="52">
        <f>O70/L70</f>
        <v>0.9154332659581228</v>
      </c>
      <c r="S70" s="748">
        <f>R79</f>
        <v>0.9154332659581228</v>
      </c>
      <c r="T70" s="245">
        <v>0.29861111111111099</v>
      </c>
      <c r="U70" s="245">
        <v>0.32291666666666702</v>
      </c>
      <c r="V70" s="55"/>
      <c r="W70" s="54">
        <f t="shared" si="5"/>
        <v>35.000000000000675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-793.57142857144345</v>
      </c>
      <c r="AG70" s="246">
        <f>N70/K70</f>
        <v>0.49292560474668151</v>
      </c>
      <c r="AH70" s="784">
        <f>AG79</f>
        <v>0.49292560474668151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5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5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5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5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5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5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5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5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8">AVERAGE(J70:J78)</f>
        <v>13</v>
      </c>
      <c r="K79" s="240">
        <f t="shared" si="38"/>
        <v>1565</v>
      </c>
      <c r="L79" s="268">
        <f t="shared" si="38"/>
        <v>120.38461538461539</v>
      </c>
      <c r="M79" s="240">
        <f t="shared" si="38"/>
        <v>7</v>
      </c>
      <c r="N79" s="240">
        <f t="shared" si="38"/>
        <v>771.42857142855655</v>
      </c>
      <c r="O79" s="268">
        <f t="shared" si="38"/>
        <v>110.20408163265094</v>
      </c>
      <c r="P79" s="269">
        <f>M79-J79</f>
        <v>-6</v>
      </c>
      <c r="Q79" s="222">
        <f>N79-K79</f>
        <v>-793.57142857144345</v>
      </c>
      <c r="R79" s="223">
        <f>O79/L79</f>
        <v>0.9154332659581228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-793.57142857144345</v>
      </c>
      <c r="AG79" s="124">
        <f>N79/K79</f>
        <v>0.49292560474668151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58" priority="1" operator="greaterThan">
      <formula>0</formula>
    </cfRule>
  </conditionalFormatting>
  <conditionalFormatting sqref="Q5:Q79 AF5:AF79">
    <cfRule type="cellIs" dxfId="57" priority="4" operator="lessThan">
      <formula>0</formula>
    </cfRule>
  </conditionalFormatting>
  <conditionalFormatting sqref="R5:R79 AG5:AG79">
    <cfRule type="cellIs" dxfId="56" priority="2" operator="greaterThan">
      <formula>1</formula>
    </cfRule>
    <cfRule type="cellIs" dxfId="55" priority="3" operator="lessThan">
      <formula>0.8</formula>
    </cfRule>
  </conditionalFormatting>
  <conditionalFormatting sqref="S5:S10 S37:S62 AH59:AH62 S69:S76 AH69:AH76">
    <cfRule type="cellIs" dxfId="54" priority="7" operator="lessThan">
      <formula>0.8</formula>
    </cfRule>
  </conditionalFormatting>
  <conditionalFormatting sqref="S19:S25 AH19:AH25">
    <cfRule type="cellIs" dxfId="53" priority="6" operator="lessThan">
      <formula>0.8</formula>
    </cfRule>
  </conditionalFormatting>
  <conditionalFormatting sqref="S79">
    <cfRule type="cellIs" dxfId="52" priority="5" operator="lessThan">
      <formula>0.8</formula>
    </cfRule>
  </conditionalFormatting>
  <conditionalFormatting sqref="AH5:AH8 S15:S16 AH15:AH16 AH49 AH79">
    <cfRule type="cellIs" dxfId="51" priority="9" operator="lessThan">
      <formula>0.8</formula>
    </cfRule>
  </conditionalFormatting>
  <conditionalFormatting sqref="AH27 S27:S28">
    <cfRule type="cellIs" dxfId="5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5756-D4F8-4DF4-8646-377DE77A3429}">
  <dimension ref="B1:O26"/>
  <sheetViews>
    <sheetView topLeftCell="B1" zoomScale="70" zoomScaleNormal="70" workbookViewId="0">
      <selection activeCell="N17" sqref="N17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DATE(2026,8,27)</f>
        <v>46261</v>
      </c>
      <c r="E3" s="706"/>
      <c r="F3" s="3" t="s">
        <v>72</v>
      </c>
      <c r="G3" s="707">
        <f>'0827'!E1</f>
        <v>54973</v>
      </c>
      <c r="H3" s="707"/>
      <c r="I3" s="3" t="s">
        <v>2</v>
      </c>
      <c r="J3" s="708">
        <f>'0827'!G1</f>
        <v>2546405.0739999996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130.51051102647742</v>
      </c>
      <c r="G6" s="713"/>
      <c r="H6" s="714">
        <f>AVERAGE(D13:H13)</f>
        <v>125.20683664918958</v>
      </c>
      <c r="I6" s="714"/>
      <c r="J6" s="714">
        <f>AVERAGE(I13:J13)</f>
        <v>143.76969696969695</v>
      </c>
      <c r="K6" s="714"/>
      <c r="L6" s="716">
        <f>'0827'!Z2</f>
        <v>0</v>
      </c>
      <c r="M6" s="717">
        <f>'0827'!AA2</f>
        <v>0</v>
      </c>
      <c r="N6" s="718">
        <f>'0827'!AD2</f>
        <v>0</v>
      </c>
      <c r="O6" s="717">
        <f>'0827'!AE2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119.27739571220852</v>
      </c>
      <c r="G7" s="737"/>
      <c r="H7" s="738">
        <f>AVERAGE(D14:H14)</f>
        <v>114.92679555553359</v>
      </c>
      <c r="I7" s="738"/>
      <c r="J7" s="738">
        <f>AVERAGE(I14:J14)</f>
        <v>130.15389610389582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0.91321859153347429</v>
      </c>
      <c r="G8" s="710"/>
      <c r="H8" s="710">
        <f>AVERAGE(D15:H15)</f>
        <v>0.91642267402281907</v>
      </c>
      <c r="I8" s="710"/>
      <c r="J8" s="710">
        <f>AVERAGE(I15:J15)</f>
        <v>0.90520838531011227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VALUE('0827'!L15)</f>
        <v>147.78894485144485</v>
      </c>
      <c r="E13" s="13">
        <f>VALUE('0827'!L26)</f>
        <v>174.51923076923077</v>
      </c>
      <c r="F13" s="13">
        <f>VALUE('0827'!L37)</f>
        <v>98.273011982570821</v>
      </c>
      <c r="G13" s="13">
        <f>VALUE('0827'!L48)</f>
        <v>100.78240740740739</v>
      </c>
      <c r="H13" s="13">
        <f>VALUE('0827'!L58)</f>
        <v>104.67058823529412</v>
      </c>
      <c r="I13" s="13">
        <f>VALUE('0827'!L69)</f>
        <v>138.81212121212121</v>
      </c>
      <c r="J13" s="13">
        <f>'0827'!L79</f>
        <v>148.72727272727272</v>
      </c>
    </row>
    <row r="14" spans="2:15" ht="39.950000000000003" customHeight="1">
      <c r="B14" s="731"/>
      <c r="C14" s="12" t="s">
        <v>100</v>
      </c>
      <c r="D14" s="13">
        <f>VALUE('0827'!O15)</f>
        <v>135.17264193951485</v>
      </c>
      <c r="E14" s="13">
        <f>VALUE('0827'!O26)</f>
        <v>162.91080588671852</v>
      </c>
      <c r="F14" s="13">
        <f>VALUE('0827'!O37)</f>
        <v>91.361900977362595</v>
      </c>
      <c r="G14" s="13">
        <f>VALUE('0827'!O48)</f>
        <v>95.149946232787315</v>
      </c>
      <c r="H14" s="13">
        <f>VALUE('0827'!O58)</f>
        <v>90.03868274128466</v>
      </c>
      <c r="I14" s="13">
        <f>VALUE('0827'!O69)</f>
        <v>125.30779220779161</v>
      </c>
      <c r="J14" s="13">
        <f>'0827'!O79</f>
        <v>135.00000000000003</v>
      </c>
    </row>
    <row r="15" spans="2:15" ht="39.950000000000003" customHeight="1">
      <c r="B15" s="732"/>
      <c r="C15" s="10" t="s">
        <v>26</v>
      </c>
      <c r="D15" s="14">
        <f t="shared" ref="D15:I15" si="0">D14/D13</f>
        <v>0.91463297255006648</v>
      </c>
      <c r="E15" s="14">
        <f t="shared" si="0"/>
        <v>0.9334834056318857</v>
      </c>
      <c r="F15" s="14">
        <f t="shared" si="0"/>
        <v>0.9296743748280154</v>
      </c>
      <c r="G15" s="14">
        <f t="shared" si="0"/>
        <v>0.94411265498103103</v>
      </c>
      <c r="H15" s="14">
        <f t="shared" si="0"/>
        <v>0.86020996212309719</v>
      </c>
      <c r="I15" s="14">
        <f t="shared" si="0"/>
        <v>0.90271505912878169</v>
      </c>
      <c r="J15" s="15">
        <f>'0827'!S70</f>
        <v>0.90770171149144274</v>
      </c>
    </row>
    <row r="16" spans="2:15" ht="17.25" customHeight="1">
      <c r="B16" s="733" t="s">
        <v>101</v>
      </c>
      <c r="C16" s="10" t="s">
        <v>34</v>
      </c>
      <c r="D16" s="16">
        <f>'0827'!T5</f>
        <v>0.29236111111111102</v>
      </c>
      <c r="E16" s="16">
        <f>'0827'!T16</f>
        <v>0.29166666666666702</v>
      </c>
      <c r="F16" s="16">
        <f>'0827'!T27</f>
        <v>0.29166666666666702</v>
      </c>
      <c r="G16" s="16">
        <f>'0827'!T38</f>
        <v>0.33194444444444399</v>
      </c>
      <c r="H16" s="16">
        <f>'0827'!T49</f>
        <v>0.29166666666666702</v>
      </c>
      <c r="I16" s="16">
        <f>'0827'!T59</f>
        <v>0.29513888888888901</v>
      </c>
      <c r="J16" s="17">
        <f>'0827'!T70</f>
        <v>0.40833333333333299</v>
      </c>
    </row>
    <row r="17" spans="2:10" ht="17.25" customHeight="1">
      <c r="B17" s="734"/>
      <c r="C17" s="10" t="s">
        <v>35</v>
      </c>
      <c r="D17" s="22">
        <v>0.66111111111111098</v>
      </c>
      <c r="E17" s="183">
        <v>0.56666666666666698</v>
      </c>
      <c r="F17" s="19">
        <v>0.65625</v>
      </c>
      <c r="G17" s="328">
        <v>0.48055555555555601</v>
      </c>
      <c r="H17" s="21">
        <v>0.63541666666666696</v>
      </c>
      <c r="I17" s="22">
        <v>0.57638888888888895</v>
      </c>
      <c r="J17" s="110">
        <v>0.45833333333333298</v>
      </c>
    </row>
    <row r="18" spans="2:10" ht="17.25" customHeight="1">
      <c r="B18" s="735" t="s">
        <v>102</v>
      </c>
      <c r="C18" s="330" t="s">
        <v>36</v>
      </c>
      <c r="D18" s="386">
        <f>'0827'!Z15</f>
        <v>0</v>
      </c>
      <c r="E18" s="387">
        <f>'0827'!Z26</f>
        <v>0</v>
      </c>
      <c r="F18" s="387">
        <f>'0827'!Z37</f>
        <v>0</v>
      </c>
      <c r="G18" s="388">
        <f>'0827'!Z48</f>
        <v>0</v>
      </c>
      <c r="H18" s="388">
        <f>'0827'!Z58</f>
        <v>0</v>
      </c>
      <c r="I18" s="387">
        <f>'0827'!Z69</f>
        <v>0</v>
      </c>
      <c r="J18" s="387">
        <f>'0827'!AA79</f>
        <v>0</v>
      </c>
    </row>
    <row r="19" spans="2:10" ht="17.25" customHeight="1">
      <c r="B19" s="736"/>
      <c r="C19" s="330" t="s">
        <v>37</v>
      </c>
      <c r="D19" s="386">
        <f>'0827'!AA15</f>
        <v>0</v>
      </c>
      <c r="E19" s="387">
        <f>'0827'!AA26</f>
        <v>0</v>
      </c>
      <c r="F19" s="387">
        <f>'0827'!AA37</f>
        <v>0</v>
      </c>
      <c r="G19" s="388">
        <f>'0827'!AA48</f>
        <v>0</v>
      </c>
      <c r="H19" s="388">
        <f>'0827'!AA58</f>
        <v>0</v>
      </c>
      <c r="I19" s="387">
        <f>'0827'!AA69</f>
        <v>0</v>
      </c>
      <c r="J19" s="387">
        <f>'0827'!AB79</f>
        <v>0</v>
      </c>
    </row>
    <row r="20" spans="2:10" ht="17.25" customHeight="1">
      <c r="B20" s="735" t="s">
        <v>103</v>
      </c>
      <c r="C20" s="330" t="s">
        <v>36</v>
      </c>
      <c r="D20" s="386">
        <f>'0827'!AD15</f>
        <v>0</v>
      </c>
      <c r="E20" s="387">
        <f>'0827'!AD26</f>
        <v>0</v>
      </c>
      <c r="F20" s="387">
        <f>'0827'!AD37</f>
        <v>0</v>
      </c>
      <c r="G20" s="388">
        <f>'0827'!AD48</f>
        <v>0</v>
      </c>
      <c r="H20" s="388">
        <f>'0827'!AD58</f>
        <v>0</v>
      </c>
      <c r="I20" s="387">
        <f>'0827'!AD69</f>
        <v>0</v>
      </c>
      <c r="J20" s="387">
        <f>'0827'!AD79</f>
        <v>0</v>
      </c>
    </row>
    <row r="21" spans="2:10" ht="17.25" customHeight="1">
      <c r="B21" s="736"/>
      <c r="C21" s="330" t="s">
        <v>85</v>
      </c>
      <c r="D21" s="386">
        <f>'0827'!AE15</f>
        <v>0</v>
      </c>
      <c r="E21" s="387">
        <f>'0827'!AE26</f>
        <v>0</v>
      </c>
      <c r="F21" s="387">
        <f>'0827'!AE37</f>
        <v>0</v>
      </c>
      <c r="G21" s="388">
        <f>'0827'!AE48</f>
        <v>0</v>
      </c>
      <c r="H21" s="388">
        <f>'0827'!AE58</f>
        <v>0</v>
      </c>
      <c r="I21" s="387">
        <f>'0827'!AE69</f>
        <v>0</v>
      </c>
      <c r="J21" s="387">
        <f>'0827'!AE79</f>
        <v>0</v>
      </c>
    </row>
    <row r="22" spans="2:10" ht="17.25" customHeight="1">
      <c r="B22" s="719" t="s">
        <v>104</v>
      </c>
      <c r="C22" s="720"/>
      <c r="D22" s="23">
        <f>VALUE('0827'!M15)</f>
        <v>14.833333333333334</v>
      </c>
      <c r="E22" s="23">
        <f>VALUE('0827'!M26)</f>
        <v>12.75</v>
      </c>
      <c r="F22" s="23">
        <f>VALUE('0827'!M37)</f>
        <v>16.5</v>
      </c>
      <c r="G22" s="23">
        <f>VALUE('0827'!M48)</f>
        <v>16.333333333333332</v>
      </c>
      <c r="H22" s="23">
        <f>VALUE('0827'!M58)</f>
        <v>16.600000000000001</v>
      </c>
      <c r="I22" s="23">
        <f>VALUE('0827'!M69)</f>
        <v>12</v>
      </c>
      <c r="J22" s="23">
        <f>'0827'!M79</f>
        <v>11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4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7FED-B876-418C-8A55-60001DED31AA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28" sqref="U2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54973</v>
      </c>
      <c r="F1" s="30" t="s">
        <v>2</v>
      </c>
      <c r="G1" s="31">
        <f>SUM(H5:H79)</f>
        <v>2546405.0739999996</v>
      </c>
      <c r="H1" s="32" t="s">
        <v>3</v>
      </c>
      <c r="I1" s="33">
        <f>M15+M26+M48+M58+M69+M79+M37</f>
        <v>100.01666666666668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201</v>
      </c>
      <c r="B2" s="739"/>
      <c r="C2" s="28"/>
      <c r="D2" s="28" t="s">
        <v>14</v>
      </c>
      <c r="E2" s="35">
        <f>AVERAGE(O15,O26,O37,O48,O58,O69,O79)</f>
        <v>119.27739571220852</v>
      </c>
      <c r="F2" s="36" t="s">
        <v>15</v>
      </c>
      <c r="G2" s="37">
        <f>G1/E1</f>
        <v>46.321013479344394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1625</v>
      </c>
      <c r="H5" s="43">
        <f>F5*G5</f>
        <v>92413.75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2074.4680851063763</v>
      </c>
      <c r="O5" s="47">
        <f>N5/M5</f>
        <v>148.1762917933126</v>
      </c>
      <c r="P5" s="49">
        <f>M5-J5</f>
        <v>0</v>
      </c>
      <c r="Q5" s="50">
        <f>O5-L5</f>
        <v>-12.537993920973122</v>
      </c>
      <c r="R5" s="51">
        <f>O5/L5</f>
        <v>0.92198581560283388</v>
      </c>
      <c r="S5" s="748">
        <f>R15</f>
        <v>0.91463297255006648</v>
      </c>
      <c r="T5" s="319">
        <v>0.29236111111111102</v>
      </c>
      <c r="U5" s="320">
        <v>0.32500000000000001</v>
      </c>
      <c r="V5" s="53"/>
      <c r="W5" s="54">
        <f t="shared" ref="W5:W14" si="0">(U5-T5)*24*60</f>
        <v>47.000000000000156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-175.53191489362371</v>
      </c>
      <c r="AG5" s="52">
        <f t="shared" ref="AG5:AG11" si="2">N5/K5</f>
        <v>0.92198581560283388</v>
      </c>
      <c r="AH5" s="784">
        <f>AG15</f>
        <v>0.91531534489072308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1055</v>
      </c>
      <c r="H6" s="63">
        <f>F6*G6</f>
        <v>53456.85</v>
      </c>
      <c r="I6" s="64"/>
      <c r="J6" s="65">
        <v>16</v>
      </c>
      <c r="K6" s="66">
        <f>VLOOKUP(D6,產線配置圖!$A$3:$C$40,3,0)</f>
        <v>2250</v>
      </c>
      <c r="L6" s="67">
        <f>K6/J6</f>
        <v>140.625</v>
      </c>
      <c r="M6" s="68">
        <v>16</v>
      </c>
      <c r="N6" s="66">
        <f>G6/W6*60</f>
        <v>2041.9354838710381</v>
      </c>
      <c r="O6" s="67">
        <f>N6/M6</f>
        <v>127.62096774193988</v>
      </c>
      <c r="P6" s="69">
        <f>M6-J6</f>
        <v>0</v>
      </c>
      <c r="Q6" s="70">
        <f>O6-L6</f>
        <v>-13.004032258060121</v>
      </c>
      <c r="R6" s="71">
        <f>O6/L6</f>
        <v>0.90752688172046136</v>
      </c>
      <c r="S6" s="749"/>
      <c r="T6" s="16">
        <v>0.33541666666666697</v>
      </c>
      <c r="U6" s="16">
        <v>0.35694444444444401</v>
      </c>
      <c r="V6" s="30">
        <f>(T6-U5)*24*60</f>
        <v>15.000000000000426</v>
      </c>
      <c r="W6" s="73">
        <f t="shared" si="0"/>
        <v>30.999999999998931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-208.06451612896194</v>
      </c>
      <c r="AG6" s="72">
        <f t="shared" si="2"/>
        <v>0.90752688172046136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1796</v>
      </c>
      <c r="H7" s="78">
        <f>F7*G7</f>
        <v>104473.32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2033.2075471698402</v>
      </c>
      <c r="O7" s="81">
        <f>N7/M7</f>
        <v>156.40058055152616</v>
      </c>
      <c r="P7" s="74">
        <f>M7-J7</f>
        <v>0</v>
      </c>
      <c r="Q7" s="83">
        <f>O7-L7</f>
        <v>-16.676342525396905</v>
      </c>
      <c r="R7" s="72">
        <f>O7/L7</f>
        <v>0.90364779874215118</v>
      </c>
      <c r="S7" s="749"/>
      <c r="T7" s="18">
        <v>0.36388888888888898</v>
      </c>
      <c r="U7" s="18">
        <v>0.40069444444444402</v>
      </c>
      <c r="V7" s="30">
        <f>(T7-U6)*24*60</f>
        <v>10.000000000000764</v>
      </c>
      <c r="W7" s="73">
        <f t="shared" si="0"/>
        <v>52.999999999999254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-216.79245283015985</v>
      </c>
      <c r="AG7" s="72">
        <f t="shared" si="2"/>
        <v>0.90364779874215118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3389</v>
      </c>
      <c r="H8" s="78">
        <f t="shared" ref="H8:H10" si="3">F8*G8</f>
        <v>166535.46</v>
      </c>
      <c r="I8" s="73"/>
      <c r="J8" s="79">
        <v>14</v>
      </c>
      <c r="K8" s="80">
        <f>VLOOKUP(D8,產線配置圖!$A$3:$C$40,3,0)</f>
        <v>2250</v>
      </c>
      <c r="L8" s="81">
        <f t="shared" ref="L8:L10" si="4">K8/J8</f>
        <v>160.71428571428572</v>
      </c>
      <c r="M8" s="82">
        <v>14</v>
      </c>
      <c r="N8" s="80">
        <f t="shared" ref="N8:N10" si="5">G8/W8*60</f>
        <v>2074.897959183691</v>
      </c>
      <c r="O8" s="81">
        <f t="shared" ref="O8:O10" si="6">N8/M8</f>
        <v>148.20699708454936</v>
      </c>
      <c r="P8" s="74">
        <f t="shared" ref="P8:P10" si="7">M8-J8</f>
        <v>0</v>
      </c>
      <c r="Q8" s="83">
        <f t="shared" ref="Q8:Q10" si="8">O8-L8</f>
        <v>-12.507288629736365</v>
      </c>
      <c r="R8" s="72">
        <f t="shared" ref="R8:R10" si="9">O8/L8</f>
        <v>0.92217687074830701</v>
      </c>
      <c r="S8" s="749"/>
      <c r="T8" s="16">
        <v>0.40763888888888899</v>
      </c>
      <c r="U8" s="16">
        <v>0.47569444444444398</v>
      </c>
      <c r="V8" s="30">
        <f t="shared" ref="V8:V10" si="10">(T8-U7)*24*60</f>
        <v>10.000000000000764</v>
      </c>
      <c r="W8" s="73">
        <f t="shared" si="0"/>
        <v>97.999999999999176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-175.102040816309</v>
      </c>
      <c r="AG8" s="72">
        <f t="shared" si="2"/>
        <v>0.92217687074830712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2000</v>
      </c>
      <c r="H9" s="78">
        <f t="shared" si="3"/>
        <v>98280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2033.8983050847532</v>
      </c>
      <c r="O9" s="81">
        <f t="shared" si="6"/>
        <v>145.27845036319667</v>
      </c>
      <c r="P9" s="74">
        <f t="shared" si="7"/>
        <v>0</v>
      </c>
      <c r="Q9" s="83">
        <f t="shared" si="8"/>
        <v>-15.435835351089054</v>
      </c>
      <c r="R9" s="72">
        <f t="shared" si="9"/>
        <v>0.90395480225989033</v>
      </c>
      <c r="S9" s="750"/>
      <c r="T9" s="16">
        <v>0.54236111111111096</v>
      </c>
      <c r="U9" s="16">
        <v>0.58333333333333304</v>
      </c>
      <c r="V9" s="30">
        <f t="shared" si="10"/>
        <v>96.000000000000455</v>
      </c>
      <c r="W9" s="73">
        <f t="shared" si="0"/>
        <v>58.999999999999787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-216.10169491524675</v>
      </c>
      <c r="AG9" s="72">
        <f t="shared" si="2"/>
        <v>0.90395480225989033</v>
      </c>
      <c r="AH9" s="786"/>
    </row>
    <row r="10" spans="1:34" ht="15" customHeight="1">
      <c r="A10" s="756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2663</v>
      </c>
      <c r="H10" s="78">
        <f t="shared" si="3"/>
        <v>117970.9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4"/>
        <v>90.888888888888886</v>
      </c>
      <c r="M10" s="82">
        <v>18</v>
      </c>
      <c r="N10" s="80">
        <f t="shared" si="5"/>
        <v>1536.3461538461593</v>
      </c>
      <c r="O10" s="81">
        <f t="shared" si="6"/>
        <v>85.352564102564401</v>
      </c>
      <c r="P10" s="74">
        <f t="shared" si="7"/>
        <v>0</v>
      </c>
      <c r="Q10" s="83">
        <f t="shared" si="8"/>
        <v>-5.5363247863244851</v>
      </c>
      <c r="R10" s="72">
        <f t="shared" si="9"/>
        <v>0.93908689110400934</v>
      </c>
      <c r="S10" s="750"/>
      <c r="T10" s="22">
        <v>0.58888888888888902</v>
      </c>
      <c r="U10" s="22">
        <v>0.66111111111111098</v>
      </c>
      <c r="V10" s="30">
        <f t="shared" si="10"/>
        <v>8.0000000000006111</v>
      </c>
      <c r="W10" s="73">
        <f t="shared" si="0"/>
        <v>103.99999999999963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-99.653846153840732</v>
      </c>
      <c r="AG10" s="72">
        <f t="shared" si="2"/>
        <v>0.93908689110400934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14.833333333333334</v>
      </c>
      <c r="K15" s="120">
        <f t="shared" si="11"/>
        <v>2147.6666666666665</v>
      </c>
      <c r="L15" s="117">
        <f t="shared" si="11"/>
        <v>147.78894485144485</v>
      </c>
      <c r="M15" s="120">
        <f t="shared" si="11"/>
        <v>14.833333333333334</v>
      </c>
      <c r="N15" s="120">
        <f t="shared" si="11"/>
        <v>1965.7922557103095</v>
      </c>
      <c r="O15" s="117">
        <f t="shared" si="11"/>
        <v>135.17264193951485</v>
      </c>
      <c r="P15" s="121">
        <f>M15-J15</f>
        <v>0</v>
      </c>
      <c r="Q15" s="122">
        <f>O15-L15</f>
        <v>-12.616302911930006</v>
      </c>
      <c r="R15" s="123">
        <f>O15/L15</f>
        <v>0.91463297255006648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-181.874410956357</v>
      </c>
      <c r="AG15" s="124">
        <f>N15/K15</f>
        <v>0.91531534489072308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1247</v>
      </c>
      <c r="H16" s="134">
        <f>F16*G16</f>
        <v>70916.89</v>
      </c>
      <c r="I16" s="135"/>
      <c r="J16" s="136">
        <f>VLOOKUP(D16,產線配置圖!$A$3:$C$40,2,0)</f>
        <v>15</v>
      </c>
      <c r="K16" s="137">
        <f>VLOOKUP(D16,產線配置圖!$A$3:$C$40,3,0)</f>
        <v>2250</v>
      </c>
      <c r="L16" s="138">
        <f>K16/J16</f>
        <v>150</v>
      </c>
      <c r="M16" s="139">
        <v>14</v>
      </c>
      <c r="N16" s="140">
        <f>G16/W16*60</f>
        <v>1968.9473684210473</v>
      </c>
      <c r="O16" s="141">
        <f>N16/M16</f>
        <v>140.63909774436053</v>
      </c>
      <c r="P16" s="142">
        <f>M16-J16</f>
        <v>-1</v>
      </c>
      <c r="Q16" s="143">
        <f>O16-L16</f>
        <v>-9.3609022556394734</v>
      </c>
      <c r="R16" s="144">
        <f>O16/L16</f>
        <v>0.93759398496240354</v>
      </c>
      <c r="S16" s="795">
        <f>R26</f>
        <v>0.9334834056318857</v>
      </c>
      <c r="T16" s="145">
        <v>0.29166666666666702</v>
      </c>
      <c r="U16" s="145">
        <v>0.31805555555555598</v>
      </c>
      <c r="V16" s="135"/>
      <c r="W16" s="146">
        <f t="shared" ref="W16:W78" si="12">(U16-T16)*24*60</f>
        <v>38.000000000000107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-281.05263157895274</v>
      </c>
      <c r="AG16" s="52">
        <f>N16/K16</f>
        <v>0.87508771929824325</v>
      </c>
      <c r="AH16" s="784">
        <f>AG26</f>
        <v>0.91836827732413517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3311</v>
      </c>
      <c r="H17" s="78">
        <f>F17*G17</f>
        <v>167768.37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2136.1290322580758</v>
      </c>
      <c r="O17" s="96">
        <f>N17/M17</f>
        <v>164.31761786600583</v>
      </c>
      <c r="P17" s="97">
        <f>M17-J17</f>
        <v>0</v>
      </c>
      <c r="Q17" s="98">
        <f>O17-L17</f>
        <v>-8.7593052109172334</v>
      </c>
      <c r="R17" s="99">
        <f>O17/L17</f>
        <v>0.94939068100358937</v>
      </c>
      <c r="S17" s="796"/>
      <c r="T17" s="19">
        <v>0.32361111111111102</v>
      </c>
      <c r="U17" s="19">
        <v>0.38819444444444401</v>
      </c>
      <c r="V17" s="30">
        <f>(T17-U16)*24*60</f>
        <v>7.9999999999992522</v>
      </c>
      <c r="W17" s="149">
        <f t="shared" si="12"/>
        <v>92.999999999999517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-113.87096774192423</v>
      </c>
      <c r="AG17" s="72">
        <f>N17/K17</f>
        <v>0.94939068100358925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4393</v>
      </c>
      <c r="H18" s="78">
        <f>F18*G18</f>
        <v>221363.27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2091.9047619047615</v>
      </c>
      <c r="O18" s="96">
        <f>N18/M18</f>
        <v>174.32539682539678</v>
      </c>
      <c r="P18" s="97">
        <f>M18-J18</f>
        <v>0</v>
      </c>
      <c r="Q18" s="98">
        <f>O18-L18</f>
        <v>-13.17460317460322</v>
      </c>
      <c r="R18" s="99">
        <f>O18/L18</f>
        <v>0.92973544973544953</v>
      </c>
      <c r="S18" s="796"/>
      <c r="T18" s="19">
        <v>0.39513888888888898</v>
      </c>
      <c r="U18" s="19">
        <v>0.48263888888888901</v>
      </c>
      <c r="V18" s="30">
        <f>(T18-U17)*24*60</f>
        <v>10.000000000000764</v>
      </c>
      <c r="W18" s="149">
        <f t="shared" si="12"/>
        <v>126.00000000000003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-158.09523809523853</v>
      </c>
      <c r="AG18" s="72">
        <f>N18/K18</f>
        <v>0.92973544973544953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1241</v>
      </c>
      <c r="H19" s="78">
        <f>F19*G19</f>
        <v>62533.99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2068.3333333333317</v>
      </c>
      <c r="O19" s="96">
        <f>N19/M19</f>
        <v>172.36111111111097</v>
      </c>
      <c r="P19" s="97">
        <f>M19-J19</f>
        <v>0</v>
      </c>
      <c r="Q19" s="98">
        <f>O19-L19</f>
        <v>-15.138888888889028</v>
      </c>
      <c r="R19" s="99">
        <f>O19/L19</f>
        <v>0.91925925925925855</v>
      </c>
      <c r="S19" s="796"/>
      <c r="T19" s="19">
        <v>0.54166666666666696</v>
      </c>
      <c r="U19" s="19">
        <v>0.56666666666666698</v>
      </c>
      <c r="V19" s="30">
        <f>(T19-U18)*24*60</f>
        <v>85.000000000000256</v>
      </c>
      <c r="W19" s="149">
        <f t="shared" si="12"/>
        <v>36.000000000000028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-181.66666666666833</v>
      </c>
      <c r="AG19" s="72">
        <f>N19/K19</f>
        <v>0.91925925925925855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174.51923076923077</v>
      </c>
      <c r="M26" s="155">
        <f t="shared" si="13"/>
        <v>12.75</v>
      </c>
      <c r="N26" s="155">
        <f t="shared" si="13"/>
        <v>2066.3286239793042</v>
      </c>
      <c r="O26" s="158">
        <f t="shared" si="13"/>
        <v>162.91080588671852</v>
      </c>
      <c r="P26" s="159">
        <f>M26-J26</f>
        <v>-0.25</v>
      </c>
      <c r="Q26" s="160">
        <f>O26-L26</f>
        <v>-11.608424882512253</v>
      </c>
      <c r="R26" s="161">
        <f>O26/L26</f>
        <v>0.9334834056318857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-183.67137602069579</v>
      </c>
      <c r="AG26" s="124">
        <f t="shared" ref="AG26:AG31" si="15">N26/K26</f>
        <v>0.91836827732413517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49.91</v>
      </c>
      <c r="G27" s="169">
        <v>1107</v>
      </c>
      <c r="H27" s="134">
        <f>F27*G27</f>
        <v>55250.369999999995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1476</v>
      </c>
      <c r="O27" s="141">
        <f>N27/M27</f>
        <v>86.82352941176471</v>
      </c>
      <c r="P27" s="142">
        <f>M27-J27</f>
        <v>-1</v>
      </c>
      <c r="Q27" s="143">
        <f>O27-L27</f>
        <v>-4.0653594771241757</v>
      </c>
      <c r="R27" s="144">
        <f>O27/L27</f>
        <v>0.95527110599741127</v>
      </c>
      <c r="S27" s="795">
        <f>R37</f>
        <v>0.9296743748280154</v>
      </c>
      <c r="T27" s="171">
        <v>0.29166666666666702</v>
      </c>
      <c r="U27" s="171">
        <v>0.32291666666666702</v>
      </c>
      <c r="V27" s="135"/>
      <c r="W27" s="146">
        <f t="shared" si="12"/>
        <v>45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-160</v>
      </c>
      <c r="AG27" s="172">
        <f t="shared" si="15"/>
        <v>0.90220048899755501</v>
      </c>
      <c r="AH27" s="784">
        <f>AG37</f>
        <v>0.91069984453166131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1058</v>
      </c>
      <c r="H28" s="91">
        <f>F28*G28</f>
        <v>60528.18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1410.6666666666667</v>
      </c>
      <c r="O28" s="96">
        <f>N28/M28</f>
        <v>78.370370370370381</v>
      </c>
      <c r="P28" s="97">
        <f>M28-J28</f>
        <v>0</v>
      </c>
      <c r="Q28" s="98">
        <f>O28-L28</f>
        <v>-12.518518518518505</v>
      </c>
      <c r="R28" s="99">
        <f>O28/L28</f>
        <v>0.86226568867155684</v>
      </c>
      <c r="S28" s="796"/>
      <c r="T28" s="19">
        <v>0.32986111111111099</v>
      </c>
      <c r="U28" s="19">
        <v>0.36111111111111099</v>
      </c>
      <c r="V28" s="92">
        <f>(T28-U27)*24*60</f>
        <v>9.999999999999325</v>
      </c>
      <c r="W28" s="149">
        <f t="shared" si="12"/>
        <v>45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-225.33333333333326</v>
      </c>
      <c r="AG28" s="99">
        <f t="shared" si="15"/>
        <v>0.86226568867155673</v>
      </c>
      <c r="AH28" s="805"/>
    </row>
    <row r="29" spans="1:34" ht="15" customHeight="1">
      <c r="A29" s="793"/>
      <c r="B29" s="75" t="s">
        <v>81</v>
      </c>
      <c r="C29" s="173"/>
      <c r="D29" s="59" t="s">
        <v>125</v>
      </c>
      <c r="E29" s="104"/>
      <c r="F29" s="75">
        <f>VLOOKUP(D29,廠價表!$C$1:$E$43,3,0)</f>
        <v>45.66</v>
      </c>
      <c r="G29" s="90">
        <v>1490</v>
      </c>
      <c r="H29" s="91">
        <f>F29*G29</f>
        <v>68033.399999999994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1568.4210526315935</v>
      </c>
      <c r="O29" s="96">
        <f>N29/M29</f>
        <v>92.260061919505503</v>
      </c>
      <c r="P29" s="97">
        <f>M29-J29</f>
        <v>0</v>
      </c>
      <c r="Q29" s="98">
        <f>O29-L29</f>
        <v>-3.9752321981415548</v>
      </c>
      <c r="R29" s="99">
        <f>O29/L29</f>
        <v>0.95869257495818683</v>
      </c>
      <c r="S29" s="796"/>
      <c r="T29" s="19">
        <v>0.36805555555555602</v>
      </c>
      <c r="U29" s="19">
        <v>0.40763888888888899</v>
      </c>
      <c r="V29" s="92">
        <f>(T29-U28)*24*60</f>
        <v>10.000000000000844</v>
      </c>
      <c r="W29" s="149">
        <f t="shared" si="12"/>
        <v>56.999999999999474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-67.578947368406489</v>
      </c>
      <c r="AG29" s="99">
        <f t="shared" si="15"/>
        <v>0.95869257495818672</v>
      </c>
      <c r="AH29" s="805"/>
    </row>
    <row r="30" spans="1:34" ht="15" customHeight="1">
      <c r="A30" s="793"/>
      <c r="B30" s="75" t="s">
        <v>81</v>
      </c>
      <c r="C30" s="88"/>
      <c r="D30" s="59" t="s">
        <v>122</v>
      </c>
      <c r="E30" s="89"/>
      <c r="F30" s="75">
        <f>VLOOKUP(D30,廠價表!$C$1:$E$43,3,0)</f>
        <v>46.34</v>
      </c>
      <c r="G30" s="90">
        <v>1497</v>
      </c>
      <c r="H30" s="91">
        <f t="shared" ref="H30:H32" si="16">F30*G30</f>
        <v>69370.98000000001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 t="shared" ref="L30:L32" si="17">K30/J30</f>
        <v>102.25</v>
      </c>
      <c r="M30" s="94">
        <v>16</v>
      </c>
      <c r="N30" s="95">
        <f t="shared" ref="N30:N32" si="18">G30/W30*60</f>
        <v>1548.6206896551651</v>
      </c>
      <c r="O30" s="96">
        <f t="shared" ref="O30:O32" si="19">N30/M30</f>
        <v>96.788793103447816</v>
      </c>
      <c r="P30" s="97">
        <f t="shared" ref="P30:P32" si="20">M30-J30</f>
        <v>0</v>
      </c>
      <c r="Q30" s="98">
        <f t="shared" ref="Q30:Q32" si="21">O30-L30</f>
        <v>-5.4612068965521843</v>
      </c>
      <c r="R30" s="99">
        <f t="shared" ref="R30:R32" si="22">O30/L30</f>
        <v>0.94658966360340158</v>
      </c>
      <c r="S30" s="796"/>
      <c r="T30" s="19">
        <v>0.41527777777777802</v>
      </c>
      <c r="U30" s="19">
        <v>0.45555555555555599</v>
      </c>
      <c r="V30" s="92">
        <f t="shared" ref="V30:V32" si="23">(T30-U29)*24*60</f>
        <v>11.000000000000201</v>
      </c>
      <c r="W30" s="149">
        <f t="shared" si="12"/>
        <v>58.00000000000027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-87.379310344834948</v>
      </c>
      <c r="AG30" s="99">
        <f t="shared" si="15"/>
        <v>0.94658966360340158</v>
      </c>
      <c r="AH30" s="806"/>
    </row>
    <row r="31" spans="1:34" ht="15" customHeight="1">
      <c r="A31" s="793"/>
      <c r="B31" s="75" t="s">
        <v>81</v>
      </c>
      <c r="C31" s="88"/>
      <c r="D31" s="59" t="s">
        <v>122</v>
      </c>
      <c r="E31" s="89"/>
      <c r="F31" s="75">
        <f>VLOOKUP(D31,廠價表!$C$1:$E$43,3,0)</f>
        <v>46.34</v>
      </c>
      <c r="G31" s="90">
        <v>3000</v>
      </c>
      <c r="H31" s="91">
        <f t="shared" si="16"/>
        <v>139020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17"/>
        <v>102.25</v>
      </c>
      <c r="M31" s="94">
        <v>16</v>
      </c>
      <c r="N31" s="95">
        <f t="shared" si="18"/>
        <v>1565.2173913043514</v>
      </c>
      <c r="O31" s="96">
        <f t="shared" si="19"/>
        <v>97.826086956521962</v>
      </c>
      <c r="P31" s="97">
        <f t="shared" si="20"/>
        <v>0</v>
      </c>
      <c r="Q31" s="98">
        <f t="shared" si="21"/>
        <v>-4.4239130434780378</v>
      </c>
      <c r="R31" s="99">
        <f t="shared" si="22"/>
        <v>0.95673434676305102</v>
      </c>
      <c r="S31" s="796"/>
      <c r="T31" s="19">
        <v>0.52083333333333304</v>
      </c>
      <c r="U31" s="19">
        <v>0.60069444444444398</v>
      </c>
      <c r="V31" s="92">
        <f t="shared" si="23"/>
        <v>93.999999999998948</v>
      </c>
      <c r="W31" s="149">
        <f t="shared" si="12"/>
        <v>114.99999999999974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-70.782608695648605</v>
      </c>
      <c r="AG31" s="99">
        <f t="shared" si="15"/>
        <v>0.95673434676305102</v>
      </c>
      <c r="AH31" s="786"/>
    </row>
    <row r="32" spans="1:34" ht="15" customHeight="1">
      <c r="A32" s="793"/>
      <c r="B32" s="75" t="s">
        <v>116</v>
      </c>
      <c r="C32" s="177"/>
      <c r="D32" s="59" t="s">
        <v>126</v>
      </c>
      <c r="E32" s="178"/>
      <c r="F32" s="75">
        <f>VLOOKUP(D32,廠價表!$C$1:$E$43,3,0)</f>
        <v>49.91</v>
      </c>
      <c r="G32" s="90">
        <v>937</v>
      </c>
      <c r="H32" s="91">
        <f t="shared" si="16"/>
        <v>46765.67</v>
      </c>
      <c r="I32" s="92"/>
      <c r="J32" s="79">
        <f>VLOOKUP(D32,產線配置圖!$A$3:$C$40,2,0)</f>
        <v>16</v>
      </c>
      <c r="K32" s="80">
        <f>VLOOKUP(D32,產線配置圖!$A$3:$C$40,3,0)</f>
        <v>1714</v>
      </c>
      <c r="L32" s="93">
        <f t="shared" si="17"/>
        <v>107.125</v>
      </c>
      <c r="M32" s="94">
        <v>15</v>
      </c>
      <c r="N32" s="95">
        <f t="shared" si="18"/>
        <v>1441.5384615384783</v>
      </c>
      <c r="O32" s="96">
        <f t="shared" si="19"/>
        <v>96.102564102565211</v>
      </c>
      <c r="P32" s="97">
        <f t="shared" si="20"/>
        <v>-1</v>
      </c>
      <c r="Q32" s="98">
        <f t="shared" si="21"/>
        <v>-11.022435897434789</v>
      </c>
      <c r="R32" s="99">
        <f t="shared" si="22"/>
        <v>0.89710678275440103</v>
      </c>
      <c r="S32" s="796"/>
      <c r="T32" s="19">
        <v>0.62916666666666698</v>
      </c>
      <c r="U32" s="19">
        <v>0.65625</v>
      </c>
      <c r="V32" s="92">
        <f t="shared" si="23"/>
        <v>41.000000000001137</v>
      </c>
      <c r="W32" s="149">
        <f t="shared" si="12"/>
        <v>38.999999999999545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9"/>
      <c r="U33" s="19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4">AVERAGE(J27:J36)</f>
        <v>16.833333333333332</v>
      </c>
      <c r="K37" s="155">
        <f t="shared" si="24"/>
        <v>1649</v>
      </c>
      <c r="L37" s="158">
        <f t="shared" si="24"/>
        <v>98.273011982570821</v>
      </c>
      <c r="M37" s="155">
        <f t="shared" si="24"/>
        <v>16.5</v>
      </c>
      <c r="N37" s="155">
        <f t="shared" si="24"/>
        <v>1501.7440436327095</v>
      </c>
      <c r="O37" s="158">
        <f t="shared" si="24"/>
        <v>91.361900977362595</v>
      </c>
      <c r="P37" s="159">
        <f>M37-J37</f>
        <v>-0.33333333333333215</v>
      </c>
      <c r="Q37" s="160">
        <f>N37-K37</f>
        <v>-147.25595636729054</v>
      </c>
      <c r="R37" s="161">
        <f>O37/L37</f>
        <v>0.9296743748280154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-147.25595636729054</v>
      </c>
      <c r="AG37" s="124">
        <f>N37/K37</f>
        <v>0.91069984453166131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1330</v>
      </c>
      <c r="H38" s="134">
        <f>F38*G38</f>
        <v>66380.299999999988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1595.999999999965</v>
      </c>
      <c r="O38" s="141">
        <f>N38/M38</f>
        <v>99.749999999997812</v>
      </c>
      <c r="P38" s="142">
        <f>M38-J38</f>
        <v>0</v>
      </c>
      <c r="Q38" s="143">
        <f>O38-L38</f>
        <v>-7.3750000000021885</v>
      </c>
      <c r="R38" s="144">
        <f>O38/L38</f>
        <v>0.93115519253206824</v>
      </c>
      <c r="S38" s="817">
        <f>R48</f>
        <v>0.94411265498103103</v>
      </c>
      <c r="T38" s="191">
        <v>0.33194444444444399</v>
      </c>
      <c r="U38" s="191">
        <v>0.36666666666666697</v>
      </c>
      <c r="V38" s="192"/>
      <c r="W38" s="193">
        <f t="shared" si="12"/>
        <v>50.000000000001101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-118.00000000003502</v>
      </c>
      <c r="AG38" s="195">
        <f>N38/K38</f>
        <v>0.93115519253206824</v>
      </c>
      <c r="AH38" s="807">
        <f>AG48</f>
        <v>0.94471010331536331</v>
      </c>
    </row>
    <row r="39" spans="1:34" ht="15" customHeight="1">
      <c r="A39" s="815"/>
      <c r="B39" s="75" t="s">
        <v>81</v>
      </c>
      <c r="C39" s="197"/>
      <c r="D39" s="198" t="s">
        <v>142</v>
      </c>
      <c r="E39" s="176"/>
      <c r="F39" s="75">
        <f>VLOOKUP(D39,廠價表!$C$1:$E$43,3,0)</f>
        <v>43.89</v>
      </c>
      <c r="G39" s="199">
        <v>1206</v>
      </c>
      <c r="H39" s="91">
        <f>F39*G39</f>
        <v>52931.340000000004</v>
      </c>
      <c r="I39" s="200"/>
      <c r="J39" s="148">
        <v>15</v>
      </c>
      <c r="K39" s="95">
        <f>VLOOKUP(D39,產線配置圖!$A$3:$C$40,3,0)</f>
        <v>1565</v>
      </c>
      <c r="L39" s="96">
        <f>K39/J39</f>
        <v>104.33333333333333</v>
      </c>
      <c r="M39" s="201">
        <v>15</v>
      </c>
      <c r="N39" s="202">
        <f>G39/W39*60</f>
        <v>1476.7346938775418</v>
      </c>
      <c r="O39" s="203">
        <f>N39/M39</f>
        <v>98.448979591836121</v>
      </c>
      <c r="P39" s="97">
        <f>M39-J39</f>
        <v>0</v>
      </c>
      <c r="Q39" s="98">
        <f>O39-L39</f>
        <v>-5.8843537414972076</v>
      </c>
      <c r="R39" s="99">
        <f>O39/L39</f>
        <v>0.94360044337223126</v>
      </c>
      <c r="S39" s="818"/>
      <c r="T39" s="20">
        <v>0.37222222222222201</v>
      </c>
      <c r="U39" s="20">
        <v>0.40625</v>
      </c>
      <c r="V39" s="92">
        <f>(T39-U38)*24*60</f>
        <v>7.9999999999992522</v>
      </c>
      <c r="W39" s="205">
        <f t="shared" si="12"/>
        <v>49.000000000000306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-88.265306122458242</v>
      </c>
      <c r="AG39" s="206">
        <f>N39/K39</f>
        <v>0.94360044337223115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2539</v>
      </c>
      <c r="H40" s="91">
        <f>F40*G40</f>
        <v>112477.7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1570.5154639175041</v>
      </c>
      <c r="O40" s="203">
        <f>N40/M40</f>
        <v>87.250859106528011</v>
      </c>
      <c r="P40" s="97">
        <f>M40-J40</f>
        <v>0</v>
      </c>
      <c r="Q40" s="98">
        <f>O40-L40</f>
        <v>-3.6380297823608743</v>
      </c>
      <c r="R40" s="99">
        <f>O40/L40</f>
        <v>0.95997277745568721</v>
      </c>
      <c r="S40" s="749"/>
      <c r="T40" s="20">
        <v>0.41319444444444398</v>
      </c>
      <c r="U40" s="20">
        <v>0.48055555555555601</v>
      </c>
      <c r="V40" s="92">
        <f>(T40-U39)*24*60</f>
        <v>9.999999999999325</v>
      </c>
      <c r="W40" s="205">
        <f t="shared" si="12"/>
        <v>97.000000000001336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-65.484536082495879</v>
      </c>
      <c r="AG40" s="206">
        <f>N40/K40</f>
        <v>0.9599727774556871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6">AVERAGE(J38:J47)</f>
        <v>16.333333333333332</v>
      </c>
      <c r="K48" s="155">
        <f t="shared" si="26"/>
        <v>1638.3333333333333</v>
      </c>
      <c r="L48" s="158">
        <f t="shared" si="26"/>
        <v>100.78240740740739</v>
      </c>
      <c r="M48" s="155">
        <f t="shared" si="26"/>
        <v>16.333333333333332</v>
      </c>
      <c r="N48" s="155">
        <f t="shared" si="26"/>
        <v>1547.7500525983369</v>
      </c>
      <c r="O48" s="158">
        <f t="shared" si="26"/>
        <v>95.149946232787315</v>
      </c>
      <c r="P48" s="221">
        <f>M48-J48</f>
        <v>0</v>
      </c>
      <c r="Q48" s="222">
        <f>N48-K48</f>
        <v>-90.583280734996379</v>
      </c>
      <c r="R48" s="223">
        <f t="shared" ref="R48:R53" si="27">O48/L48</f>
        <v>0.94411265498103103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8">N48-K48</f>
        <v>-90.583280734996379</v>
      </c>
      <c r="AG48" s="162">
        <f t="shared" ref="AG48:AG53" si="29">N48/K48</f>
        <v>0.94471010331536331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2672</v>
      </c>
      <c r="H49" s="134">
        <f>F49*G49</f>
        <v>132317.44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1619.3939393939397</v>
      </c>
      <c r="O49" s="141">
        <f>N49/M49</f>
        <v>95.258467023172926</v>
      </c>
      <c r="P49" s="229">
        <f>M49-J49</f>
        <v>0</v>
      </c>
      <c r="Q49" s="230">
        <f>O49-L49</f>
        <v>-10.623885918003538</v>
      </c>
      <c r="R49" s="52">
        <f t="shared" si="27"/>
        <v>0.89966329966329994</v>
      </c>
      <c r="S49" s="748">
        <f>R58</f>
        <v>0.86020996212309719</v>
      </c>
      <c r="T49" s="191">
        <v>0.29166666666666702</v>
      </c>
      <c r="U49" s="191">
        <v>0.360416666666667</v>
      </c>
      <c r="V49" s="55"/>
      <c r="W49" s="193">
        <f t="shared" si="12"/>
        <v>98.999999999999972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8"/>
        <v>-180.60606060606028</v>
      </c>
      <c r="AG49" s="52">
        <f t="shared" si="29"/>
        <v>0.89966329966329983</v>
      </c>
      <c r="AH49" s="784">
        <f>AG58</f>
        <v>0.86014964166367647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1469</v>
      </c>
      <c r="H50" s="231">
        <f>F50*G50</f>
        <v>73874.540999999997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1493.8983050847551</v>
      </c>
      <c r="O50" s="235">
        <f>N50/M50</f>
        <v>87.876370887338538</v>
      </c>
      <c r="P50" s="74">
        <f>M50-J50</f>
        <v>0</v>
      </c>
      <c r="Q50" s="83">
        <f>O50-L50</f>
        <v>-8.3589232303085197</v>
      </c>
      <c r="R50" s="72">
        <f t="shared" si="27"/>
        <v>0.91314077327919019</v>
      </c>
      <c r="S50" s="749"/>
      <c r="T50" s="21">
        <v>0.36736111111111103</v>
      </c>
      <c r="U50" s="21">
        <v>0.40833333333333299</v>
      </c>
      <c r="V50" s="30">
        <f>(T50-U49)*24*60</f>
        <v>9.9999999999994049</v>
      </c>
      <c r="W50" s="236">
        <f t="shared" si="12"/>
        <v>58.999999999999631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8"/>
        <v>-142.10169491524493</v>
      </c>
      <c r="AG50" s="72">
        <f t="shared" si="29"/>
        <v>0.91314077327919019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1553</v>
      </c>
      <c r="H51" s="231">
        <f>F51*G51</f>
        <v>77603.41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1502.9032258064724</v>
      </c>
      <c r="O51" s="235">
        <f>N51/M51</f>
        <v>93.931451612904524</v>
      </c>
      <c r="P51" s="74">
        <f>M51-J51</f>
        <v>0</v>
      </c>
      <c r="Q51" s="83">
        <f>O51-L51</f>
        <v>-18.568548387095476</v>
      </c>
      <c r="R51" s="72">
        <f t="shared" si="27"/>
        <v>0.83494623655915134</v>
      </c>
      <c r="S51" s="749"/>
      <c r="T51" s="21">
        <v>0.41527777777777802</v>
      </c>
      <c r="U51" s="19">
        <v>0.45833333333333298</v>
      </c>
      <c r="V51" s="30">
        <f>(T51-U50)*24*60</f>
        <v>10.000000000000844</v>
      </c>
      <c r="W51" s="236">
        <f t="shared" si="12"/>
        <v>61.99999999999914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8"/>
        <v>-297.09677419352761</v>
      </c>
      <c r="AG51" s="72">
        <f t="shared" si="29"/>
        <v>0.83494623655915134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3605</v>
      </c>
      <c r="H52" s="231">
        <f>F52*G52</f>
        <v>180141.85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1602.2222222222222</v>
      </c>
      <c r="O52" s="235">
        <f>N52/M52</f>
        <v>100.13888888888889</v>
      </c>
      <c r="P52" s="74">
        <f>M52-J52</f>
        <v>0</v>
      </c>
      <c r="Q52" s="83">
        <f>O52-L52</f>
        <v>-12.361111111111114</v>
      </c>
      <c r="R52" s="72">
        <f t="shared" si="27"/>
        <v>0.89012345679012339</v>
      </c>
      <c r="S52" s="749"/>
      <c r="T52" s="21">
        <v>0.51875000000000004</v>
      </c>
      <c r="U52" s="21">
        <v>0.61250000000000004</v>
      </c>
      <c r="V52" s="30">
        <f>(T52-U51)*24*60</f>
        <v>87.000000000000568</v>
      </c>
      <c r="W52" s="236">
        <f t="shared" si="12"/>
        <v>135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8"/>
        <v>-197.77777777777783</v>
      </c>
      <c r="AG52" s="72">
        <f t="shared" si="29"/>
        <v>0.89012345679012339</v>
      </c>
      <c r="AH52" s="785"/>
    </row>
    <row r="53" spans="1:34" ht="15" customHeight="1">
      <c r="A53" s="812"/>
      <c r="B53" s="101" t="s">
        <v>81</v>
      </c>
      <c r="C53" s="102"/>
      <c r="D53" s="103" t="s">
        <v>128</v>
      </c>
      <c r="E53" s="104"/>
      <c r="F53" s="75">
        <f>VLOOKUP(D53,廠價表!$C$1:$E$43,3,0)</f>
        <v>50.289000000000001</v>
      </c>
      <c r="G53" s="202">
        <v>517</v>
      </c>
      <c r="H53" s="231">
        <f>F53*G53</f>
        <v>25999.413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>K53/J53</f>
        <v>96.235294117647058</v>
      </c>
      <c r="M53" s="108">
        <v>17</v>
      </c>
      <c r="N53" s="234">
        <f>G53/W53*60</f>
        <v>1240.8000000000125</v>
      </c>
      <c r="O53" s="235">
        <f>N53/M53</f>
        <v>72.988235294118383</v>
      </c>
      <c r="P53" s="74">
        <f>M53-J53</f>
        <v>0</v>
      </c>
      <c r="Q53" s="83">
        <f>O53-L53</f>
        <v>-23.247058823528675</v>
      </c>
      <c r="R53" s="72">
        <f t="shared" si="27"/>
        <v>0.75843520782396856</v>
      </c>
      <c r="S53" s="749"/>
      <c r="T53" s="21">
        <v>0.61805555555555602</v>
      </c>
      <c r="U53" s="21">
        <v>0.63541666666666696</v>
      </c>
      <c r="V53" s="30">
        <f>(T53-U52)*24*60</f>
        <v>8.0000000000006111</v>
      </c>
      <c r="W53" s="236">
        <f t="shared" si="12"/>
        <v>24.999999999999751</v>
      </c>
      <c r="X53" s="30"/>
      <c r="Y53" s="151"/>
      <c r="Z53" s="90"/>
      <c r="AA53" s="90"/>
      <c r="AB53" s="789" t="s">
        <v>149</v>
      </c>
      <c r="AC53" s="789"/>
      <c r="AD53" s="92"/>
      <c r="AE53" s="92"/>
      <c r="AF53" s="307">
        <f t="shared" si="28"/>
        <v>-395.19999999998754</v>
      </c>
      <c r="AG53" s="72">
        <f t="shared" si="29"/>
        <v>0.75843520782396845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30">AVERAGE(J49:J57)</f>
        <v>16.600000000000001</v>
      </c>
      <c r="K58" s="120">
        <f t="shared" si="30"/>
        <v>1734.4</v>
      </c>
      <c r="L58" s="117">
        <f t="shared" si="30"/>
        <v>104.67058823529412</v>
      </c>
      <c r="M58" s="120">
        <f t="shared" si="30"/>
        <v>16.600000000000001</v>
      </c>
      <c r="N58" s="120">
        <f t="shared" si="30"/>
        <v>1491.8435385014805</v>
      </c>
      <c r="O58" s="117">
        <f t="shared" si="30"/>
        <v>90.03868274128466</v>
      </c>
      <c r="P58" s="121">
        <f>M58-J58</f>
        <v>0</v>
      </c>
      <c r="Q58" s="122">
        <f>N58-K58</f>
        <v>-242.55646149851964</v>
      </c>
      <c r="R58" s="123">
        <f>O58/L58</f>
        <v>0.86020996212309719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-242.55646149851964</v>
      </c>
      <c r="AG58" s="124">
        <f>N58/K58</f>
        <v>0.86014964166367647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2990</v>
      </c>
      <c r="H59" s="243">
        <f>F59*G59</f>
        <v>80700.099999999991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1560.0000000000023</v>
      </c>
      <c r="O59" s="138">
        <f>N59/M59</f>
        <v>104.00000000000016</v>
      </c>
      <c r="P59" s="56">
        <f>M59-J59</f>
        <v>0</v>
      </c>
      <c r="Q59" s="230">
        <f>O59-L59</f>
        <v>-5.0666666666665066</v>
      </c>
      <c r="R59" s="52">
        <f>O59/L59</f>
        <v>0.95354523227384014</v>
      </c>
      <c r="S59" s="748">
        <f>R69</f>
        <v>0.90271505912878169</v>
      </c>
      <c r="T59" s="245">
        <v>0.29513888888888901</v>
      </c>
      <c r="U59" s="245">
        <v>0.375</v>
      </c>
      <c r="V59" s="55"/>
      <c r="W59" s="54">
        <f t="shared" si="12"/>
        <v>114.99999999999983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-75.999999999997726</v>
      </c>
      <c r="AG59" s="246">
        <f>N59/K59</f>
        <v>0.95354523227384003</v>
      </c>
      <c r="AH59" s="784">
        <f>AG69</f>
        <v>0.90610373733845218</v>
      </c>
    </row>
    <row r="60" spans="1:34" ht="15" customHeight="1">
      <c r="A60" s="826"/>
      <c r="B60" s="250" t="s">
        <v>130</v>
      </c>
      <c r="C60" s="251"/>
      <c r="D60" s="252" t="s">
        <v>133</v>
      </c>
      <c r="E60" s="253"/>
      <c r="F60" s="250">
        <f>VLOOKUP(D60,廠價表!$C$1:$E$43,3,0)</f>
        <v>28.26</v>
      </c>
      <c r="G60" s="38">
        <v>864</v>
      </c>
      <c r="H60" s="254">
        <f>F60*G60</f>
        <v>24416.640000000003</v>
      </c>
      <c r="I60" s="182"/>
      <c r="J60" s="106">
        <f>VLOOKUP(D60,產線配置圖!$A$3:$C$40,2,0)</f>
        <v>11</v>
      </c>
      <c r="K60" s="107">
        <f>VLOOKUP(D60,產線配置圖!$A$3:$C$40,3,0)</f>
        <v>1636</v>
      </c>
      <c r="L60" s="238">
        <f>K60/J60</f>
        <v>148.72727272727272</v>
      </c>
      <c r="M60" s="108">
        <v>11</v>
      </c>
      <c r="N60" s="107">
        <f>G60/W60*60</f>
        <v>1481.1428571428287</v>
      </c>
      <c r="O60" s="238">
        <f>N60/M60</f>
        <v>134.64935064934807</v>
      </c>
      <c r="P60" s="111">
        <f>M60-J60</f>
        <v>0</v>
      </c>
      <c r="Q60" s="255">
        <f>O60-L60</f>
        <v>-14.077922077924654</v>
      </c>
      <c r="R60" s="85">
        <f>O60/L60</f>
        <v>0.90534404470833052</v>
      </c>
      <c r="S60" s="829"/>
      <c r="T60" s="22">
        <v>0.39236111111111099</v>
      </c>
      <c r="U60" s="22">
        <v>0.41666666666666702</v>
      </c>
      <c r="V60" s="30">
        <f>(T60-U59)*24*60</f>
        <v>24.999999999999829</v>
      </c>
      <c r="W60" s="248">
        <f t="shared" si="12"/>
        <v>35.000000000000675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-154.85714285717131</v>
      </c>
      <c r="AG60" s="249">
        <f>N60/K60</f>
        <v>0.90534404470833052</v>
      </c>
      <c r="AH60" s="820"/>
    </row>
    <row r="61" spans="1:34" ht="15" customHeight="1">
      <c r="A61" s="827"/>
      <c r="B61" s="250" t="s">
        <v>130</v>
      </c>
      <c r="C61" s="251"/>
      <c r="D61" s="699" t="s">
        <v>132</v>
      </c>
      <c r="E61" s="253"/>
      <c r="F61" s="250">
        <f>VLOOKUP(D61,廠價表!$C$1:$E$43,3,0)</f>
        <v>28.26</v>
      </c>
      <c r="G61" s="38">
        <v>1257</v>
      </c>
      <c r="H61" s="254">
        <f t="shared" ref="H61:H62" si="31">F61*G61</f>
        <v>35522.82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 t="shared" ref="L61:L62" si="32">K61/J61</f>
        <v>148.72727272727272</v>
      </c>
      <c r="M61" s="108">
        <v>11</v>
      </c>
      <c r="N61" s="107">
        <f t="shared" ref="N61:N62" si="33">G61/W61*60</f>
        <v>1508.4000000000103</v>
      </c>
      <c r="O61" s="238">
        <f t="shared" ref="O61:O62" si="34">N61/M61</f>
        <v>137.12727272727366</v>
      </c>
      <c r="P61" s="111">
        <f t="shared" ref="P61:P62" si="35">M61-J61</f>
        <v>0</v>
      </c>
      <c r="Q61" s="255">
        <f t="shared" ref="Q61:Q62" si="36">O61-L61</f>
        <v>-11.599999999999056</v>
      </c>
      <c r="R61" s="85">
        <f t="shared" ref="R61:R62" si="37">O61/L61</f>
        <v>0.92200488997555641</v>
      </c>
      <c r="S61" s="749"/>
      <c r="T61" s="22">
        <v>0.42013888888888901</v>
      </c>
      <c r="U61" s="22">
        <v>0.45486111111111099</v>
      </c>
      <c r="V61" s="30">
        <f>(T61-U60)*24*60</f>
        <v>4.9999999999996625</v>
      </c>
      <c r="W61" s="256">
        <f t="shared" si="12"/>
        <v>49.999999999999659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-127.59999999998968</v>
      </c>
      <c r="AG61" s="247">
        <f>N61/K61</f>
        <v>0.92200488997555641</v>
      </c>
      <c r="AH61" s="785"/>
    </row>
    <row r="62" spans="1:34" ht="15" customHeight="1">
      <c r="A62" s="827"/>
      <c r="B62" s="75" t="s">
        <v>130</v>
      </c>
      <c r="C62" s="76"/>
      <c r="D62" s="175" t="s">
        <v>134</v>
      </c>
      <c r="E62" s="77"/>
      <c r="F62" s="250">
        <f>VLOOKUP(D62,廠價表!$C$1:$E$43,3,0)</f>
        <v>28.26</v>
      </c>
      <c r="G62" s="30">
        <v>1380</v>
      </c>
      <c r="H62" s="254">
        <f t="shared" si="31"/>
        <v>38998.800000000003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si="32"/>
        <v>148.72727272727272</v>
      </c>
      <c r="M62" s="82">
        <v>11</v>
      </c>
      <c r="N62" s="107">
        <f t="shared" si="33"/>
        <v>1379.9999999999902</v>
      </c>
      <c r="O62" s="238">
        <f t="shared" si="34"/>
        <v>125.45454545454457</v>
      </c>
      <c r="P62" s="111">
        <f t="shared" si="35"/>
        <v>0</v>
      </c>
      <c r="Q62" s="255">
        <f t="shared" si="36"/>
        <v>-23.272727272728147</v>
      </c>
      <c r="R62" s="85">
        <f t="shared" si="37"/>
        <v>0.84352078239608208</v>
      </c>
      <c r="S62" s="749"/>
      <c r="T62" s="22">
        <v>0.53472222222222199</v>
      </c>
      <c r="U62" s="22">
        <v>0.57638888888888895</v>
      </c>
      <c r="V62" s="30">
        <f>(T62-U61)*24*60</f>
        <v>114.99999999999983</v>
      </c>
      <c r="W62" s="248">
        <f t="shared" si="12"/>
        <v>60.000000000000426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-256.00000000000978</v>
      </c>
      <c r="AG62" s="247">
        <f>N62/K62</f>
        <v>0.84352078239608208</v>
      </c>
      <c r="AH62" s="785"/>
    </row>
    <row r="63" spans="1:34" ht="15" customHeight="1">
      <c r="A63" s="827"/>
      <c r="B63" s="75"/>
      <c r="C63" s="76"/>
      <c r="D63" s="175"/>
      <c r="E63" s="77"/>
      <c r="F63" s="250"/>
      <c r="G63" s="30"/>
      <c r="H63" s="254"/>
      <c r="I63" s="182"/>
      <c r="J63" s="106"/>
      <c r="K63" s="107"/>
      <c r="L63" s="238"/>
      <c r="M63" s="82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2"/>
      <c r="U66" s="22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8">AVERAGE(J59:J68)</f>
        <v>12</v>
      </c>
      <c r="K69" s="240">
        <f t="shared" si="38"/>
        <v>1636</v>
      </c>
      <c r="L69" s="268">
        <f t="shared" si="38"/>
        <v>138.81212121212121</v>
      </c>
      <c r="M69" s="240">
        <f t="shared" si="38"/>
        <v>12</v>
      </c>
      <c r="N69" s="240">
        <f t="shared" si="38"/>
        <v>1482.3857142857078</v>
      </c>
      <c r="O69" s="268">
        <f t="shared" si="38"/>
        <v>125.30779220779161</v>
      </c>
      <c r="P69" s="269">
        <f>M69-J69</f>
        <v>0</v>
      </c>
      <c r="Q69" s="222">
        <f>N69-K69</f>
        <v>-153.61428571429224</v>
      </c>
      <c r="R69" s="123">
        <f>O69/L69</f>
        <v>0.90271505912878169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-153.61428571429224</v>
      </c>
      <c r="AG69" s="124">
        <f>N69/K69</f>
        <v>0.90610373733845218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1782</v>
      </c>
      <c r="H70" s="243">
        <f>F70*G70</f>
        <v>50359.32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11</v>
      </c>
      <c r="N70" s="137">
        <f>G70/W70*60</f>
        <v>1485.0000000000002</v>
      </c>
      <c r="O70" s="138">
        <f>N70/M70</f>
        <v>135.00000000000003</v>
      </c>
      <c r="P70" s="56">
        <f>M70-J70</f>
        <v>0</v>
      </c>
      <c r="Q70" s="230">
        <f>O70-L70</f>
        <v>-13.727272727272691</v>
      </c>
      <c r="R70" s="52">
        <f>O70/L70</f>
        <v>0.90770171149144274</v>
      </c>
      <c r="S70" s="748">
        <f>R79</f>
        <v>0.90770171149144274</v>
      </c>
      <c r="T70" s="245">
        <v>0.40833333333333299</v>
      </c>
      <c r="U70" s="245">
        <v>0.45833333333333298</v>
      </c>
      <c r="V70" s="55"/>
      <c r="W70" s="54">
        <f t="shared" si="12"/>
        <v>71.999999999999986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-150.99999999999977</v>
      </c>
      <c r="AG70" s="246">
        <f>N70/K70</f>
        <v>0.90770171149144263</v>
      </c>
      <c r="AH70" s="784">
        <f>AG79</f>
        <v>0.90770171149144263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9">AVERAGE(J70:J78)</f>
        <v>11</v>
      </c>
      <c r="K79" s="240">
        <f t="shared" si="39"/>
        <v>1636</v>
      </c>
      <c r="L79" s="268">
        <f t="shared" si="39"/>
        <v>148.72727272727272</v>
      </c>
      <c r="M79" s="240">
        <f t="shared" si="39"/>
        <v>11</v>
      </c>
      <c r="N79" s="240">
        <f t="shared" si="39"/>
        <v>1485.0000000000002</v>
      </c>
      <c r="O79" s="268">
        <f t="shared" si="39"/>
        <v>135.00000000000003</v>
      </c>
      <c r="P79" s="269">
        <f>M79-J79</f>
        <v>0</v>
      </c>
      <c r="Q79" s="222">
        <f>N79-K79</f>
        <v>-150.99999999999977</v>
      </c>
      <c r="R79" s="223">
        <f>O79/L79</f>
        <v>0.90770171149144274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-150.99999999999977</v>
      </c>
      <c r="AG79" s="124">
        <f>N79/K79</f>
        <v>0.90770171149144263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48" priority="1" operator="greaterThan">
      <formula>0</formula>
    </cfRule>
  </conditionalFormatting>
  <conditionalFormatting sqref="Q5:Q79 AF5:AF79">
    <cfRule type="cellIs" dxfId="47" priority="4" operator="lessThan">
      <formula>0</formula>
    </cfRule>
  </conditionalFormatting>
  <conditionalFormatting sqref="R5:R79 AG5:AG79">
    <cfRule type="cellIs" dxfId="46" priority="2" operator="greaterThan">
      <formula>1</formula>
    </cfRule>
    <cfRule type="cellIs" dxfId="45" priority="3" operator="lessThan">
      <formula>0.8</formula>
    </cfRule>
  </conditionalFormatting>
  <conditionalFormatting sqref="S5:S10 S37:S62 AH59:AH62 S69:S76 AH69:AH76">
    <cfRule type="cellIs" dxfId="44" priority="7" operator="lessThan">
      <formula>0.8</formula>
    </cfRule>
  </conditionalFormatting>
  <conditionalFormatting sqref="S19:S25 AH19:AH25">
    <cfRule type="cellIs" dxfId="43" priority="6" operator="lessThan">
      <formula>0.8</formula>
    </cfRule>
  </conditionalFormatting>
  <conditionalFormatting sqref="S79">
    <cfRule type="cellIs" dxfId="42" priority="5" operator="lessThan">
      <formula>0.8</formula>
    </cfRule>
  </conditionalFormatting>
  <conditionalFormatting sqref="AH5:AH8 S15:S16 AH15:AH16 AH49 AH79">
    <cfRule type="cellIs" dxfId="41" priority="9" operator="lessThan">
      <formula>0.8</formula>
    </cfRule>
  </conditionalFormatting>
  <conditionalFormatting sqref="AH27 S27:S28">
    <cfRule type="cellIs" dxfId="4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6ADC-8D60-4D9E-9587-10F713EAA619}">
  <dimension ref="B1:O26"/>
  <sheetViews>
    <sheetView topLeftCell="B1" zoomScale="70" zoomScaleNormal="70" workbookViewId="0">
      <selection activeCell="D18" sqref="D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DATE(2026,8,28)</f>
        <v>46262</v>
      </c>
      <c r="E3" s="706"/>
      <c r="F3" s="3" t="s">
        <v>72</v>
      </c>
      <c r="G3" s="707">
        <f>'0828'!E1</f>
        <v>40512</v>
      </c>
      <c r="H3" s="707"/>
      <c r="I3" s="3" t="s">
        <v>2</v>
      </c>
      <c r="J3" s="708">
        <f>'0828'!G1</f>
        <v>1870388.1440000003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125.85707200362661</v>
      </c>
      <c r="G6" s="713"/>
      <c r="H6" s="714">
        <f>AVERAGE(D13:H13)</f>
        <v>123.96394742512389</v>
      </c>
      <c r="I6" s="714"/>
      <c r="J6" s="714">
        <f>AVERAGE(I13:J13)</f>
        <v>130.58988344988347</v>
      </c>
      <c r="K6" s="714"/>
      <c r="L6" s="716">
        <f>'0828'!Z2</f>
        <v>0</v>
      </c>
      <c r="M6" s="717">
        <f>'0828'!AA2</f>
        <v>0</v>
      </c>
      <c r="N6" s="718">
        <f>'0828'!AD2</f>
        <v>0</v>
      </c>
      <c r="O6" s="717">
        <f>'0828'!AE2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111.96051694892695</v>
      </c>
      <c r="G7" s="737"/>
      <c r="H7" s="738">
        <f>AVERAGE(D14:H14)</f>
        <v>112.37697972201707</v>
      </c>
      <c r="I7" s="738"/>
      <c r="J7" s="738">
        <f>AVERAGE(I14:J14)</f>
        <v>110.91936001620167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0.88981110413220932</v>
      </c>
      <c r="G8" s="710"/>
      <c r="H8" s="710">
        <f>AVERAGE(D15:H15)</f>
        <v>0.90617223939040148</v>
      </c>
      <c r="I8" s="710"/>
      <c r="J8" s="710">
        <f>AVERAGE(I15:J15)</f>
        <v>0.84890826598672875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VALUE('0828'!L15)</f>
        <v>145.20387667887667</v>
      </c>
      <c r="E13" s="13">
        <f>VALUE('0828'!L26)</f>
        <v>173.76373626373626</v>
      </c>
      <c r="F13" s="13">
        <f>VALUE('0828'!L37)</f>
        <v>95.065767973856211</v>
      </c>
      <c r="G13" s="13">
        <f>VALUE('0828'!L48)</f>
        <v>99.006944444444443</v>
      </c>
      <c r="H13" s="13">
        <f>VALUE('0828'!L58)</f>
        <v>106.77941176470588</v>
      </c>
      <c r="I13" s="13">
        <f>VALUE('0828'!L69)</f>
        <v>140.79515151515153</v>
      </c>
      <c r="J13" s="13">
        <f>'0828'!L79</f>
        <v>120.38461538461539</v>
      </c>
    </row>
    <row r="14" spans="2:15" ht="39.950000000000003" customHeight="1">
      <c r="B14" s="731"/>
      <c r="C14" s="12" t="s">
        <v>100</v>
      </c>
      <c r="D14" s="13">
        <f>VALUE('0828'!O15)</f>
        <v>129.61733044732949</v>
      </c>
      <c r="E14" s="13">
        <f>VALUE('0828'!O26)</f>
        <v>158.66211205967821</v>
      </c>
      <c r="F14" s="13">
        <f>VALUE('0828'!O37)</f>
        <v>81.840184506465249</v>
      </c>
      <c r="G14" s="13">
        <f>VALUE('0828'!O48)</f>
        <v>92.94312169312181</v>
      </c>
      <c r="H14" s="13">
        <f>VALUE('0828'!O58)</f>
        <v>98.822149903490569</v>
      </c>
      <c r="I14" s="13">
        <f>VALUE('0828'!O69)</f>
        <v>120.35723855092188</v>
      </c>
      <c r="J14" s="13">
        <f>'0828'!O79</f>
        <v>101.48148148148147</v>
      </c>
    </row>
    <row r="15" spans="2:15" ht="39.950000000000003" customHeight="1">
      <c r="B15" s="732"/>
      <c r="C15" s="10" t="s">
        <v>26</v>
      </c>
      <c r="D15" s="14">
        <f t="shared" ref="D15:I15" si="0">D14/D13</f>
        <v>0.89265750620407092</v>
      </c>
      <c r="E15" s="14">
        <f t="shared" si="0"/>
        <v>0.91309104805885954</v>
      </c>
      <c r="F15" s="14">
        <f t="shared" si="0"/>
        <v>0.86087964417404073</v>
      </c>
      <c r="G15" s="14">
        <f t="shared" si="0"/>
        <v>0.93875356132493093</v>
      </c>
      <c r="H15" s="14">
        <f t="shared" si="0"/>
        <v>0.92547943719010584</v>
      </c>
      <c r="I15" s="14">
        <f t="shared" si="0"/>
        <v>0.8548393695074773</v>
      </c>
      <c r="J15" s="15">
        <f>'0828'!S70</f>
        <v>0.8429771624659802</v>
      </c>
    </row>
    <row r="16" spans="2:15" ht="17.25" customHeight="1">
      <c r="B16" s="733" t="s">
        <v>101</v>
      </c>
      <c r="C16" s="10" t="s">
        <v>34</v>
      </c>
      <c r="D16" s="16">
        <f>'0828'!T5</f>
        <v>0.29236111111111102</v>
      </c>
      <c r="E16" s="16">
        <f>'0828'!T16</f>
        <v>0.29027777777777802</v>
      </c>
      <c r="F16" s="16">
        <f>'0828'!T27</f>
        <v>0.29166666666666702</v>
      </c>
      <c r="G16" s="16">
        <f>'0828'!T38</f>
        <v>0.33333333333333298</v>
      </c>
      <c r="H16" s="16">
        <f>'0828'!T49</f>
        <v>0.29166666666666702</v>
      </c>
      <c r="I16" s="16">
        <f>'0828'!T59</f>
        <v>0.29513888888888901</v>
      </c>
      <c r="J16" s="17">
        <f>'0828'!T70</f>
        <v>0.296527777777778</v>
      </c>
    </row>
    <row r="17" spans="2:10" ht="17.25" customHeight="1">
      <c r="B17" s="734"/>
      <c r="C17" s="10" t="s">
        <v>35</v>
      </c>
      <c r="D17" s="327">
        <v>0.55416666666666703</v>
      </c>
      <c r="E17" s="19">
        <v>0.47777777777777802</v>
      </c>
      <c r="F17" s="19">
        <v>0.40972222222222199</v>
      </c>
      <c r="G17" s="328">
        <v>0.48611111111111099</v>
      </c>
      <c r="H17" s="21">
        <v>0.57986111111111105</v>
      </c>
      <c r="I17" s="22">
        <v>0.57777777777777795</v>
      </c>
      <c r="J17" s="110">
        <v>0.34027777777777801</v>
      </c>
    </row>
    <row r="18" spans="2:10" ht="17.25" customHeight="1">
      <c r="B18" s="735" t="s">
        <v>102</v>
      </c>
      <c r="C18" s="330" t="s">
        <v>36</v>
      </c>
      <c r="D18" s="386">
        <f>'0828'!Z15</f>
        <v>0</v>
      </c>
      <c r="E18" s="387">
        <f>'0828'!Z26</f>
        <v>0</v>
      </c>
      <c r="F18" s="387">
        <f>'0828'!Z37</f>
        <v>0</v>
      </c>
      <c r="G18" s="388">
        <f>'0828'!Z48</f>
        <v>0</v>
      </c>
      <c r="H18" s="388">
        <f>'0828'!Z58</f>
        <v>0</v>
      </c>
      <c r="I18" s="387">
        <f>'0828'!Z69</f>
        <v>0</v>
      </c>
      <c r="J18" s="387">
        <f>'0828'!AA79</f>
        <v>0</v>
      </c>
    </row>
    <row r="19" spans="2:10" ht="17.25" customHeight="1">
      <c r="B19" s="736"/>
      <c r="C19" s="330" t="s">
        <v>37</v>
      </c>
      <c r="D19" s="386">
        <f>'0828'!AA15</f>
        <v>0</v>
      </c>
      <c r="E19" s="387">
        <f>'0828'!AA26</f>
        <v>0</v>
      </c>
      <c r="F19" s="387">
        <f>'0828'!AA37</f>
        <v>0</v>
      </c>
      <c r="G19" s="388">
        <f>'0828'!AA48</f>
        <v>0</v>
      </c>
      <c r="H19" s="388">
        <f>'0828'!AA58</f>
        <v>0</v>
      </c>
      <c r="I19" s="387">
        <f>'0828'!AA69</f>
        <v>0</v>
      </c>
      <c r="J19" s="387">
        <f>'0828'!AB79</f>
        <v>0</v>
      </c>
    </row>
    <row r="20" spans="2:10" ht="17.25" customHeight="1">
      <c r="B20" s="735" t="s">
        <v>103</v>
      </c>
      <c r="C20" s="330" t="s">
        <v>36</v>
      </c>
      <c r="D20" s="386">
        <f>'0828'!AD15</f>
        <v>0</v>
      </c>
      <c r="E20" s="387">
        <f>'0828'!AD26</f>
        <v>0</v>
      </c>
      <c r="F20" s="387">
        <f>'0828'!AD37</f>
        <v>0</v>
      </c>
      <c r="G20" s="388">
        <f>'0828'!AD48</f>
        <v>0</v>
      </c>
      <c r="H20" s="388">
        <f>'0828'!AD58</f>
        <v>0</v>
      </c>
      <c r="I20" s="387">
        <f>'0828'!AD69</f>
        <v>0</v>
      </c>
      <c r="J20" s="387">
        <f>'0828'!AD79</f>
        <v>0</v>
      </c>
    </row>
    <row r="21" spans="2:10" ht="17.25" customHeight="1">
      <c r="B21" s="736"/>
      <c r="C21" s="330" t="s">
        <v>85</v>
      </c>
      <c r="D21" s="386">
        <f>'0828'!AE15</f>
        <v>0</v>
      </c>
      <c r="E21" s="387">
        <f>'0828'!AE26</f>
        <v>0</v>
      </c>
      <c r="F21" s="387">
        <f>'0828'!AE37</f>
        <v>0</v>
      </c>
      <c r="G21" s="388">
        <f>'0828'!AE48</f>
        <v>0</v>
      </c>
      <c r="H21" s="388">
        <f>'0828'!AE58</f>
        <v>0</v>
      </c>
      <c r="I21" s="387">
        <f>'0828'!AE69</f>
        <v>0</v>
      </c>
      <c r="J21" s="387">
        <f>'0828'!AE79</f>
        <v>0</v>
      </c>
    </row>
    <row r="22" spans="2:10" ht="17.25" customHeight="1">
      <c r="B22" s="719" t="s">
        <v>104</v>
      </c>
      <c r="C22" s="720"/>
      <c r="D22" s="23">
        <f>VALUE('0828'!M15)</f>
        <v>15</v>
      </c>
      <c r="E22" s="23">
        <f>VALUE('0828'!M26)</f>
        <v>13</v>
      </c>
      <c r="F22" s="23">
        <f>VALUE('0828'!M37)</f>
        <v>16.5</v>
      </c>
      <c r="G22" s="23">
        <f>VALUE('0828'!M48)</f>
        <v>17</v>
      </c>
      <c r="H22" s="23">
        <f>VALUE('0828'!M58)</f>
        <v>15.75</v>
      </c>
      <c r="I22" s="23">
        <f>VALUE('0828'!M69)</f>
        <v>11.8</v>
      </c>
      <c r="J22" s="23">
        <f>'0828'!M79</f>
        <v>9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3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4AA3-54EA-48D7-BE14-2FC2F8F4975B}">
  <sheetPr>
    <tabColor theme="9" tint="0.79998168889431442"/>
  </sheetPr>
  <dimension ref="A1:AJ92"/>
  <sheetViews>
    <sheetView zoomScale="69" zoomScaleNormal="69" workbookViewId="0">
      <pane xSplit="5" ySplit="4" topLeftCell="F20" activePane="bottomRight" state="frozen"/>
      <selection activeCell="G76" sqref="G76"/>
      <selection pane="topRight" activeCell="G76" sqref="G76"/>
      <selection pane="bottomLeft" activeCell="G76" sqref="G76"/>
      <selection pane="bottomRight" activeCell="U18" sqref="U18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40512</v>
      </c>
      <c r="F1" s="30" t="s">
        <v>2</v>
      </c>
      <c r="G1" s="31">
        <f>SUM(H5:H79)</f>
        <v>1870388.1440000003</v>
      </c>
      <c r="H1" s="32" t="s">
        <v>3</v>
      </c>
      <c r="I1" s="33">
        <f>M15+M26+M48+M58+M69+M79+M37</f>
        <v>98.05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202</v>
      </c>
      <c r="B2" s="739"/>
      <c r="C2" s="28"/>
      <c r="D2" s="28" t="s">
        <v>14</v>
      </c>
      <c r="E2" s="35">
        <f>AVERAGE(O15,O26,O37,O48,O58,O69,O79)</f>
        <v>111.96051694892695</v>
      </c>
      <c r="F2" s="36" t="s">
        <v>15</v>
      </c>
      <c r="G2" s="37">
        <f>G1/E1</f>
        <v>46.168743680884681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926</v>
      </c>
      <c r="H5" s="43">
        <f>F5*G5</f>
        <v>52661.619999999995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2136.9230769230257</v>
      </c>
      <c r="O5" s="47">
        <f>N5/M5</f>
        <v>152.63736263735899</v>
      </c>
      <c r="P5" s="49">
        <f>M5-J5</f>
        <v>0</v>
      </c>
      <c r="Q5" s="50">
        <f>O5-L5</f>
        <v>-8.0769230769267324</v>
      </c>
      <c r="R5" s="51">
        <f>O5/L5</f>
        <v>0.94974358974356698</v>
      </c>
      <c r="S5" s="748">
        <f>R15</f>
        <v>0.89265750620407092</v>
      </c>
      <c r="T5" s="319">
        <v>0.29236111111111102</v>
      </c>
      <c r="U5" s="320">
        <v>0.31041666666666701</v>
      </c>
      <c r="V5" s="53"/>
      <c r="W5" s="54">
        <f t="shared" ref="W5:W14" si="0">(U5-T5)*24*60</f>
        <v>26.000000000000625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-113.07692307697425</v>
      </c>
      <c r="AG5" s="52">
        <f t="shared" ref="AG5:AG11" si="2">N5/K5</f>
        <v>0.94974358974356698</v>
      </c>
      <c r="AH5" s="784">
        <f>AG15</f>
        <v>0.88670659915488215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740</v>
      </c>
      <c r="H6" s="63">
        <f>F6*G6</f>
        <v>37495.800000000003</v>
      </c>
      <c r="I6" s="64"/>
      <c r="J6" s="65">
        <v>16</v>
      </c>
      <c r="K6" s="66">
        <f>VLOOKUP(D6,產線配置圖!$A$3:$C$40,3,0)</f>
        <v>2250</v>
      </c>
      <c r="L6" s="67">
        <f>K6/J6</f>
        <v>140.625</v>
      </c>
      <c r="M6" s="68">
        <v>16</v>
      </c>
      <c r="N6" s="66">
        <f>G6/W6*60</f>
        <v>1585.7142857143185</v>
      </c>
      <c r="O6" s="67">
        <f>N6/M6</f>
        <v>99.107142857144908</v>
      </c>
      <c r="P6" s="69">
        <f>M6-J6</f>
        <v>0</v>
      </c>
      <c r="Q6" s="70">
        <f>O6-L6</f>
        <v>-41.517857142855092</v>
      </c>
      <c r="R6" s="71">
        <f>O6/L6</f>
        <v>0.70476190476191936</v>
      </c>
      <c r="S6" s="749"/>
      <c r="T6" s="16">
        <v>0.31666666666666698</v>
      </c>
      <c r="U6" s="16">
        <v>0.33611111111111103</v>
      </c>
      <c r="V6" s="30">
        <f>(T6-U5)*24*60</f>
        <v>8.999999999999968</v>
      </c>
      <c r="W6" s="73">
        <f t="shared" si="0"/>
        <v>27.999999999999421</v>
      </c>
      <c r="X6" s="22"/>
      <c r="Y6" s="84"/>
      <c r="Z6" s="90"/>
      <c r="AA6" s="90"/>
      <c r="AB6" s="788" t="s">
        <v>149</v>
      </c>
      <c r="AC6" s="788"/>
      <c r="AD6" s="149"/>
      <c r="AE6" s="149"/>
      <c r="AF6" s="307">
        <f t="shared" si="1"/>
        <v>-664.28571428568148</v>
      </c>
      <c r="AG6" s="72">
        <f t="shared" si="2"/>
        <v>0.70476190476191936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1241</v>
      </c>
      <c r="H7" s="78">
        <f>F7*G7</f>
        <v>72188.97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2127.4285714285352</v>
      </c>
      <c r="O7" s="81">
        <f>N7/M7</f>
        <v>163.64835164834886</v>
      </c>
      <c r="P7" s="74">
        <f>M7-J7</f>
        <v>0</v>
      </c>
      <c r="Q7" s="83">
        <f>O7-L7</f>
        <v>-9.4285714285742017</v>
      </c>
      <c r="R7" s="72">
        <f>O7/L7</f>
        <v>0.94552380952379345</v>
      </c>
      <c r="S7" s="749"/>
      <c r="T7" s="18">
        <v>0.34236111111111101</v>
      </c>
      <c r="U7" s="18">
        <v>0.36666666666666697</v>
      </c>
      <c r="V7" s="30">
        <f>(T7-U6)*24*60</f>
        <v>8.999999999999968</v>
      </c>
      <c r="W7" s="73">
        <f t="shared" si="0"/>
        <v>35.000000000000597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-122.57142857146482</v>
      </c>
      <c r="AG7" s="72">
        <f t="shared" si="2"/>
        <v>0.94552380952379345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4430</v>
      </c>
      <c r="H8" s="78">
        <f t="shared" ref="H8:H9" si="3">F8*G8</f>
        <v>217690.2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2126.4000000000133</v>
      </c>
      <c r="O8" s="81">
        <f t="shared" ref="O8:O9" si="6">N8/M8</f>
        <v>151.88571428571524</v>
      </c>
      <c r="P8" s="74">
        <f t="shared" ref="P8:P9" si="7">M8-J8</f>
        <v>0</v>
      </c>
      <c r="Q8" s="83">
        <f t="shared" ref="Q8:Q9" si="8">O8-L8</f>
        <v>-8.8285714285704842</v>
      </c>
      <c r="R8" s="72">
        <f t="shared" ref="R8:R9" si="9">O8/L8</f>
        <v>0.94506666666667249</v>
      </c>
      <c r="S8" s="749"/>
      <c r="T8" s="16">
        <v>0.374305555555556</v>
      </c>
      <c r="U8" s="16">
        <v>0.46111111111111103</v>
      </c>
      <c r="V8" s="30">
        <f t="shared" ref="V8:V9" si="10">(T8-U7)*24*60</f>
        <v>11.000000000000201</v>
      </c>
      <c r="W8" s="73">
        <f t="shared" si="0"/>
        <v>124.99999999999923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-123.59999999998672</v>
      </c>
      <c r="AG8" s="72">
        <f t="shared" si="2"/>
        <v>0.94506666666667261</v>
      </c>
      <c r="AH8" s="785"/>
    </row>
    <row r="9" spans="1:34" ht="15" customHeight="1">
      <c r="A9" s="756"/>
      <c r="B9" s="75" t="s">
        <v>116</v>
      </c>
      <c r="C9" s="76"/>
      <c r="D9" s="59" t="s">
        <v>117</v>
      </c>
      <c r="E9" s="77"/>
      <c r="F9" s="75">
        <f>VLOOKUP(D9,廠價表!$C$1:$E$43,3,0)</f>
        <v>44.3</v>
      </c>
      <c r="G9" s="66">
        <v>800</v>
      </c>
      <c r="H9" s="78">
        <f t="shared" si="3"/>
        <v>35440</v>
      </c>
      <c r="I9" s="73"/>
      <c r="J9" s="79">
        <f>VLOOKUP(D9,產線配置圖!$A$3:$C$40,2,0)</f>
        <v>18</v>
      </c>
      <c r="K9" s="80">
        <f>VLOOKUP(D9,產線配置圖!$A$3:$C$40,3,0)</f>
        <v>1636</v>
      </c>
      <c r="L9" s="81">
        <f t="shared" si="4"/>
        <v>90.888888888888886</v>
      </c>
      <c r="M9" s="82">
        <v>18</v>
      </c>
      <c r="N9" s="80">
        <f t="shared" si="5"/>
        <v>1454.5454545454313</v>
      </c>
      <c r="O9" s="81">
        <f t="shared" si="6"/>
        <v>80.808080808079524</v>
      </c>
      <c r="P9" s="74">
        <f t="shared" si="7"/>
        <v>0</v>
      </c>
      <c r="Q9" s="83">
        <f t="shared" si="8"/>
        <v>-10.080808080809362</v>
      </c>
      <c r="R9" s="72">
        <f t="shared" si="9"/>
        <v>0.88908646365857669</v>
      </c>
      <c r="S9" s="750"/>
      <c r="T9" s="16">
        <v>0.53125</v>
      </c>
      <c r="U9" s="16">
        <v>0.55416666666666703</v>
      </c>
      <c r="V9" s="30">
        <f t="shared" si="10"/>
        <v>101.00000000000011</v>
      </c>
      <c r="W9" s="73">
        <f t="shared" si="0"/>
        <v>33.000000000000526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-181.45454545456869</v>
      </c>
      <c r="AG9" s="72">
        <f t="shared" si="2"/>
        <v>0.88908646365857658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15</v>
      </c>
      <c r="K15" s="120">
        <f t="shared" si="11"/>
        <v>2127.1999999999998</v>
      </c>
      <c r="L15" s="117">
        <f t="shared" si="11"/>
        <v>145.20387667887667</v>
      </c>
      <c r="M15" s="120">
        <f t="shared" si="11"/>
        <v>15</v>
      </c>
      <c r="N15" s="120">
        <f t="shared" si="11"/>
        <v>1886.2022777222651</v>
      </c>
      <c r="O15" s="117">
        <f t="shared" si="11"/>
        <v>129.61733044732949</v>
      </c>
      <c r="P15" s="121">
        <f>M15-J15</f>
        <v>0</v>
      </c>
      <c r="Q15" s="122">
        <f>O15-L15</f>
        <v>-15.586546231547175</v>
      </c>
      <c r="R15" s="123">
        <f>O15/L15</f>
        <v>0.89265750620407092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-240.99772227773474</v>
      </c>
      <c r="AG15" s="124">
        <f>N15/K15</f>
        <v>0.88670659915488215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1262</v>
      </c>
      <c r="H16" s="134">
        <f>F16*G16</f>
        <v>71769.94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1941.5384615384883</v>
      </c>
      <c r="O16" s="141">
        <f>N16/M16</f>
        <v>138.68131868132059</v>
      </c>
      <c r="P16" s="142">
        <f>M16-J16</f>
        <v>0</v>
      </c>
      <c r="Q16" s="143">
        <f>O16-L16</f>
        <v>-22.032967032965132</v>
      </c>
      <c r="R16" s="144">
        <f>O16/L16</f>
        <v>0.86290598290599474</v>
      </c>
      <c r="S16" s="795">
        <f>R26</f>
        <v>0.91309104805885954</v>
      </c>
      <c r="T16" s="145">
        <v>0.29027777777777802</v>
      </c>
      <c r="U16" s="145">
        <v>0.31736111111111098</v>
      </c>
      <c r="V16" s="135"/>
      <c r="W16" s="146">
        <f t="shared" ref="W16:W78" si="12">(U16-T16)*24*60</f>
        <v>38.99999999999946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-308.46153846151174</v>
      </c>
      <c r="AG16" s="52">
        <f>N16/K16</f>
        <v>0.86290598290599474</v>
      </c>
      <c r="AH16" s="784">
        <f>AG26</f>
        <v>0.91074875691508717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2985</v>
      </c>
      <c r="H17" s="78">
        <f>F17*G17</f>
        <v>151249.95000000001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2058.6206896551607</v>
      </c>
      <c r="O17" s="96">
        <f>N17/M17</f>
        <v>158.35543766578161</v>
      </c>
      <c r="P17" s="97">
        <f>M17-J17</f>
        <v>0</v>
      </c>
      <c r="Q17" s="98">
        <f>O17-L17</f>
        <v>-14.721485411141458</v>
      </c>
      <c r="R17" s="99">
        <f>O17/L17</f>
        <v>0.91494252873562709</v>
      </c>
      <c r="S17" s="796"/>
      <c r="T17" s="19">
        <v>0.32569444444444401</v>
      </c>
      <c r="U17" s="19">
        <v>0.38611111111111102</v>
      </c>
      <c r="V17" s="30">
        <f>(T17-U16)*24*60</f>
        <v>11.999999999999558</v>
      </c>
      <c r="W17" s="149">
        <f t="shared" si="12"/>
        <v>87.000000000000483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-191.37931034483927</v>
      </c>
      <c r="AG17" s="72">
        <f>N17/K17</f>
        <v>0.91494252873562698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4259</v>
      </c>
      <c r="H18" s="78">
        <f>F18*G18</f>
        <v>214611.01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2147.3949579831892</v>
      </c>
      <c r="O18" s="96">
        <f>N18/M18</f>
        <v>178.94957983193243</v>
      </c>
      <c r="P18" s="97">
        <f>M18-J18</f>
        <v>0</v>
      </c>
      <c r="Q18" s="98">
        <f>O18-L18</f>
        <v>-8.5504201680675749</v>
      </c>
      <c r="R18" s="99">
        <f>O18/L18</f>
        <v>0.95439775910363955</v>
      </c>
      <c r="S18" s="796"/>
      <c r="T18" s="19">
        <v>0.39513888888888898</v>
      </c>
      <c r="U18" s="19">
        <v>0.47777777777777802</v>
      </c>
      <c r="V18" s="30">
        <f>(T18-U17)*24*60</f>
        <v>13.000000000000274</v>
      </c>
      <c r="W18" s="149">
        <f t="shared" si="12"/>
        <v>119.00000000000021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-102.60504201681078</v>
      </c>
      <c r="AG18" s="72">
        <f>N18/K18</f>
        <v>0.95439775910363966</v>
      </c>
      <c r="AH18" s="785"/>
    </row>
    <row r="19" spans="1:34" ht="15" customHeight="1">
      <c r="A19" s="802"/>
      <c r="B19" s="75"/>
      <c r="C19" s="76"/>
      <c r="D19" s="59"/>
      <c r="E19" s="77"/>
      <c r="F19" s="75"/>
      <c r="G19" s="147"/>
      <c r="H19" s="78"/>
      <c r="I19" s="30"/>
      <c r="J19" s="79"/>
      <c r="K19" s="80"/>
      <c r="L19" s="81"/>
      <c r="M19" s="148"/>
      <c r="N19" s="95"/>
      <c r="O19" s="96"/>
      <c r="P19" s="97"/>
      <c r="Q19" s="98"/>
      <c r="R19" s="99"/>
      <c r="S19" s="796"/>
      <c r="T19" s="19"/>
      <c r="U19" s="19"/>
      <c r="V19" s="30"/>
      <c r="W19" s="149">
        <f t="shared" si="12"/>
        <v>0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0</v>
      </c>
      <c r="AG19" s="72" t="e">
        <f>N19/K19</f>
        <v>#DIV/0!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13</v>
      </c>
      <c r="K26" s="155">
        <f t="shared" si="13"/>
        <v>2250</v>
      </c>
      <c r="L26" s="158">
        <f t="shared" si="13"/>
        <v>173.76373626373626</v>
      </c>
      <c r="M26" s="155">
        <f t="shared" si="13"/>
        <v>13</v>
      </c>
      <c r="N26" s="155">
        <f t="shared" si="13"/>
        <v>2049.1847030589461</v>
      </c>
      <c r="O26" s="158">
        <f t="shared" si="13"/>
        <v>158.66211205967821</v>
      </c>
      <c r="P26" s="159">
        <f>M26-J26</f>
        <v>0</v>
      </c>
      <c r="Q26" s="160">
        <f>O26-L26</f>
        <v>-15.101624204058055</v>
      </c>
      <c r="R26" s="161">
        <f>O26/L26</f>
        <v>0.91309104805885954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-200.81529694105393</v>
      </c>
      <c r="AG26" s="124">
        <f t="shared" ref="AG26:AG31" si="15">N26/K26</f>
        <v>0.91074875691508717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49.91</v>
      </c>
      <c r="G27" s="169">
        <v>712</v>
      </c>
      <c r="H27" s="134">
        <f>F27*G27</f>
        <v>35535.919999999998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1424.0000000000239</v>
      </c>
      <c r="O27" s="141">
        <f>N27/M27</f>
        <v>83.764705882354349</v>
      </c>
      <c r="P27" s="142">
        <f>M27-J27</f>
        <v>-1</v>
      </c>
      <c r="Q27" s="143">
        <f>O27-L27</f>
        <v>-7.1241830065345368</v>
      </c>
      <c r="R27" s="144">
        <f>O27/L27</f>
        <v>0.92161656838776185</v>
      </c>
      <c r="S27" s="795">
        <f>R37</f>
        <v>0.86087964417404073</v>
      </c>
      <c r="T27" s="171">
        <v>0.29166666666666702</v>
      </c>
      <c r="U27" s="171">
        <v>0.3125</v>
      </c>
      <c r="V27" s="135"/>
      <c r="W27" s="146">
        <f t="shared" si="12"/>
        <v>29.999999999999496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-211.99999999997613</v>
      </c>
      <c r="AG27" s="172">
        <f t="shared" si="15"/>
        <v>0.87041564792177495</v>
      </c>
      <c r="AH27" s="784">
        <f>AG37</f>
        <v>0.82436065083606613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704</v>
      </c>
      <c r="H28" s="91">
        <f>F28*G28</f>
        <v>40275.840000000004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1242.3529411764748</v>
      </c>
      <c r="O28" s="96">
        <f>N28/M28</f>
        <v>73.079584775086758</v>
      </c>
      <c r="P28" s="97">
        <f>M28-J28</f>
        <v>-1</v>
      </c>
      <c r="Q28" s="98">
        <f>O28-L28</f>
        <v>-17.809304113802128</v>
      </c>
      <c r="R28" s="99">
        <f>O28/L28</f>
        <v>0.80405411121733594</v>
      </c>
      <c r="S28" s="796"/>
      <c r="T28" s="19">
        <v>0.31805555555555598</v>
      </c>
      <c r="U28" s="19">
        <v>0.34166666666666701</v>
      </c>
      <c r="V28" s="92">
        <f>(T28-U27)*24*60</f>
        <v>8.0000000000006111</v>
      </c>
      <c r="W28" s="149">
        <f t="shared" si="12"/>
        <v>33.999999999999879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-393.64705882352519</v>
      </c>
      <c r="AG28" s="99">
        <f t="shared" si="15"/>
        <v>0.75938443837192837</v>
      </c>
      <c r="AH28" s="805"/>
    </row>
    <row r="29" spans="1:34" ht="15" customHeight="1">
      <c r="A29" s="793"/>
      <c r="B29" s="75" t="s">
        <v>81</v>
      </c>
      <c r="C29" s="173"/>
      <c r="D29" s="59" t="s">
        <v>122</v>
      </c>
      <c r="E29" s="104"/>
      <c r="F29" s="75">
        <f>VLOOKUP(D29,廠價表!$C$1:$E$43,3,0)</f>
        <v>46.34</v>
      </c>
      <c r="G29" s="90">
        <v>852</v>
      </c>
      <c r="H29" s="91">
        <f>F29*G29</f>
        <v>39481.68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>K29/J29</f>
        <v>102.25</v>
      </c>
      <c r="M29" s="94">
        <v>16</v>
      </c>
      <c r="N29" s="95">
        <f>G29/W29*60</f>
        <v>1345.2631578947303</v>
      </c>
      <c r="O29" s="96">
        <f>N29/M29</f>
        <v>84.078947368420643</v>
      </c>
      <c r="P29" s="97">
        <f>M29-J29</f>
        <v>0</v>
      </c>
      <c r="Q29" s="98">
        <f>O29-L29</f>
        <v>-18.171052631579357</v>
      </c>
      <c r="R29" s="99">
        <f>O29/L29</f>
        <v>0.82228799382318474</v>
      </c>
      <c r="S29" s="796"/>
      <c r="T29" s="19">
        <v>0.34861111111111098</v>
      </c>
      <c r="U29" s="19">
        <v>0.375</v>
      </c>
      <c r="V29" s="92">
        <f>(T29-U28)*24*60</f>
        <v>9.999999999999325</v>
      </c>
      <c r="W29" s="149">
        <f t="shared" si="12"/>
        <v>38.000000000000185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-290.73684210526972</v>
      </c>
      <c r="AG29" s="99">
        <f t="shared" si="15"/>
        <v>0.82228799382318474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922</v>
      </c>
      <c r="H30" s="91">
        <f>F30*G30</f>
        <v>42098.52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>K30/J30</f>
        <v>96.235294117647058</v>
      </c>
      <c r="M30" s="94">
        <v>16</v>
      </c>
      <c r="N30" s="95">
        <f>G30/W30*60</f>
        <v>1382.9999999999882</v>
      </c>
      <c r="O30" s="96">
        <f>N30/M30</f>
        <v>86.437499999999261</v>
      </c>
      <c r="P30" s="97">
        <f>M30-J30</f>
        <v>-1</v>
      </c>
      <c r="Q30" s="98">
        <f>O30-L30</f>
        <v>-9.797794117647797</v>
      </c>
      <c r="R30" s="99">
        <f>O30/L30</f>
        <v>0.89818918092908773</v>
      </c>
      <c r="S30" s="796"/>
      <c r="T30" s="19">
        <v>0.38194444444444398</v>
      </c>
      <c r="U30" s="19">
        <v>0.40972222222222199</v>
      </c>
      <c r="V30" s="92">
        <f>(T30-U29)*24*60</f>
        <v>9.999999999999325</v>
      </c>
      <c r="W30" s="149">
        <f t="shared" si="12"/>
        <v>40.000000000000341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-253.00000000001182</v>
      </c>
      <c r="AG30" s="99">
        <f t="shared" si="15"/>
        <v>0.84535452322737659</v>
      </c>
      <c r="AH30" s="806"/>
    </row>
    <row r="31" spans="1:34" ht="15" customHeight="1">
      <c r="A31" s="793"/>
      <c r="B31" s="75"/>
      <c r="C31" s="88"/>
      <c r="D31" s="59"/>
      <c r="E31" s="89"/>
      <c r="F31" s="75"/>
      <c r="G31" s="90"/>
      <c r="H31" s="91"/>
      <c r="I31" s="92"/>
      <c r="J31" s="79"/>
      <c r="K31" s="80"/>
      <c r="L31" s="93"/>
      <c r="M31" s="94"/>
      <c r="N31" s="95"/>
      <c r="O31" s="96"/>
      <c r="P31" s="97"/>
      <c r="Q31" s="98"/>
      <c r="R31" s="99"/>
      <c r="S31" s="796"/>
      <c r="T31" s="19"/>
      <c r="U31" s="19"/>
      <c r="V31" s="92"/>
      <c r="W31" s="149">
        <f t="shared" si="12"/>
        <v>0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0</v>
      </c>
      <c r="AG31" s="99" t="e">
        <f t="shared" si="15"/>
        <v>#DIV/0!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50"/>
      <c r="U32" s="150"/>
      <c r="V32" s="92"/>
      <c r="W32" s="149">
        <f t="shared" si="12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16">AVERAGE(J27:J36)</f>
        <v>17.25</v>
      </c>
      <c r="K37" s="155">
        <f t="shared" si="16"/>
        <v>1636</v>
      </c>
      <c r="L37" s="158">
        <f t="shared" si="16"/>
        <v>95.065767973856211</v>
      </c>
      <c r="M37" s="155">
        <f t="shared" si="16"/>
        <v>16.5</v>
      </c>
      <c r="N37" s="155">
        <f t="shared" si="16"/>
        <v>1348.6540247678042</v>
      </c>
      <c r="O37" s="158">
        <f t="shared" si="16"/>
        <v>81.840184506465249</v>
      </c>
      <c r="P37" s="159">
        <f>M37-J37</f>
        <v>-0.75</v>
      </c>
      <c r="Q37" s="160">
        <f>N37-K37</f>
        <v>-287.34597523219577</v>
      </c>
      <c r="R37" s="161">
        <f>O37/L37</f>
        <v>0.86087964417404073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-287.34597523219577</v>
      </c>
      <c r="AG37" s="124">
        <f>N37/K37</f>
        <v>0.82436065083606613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1924</v>
      </c>
      <c r="H38" s="134">
        <f>F38*G38</f>
        <v>96026.84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16</v>
      </c>
      <c r="N38" s="140">
        <f>G38/W38*60</f>
        <v>1649.142857142861</v>
      </c>
      <c r="O38" s="141">
        <f>N38/M38</f>
        <v>103.07142857142881</v>
      </c>
      <c r="P38" s="142">
        <f>M38-J38</f>
        <v>0</v>
      </c>
      <c r="Q38" s="143">
        <f>O38-L38</f>
        <v>-4.053571428571189</v>
      </c>
      <c r="R38" s="144">
        <f>O38/L38</f>
        <v>0.96216036006001227</v>
      </c>
      <c r="S38" s="817">
        <f>R48</f>
        <v>0.93875356132493093</v>
      </c>
      <c r="T38" s="191">
        <v>0.33333333333333298</v>
      </c>
      <c r="U38" s="191">
        <v>0.38194444444444398</v>
      </c>
      <c r="V38" s="192"/>
      <c r="W38" s="193">
        <f t="shared" si="12"/>
        <v>69.999999999999829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-64.857142857139024</v>
      </c>
      <c r="AG38" s="195">
        <f>N38/K38</f>
        <v>0.96216036006001227</v>
      </c>
      <c r="AH38" s="807">
        <f>AG48</f>
        <v>0.93725657427150078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3354</v>
      </c>
      <c r="H39" s="91">
        <f>F39*G39</f>
        <v>148582.19999999998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1490.6666666666667</v>
      </c>
      <c r="O39" s="203">
        <f>N39/M39</f>
        <v>82.814814814814824</v>
      </c>
      <c r="P39" s="97">
        <f>M39-J39</f>
        <v>0</v>
      </c>
      <c r="Q39" s="98">
        <f>O39-L39</f>
        <v>-8.074074074074062</v>
      </c>
      <c r="R39" s="99">
        <f>O39/L39</f>
        <v>0.91116544417277923</v>
      </c>
      <c r="S39" s="818"/>
      <c r="T39" s="20">
        <v>0.39236111111111099</v>
      </c>
      <c r="U39" s="20">
        <v>0.48611111111111099</v>
      </c>
      <c r="V39" s="92">
        <f>(T39-U38)*24*60</f>
        <v>15.000000000000506</v>
      </c>
      <c r="W39" s="205">
        <f t="shared" si="12"/>
        <v>135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-145.33333333333326</v>
      </c>
      <c r="AG39" s="206">
        <f>N39/K39</f>
        <v>0.91116544417277923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17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17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17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17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17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18">AVERAGE(J38:J47)</f>
        <v>17</v>
      </c>
      <c r="K48" s="155">
        <f t="shared" si="18"/>
        <v>1675</v>
      </c>
      <c r="L48" s="158">
        <f t="shared" si="18"/>
        <v>99.006944444444443</v>
      </c>
      <c r="M48" s="155">
        <f t="shared" si="18"/>
        <v>17</v>
      </c>
      <c r="N48" s="155">
        <f t="shared" si="18"/>
        <v>1569.9047619047637</v>
      </c>
      <c r="O48" s="158">
        <f t="shared" si="18"/>
        <v>92.94312169312181</v>
      </c>
      <c r="P48" s="221">
        <f>M48-J48</f>
        <v>0</v>
      </c>
      <c r="Q48" s="222">
        <f>N48-K48</f>
        <v>-105.09523809523625</v>
      </c>
      <c r="R48" s="223">
        <f>O48/L48</f>
        <v>0.93875356132493093</v>
      </c>
      <c r="S48" s="752"/>
      <c r="T48" s="224"/>
      <c r="U48" s="224"/>
      <c r="V48" s="225"/>
      <c r="W48" s="226">
        <f t="shared" si="17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19">N48-K48</f>
        <v>-105.09523809523625</v>
      </c>
      <c r="AG48" s="162">
        <f t="shared" ref="AG48:AG53" si="20">N48/K48</f>
        <v>0.93725657427150078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1878</v>
      </c>
      <c r="H49" s="134">
        <f>F49*G49</f>
        <v>92998.560000000012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1609.7142857142896</v>
      </c>
      <c r="O49" s="141">
        <f>N49/M49</f>
        <v>100.6071428571431</v>
      </c>
      <c r="P49" s="229">
        <f>M49-J49</f>
        <v>-1</v>
      </c>
      <c r="Q49" s="230">
        <f>O49-L49</f>
        <v>-5.2752100840333611</v>
      </c>
      <c r="R49" s="52">
        <f>O49/L49</f>
        <v>0.95017857142857376</v>
      </c>
      <c r="S49" s="748">
        <f>R58</f>
        <v>0.92547943719010584</v>
      </c>
      <c r="T49" s="191">
        <v>0.29166666666666702</v>
      </c>
      <c r="U49" s="191">
        <v>0.34027777777777801</v>
      </c>
      <c r="V49" s="55"/>
      <c r="W49" s="193">
        <f t="shared" si="12"/>
        <v>69.999999999999829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19"/>
        <v>-190.28571428571036</v>
      </c>
      <c r="AG49" s="52">
        <f t="shared" si="20"/>
        <v>0.89428571428571646</v>
      </c>
      <c r="AH49" s="784">
        <f>AG58</f>
        <v>0.88219014173626087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1556</v>
      </c>
      <c r="H50" s="231">
        <f>F50*G50</f>
        <v>78249.684000000008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1505.8064516129223</v>
      </c>
      <c r="O50" s="235">
        <f>N50/M50</f>
        <v>88.576850094877784</v>
      </c>
      <c r="P50" s="74">
        <f>M50-J50</f>
        <v>0</v>
      </c>
      <c r="Q50" s="83">
        <f>O50-L50</f>
        <v>-7.6584440227692738</v>
      </c>
      <c r="R50" s="72">
        <f>O50/L50</f>
        <v>0.9204195914504415</v>
      </c>
      <c r="S50" s="749"/>
      <c r="T50" s="21">
        <v>0.35138888888888897</v>
      </c>
      <c r="U50" s="21">
        <v>0.39444444444444399</v>
      </c>
      <c r="V50" s="30">
        <f>(T50-U49)*24*60</f>
        <v>15.999999999999783</v>
      </c>
      <c r="W50" s="236">
        <f t="shared" si="12"/>
        <v>61.999999999999218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19"/>
        <v>-130.19354838707773</v>
      </c>
      <c r="AG50" s="72">
        <f t="shared" si="20"/>
        <v>0.9204195914504415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2022</v>
      </c>
      <c r="H51" s="231">
        <f>F51*G51</f>
        <v>101039.34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15</v>
      </c>
      <c r="N51" s="234">
        <f t="shared" ref="N51:N52" si="21">G51/W51*60</f>
        <v>1461.6867469879501</v>
      </c>
      <c r="O51" s="235">
        <f t="shared" ref="O51:O52" si="22">N51/M51</f>
        <v>97.445783132530011</v>
      </c>
      <c r="P51" s="74">
        <f t="shared" ref="P51:P52" si="23">M51-J51</f>
        <v>-1</v>
      </c>
      <c r="Q51" s="83">
        <f t="shared" ref="Q51:Q52" si="24">O51-L51</f>
        <v>-15.054216867469989</v>
      </c>
      <c r="R51" s="72">
        <f t="shared" ref="R51:R52" si="25">O51/L51</f>
        <v>0.86618473895582226</v>
      </c>
      <c r="S51" s="749"/>
      <c r="T51" s="21">
        <v>0.40069444444444402</v>
      </c>
      <c r="U51" s="19">
        <v>0.45833333333333298</v>
      </c>
      <c r="V51" s="30">
        <f>(T51-U50)*24*60</f>
        <v>9.000000000000048</v>
      </c>
      <c r="W51" s="236">
        <f t="shared" si="12"/>
        <v>83.000000000000099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19"/>
        <v>-338.31325301204993</v>
      </c>
      <c r="AG51" s="72">
        <f t="shared" si="20"/>
        <v>0.81204819277108342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2309</v>
      </c>
      <c r="H52" s="231">
        <f>F52*G52</f>
        <v>115380.73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15</v>
      </c>
      <c r="N52" s="234">
        <f t="shared" si="21"/>
        <v>1629.8823529411698</v>
      </c>
      <c r="O52" s="235">
        <f t="shared" si="22"/>
        <v>108.65882352941132</v>
      </c>
      <c r="P52" s="74">
        <f t="shared" si="23"/>
        <v>-1</v>
      </c>
      <c r="Q52" s="83">
        <f t="shared" si="24"/>
        <v>-3.8411764705886782</v>
      </c>
      <c r="R52" s="72">
        <f t="shared" si="25"/>
        <v>0.96585620915032289</v>
      </c>
      <c r="S52" s="749"/>
      <c r="T52" s="21">
        <v>0.52083333333333304</v>
      </c>
      <c r="U52" s="21">
        <v>0.57986111111111105</v>
      </c>
      <c r="V52" s="30">
        <f>(T52-U51)*24*60</f>
        <v>90.000000000000085</v>
      </c>
      <c r="W52" s="236">
        <f t="shared" si="12"/>
        <v>85.000000000000341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19"/>
        <v>-170.11764705883024</v>
      </c>
      <c r="AG52" s="72">
        <f t="shared" si="20"/>
        <v>0.90549019607842762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19"/>
        <v>0</v>
      </c>
      <c r="AG53" s="72" t="e">
        <f t="shared" si="20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1759</v>
      </c>
      <c r="L58" s="117">
        <f t="shared" si="26"/>
        <v>106.77941176470588</v>
      </c>
      <c r="M58" s="120">
        <f t="shared" si="26"/>
        <v>15.75</v>
      </c>
      <c r="N58" s="120">
        <f t="shared" si="26"/>
        <v>1551.7724593140829</v>
      </c>
      <c r="O58" s="117">
        <f t="shared" si="26"/>
        <v>98.822149903490569</v>
      </c>
      <c r="P58" s="121">
        <f>M58-J58</f>
        <v>-0.75</v>
      </c>
      <c r="Q58" s="122">
        <f>N58-K58</f>
        <v>-207.22754068591712</v>
      </c>
      <c r="R58" s="123">
        <f t="shared" ref="R58:R63" si="27">O58/L58</f>
        <v>0.92547943719010584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-207.22754068591712</v>
      </c>
      <c r="AG58" s="124">
        <f>N58/K58</f>
        <v>0.88219014173626087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2497</v>
      </c>
      <c r="H59" s="243">
        <f>F59*G59</f>
        <v>67394.03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1577.0526315789532</v>
      </c>
      <c r="O59" s="138">
        <f>N59/M59</f>
        <v>105.13684210526354</v>
      </c>
      <c r="P59" s="56">
        <f>M59-J59</f>
        <v>0</v>
      </c>
      <c r="Q59" s="230">
        <f>O59-L59</f>
        <v>-3.9298245614031231</v>
      </c>
      <c r="R59" s="52">
        <f t="shared" si="27"/>
        <v>0.96396860120962902</v>
      </c>
      <c r="S59" s="748">
        <f>R69</f>
        <v>0.8548393695074773</v>
      </c>
      <c r="T59" s="245">
        <v>0.29513888888888901</v>
      </c>
      <c r="U59" s="245">
        <v>0.36111111111111099</v>
      </c>
      <c r="V59" s="55"/>
      <c r="W59" s="54">
        <f t="shared" si="12"/>
        <v>94.999999999999659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-58.947368421046804</v>
      </c>
      <c r="AG59" s="246">
        <f>N59/K59</f>
        <v>0.96396860120962913</v>
      </c>
      <c r="AH59" s="784">
        <f>AG69</f>
        <v>0.86065959519825885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1061</v>
      </c>
      <c r="H60" s="78">
        <f>F60*G60</f>
        <v>29983.86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1326.2500000000134</v>
      </c>
      <c r="O60" s="81">
        <f>N60/M60</f>
        <v>120.56818181818304</v>
      </c>
      <c r="P60" s="74">
        <f>M60-J60</f>
        <v>0</v>
      </c>
      <c r="Q60" s="83">
        <f>O60-L60</f>
        <v>-28.159090909089684</v>
      </c>
      <c r="R60" s="72">
        <f t="shared" si="27"/>
        <v>0.81066625916871238</v>
      </c>
      <c r="S60" s="829"/>
      <c r="T60" s="22">
        <v>0.36805555555555602</v>
      </c>
      <c r="U60" s="22">
        <v>0.40138888888888902</v>
      </c>
      <c r="V60" s="30">
        <f>(T60-U59)*24*60</f>
        <v>10.000000000000844</v>
      </c>
      <c r="W60" s="248">
        <f t="shared" si="12"/>
        <v>47.99999999999951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-309.74999999998658</v>
      </c>
      <c r="AG60" s="249">
        <f>N60/K60</f>
        <v>0.81066625916871238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626</v>
      </c>
      <c r="H61" s="254">
        <f>F61*G61</f>
        <v>17690.760000000002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1173.7499999999573</v>
      </c>
      <c r="O61" s="238">
        <f>N61/M61</f>
        <v>106.70454545454157</v>
      </c>
      <c r="P61" s="111">
        <f>M61-J61</f>
        <v>0</v>
      </c>
      <c r="Q61" s="255">
        <f>O61-L61</f>
        <v>-42.022727272731146</v>
      </c>
      <c r="R61" s="85">
        <f t="shared" si="27"/>
        <v>0.71745110024447267</v>
      </c>
      <c r="S61" s="749"/>
      <c r="T61" s="22">
        <v>0.40833333333333299</v>
      </c>
      <c r="U61" s="22">
        <v>0.43055555555555602</v>
      </c>
      <c r="V61" s="30">
        <f>(T61-U60)*24*60</f>
        <v>9.999999999999325</v>
      </c>
      <c r="W61" s="256">
        <f t="shared" si="12"/>
        <v>32.000000000001165</v>
      </c>
      <c r="X61" s="22"/>
      <c r="Y61" s="84"/>
      <c r="Z61" s="90"/>
      <c r="AA61" s="90"/>
      <c r="AB61" s="789" t="s">
        <v>149</v>
      </c>
      <c r="AC61" s="789"/>
      <c r="AD61" s="92"/>
      <c r="AE61" s="92"/>
      <c r="AF61" s="317">
        <f>N61-K61</f>
        <v>-462.25000000004275</v>
      </c>
      <c r="AG61" s="247">
        <f>N61/K61</f>
        <v>0.71745110024447267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1396</v>
      </c>
      <c r="H62" s="254">
        <f t="shared" ref="H62:H63" si="28">F62*G62</f>
        <v>39450.959999999999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3" si="29">K62/J62</f>
        <v>148.72727272727272</v>
      </c>
      <c r="M62" s="108">
        <v>11</v>
      </c>
      <c r="N62" s="80">
        <f>G62/W62*60</f>
        <v>1395.9999999999882</v>
      </c>
      <c r="O62" s="81">
        <f>N62/M62</f>
        <v>126.90909090908984</v>
      </c>
      <c r="P62" s="74">
        <f>M62-J62</f>
        <v>0</v>
      </c>
      <c r="Q62" s="83">
        <f>O62-L62</f>
        <v>-21.818181818182879</v>
      </c>
      <c r="R62" s="72">
        <f t="shared" si="27"/>
        <v>0.8533007334963254</v>
      </c>
      <c r="S62" s="749"/>
      <c r="T62" s="22">
        <v>0.4375</v>
      </c>
      <c r="U62" s="22">
        <v>0.47916666666666702</v>
      </c>
      <c r="V62" s="30">
        <f>(T62-U61)*24*60</f>
        <v>9.999999999999325</v>
      </c>
      <c r="W62" s="248">
        <f t="shared" si="12"/>
        <v>60.000000000000504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-240.00000000001182</v>
      </c>
      <c r="AG62" s="247">
        <f>N62/K62</f>
        <v>0.85330073349632529</v>
      </c>
      <c r="AH62" s="785"/>
    </row>
    <row r="63" spans="1:34" ht="15" customHeight="1">
      <c r="A63" s="827"/>
      <c r="B63" s="75" t="s">
        <v>130</v>
      </c>
      <c r="C63" s="76"/>
      <c r="D63" s="175" t="s">
        <v>134</v>
      </c>
      <c r="E63" s="77"/>
      <c r="F63" s="250">
        <f>VLOOKUP(D63,廠價表!$C$1:$E$43,3,0)</f>
        <v>28.26</v>
      </c>
      <c r="G63" s="30">
        <v>1097</v>
      </c>
      <c r="H63" s="254">
        <f t="shared" si="28"/>
        <v>31001.22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29"/>
        <v>148.72727272727272</v>
      </c>
      <c r="M63" s="82">
        <v>11</v>
      </c>
      <c r="N63" s="107">
        <f>G63/W63*60</f>
        <v>1567.1428571428448</v>
      </c>
      <c r="O63" s="238">
        <f>N63/M63</f>
        <v>142.46753246753136</v>
      </c>
      <c r="P63" s="111">
        <f>M63-J63</f>
        <v>0</v>
      </c>
      <c r="Q63" s="255">
        <f>O63-L63</f>
        <v>-6.2597402597413634</v>
      </c>
      <c r="R63" s="85">
        <f t="shared" si="27"/>
        <v>0.95791128187215469</v>
      </c>
      <c r="S63" s="749"/>
      <c r="T63" s="22">
        <v>0.54861111111111105</v>
      </c>
      <c r="U63" s="22">
        <v>0.57777777777777795</v>
      </c>
      <c r="V63" s="30">
        <f>(T63-U62)*24*60</f>
        <v>99.999999999999403</v>
      </c>
      <c r="W63" s="248">
        <f t="shared" si="12"/>
        <v>42.000000000000327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0">AVERAGE(J59:J68)</f>
        <v>11.8</v>
      </c>
      <c r="K69" s="240">
        <f t="shared" si="30"/>
        <v>1636</v>
      </c>
      <c r="L69" s="268">
        <f t="shared" si="30"/>
        <v>140.79515151515153</v>
      </c>
      <c r="M69" s="240">
        <f t="shared" si="30"/>
        <v>11.8</v>
      </c>
      <c r="N69" s="240">
        <f t="shared" si="30"/>
        <v>1408.0390977443515</v>
      </c>
      <c r="O69" s="268">
        <f t="shared" si="30"/>
        <v>120.35723855092188</v>
      </c>
      <c r="P69" s="269">
        <f>M69-J69</f>
        <v>0</v>
      </c>
      <c r="Q69" s="222">
        <f>N69-K69</f>
        <v>-227.96090225564853</v>
      </c>
      <c r="R69" s="123">
        <f>O69/L69</f>
        <v>0.8548393695074773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-227.96090225564853</v>
      </c>
      <c r="AG69" s="124">
        <f>N69/K69</f>
        <v>0.86065959519825885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959</v>
      </c>
      <c r="H70" s="243">
        <f>F70*G70</f>
        <v>42090.51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913.33333333333314</v>
      </c>
      <c r="O70" s="138">
        <f>N70/M70</f>
        <v>101.48148148148147</v>
      </c>
      <c r="P70" s="56">
        <f>M70-J70</f>
        <v>-4</v>
      </c>
      <c r="Q70" s="230">
        <f>O70-L70</f>
        <v>-18.90313390313392</v>
      </c>
      <c r="R70" s="52">
        <f>O70/L70</f>
        <v>0.8429771624659802</v>
      </c>
      <c r="S70" s="748">
        <f>R79</f>
        <v>0.8429771624659802</v>
      </c>
      <c r="T70" s="245">
        <v>0.296527777777778</v>
      </c>
      <c r="U70" s="245">
        <v>0.34027777777777801</v>
      </c>
      <c r="V70" s="55"/>
      <c r="W70" s="54">
        <f t="shared" si="12"/>
        <v>63.000000000000014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-651.66666666666686</v>
      </c>
      <c r="AG70" s="246">
        <f>N70/K70</f>
        <v>0.58359957401490936</v>
      </c>
      <c r="AH70" s="784">
        <f>AG79</f>
        <v>0.58359957401490936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1">AVERAGE(J70:J78)</f>
        <v>13</v>
      </c>
      <c r="K79" s="240">
        <f t="shared" si="31"/>
        <v>1565</v>
      </c>
      <c r="L79" s="268">
        <f t="shared" si="31"/>
        <v>120.38461538461539</v>
      </c>
      <c r="M79" s="240">
        <f t="shared" si="31"/>
        <v>9</v>
      </c>
      <c r="N79" s="240">
        <f t="shared" si="31"/>
        <v>913.33333333333314</v>
      </c>
      <c r="O79" s="268">
        <f t="shared" si="31"/>
        <v>101.48148148148147</v>
      </c>
      <c r="P79" s="269">
        <f>M79-J79</f>
        <v>-4</v>
      </c>
      <c r="Q79" s="222">
        <f>N79-K79</f>
        <v>-651.66666666666686</v>
      </c>
      <c r="R79" s="223">
        <f>O79/L79</f>
        <v>0.8429771624659802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-651.66666666666686</v>
      </c>
      <c r="AG79" s="124">
        <f>N79/K79</f>
        <v>0.58359957401490936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38" priority="1" operator="greaterThan">
      <formula>0</formula>
    </cfRule>
  </conditionalFormatting>
  <conditionalFormatting sqref="Q5:Q79 AF5:AF79">
    <cfRule type="cellIs" dxfId="37" priority="4" operator="lessThan">
      <formula>0</formula>
    </cfRule>
  </conditionalFormatting>
  <conditionalFormatting sqref="R5:R79 AG5:AG79">
    <cfRule type="cellIs" dxfId="36" priority="2" operator="greaterThan">
      <formula>1</formula>
    </cfRule>
    <cfRule type="cellIs" dxfId="35" priority="3" operator="lessThan">
      <formula>0.8</formula>
    </cfRule>
  </conditionalFormatting>
  <conditionalFormatting sqref="S5:S10 S37:S62 AH59:AH62 S69:S76 AH69:AH76">
    <cfRule type="cellIs" dxfId="34" priority="7" operator="lessThan">
      <formula>0.8</formula>
    </cfRule>
  </conditionalFormatting>
  <conditionalFormatting sqref="S19:S25 AH19:AH25">
    <cfRule type="cellIs" dxfId="33" priority="6" operator="lessThan">
      <formula>0.8</formula>
    </cfRule>
  </conditionalFormatting>
  <conditionalFormatting sqref="S79">
    <cfRule type="cellIs" dxfId="32" priority="5" operator="lessThan">
      <formula>0.8</formula>
    </cfRule>
  </conditionalFormatting>
  <conditionalFormatting sqref="AH5:AH8 S15:S16 AH15:AH16 AH49 AH79">
    <cfRule type="cellIs" dxfId="31" priority="9" operator="lessThan">
      <formula>0.8</formula>
    </cfRule>
  </conditionalFormatting>
  <conditionalFormatting sqref="AH27 S27:S28">
    <cfRule type="cellIs" dxfId="3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74348-8C7F-4EDD-980E-8E4032BD28BD}">
  <dimension ref="B1:O26"/>
  <sheetViews>
    <sheetView topLeftCell="B1" zoomScale="70" zoomScaleNormal="70" workbookViewId="0">
      <selection activeCell="N17" sqref="N17:N18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DATE(2026,8,29)</f>
        <v>46263</v>
      </c>
      <c r="E3" s="706"/>
      <c r="F3" s="3" t="s">
        <v>72</v>
      </c>
      <c r="G3" s="707">
        <f>'0829'!E1</f>
        <v>44380</v>
      </c>
      <c r="H3" s="707"/>
      <c r="I3" s="3" t="s">
        <v>2</v>
      </c>
      <c r="J3" s="708">
        <f>'0829'!G1</f>
        <v>2054026.41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130.73385487839269</v>
      </c>
      <c r="G6" s="713"/>
      <c r="H6" s="714">
        <f>AVERAGE(D13:H13)</f>
        <v>126.18052814288107</v>
      </c>
      <c r="I6" s="714"/>
      <c r="J6" s="714">
        <f>AVERAGE(I13:J13)</f>
        <v>142.11717171717171</v>
      </c>
      <c r="K6" s="714"/>
      <c r="L6" s="716">
        <f>'0829'!Z2</f>
        <v>0</v>
      </c>
      <c r="M6" s="717">
        <f>'0829'!AA2</f>
        <v>0</v>
      </c>
      <c r="N6" s="718">
        <f>'0829'!AD2</f>
        <v>0</v>
      </c>
      <c r="O6" s="717">
        <f>'0829'!AE2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116.13140300605012</v>
      </c>
      <c r="G7" s="737"/>
      <c r="H7" s="738">
        <f>AVERAGE(D14:H14)</f>
        <v>113.21900303208045</v>
      </c>
      <c r="I7" s="738"/>
      <c r="J7" s="738">
        <f>AVERAGE(I14:J14)</f>
        <v>123.41240294097435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0.88905059944692399</v>
      </c>
      <c r="G8" s="710"/>
      <c r="H8" s="710">
        <f>AVERAGE(D15:H15)</f>
        <v>0.89659137367478847</v>
      </c>
      <c r="I8" s="710"/>
      <c r="J8" s="710">
        <f>AVERAGE(I15:J15)</f>
        <v>0.87019866387726263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VALUE('0829'!L15)</f>
        <v>147.78894485144485</v>
      </c>
      <c r="E13" s="13">
        <f>VALUE('0829'!L26)</f>
        <v>177.19780219780219</v>
      </c>
      <c r="F13" s="13">
        <f>VALUE('0829'!L37)</f>
        <v>100.12953745600805</v>
      </c>
      <c r="G13" s="13">
        <f>VALUE('0829'!L48)</f>
        <v>99.006944444444443</v>
      </c>
      <c r="H13" s="13">
        <f>VALUE('0829'!L58)</f>
        <v>106.77941176470588</v>
      </c>
      <c r="I13" s="13">
        <f>VALUE('0829'!L69)</f>
        <v>135.50707070707071</v>
      </c>
      <c r="J13" s="13">
        <f>'0829'!L79</f>
        <v>148.72727272727272</v>
      </c>
    </row>
    <row r="14" spans="2:15" ht="39.950000000000003" customHeight="1">
      <c r="B14" s="731"/>
      <c r="C14" s="12" t="s">
        <v>100</v>
      </c>
      <c r="D14" s="13">
        <f>VALUE('0829'!O15)</f>
        <v>130.70882162322496</v>
      </c>
      <c r="E14" s="13">
        <f>VALUE('0829'!O26)</f>
        <v>161.69168011475892</v>
      </c>
      <c r="F14" s="13">
        <f>VALUE('0829'!O37)</f>
        <v>88.626544638312382</v>
      </c>
      <c r="G14" s="13">
        <f>VALUE('0829'!O48)</f>
        <v>92.132959318188767</v>
      </c>
      <c r="H14" s="13">
        <f>VALUE('0829'!O58)</f>
        <v>92.935009465917261</v>
      </c>
      <c r="I14" s="13">
        <f>VALUE('0829'!O69)</f>
        <v>123.20235690235647</v>
      </c>
      <c r="J14" s="13">
        <f>'0829'!O79</f>
        <v>123.62244897959221</v>
      </c>
    </row>
    <row r="15" spans="2:15" ht="39.950000000000003" customHeight="1">
      <c r="B15" s="732"/>
      <c r="C15" s="10" t="s">
        <v>26</v>
      </c>
      <c r="D15" s="14">
        <f t="shared" ref="D15:I15" si="0">D14/D13</f>
        <v>0.88442895207494332</v>
      </c>
      <c r="E15" s="14">
        <f t="shared" si="0"/>
        <v>0.91249258235305819</v>
      </c>
      <c r="F15" s="14">
        <f t="shared" si="0"/>
        <v>0.88511888589568777</v>
      </c>
      <c r="G15" s="14">
        <f t="shared" si="0"/>
        <v>0.93057067698808882</v>
      </c>
      <c r="H15" s="14">
        <f t="shared" si="0"/>
        <v>0.87034577106216415</v>
      </c>
      <c r="I15" s="14">
        <f t="shared" si="0"/>
        <v>0.90919504243941873</v>
      </c>
      <c r="J15" s="15">
        <f>'0829'!S70</f>
        <v>0.83120228531510654</v>
      </c>
    </row>
    <row r="16" spans="2:15" ht="17.25" customHeight="1">
      <c r="B16" s="733" t="s">
        <v>101</v>
      </c>
      <c r="C16" s="10" t="s">
        <v>34</v>
      </c>
      <c r="D16" s="16">
        <f>'0829'!T5</f>
        <v>0.29513888888888901</v>
      </c>
      <c r="E16" s="16">
        <f>'0829'!T16</f>
        <v>0.297222222222222</v>
      </c>
      <c r="F16" s="16">
        <f>'0829'!T27</f>
        <v>0.29166666666666702</v>
      </c>
      <c r="G16" s="16">
        <f>'0829'!T38</f>
        <v>0.33333333333333298</v>
      </c>
      <c r="H16" s="16">
        <f>'0829'!T49</f>
        <v>0.29166666666666702</v>
      </c>
      <c r="I16" s="16">
        <f>'0829'!T59</f>
        <v>0.28819444444444398</v>
      </c>
      <c r="J16" s="17">
        <f>'0829'!T70</f>
        <v>0.39305555555555599</v>
      </c>
    </row>
    <row r="17" spans="2:10" ht="17.25" customHeight="1">
      <c r="B17" s="734"/>
      <c r="C17" s="10" t="s">
        <v>35</v>
      </c>
      <c r="D17" s="22">
        <v>0.61111111111111105</v>
      </c>
      <c r="E17" s="183">
        <v>0.56944444444444398</v>
      </c>
      <c r="F17" s="19">
        <v>0.46319444444444402</v>
      </c>
      <c r="G17" s="328">
        <v>0.48888888888888898</v>
      </c>
      <c r="H17" s="21">
        <v>0.59861111111111098</v>
      </c>
      <c r="I17" s="22">
        <v>0.42708333333333298</v>
      </c>
      <c r="J17" s="110">
        <v>0.49513888888888902</v>
      </c>
    </row>
    <row r="18" spans="2:10" ht="17.25" customHeight="1">
      <c r="B18" s="735" t="s">
        <v>102</v>
      </c>
      <c r="C18" s="330" t="s">
        <v>36</v>
      </c>
      <c r="D18" s="386">
        <f>'0829'!Z15</f>
        <v>0</v>
      </c>
      <c r="E18" s="387">
        <f>'0829'!Z26</f>
        <v>0</v>
      </c>
      <c r="F18" s="387">
        <f>'0829'!Z37</f>
        <v>0</v>
      </c>
      <c r="G18" s="388">
        <f>'0829'!Z48</f>
        <v>0</v>
      </c>
      <c r="H18" s="388">
        <f>'0829'!Z58</f>
        <v>0</v>
      </c>
      <c r="I18" s="387">
        <f>'0829'!Z69</f>
        <v>0</v>
      </c>
      <c r="J18" s="387">
        <f>'0829'!AA79</f>
        <v>0</v>
      </c>
    </row>
    <row r="19" spans="2:10" ht="17.25" customHeight="1">
      <c r="B19" s="736"/>
      <c r="C19" s="330" t="s">
        <v>37</v>
      </c>
      <c r="D19" s="386">
        <f>'0829'!AA15</f>
        <v>0</v>
      </c>
      <c r="E19" s="387">
        <f>'0829'!AA26</f>
        <v>0</v>
      </c>
      <c r="F19" s="387">
        <f>'0829'!AA37</f>
        <v>0</v>
      </c>
      <c r="G19" s="388">
        <f>'0829'!AA48</f>
        <v>0</v>
      </c>
      <c r="H19" s="388">
        <f>'0829'!AA58</f>
        <v>0</v>
      </c>
      <c r="I19" s="387">
        <f>'0829'!AA69</f>
        <v>0</v>
      </c>
      <c r="J19" s="387">
        <f>'0829'!AB79</f>
        <v>0</v>
      </c>
    </row>
    <row r="20" spans="2:10" ht="17.25" customHeight="1">
      <c r="B20" s="735" t="s">
        <v>103</v>
      </c>
      <c r="C20" s="330" t="s">
        <v>36</v>
      </c>
      <c r="D20" s="386">
        <f>'0829'!AD15</f>
        <v>0</v>
      </c>
      <c r="E20" s="387">
        <f>'0829'!AD26</f>
        <v>0</v>
      </c>
      <c r="F20" s="387">
        <f>'0829'!AD37</f>
        <v>0</v>
      </c>
      <c r="G20" s="388">
        <f>'0829'!AD48</f>
        <v>0</v>
      </c>
      <c r="H20" s="388">
        <f>'0829'!AD58</f>
        <v>0</v>
      </c>
      <c r="I20" s="387">
        <f>'0829'!AD69</f>
        <v>0</v>
      </c>
      <c r="J20" s="387">
        <f>'0829'!AD79</f>
        <v>0</v>
      </c>
    </row>
    <row r="21" spans="2:10" ht="17.25" customHeight="1">
      <c r="B21" s="736"/>
      <c r="C21" s="330" t="s">
        <v>85</v>
      </c>
      <c r="D21" s="386">
        <f>'0829'!AE15</f>
        <v>0</v>
      </c>
      <c r="E21" s="387">
        <f>'0829'!AE26</f>
        <v>0</v>
      </c>
      <c r="F21" s="387">
        <f>'0829'!AE37</f>
        <v>0</v>
      </c>
      <c r="G21" s="388">
        <f>'0829'!AE48</f>
        <v>0</v>
      </c>
      <c r="H21" s="388">
        <f>'0829'!AE58</f>
        <v>0</v>
      </c>
      <c r="I21" s="387">
        <f>'0829'!AE69</f>
        <v>0</v>
      </c>
      <c r="J21" s="387">
        <f>'0829'!AE79</f>
        <v>0</v>
      </c>
    </row>
    <row r="22" spans="2:10" ht="17.25" customHeight="1">
      <c r="B22" s="719" t="s">
        <v>104</v>
      </c>
      <c r="C22" s="720"/>
      <c r="D22" s="23">
        <f>VALUE('0829'!M15)</f>
        <v>14.833333333333334</v>
      </c>
      <c r="E22" s="23">
        <f>VALUE('0829'!M26)</f>
        <v>12.75</v>
      </c>
      <c r="F22" s="23">
        <f>VALUE('0829'!M37)</f>
        <v>15</v>
      </c>
      <c r="G22" s="23">
        <f>VALUE('0829'!M48)</f>
        <v>16.5</v>
      </c>
      <c r="H22" s="23">
        <f>VALUE('0829'!M58)</f>
        <v>16.5</v>
      </c>
      <c r="I22" s="23">
        <f>VALUE('0829'!M69)</f>
        <v>12.333333333333334</v>
      </c>
      <c r="J22" s="23">
        <f>'0829'!M79</f>
        <v>8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2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9AE71-280D-4ADE-A106-70E646468F1F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O27" sqref="O27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44380</v>
      </c>
      <c r="F1" s="30" t="s">
        <v>2</v>
      </c>
      <c r="G1" s="31">
        <f>SUM(H5:H79)</f>
        <v>2054026.41</v>
      </c>
      <c r="H1" s="32" t="s">
        <v>3</v>
      </c>
      <c r="I1" s="33">
        <f>M15+M26+M48+M58+M69+M79+M37</f>
        <v>95.916666666666671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216</v>
      </c>
      <c r="B2" s="739"/>
      <c r="C2" s="28"/>
      <c r="D2" s="28" t="s">
        <v>14</v>
      </c>
      <c r="E2" s="35">
        <f>AVERAGE(O15,O26,O37,O48,O58,O69,O79)</f>
        <v>116.13140300605012</v>
      </c>
      <c r="F2" s="36" t="s">
        <v>15</v>
      </c>
      <c r="G2" s="37">
        <f>G1/E1</f>
        <v>46.282704146011717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953</v>
      </c>
      <c r="H5" s="43">
        <f>F5*G5</f>
        <v>54197.11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2117.7777777777787</v>
      </c>
      <c r="O5" s="47">
        <f>N5/M5</f>
        <v>151.26984126984135</v>
      </c>
      <c r="P5" s="49">
        <f>M5-J5</f>
        <v>0</v>
      </c>
      <c r="Q5" s="50">
        <f>O5-L5</f>
        <v>-9.4444444444443718</v>
      </c>
      <c r="R5" s="51">
        <f>O5/L5</f>
        <v>0.94123456790123505</v>
      </c>
      <c r="S5" s="748">
        <f>R15</f>
        <v>0.88442895207494332</v>
      </c>
      <c r="T5" s="319">
        <v>0.29513888888888901</v>
      </c>
      <c r="U5" s="320">
        <v>0.31388888888888899</v>
      </c>
      <c r="V5" s="53"/>
      <c r="W5" s="54">
        <f t="shared" ref="W5:W14" si="0">(U5-T5)*24*60</f>
        <v>26.999999999999986</v>
      </c>
      <c r="X5" s="55"/>
      <c r="Y5" s="290"/>
      <c r="Z5" s="169"/>
      <c r="AA5" s="169"/>
      <c r="AB5" s="791" t="s">
        <v>217</v>
      </c>
      <c r="AC5" s="791"/>
      <c r="AD5" s="135"/>
      <c r="AE5" s="135"/>
      <c r="AF5" s="229">
        <f t="shared" ref="AF5:AF11" si="1">N5-K5</f>
        <v>-132.22222222222126</v>
      </c>
      <c r="AG5" s="52">
        <f t="shared" ref="AG5:AG11" si="2">N5/K5</f>
        <v>0.94123456790123494</v>
      </c>
      <c r="AH5" s="784">
        <f>AG15</f>
        <v>0.88160819461726569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670</v>
      </c>
      <c r="H6" s="63">
        <f>F6*G6</f>
        <v>33948.9</v>
      </c>
      <c r="I6" s="64"/>
      <c r="J6" s="65">
        <v>16</v>
      </c>
      <c r="K6" s="66">
        <f>VLOOKUP(D6,產線配置圖!$A$3:$C$40,3,0)</f>
        <v>2250</v>
      </c>
      <c r="L6" s="67">
        <f>K6/J6</f>
        <v>140.625</v>
      </c>
      <c r="M6" s="68">
        <v>16</v>
      </c>
      <c r="N6" s="66">
        <f>G6/W6*60</f>
        <v>1675.0000000000675</v>
      </c>
      <c r="O6" s="67">
        <f>N6/M6</f>
        <v>104.68750000000422</v>
      </c>
      <c r="P6" s="69">
        <f>M6-J6</f>
        <v>0</v>
      </c>
      <c r="Q6" s="70">
        <f>O6-L6</f>
        <v>-35.937499999995779</v>
      </c>
      <c r="R6" s="71">
        <f>O6/L6</f>
        <v>0.74444444444447444</v>
      </c>
      <c r="S6" s="749"/>
      <c r="T6" s="16">
        <v>0.329166666666667</v>
      </c>
      <c r="U6" s="16">
        <v>0.34583333333333299</v>
      </c>
      <c r="V6" s="30">
        <f>(T6-U5)*24*60</f>
        <v>22.00000000000032</v>
      </c>
      <c r="W6" s="73">
        <f t="shared" si="0"/>
        <v>23.999999999999034</v>
      </c>
      <c r="X6" s="22"/>
      <c r="Y6" s="84"/>
      <c r="Z6" s="90"/>
      <c r="AA6" s="90"/>
      <c r="AB6" s="788" t="s">
        <v>149</v>
      </c>
      <c r="AC6" s="788"/>
      <c r="AD6" s="149"/>
      <c r="AE6" s="149"/>
      <c r="AF6" s="307">
        <f t="shared" si="1"/>
        <v>-574.99999999993247</v>
      </c>
      <c r="AG6" s="72">
        <f t="shared" si="2"/>
        <v>0.74444444444447444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1224</v>
      </c>
      <c r="H7" s="78">
        <f>F7*G7</f>
        <v>71200.08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2040.000000000003</v>
      </c>
      <c r="O7" s="81">
        <f>N7/M7</f>
        <v>156.92307692307716</v>
      </c>
      <c r="P7" s="74">
        <f>M7-J7</f>
        <v>0</v>
      </c>
      <c r="Q7" s="83">
        <f>O7-L7</f>
        <v>-16.153846153845905</v>
      </c>
      <c r="R7" s="72">
        <f>O7/L7</f>
        <v>0.90666666666666806</v>
      </c>
      <c r="S7" s="749"/>
      <c r="T7" s="18">
        <v>0.35347222222222202</v>
      </c>
      <c r="U7" s="18">
        <v>0.37847222222222199</v>
      </c>
      <c r="V7" s="30">
        <f>(T7-U6)*24*60</f>
        <v>11.000000000000201</v>
      </c>
      <c r="W7" s="73">
        <f t="shared" si="0"/>
        <v>35.99999999999995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-209.99999999999704</v>
      </c>
      <c r="AG7" s="72">
        <f t="shared" si="2"/>
        <v>0.90666666666666795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4558</v>
      </c>
      <c r="H8" s="78">
        <f t="shared" ref="H8:H10" si="3">F8*G8</f>
        <v>223980.12</v>
      </c>
      <c r="I8" s="73"/>
      <c r="J8" s="79">
        <v>14</v>
      </c>
      <c r="K8" s="80">
        <f>VLOOKUP(D8,產線配置圖!$A$3:$C$40,3,0)</f>
        <v>2250</v>
      </c>
      <c r="L8" s="81">
        <f t="shared" ref="L8:L10" si="4">K8/J8</f>
        <v>160.71428571428572</v>
      </c>
      <c r="M8" s="82">
        <v>14</v>
      </c>
      <c r="N8" s="80">
        <f t="shared" ref="N8:N10" si="5">G8/W8*60</f>
        <v>2103.6923076923258</v>
      </c>
      <c r="O8" s="81">
        <f t="shared" ref="O8:O10" si="6">N8/M8</f>
        <v>150.26373626373757</v>
      </c>
      <c r="P8" s="74">
        <f t="shared" ref="P8:P10" si="7">M8-J8</f>
        <v>0</v>
      </c>
      <c r="Q8" s="83">
        <f t="shared" ref="Q8:Q10" si="8">O8-L8</f>
        <v>-10.450549450548152</v>
      </c>
      <c r="R8" s="72">
        <f t="shared" ref="R8:R10" si="9">O8/L8</f>
        <v>0.93497435897436709</v>
      </c>
      <c r="S8" s="749"/>
      <c r="T8" s="16">
        <v>0.38680555555555601</v>
      </c>
      <c r="U8" s="16">
        <v>0.47708333333333303</v>
      </c>
      <c r="V8" s="30">
        <f t="shared" ref="V8:V10" si="10">(T8-U7)*24*60</f>
        <v>12.000000000000997</v>
      </c>
      <c r="W8" s="73">
        <f t="shared" si="0"/>
        <v>129.99999999999889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-146.30769230767419</v>
      </c>
      <c r="AG8" s="72">
        <f t="shared" si="2"/>
        <v>0.93497435897436698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746</v>
      </c>
      <c r="H9" s="78">
        <f t="shared" si="3"/>
        <v>36658.44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1946.0869565217595</v>
      </c>
      <c r="O9" s="81">
        <f t="shared" si="6"/>
        <v>139.00621118012569</v>
      </c>
      <c r="P9" s="74">
        <f t="shared" si="7"/>
        <v>0</v>
      </c>
      <c r="Q9" s="83">
        <f t="shared" si="8"/>
        <v>-21.708074534160033</v>
      </c>
      <c r="R9" s="72">
        <f t="shared" si="9"/>
        <v>0.86492753623189311</v>
      </c>
      <c r="S9" s="750"/>
      <c r="T9" s="16">
        <v>0.54236111111111096</v>
      </c>
      <c r="U9" s="16">
        <v>0.55833333333333302</v>
      </c>
      <c r="V9" s="30">
        <f t="shared" si="10"/>
        <v>94.000000000000227</v>
      </c>
      <c r="W9" s="73">
        <f t="shared" si="0"/>
        <v>22.999999999999758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-303.91304347824052</v>
      </c>
      <c r="AG9" s="72">
        <f t="shared" si="2"/>
        <v>0.86492753623189311</v>
      </c>
      <c r="AH9" s="786"/>
    </row>
    <row r="10" spans="1:34" ht="15" customHeight="1">
      <c r="A10" s="756"/>
      <c r="B10" s="75" t="s">
        <v>116</v>
      </c>
      <c r="C10" s="86"/>
      <c r="D10" s="59" t="s">
        <v>117</v>
      </c>
      <c r="E10" s="87"/>
      <c r="F10" s="75">
        <f>VLOOKUP(D10,廠價表!$C$1:$E$43,3,0)</f>
        <v>44.3</v>
      </c>
      <c r="G10" s="62">
        <v>1601</v>
      </c>
      <c r="H10" s="78">
        <f t="shared" si="3"/>
        <v>70924.299999999988</v>
      </c>
      <c r="I10" s="73"/>
      <c r="J10" s="79">
        <f>VLOOKUP(D10,產線配置圖!$A$3:$C$40,2,0)</f>
        <v>18</v>
      </c>
      <c r="K10" s="80">
        <f>VLOOKUP(D10,產線配置圖!$A$3:$C$40,3,0)</f>
        <v>1636</v>
      </c>
      <c r="L10" s="81">
        <f t="shared" si="4"/>
        <v>90.888888888888886</v>
      </c>
      <c r="M10" s="82">
        <v>18</v>
      </c>
      <c r="N10" s="80">
        <f t="shared" si="5"/>
        <v>1477.8461538461479</v>
      </c>
      <c r="O10" s="81">
        <f t="shared" si="6"/>
        <v>82.102564102563775</v>
      </c>
      <c r="P10" s="74">
        <f t="shared" si="7"/>
        <v>0</v>
      </c>
      <c r="Q10" s="83">
        <f t="shared" si="8"/>
        <v>-8.7863247863251104</v>
      </c>
      <c r="R10" s="72">
        <f t="shared" si="9"/>
        <v>0.9033289448937335</v>
      </c>
      <c r="S10" s="750"/>
      <c r="T10" s="22">
        <v>0.56597222222222199</v>
      </c>
      <c r="U10" s="22">
        <v>0.61111111111111105</v>
      </c>
      <c r="V10" s="30">
        <f t="shared" si="10"/>
        <v>11.000000000000121</v>
      </c>
      <c r="W10" s="73">
        <f t="shared" si="0"/>
        <v>65.000000000000256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-158.1538461538521</v>
      </c>
      <c r="AG10" s="72">
        <f t="shared" si="2"/>
        <v>0.90332894489373339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14.833333333333334</v>
      </c>
      <c r="K15" s="120">
        <f t="shared" si="11"/>
        <v>2147.6666666666665</v>
      </c>
      <c r="L15" s="117">
        <f t="shared" si="11"/>
        <v>147.78894485144485</v>
      </c>
      <c r="M15" s="120">
        <f t="shared" si="11"/>
        <v>14.833333333333334</v>
      </c>
      <c r="N15" s="120">
        <f t="shared" si="11"/>
        <v>1893.4005326396807</v>
      </c>
      <c r="O15" s="117">
        <f t="shared" si="11"/>
        <v>130.70882162322496</v>
      </c>
      <c r="P15" s="121">
        <f>M15-J15</f>
        <v>0</v>
      </c>
      <c r="Q15" s="122">
        <f>O15-L15</f>
        <v>-17.08012322821989</v>
      </c>
      <c r="R15" s="123">
        <f>O15/L15</f>
        <v>0.88442895207494332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-254.26613402698581</v>
      </c>
      <c r="AG15" s="124">
        <f>N15/K15</f>
        <v>0.88160819461726569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1307</v>
      </c>
      <c r="H16" s="134">
        <f>F16*G16</f>
        <v>74329.09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2178.3333333333317</v>
      </c>
      <c r="O16" s="141">
        <f>N16/M16</f>
        <v>155.59523809523799</v>
      </c>
      <c r="P16" s="142">
        <f>M16-J16</f>
        <v>0</v>
      </c>
      <c r="Q16" s="143">
        <f>O16-L16</f>
        <v>-5.1190476190477341</v>
      </c>
      <c r="R16" s="144">
        <f>O16/L16</f>
        <v>0.96814814814814742</v>
      </c>
      <c r="S16" s="795">
        <f>R26</f>
        <v>0.91249258235305819</v>
      </c>
      <c r="T16" s="145">
        <v>0.297222222222222</v>
      </c>
      <c r="U16" s="145">
        <v>0.32222222222222202</v>
      </c>
      <c r="V16" s="135"/>
      <c r="W16" s="146">
        <f t="shared" ref="W16:W78" si="12">(U16-T16)*24*60</f>
        <v>36.000000000000028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-71.666666666668334</v>
      </c>
      <c r="AG16" s="52">
        <f>N16/K16</f>
        <v>0.96814814814814742</v>
      </c>
      <c r="AH16" s="784">
        <f>AG26</f>
        <v>0.91492614792615801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3193</v>
      </c>
      <c r="H17" s="78">
        <f>F17*G17</f>
        <v>161789.31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2105.2747252747404</v>
      </c>
      <c r="O17" s="96">
        <f>N17/M17</f>
        <v>161.94420963651848</v>
      </c>
      <c r="P17" s="97">
        <f>M17-J17</f>
        <v>0</v>
      </c>
      <c r="Q17" s="98">
        <f>O17-L17</f>
        <v>-11.132713440404586</v>
      </c>
      <c r="R17" s="99">
        <f>O17/L17</f>
        <v>0.93567765567766237</v>
      </c>
      <c r="S17" s="796"/>
      <c r="T17" s="19">
        <v>0.329166666666667</v>
      </c>
      <c r="U17" s="19">
        <v>0.39236111111111099</v>
      </c>
      <c r="V17" s="30">
        <f>(T17-U16)*24*60</f>
        <v>10.000000000000764</v>
      </c>
      <c r="W17" s="149">
        <f t="shared" si="12"/>
        <v>90.999999999999361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-144.72527472525962</v>
      </c>
      <c r="AG17" s="72">
        <f>N17/K17</f>
        <v>0.93567765567766237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3712</v>
      </c>
      <c r="H18" s="78">
        <f>F18*G18</f>
        <v>187047.67999999999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2024.7272727272978</v>
      </c>
      <c r="O18" s="96">
        <f>N18/M18</f>
        <v>168.72727272727482</v>
      </c>
      <c r="P18" s="97">
        <f>M18-J18</f>
        <v>0</v>
      </c>
      <c r="Q18" s="98">
        <f>O18-L18</f>
        <v>-18.772727272725177</v>
      </c>
      <c r="R18" s="99">
        <f>O18/L18</f>
        <v>0.89987878787879905</v>
      </c>
      <c r="S18" s="796"/>
      <c r="T18" s="19">
        <v>0.39930555555555602</v>
      </c>
      <c r="U18" s="19">
        <v>0.47569444444444398</v>
      </c>
      <c r="V18" s="30">
        <f>(T18-U17)*24*60</f>
        <v>10.000000000000844</v>
      </c>
      <c r="W18" s="149">
        <f t="shared" si="12"/>
        <v>109.99999999999865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-225.27272727270224</v>
      </c>
      <c r="AG18" s="72">
        <f>N18/K18</f>
        <v>0.89987878787879905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1284</v>
      </c>
      <c r="H19" s="78">
        <f>F19*G19</f>
        <v>64700.76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1926.000000000053</v>
      </c>
      <c r="O19" s="96">
        <f>N19/M19</f>
        <v>160.50000000000441</v>
      </c>
      <c r="P19" s="97">
        <f>M19-J19</f>
        <v>0</v>
      </c>
      <c r="Q19" s="98">
        <f>O19-L19</f>
        <v>-26.999999999995595</v>
      </c>
      <c r="R19" s="99">
        <f>O19/L19</f>
        <v>0.85600000000002352</v>
      </c>
      <c r="S19" s="796"/>
      <c r="T19" s="19">
        <v>0.54166666666666696</v>
      </c>
      <c r="U19" s="19">
        <v>0.56944444444444398</v>
      </c>
      <c r="V19" s="30">
        <f>(T19-U18)*24*60</f>
        <v>95.000000000001108</v>
      </c>
      <c r="W19" s="149">
        <f t="shared" si="12"/>
        <v>39.999999999998899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-323.99999999994702</v>
      </c>
      <c r="AG19" s="72">
        <f>N19/K19</f>
        <v>0.85600000000002352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50"/>
      <c r="U21" s="150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2058.5838328338555</v>
      </c>
      <c r="O26" s="158">
        <f t="shared" si="13"/>
        <v>161.69168011475892</v>
      </c>
      <c r="P26" s="159">
        <f>M26-J26</f>
        <v>0</v>
      </c>
      <c r="Q26" s="160">
        <f>O26-L26</f>
        <v>-15.506122083043266</v>
      </c>
      <c r="R26" s="161">
        <f>O26/L26</f>
        <v>0.91249258235305819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-191.41616716614453</v>
      </c>
      <c r="AG26" s="124">
        <f t="shared" ref="AG26:AG31" si="15">N26/K26</f>
        <v>0.91492614792615801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49.91</v>
      </c>
      <c r="G27" s="169">
        <v>722</v>
      </c>
      <c r="H27" s="134">
        <f>F27*G27</f>
        <v>36035.019999999997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18</v>
      </c>
      <c r="N27" s="140">
        <f>G27/W27*60</f>
        <v>1397.4193548387616</v>
      </c>
      <c r="O27" s="141">
        <f>N27/M27</f>
        <v>77.634408602153428</v>
      </c>
      <c r="P27" s="142">
        <f>M27-J27</f>
        <v>0</v>
      </c>
      <c r="Q27" s="143">
        <f>O27-L27</f>
        <v>-13.254480286735458</v>
      </c>
      <c r="R27" s="144">
        <f>O27/L27</f>
        <v>0.85416830980364411</v>
      </c>
      <c r="S27" s="795">
        <f>R37</f>
        <v>0.88511888589568777</v>
      </c>
      <c r="T27" s="171">
        <v>0.29166666666666702</v>
      </c>
      <c r="U27" s="171">
        <v>0.313194444444444</v>
      </c>
      <c r="V27" s="135"/>
      <c r="W27" s="146">
        <f t="shared" si="12"/>
        <v>30.999999999998849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-238.58064516123841</v>
      </c>
      <c r="AG27" s="172">
        <f t="shared" si="15"/>
        <v>0.854168309803644</v>
      </c>
      <c r="AH27" s="784">
        <f>AG37</f>
        <v>0.79284415133603403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670</v>
      </c>
      <c r="H28" s="91">
        <f>F28*G28</f>
        <v>38330.699999999997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1296.7741935483716</v>
      </c>
      <c r="O28" s="96">
        <f>N28/M28</f>
        <v>76.280834914610097</v>
      </c>
      <c r="P28" s="97">
        <f>M28-J28</f>
        <v>-1</v>
      </c>
      <c r="Q28" s="98">
        <f>O28-L28</f>
        <v>-14.608053974278789</v>
      </c>
      <c r="R28" s="99">
        <f>O28/L28</f>
        <v>0.8392756897695488</v>
      </c>
      <c r="S28" s="796"/>
      <c r="T28" s="19">
        <v>0.31874999999999998</v>
      </c>
      <c r="U28" s="19">
        <v>0.34027777777777801</v>
      </c>
      <c r="V28" s="92">
        <f>(T28-U27)*24*60</f>
        <v>8.0000000000006111</v>
      </c>
      <c r="W28" s="149">
        <f t="shared" si="12"/>
        <v>31.000000000000369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-339.22580645162839</v>
      </c>
      <c r="AG28" s="99">
        <f t="shared" si="15"/>
        <v>0.79264926256012935</v>
      </c>
      <c r="AH28" s="805"/>
    </row>
    <row r="29" spans="1:34" ht="15" customHeight="1">
      <c r="A29" s="793"/>
      <c r="B29" s="75" t="s">
        <v>81</v>
      </c>
      <c r="C29" s="88"/>
      <c r="D29" s="59" t="s">
        <v>122</v>
      </c>
      <c r="E29" s="89"/>
      <c r="F29" s="75">
        <f>VLOOKUP(D29,廠價表!$C$1:$E$43,3,0)</f>
        <v>46.34</v>
      </c>
      <c r="G29" s="90">
        <v>881</v>
      </c>
      <c r="H29" s="91">
        <f t="shared" ref="H29:H31" si="16">F29*G29</f>
        <v>40825.54</v>
      </c>
      <c r="I29" s="92"/>
      <c r="J29" s="79">
        <f>VLOOKUP(D29,產線配置圖!$A$3:$C$40,2,0)</f>
        <v>16</v>
      </c>
      <c r="K29" s="80">
        <f>VLOOKUP(D29,產線配置圖!$A$3:$C$40,3,0)</f>
        <v>1636</v>
      </c>
      <c r="L29" s="93">
        <f t="shared" ref="L29:L31" si="17">K29/J29</f>
        <v>102.25</v>
      </c>
      <c r="M29" s="94">
        <v>16</v>
      </c>
      <c r="N29" s="95">
        <f t="shared" ref="N29:N31" si="18">G29/W29*60</f>
        <v>1468.3333333333321</v>
      </c>
      <c r="O29" s="96">
        <f t="shared" ref="O29:O31" si="19">N29/M29</f>
        <v>91.770833333333258</v>
      </c>
      <c r="P29" s="97">
        <f t="shared" ref="P29:P31" si="20">M29-J29</f>
        <v>0</v>
      </c>
      <c r="Q29" s="98">
        <f t="shared" ref="Q29:Q31" si="21">O29-L29</f>
        <v>-10.479166666666742</v>
      </c>
      <c r="R29" s="99">
        <f t="shared" ref="R29:R31" si="22">O29/L29</f>
        <v>0.89751426242868715</v>
      </c>
      <c r="S29" s="796"/>
      <c r="T29" s="19">
        <v>0.34722222222222199</v>
      </c>
      <c r="U29" s="19">
        <v>0.37222222222222201</v>
      </c>
      <c r="V29" s="92">
        <f>(T29-U28)*24*60</f>
        <v>9.999999999999325</v>
      </c>
      <c r="W29" s="149">
        <f t="shared" si="12"/>
        <v>36.000000000000028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-167.66666666666788</v>
      </c>
      <c r="AG29" s="99">
        <f t="shared" si="15"/>
        <v>0.89751426242868715</v>
      </c>
      <c r="AH29" s="805"/>
    </row>
    <row r="30" spans="1:34" ht="15" customHeight="1">
      <c r="A30" s="793"/>
      <c r="B30" s="75" t="s">
        <v>81</v>
      </c>
      <c r="C30" s="88"/>
      <c r="D30" s="59" t="s">
        <v>142</v>
      </c>
      <c r="E30" s="89"/>
      <c r="F30" s="75">
        <f>VLOOKUP(D30,廠價表!$C$1:$E$43,3,0)</f>
        <v>43.89</v>
      </c>
      <c r="G30" s="90">
        <v>952</v>
      </c>
      <c r="H30" s="91">
        <f t="shared" si="16"/>
        <v>41783.279999999999</v>
      </c>
      <c r="I30" s="92"/>
      <c r="J30" s="79">
        <f>VLOOKUP(D30,產線配置圖!$A$3:$C$40,2,0)</f>
        <v>13</v>
      </c>
      <c r="K30" s="80">
        <f>VLOOKUP(D30,產線配置圖!$A$3:$C$40,3,0)</f>
        <v>1565</v>
      </c>
      <c r="L30" s="93">
        <f t="shared" si="17"/>
        <v>120.38461538461539</v>
      </c>
      <c r="M30" s="94">
        <v>8</v>
      </c>
      <c r="N30" s="95">
        <f t="shared" si="18"/>
        <v>892.50000000000875</v>
      </c>
      <c r="O30" s="96">
        <f t="shared" si="19"/>
        <v>111.56250000000109</v>
      </c>
      <c r="P30" s="97">
        <f t="shared" si="20"/>
        <v>-5</v>
      </c>
      <c r="Q30" s="98">
        <f t="shared" si="21"/>
        <v>-8.8221153846142926</v>
      </c>
      <c r="R30" s="99">
        <f t="shared" si="22"/>
        <v>0.9267172523961752</v>
      </c>
      <c r="S30" s="796"/>
      <c r="T30" s="19">
        <v>0.38055555555555598</v>
      </c>
      <c r="U30" s="19">
        <v>0.42499999999999999</v>
      </c>
      <c r="V30" s="92">
        <f t="shared" ref="V30:V31" si="23">(T30-U29)*24*60</f>
        <v>12.000000000000917</v>
      </c>
      <c r="W30" s="149">
        <f t="shared" si="12"/>
        <v>63.999999999999375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-672.49999999999125</v>
      </c>
      <c r="AG30" s="99">
        <f t="shared" si="15"/>
        <v>0.57028753993610781</v>
      </c>
      <c r="AH30" s="806"/>
    </row>
    <row r="31" spans="1:34" ht="15" customHeight="1">
      <c r="A31" s="793"/>
      <c r="B31" s="75" t="s">
        <v>81</v>
      </c>
      <c r="C31" s="102"/>
      <c r="D31" s="175" t="s">
        <v>125</v>
      </c>
      <c r="E31" s="176"/>
      <c r="F31" s="75">
        <f>VLOOKUP(D31,廠價表!$C$1:$E$43,3,0)</f>
        <v>45.66</v>
      </c>
      <c r="G31" s="90">
        <v>939</v>
      </c>
      <c r="H31" s="91">
        <f t="shared" si="16"/>
        <v>42874.74</v>
      </c>
      <c r="I31" s="92"/>
      <c r="J31" s="79">
        <f>VLOOKUP(D31,產線配置圖!$A$3:$C$40,2,0)</f>
        <v>17</v>
      </c>
      <c r="K31" s="80">
        <f>VLOOKUP(D31,產線配置圖!$A$3:$C$40,3,0)</f>
        <v>1636</v>
      </c>
      <c r="L31" s="93">
        <f t="shared" si="17"/>
        <v>96.235294117647058</v>
      </c>
      <c r="M31" s="94">
        <v>16</v>
      </c>
      <c r="N31" s="95">
        <f t="shared" si="18"/>
        <v>1374.146341463425</v>
      </c>
      <c r="O31" s="96">
        <f t="shared" si="19"/>
        <v>85.88414634146406</v>
      </c>
      <c r="P31" s="97">
        <f t="shared" si="20"/>
        <v>-1</v>
      </c>
      <c r="Q31" s="98">
        <f t="shared" si="21"/>
        <v>-10.351147776182998</v>
      </c>
      <c r="R31" s="99">
        <f t="shared" si="22"/>
        <v>0.89243917347487101</v>
      </c>
      <c r="S31" s="796"/>
      <c r="T31" s="19">
        <v>0.43472222222222201</v>
      </c>
      <c r="U31" s="19">
        <v>0.46319444444444402</v>
      </c>
      <c r="V31" s="92">
        <f t="shared" si="23"/>
        <v>13.99999999999971</v>
      </c>
      <c r="W31" s="149">
        <f t="shared" si="12"/>
        <v>40.999999999999694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-261.85365853657504</v>
      </c>
      <c r="AG31" s="99">
        <f t="shared" si="15"/>
        <v>0.83994275150576103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4">AVERAGE(J27:J36)</f>
        <v>16.399999999999999</v>
      </c>
      <c r="K37" s="155">
        <f t="shared" si="24"/>
        <v>1621.8</v>
      </c>
      <c r="L37" s="158">
        <f t="shared" si="24"/>
        <v>100.12953745600805</v>
      </c>
      <c r="M37" s="155">
        <f t="shared" si="24"/>
        <v>15</v>
      </c>
      <c r="N37" s="155">
        <f t="shared" si="24"/>
        <v>1285.83464463678</v>
      </c>
      <c r="O37" s="158">
        <f t="shared" si="24"/>
        <v>88.626544638312382</v>
      </c>
      <c r="P37" s="159">
        <f>M37-J37</f>
        <v>-1.3999999999999986</v>
      </c>
      <c r="Q37" s="160">
        <f>N37-K37</f>
        <v>-335.96535536321994</v>
      </c>
      <c r="R37" s="161">
        <f>O37/L37</f>
        <v>0.88511888589568777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-335.96535536321994</v>
      </c>
      <c r="AG37" s="124">
        <f>N37/K37</f>
        <v>0.79284415133603403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2050</v>
      </c>
      <c r="H38" s="134">
        <f>F38*G38</f>
        <v>102315.5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1481.9277108433703</v>
      </c>
      <c r="O38" s="141">
        <f>N38/M38</f>
        <v>98.795180722891345</v>
      </c>
      <c r="P38" s="142">
        <f>M38-J38</f>
        <v>-1</v>
      </c>
      <c r="Q38" s="143">
        <f>O38-L38</f>
        <v>-8.3298192771086548</v>
      </c>
      <c r="R38" s="144">
        <f>O38/L38</f>
        <v>0.92224206042372314</v>
      </c>
      <c r="S38" s="817">
        <f>R48</f>
        <v>0.93057067698808882</v>
      </c>
      <c r="T38" s="191">
        <v>0.33333333333333298</v>
      </c>
      <c r="U38" s="191">
        <v>0.390972222222222</v>
      </c>
      <c r="V38" s="192"/>
      <c r="W38" s="193">
        <f t="shared" si="12"/>
        <v>83.000000000000185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-232.07228915662972</v>
      </c>
      <c r="AG38" s="195">
        <f>N38/K38</f>
        <v>0.86460193164724053</v>
      </c>
      <c r="AH38" s="807">
        <f>AG48</f>
        <v>0.90161223680182745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3359</v>
      </c>
      <c r="H39" s="91">
        <f>F39*G39</f>
        <v>148803.69999999998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1538.4732824427517</v>
      </c>
      <c r="O39" s="203">
        <f>N39/M39</f>
        <v>85.470737913486204</v>
      </c>
      <c r="P39" s="97">
        <f>M39-J39</f>
        <v>0</v>
      </c>
      <c r="Q39" s="98">
        <f>O39-L39</f>
        <v>-5.418150975402682</v>
      </c>
      <c r="R39" s="99">
        <f>O39/L39</f>
        <v>0.94038709195767223</v>
      </c>
      <c r="S39" s="818"/>
      <c r="T39" s="20">
        <v>0.39791666666666697</v>
      </c>
      <c r="U39" s="20">
        <v>0.48888888888888898</v>
      </c>
      <c r="V39" s="92">
        <f>(T39-U38)*24*60</f>
        <v>10.000000000000764</v>
      </c>
      <c r="W39" s="205">
        <f t="shared" si="12"/>
        <v>130.99999999999969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-97.526717557248276</v>
      </c>
      <c r="AG39" s="206">
        <f>N39/K39</f>
        <v>0.94038709195767223</v>
      </c>
      <c r="AH39" s="808"/>
    </row>
    <row r="40" spans="1:34" ht="15" customHeight="1">
      <c r="A40" s="815"/>
      <c r="B40" s="75"/>
      <c r="C40" s="207"/>
      <c r="D40" s="198"/>
      <c r="E40" s="178"/>
      <c r="F40" s="75"/>
      <c r="G40" s="199"/>
      <c r="H40" s="91"/>
      <c r="I40" s="200"/>
      <c r="J40" s="148"/>
      <c r="K40" s="95"/>
      <c r="L40" s="96"/>
      <c r="M40" s="201"/>
      <c r="N40" s="202"/>
      <c r="O40" s="203"/>
      <c r="P40" s="97"/>
      <c r="Q40" s="98"/>
      <c r="R40" s="99"/>
      <c r="S40" s="749"/>
      <c r="T40" s="20"/>
      <c r="U40" s="20"/>
      <c r="V40" s="92"/>
      <c r="W40" s="205">
        <f t="shared" si="12"/>
        <v>0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0</v>
      </c>
      <c r="AG40" s="206" t="e">
        <f>N40/K40</f>
        <v>#DIV/0!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5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5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5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5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5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6">AVERAGE(J38:J47)</f>
        <v>17</v>
      </c>
      <c r="K48" s="155">
        <f t="shared" si="26"/>
        <v>1675</v>
      </c>
      <c r="L48" s="158">
        <f t="shared" si="26"/>
        <v>99.006944444444443</v>
      </c>
      <c r="M48" s="155">
        <f t="shared" si="26"/>
        <v>16.5</v>
      </c>
      <c r="N48" s="155">
        <f t="shared" si="26"/>
        <v>1510.2004966430609</v>
      </c>
      <c r="O48" s="158">
        <f t="shared" si="26"/>
        <v>92.132959318188767</v>
      </c>
      <c r="P48" s="221">
        <f>M48-J48</f>
        <v>-0.5</v>
      </c>
      <c r="Q48" s="222">
        <f>N48-K48</f>
        <v>-164.79950335693911</v>
      </c>
      <c r="R48" s="223">
        <f>O48/L48</f>
        <v>0.93057067698808882</v>
      </c>
      <c r="S48" s="752"/>
      <c r="T48" s="224"/>
      <c r="U48" s="224"/>
      <c r="V48" s="225"/>
      <c r="W48" s="226">
        <f t="shared" si="25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7">N48-K48</f>
        <v>-164.79950335693911</v>
      </c>
      <c r="AG48" s="162">
        <f t="shared" ref="AG48:AG53" si="28">N48/K48</f>
        <v>0.90161223680182745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1886</v>
      </c>
      <c r="H49" s="134">
        <f>F49*G49</f>
        <v>93394.72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1488.9473684210752</v>
      </c>
      <c r="O49" s="141">
        <f>N49/M49</f>
        <v>87.585139318886775</v>
      </c>
      <c r="P49" s="229">
        <f>M49-J49</f>
        <v>0</v>
      </c>
      <c r="Q49" s="230">
        <f>O49-L49</f>
        <v>-18.297213622289689</v>
      </c>
      <c r="R49" s="52">
        <f>O49/L49</f>
        <v>0.82719298245615291</v>
      </c>
      <c r="S49" s="748">
        <f>R58</f>
        <v>0.87034577106216415</v>
      </c>
      <c r="T49" s="191">
        <v>0.29166666666666702</v>
      </c>
      <c r="U49" s="191">
        <v>0.344444444444444</v>
      </c>
      <c r="V49" s="55"/>
      <c r="W49" s="193">
        <f t="shared" si="12"/>
        <v>75.999999999998849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7"/>
        <v>-311.05263157892477</v>
      </c>
      <c r="AG49" s="52">
        <f t="shared" si="28"/>
        <v>0.82719298245615291</v>
      </c>
      <c r="AH49" s="784">
        <f>AG58</f>
        <v>0.87045215682059307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1590</v>
      </c>
      <c r="H50" s="231">
        <f>F50*G50</f>
        <v>79959.510000000009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1514.2857142857158</v>
      </c>
      <c r="O50" s="235">
        <f>N50/M50</f>
        <v>89.075630252100936</v>
      </c>
      <c r="P50" s="74">
        <f>M50-J50</f>
        <v>0</v>
      </c>
      <c r="Q50" s="83">
        <f>O50-L50</f>
        <v>-7.159663865546122</v>
      </c>
      <c r="R50" s="72">
        <f>O50/L50</f>
        <v>0.92560251484456968</v>
      </c>
      <c r="S50" s="749"/>
      <c r="T50" s="21">
        <v>0.35277777777777802</v>
      </c>
      <c r="U50" s="21">
        <v>0.39652777777777798</v>
      </c>
      <c r="V50" s="30">
        <f>(T50-U49)*24*60</f>
        <v>12.000000000000997</v>
      </c>
      <c r="W50" s="236">
        <f t="shared" si="12"/>
        <v>62.999999999999936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7"/>
        <v>-121.71428571428419</v>
      </c>
      <c r="AG50" s="72">
        <f t="shared" si="28"/>
        <v>0.92560251484456957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1865</v>
      </c>
      <c r="H51" s="231">
        <f>F51*G51</f>
        <v>93194.05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1491.9999999999814</v>
      </c>
      <c r="O51" s="235">
        <f>N51/M51</f>
        <v>93.249999999998835</v>
      </c>
      <c r="P51" s="74">
        <f>M51-J51</f>
        <v>0</v>
      </c>
      <c r="Q51" s="83">
        <f>O51-L51</f>
        <v>-19.250000000001165</v>
      </c>
      <c r="R51" s="72">
        <f>O51/L51</f>
        <v>0.82888888888887857</v>
      </c>
      <c r="S51" s="749"/>
      <c r="T51" s="21">
        <v>0.40347222222222201</v>
      </c>
      <c r="U51" s="19">
        <v>0.45555555555555599</v>
      </c>
      <c r="V51" s="30">
        <f>(T51-U50)*24*60</f>
        <v>9.9999999999994049</v>
      </c>
      <c r="W51" s="236">
        <f t="shared" si="12"/>
        <v>75.000000000000938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7"/>
        <v>-308.00000000001864</v>
      </c>
      <c r="AG51" s="72">
        <f t="shared" si="28"/>
        <v>0.82888888888887857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3340</v>
      </c>
      <c r="H52" s="231">
        <f>F52*G52</f>
        <v>166899.79999999999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1629.26829268292</v>
      </c>
      <c r="O52" s="235">
        <f>N52/M52</f>
        <v>101.8292682926825</v>
      </c>
      <c r="P52" s="74">
        <f>M52-J52</f>
        <v>0</v>
      </c>
      <c r="Q52" s="83">
        <f>O52-L52</f>
        <v>-10.670731707317501</v>
      </c>
      <c r="R52" s="72">
        <f>O52/L52</f>
        <v>0.90514905149051106</v>
      </c>
      <c r="S52" s="749"/>
      <c r="T52" s="21">
        <v>0.51319444444444395</v>
      </c>
      <c r="U52" s="21">
        <v>0.59861111111111098</v>
      </c>
      <c r="V52" s="30">
        <f>(T52-U51)*24*60</f>
        <v>82.999999999998664</v>
      </c>
      <c r="W52" s="236">
        <f t="shared" si="12"/>
        <v>123.00000000000053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7"/>
        <v>-170.73170731708001</v>
      </c>
      <c r="AG52" s="72">
        <f t="shared" si="28"/>
        <v>0.90514905149051106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7"/>
        <v>0</v>
      </c>
      <c r="AG53" s="72" t="e">
        <f t="shared" si="28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9">AVERAGE(J49:J57)</f>
        <v>16.5</v>
      </c>
      <c r="K58" s="120">
        <f t="shared" si="29"/>
        <v>1759</v>
      </c>
      <c r="L58" s="117">
        <f t="shared" si="29"/>
        <v>106.77941176470588</v>
      </c>
      <c r="M58" s="120">
        <f t="shared" si="29"/>
        <v>16.5</v>
      </c>
      <c r="N58" s="120">
        <f t="shared" si="29"/>
        <v>1531.1253438474232</v>
      </c>
      <c r="O58" s="117">
        <f t="shared" si="29"/>
        <v>92.935009465917261</v>
      </c>
      <c r="P58" s="121">
        <f>M58-J58</f>
        <v>0</v>
      </c>
      <c r="Q58" s="122">
        <f>N58-K58</f>
        <v>-227.87465615257679</v>
      </c>
      <c r="R58" s="123">
        <f>O58/L58</f>
        <v>0.87034577106216415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-227.87465615257679</v>
      </c>
      <c r="AG58" s="124">
        <f>N58/K58</f>
        <v>0.87045215682059307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2786</v>
      </c>
      <c r="H59" s="243">
        <f>F59*G59</f>
        <v>75194.14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1519.6363636363612</v>
      </c>
      <c r="O59" s="138">
        <f>N59/M59</f>
        <v>101.30909090909076</v>
      </c>
      <c r="P59" s="56">
        <f>M59-J59</f>
        <v>0</v>
      </c>
      <c r="Q59" s="230">
        <f>O59-L59</f>
        <v>-7.757575757575907</v>
      </c>
      <c r="R59" s="52">
        <f>O59/L59</f>
        <v>0.92887308290731141</v>
      </c>
      <c r="S59" s="748">
        <f>R69</f>
        <v>0.90919504243941873</v>
      </c>
      <c r="T59" s="245">
        <v>0.28819444444444398</v>
      </c>
      <c r="U59" s="245">
        <v>0.36458333333333298</v>
      </c>
      <c r="V59" s="55"/>
      <c r="W59" s="54">
        <f t="shared" si="12"/>
        <v>110.00000000000017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-116.36363636363876</v>
      </c>
      <c r="AG59" s="246">
        <f>N59/K59</f>
        <v>0.9288730829073113</v>
      </c>
      <c r="AH59" s="784">
        <f>AG69</f>
        <v>0.9109442015921202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1049</v>
      </c>
      <c r="H60" s="78">
        <f>F60*G60</f>
        <v>29644.74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1573.4999999999866</v>
      </c>
      <c r="O60" s="81">
        <f>N60/M60</f>
        <v>143.04545454545334</v>
      </c>
      <c r="P60" s="74">
        <f>M60-J60</f>
        <v>0</v>
      </c>
      <c r="Q60" s="83">
        <f>O60-L60</f>
        <v>-5.6818181818193807</v>
      </c>
      <c r="R60" s="72">
        <f>O60/L60</f>
        <v>0.96179706601466186</v>
      </c>
      <c r="S60" s="829"/>
      <c r="T60" s="22">
        <v>0.37152777777777801</v>
      </c>
      <c r="U60" s="22">
        <v>0.39930555555555602</v>
      </c>
      <c r="V60" s="30">
        <f>(T60-U59)*24*60</f>
        <v>10.000000000000844</v>
      </c>
      <c r="W60" s="248">
        <f t="shared" si="12"/>
        <v>40.000000000000341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-62.500000000013415</v>
      </c>
      <c r="AG60" s="249">
        <f>N60/K60</f>
        <v>0.96179706601466175</v>
      </c>
      <c r="AH60" s="820"/>
    </row>
    <row r="61" spans="1:34" ht="15" customHeight="1">
      <c r="A61" s="827"/>
      <c r="B61" s="250" t="s">
        <v>130</v>
      </c>
      <c r="C61" s="251"/>
      <c r="D61" s="257" t="s">
        <v>133</v>
      </c>
      <c r="E61" s="253"/>
      <c r="F61" s="75">
        <f>VLOOKUP(D61,廠價表!$C$1:$E$43,3,0)</f>
        <v>28.26</v>
      </c>
      <c r="G61" s="38">
        <v>620</v>
      </c>
      <c r="H61" s="78">
        <f>F61*G61</f>
        <v>17521.2</v>
      </c>
      <c r="I61" s="30"/>
      <c r="J61" s="79">
        <f>VLOOKUP(D61,產線配置圖!$A$3:$C$40,2,0)</f>
        <v>11</v>
      </c>
      <c r="K61" s="80">
        <f>VLOOKUP(D61,產線配置圖!$A$3:$C$40,3,0)</f>
        <v>1636</v>
      </c>
      <c r="L61" s="81">
        <f>K61/J61</f>
        <v>148.72727272727272</v>
      </c>
      <c r="M61" s="108">
        <v>11</v>
      </c>
      <c r="N61" s="80">
        <f>G61/W61*60</f>
        <v>1377.7777777777785</v>
      </c>
      <c r="O61" s="81">
        <f>N61/M61</f>
        <v>125.25252525252532</v>
      </c>
      <c r="P61" s="74">
        <f>M61-J61</f>
        <v>0</v>
      </c>
      <c r="Q61" s="83">
        <f>O61-L61</f>
        <v>-23.474747474747403</v>
      </c>
      <c r="R61" s="72">
        <f>O61/L61</f>
        <v>0.84216245585438787</v>
      </c>
      <c r="S61" s="749"/>
      <c r="T61" s="22">
        <v>0.40833333333333299</v>
      </c>
      <c r="U61" s="22">
        <v>0.42708333333333298</v>
      </c>
      <c r="V61" s="30">
        <f>(T61-U60)*24*60</f>
        <v>12.999999999998835</v>
      </c>
      <c r="W61" s="256">
        <f t="shared" si="12"/>
        <v>26.999999999999986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-258.22222222222149</v>
      </c>
      <c r="AG61" s="247">
        <f>N61/K61</f>
        <v>0.84216245585438787</v>
      </c>
      <c r="AH61" s="785"/>
    </row>
    <row r="62" spans="1:34" ht="15" customHeight="1">
      <c r="A62" s="827"/>
      <c r="B62" s="250"/>
      <c r="C62" s="251"/>
      <c r="D62" s="257"/>
      <c r="E62" s="253"/>
      <c r="F62" s="250"/>
      <c r="G62" s="38"/>
      <c r="H62" s="254"/>
      <c r="I62" s="182"/>
      <c r="J62" s="106"/>
      <c r="K62" s="107"/>
      <c r="L62" s="238"/>
      <c r="M62" s="108"/>
      <c r="N62" s="107"/>
      <c r="O62" s="238"/>
      <c r="P62" s="111"/>
      <c r="Q62" s="255"/>
      <c r="R62" s="85"/>
      <c r="S62" s="749"/>
      <c r="T62" s="22"/>
      <c r="U62" s="22"/>
      <c r="V62" s="30"/>
      <c r="W62" s="248">
        <f t="shared" si="12"/>
        <v>0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0</v>
      </c>
      <c r="AG62" s="247" t="e">
        <f>N62/K62</f>
        <v>#DIV/0!</v>
      </c>
      <c r="AH62" s="785"/>
    </row>
    <row r="63" spans="1:34" ht="15" customHeight="1">
      <c r="A63" s="827"/>
      <c r="B63" s="258"/>
      <c r="C63" s="58"/>
      <c r="D63" s="259"/>
      <c r="E63" s="60"/>
      <c r="F63" s="250"/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30">AVERAGE(J59:J68)</f>
        <v>12.333333333333334</v>
      </c>
      <c r="K69" s="240">
        <f t="shared" si="30"/>
        <v>1636</v>
      </c>
      <c r="L69" s="268">
        <f t="shared" si="30"/>
        <v>135.50707070707071</v>
      </c>
      <c r="M69" s="240">
        <f t="shared" si="30"/>
        <v>12.333333333333334</v>
      </c>
      <c r="N69" s="240">
        <f t="shared" si="30"/>
        <v>1490.3047138047086</v>
      </c>
      <c r="O69" s="268">
        <f t="shared" si="30"/>
        <v>123.20235690235647</v>
      </c>
      <c r="P69" s="269">
        <f>M69-J69</f>
        <v>0</v>
      </c>
      <c r="Q69" s="222">
        <f>N69-K69</f>
        <v>-145.69528619529137</v>
      </c>
      <c r="R69" s="123">
        <f>O69/L69</f>
        <v>0.90919504243941873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-145.69528619529137</v>
      </c>
      <c r="AG69" s="124">
        <f>N69/K69</f>
        <v>0.9109442015921202</v>
      </c>
      <c r="AH69" s="787"/>
    </row>
    <row r="70" spans="1:36" ht="15" customHeight="1">
      <c r="A70" s="821" t="s">
        <v>55</v>
      </c>
      <c r="B70" s="129" t="s">
        <v>130</v>
      </c>
      <c r="C70" s="129"/>
      <c r="D70" s="131" t="s">
        <v>134</v>
      </c>
      <c r="E70" s="132"/>
      <c r="F70" s="129">
        <f>VLOOKUP(D70,廠價表!$C$1:$E$43,3,0)</f>
        <v>28.26</v>
      </c>
      <c r="G70" s="55">
        <v>2423</v>
      </c>
      <c r="H70" s="243">
        <f>F70*G70</f>
        <v>68473.98000000001</v>
      </c>
      <c r="I70" s="55"/>
      <c r="J70" s="136">
        <f>VLOOKUP(D70,產線配置圖!$A$3:$C$40,2,0)</f>
        <v>11</v>
      </c>
      <c r="K70" s="137">
        <f>VLOOKUP(D70,產線配置圖!$A$3:$C$40,3,0)</f>
        <v>1636</v>
      </c>
      <c r="L70" s="138">
        <f>K70/J70</f>
        <v>148.72727272727272</v>
      </c>
      <c r="M70" s="244">
        <v>8</v>
      </c>
      <c r="N70" s="137">
        <f>G70/W70*60</f>
        <v>988.97959183673765</v>
      </c>
      <c r="O70" s="138">
        <f>N70/M70</f>
        <v>123.62244897959221</v>
      </c>
      <c r="P70" s="56">
        <f>M70-J70</f>
        <v>-3</v>
      </c>
      <c r="Q70" s="230">
        <f>O70-L70</f>
        <v>-25.104823747680513</v>
      </c>
      <c r="R70" s="52">
        <f>O70/L70</f>
        <v>0.83120228531510654</v>
      </c>
      <c r="S70" s="748">
        <f>R79</f>
        <v>0.83120228531510654</v>
      </c>
      <c r="T70" s="245">
        <v>0.39305555555555599</v>
      </c>
      <c r="U70" s="245">
        <v>0.49513888888888902</v>
      </c>
      <c r="V70" s="55"/>
      <c r="W70" s="54">
        <f t="shared" si="12"/>
        <v>146.99999999999955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-647.02040816326235</v>
      </c>
      <c r="AG70" s="246">
        <f>N70/K70</f>
        <v>0.60451075295644108</v>
      </c>
      <c r="AH70" s="784">
        <f>AG79</f>
        <v>0.60451075295644108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1">AVERAGE(J70:J78)</f>
        <v>11</v>
      </c>
      <c r="K79" s="240">
        <f t="shared" si="31"/>
        <v>1636</v>
      </c>
      <c r="L79" s="268">
        <f t="shared" si="31"/>
        <v>148.72727272727272</v>
      </c>
      <c r="M79" s="240">
        <f t="shared" si="31"/>
        <v>8</v>
      </c>
      <c r="N79" s="240">
        <f t="shared" si="31"/>
        <v>988.97959183673765</v>
      </c>
      <c r="O79" s="268">
        <f t="shared" si="31"/>
        <v>123.62244897959221</v>
      </c>
      <c r="P79" s="269">
        <f>M79-J79</f>
        <v>-3</v>
      </c>
      <c r="Q79" s="222">
        <f>N79-K79</f>
        <v>-647.02040816326235</v>
      </c>
      <c r="R79" s="223">
        <f>O79/L79</f>
        <v>0.83120228531510654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-647.02040816326235</v>
      </c>
      <c r="AG79" s="124">
        <f>N79/K79</f>
        <v>0.60451075295644108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28" priority="1" operator="greaterThan">
      <formula>0</formula>
    </cfRule>
  </conditionalFormatting>
  <conditionalFormatting sqref="Q5:Q79 AF5:AF79">
    <cfRule type="cellIs" dxfId="27" priority="4" operator="lessThan">
      <formula>0</formula>
    </cfRule>
  </conditionalFormatting>
  <conditionalFormatting sqref="R5:R79 AG5:AG79">
    <cfRule type="cellIs" dxfId="26" priority="2" operator="greaterThan">
      <formula>1</formula>
    </cfRule>
    <cfRule type="cellIs" dxfId="25" priority="3" operator="lessThan">
      <formula>0.8</formula>
    </cfRule>
  </conditionalFormatting>
  <conditionalFormatting sqref="S5:S10 S37:S62 AH59:AH62 S69:S76 AH69:AH76">
    <cfRule type="cellIs" dxfId="24" priority="7" operator="lessThan">
      <formula>0.8</formula>
    </cfRule>
  </conditionalFormatting>
  <conditionalFormatting sqref="S19:S25 AH19:AH25">
    <cfRule type="cellIs" dxfId="23" priority="6" operator="lessThan">
      <formula>0.8</formula>
    </cfRule>
  </conditionalFormatting>
  <conditionalFormatting sqref="S79">
    <cfRule type="cellIs" dxfId="22" priority="5" operator="lessThan">
      <formula>0.8</formula>
    </cfRule>
  </conditionalFormatting>
  <conditionalFormatting sqref="AH5:AH8 S15:S16 AH15:AH16 AH49 AH79">
    <cfRule type="cellIs" dxfId="21" priority="9" operator="lessThan">
      <formula>0.8</formula>
    </cfRule>
  </conditionalFormatting>
  <conditionalFormatting sqref="AH27 S27:S28">
    <cfRule type="cellIs" dxfId="2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E2850-177D-46CD-8A64-DD60A61AC853}">
  <dimension ref="B1:O26"/>
  <sheetViews>
    <sheetView topLeftCell="B1" zoomScale="70" zoomScaleNormal="70" workbookViewId="0">
      <selection activeCell="N21" sqref="N21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DATE(2026,8,30)</f>
        <v>46264</v>
      </c>
      <c r="E3" s="706"/>
      <c r="F3" s="3" t="s">
        <v>72</v>
      </c>
      <c r="G3" s="707">
        <f>'0830'!E1</f>
        <v>62542</v>
      </c>
      <c r="H3" s="707"/>
      <c r="I3" s="3" t="s">
        <v>2</v>
      </c>
      <c r="J3" s="708">
        <f>'0830'!G1</f>
        <v>2906320.074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AVERAGE(D13:J13)</f>
        <v>128.07774651430114</v>
      </c>
      <c r="G6" s="713"/>
      <c r="H6" s="714">
        <f>AVERAGE(D13:H13)</f>
        <v>127.18994206229499</v>
      </c>
      <c r="I6" s="714"/>
      <c r="J6" s="714">
        <f>AVERAGE(I13:J13)</f>
        <v>130.29725764431646</v>
      </c>
      <c r="K6" s="714"/>
      <c r="L6" s="716">
        <f>'0830'!Z2</f>
        <v>0</v>
      </c>
      <c r="M6" s="717">
        <f>'0830'!AA2</f>
        <v>0</v>
      </c>
      <c r="N6" s="718">
        <f>'0830'!AD2</f>
        <v>0</v>
      </c>
      <c r="O6" s="717">
        <f>'0830'!AE2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AVERAGE(D14:J14)</f>
        <v>115.08459668862425</v>
      </c>
      <c r="G7" s="737"/>
      <c r="H7" s="738">
        <f>AVERAGE(D14:H14)</f>
        <v>116.84607706566153</v>
      </c>
      <c r="I7" s="738"/>
      <c r="J7" s="738">
        <f>AVERAGE(I14:J14)</f>
        <v>110.68089574603098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AVERAGE(D15:J15)</f>
        <v>0.89545267591303201</v>
      </c>
      <c r="G8" s="710"/>
      <c r="H8" s="710">
        <f>AVERAGE(D15:H15)</f>
        <v>0.91527125681375687</v>
      </c>
      <c r="I8" s="710"/>
      <c r="J8" s="710">
        <f>AVERAGE(I15:J15)</f>
        <v>0.84590622366121992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VALUE('0830'!L15)</f>
        <v>159.16895604395603</v>
      </c>
      <c r="E13" s="13">
        <f>VALUE('0830'!L26)</f>
        <v>177.19780219780219</v>
      </c>
      <c r="F13" s="13">
        <f>VALUE('0830'!L37)</f>
        <v>96.502614379084974</v>
      </c>
      <c r="G13" s="13">
        <f>VALUE('0830'!L48)</f>
        <v>96.300925925925924</v>
      </c>
      <c r="H13" s="13">
        <f>VALUE('0830'!L58)</f>
        <v>106.77941176470588</v>
      </c>
      <c r="I13" s="13">
        <f>VALUE('0830'!L69)</f>
        <v>138.81212121212121</v>
      </c>
      <c r="J13" s="13">
        <f>'0830'!L79</f>
        <v>121.78239407651172</v>
      </c>
    </row>
    <row r="14" spans="2:15" ht="39.950000000000003" customHeight="1">
      <c r="B14" s="731"/>
      <c r="C14" s="12" t="s">
        <v>100</v>
      </c>
      <c r="D14" s="13">
        <f>VALUE('0830'!O15)</f>
        <v>145.32110869796196</v>
      </c>
      <c r="E14" s="13">
        <f>VALUE('0830'!O26)</f>
        <v>167.52328848574001</v>
      </c>
      <c r="F14" s="13">
        <f>VALUE('0830'!O37)</f>
        <v>90.226133326805112</v>
      </c>
      <c r="G14" s="13">
        <f>VALUE('0830'!O48)</f>
        <v>84.801098300212445</v>
      </c>
      <c r="H14" s="13">
        <f>VALUE('0830'!O58)</f>
        <v>96.358756517588134</v>
      </c>
      <c r="I14" s="13">
        <f>VALUE('0830'!O69)</f>
        <v>124.94775678866492</v>
      </c>
      <c r="J14" s="13">
        <f>'0830'!O79</f>
        <v>96.414034703397036</v>
      </c>
    </row>
    <row r="15" spans="2:15" ht="39.950000000000003" customHeight="1">
      <c r="B15" s="732"/>
      <c r="C15" s="10" t="s">
        <v>26</v>
      </c>
      <c r="D15" s="14">
        <f t="shared" ref="D15:I15" si="0">D14/D13</f>
        <v>0.91299906910132744</v>
      </c>
      <c r="E15" s="14">
        <f t="shared" si="0"/>
        <v>0.94540274432262583</v>
      </c>
      <c r="F15" s="14">
        <f t="shared" si="0"/>
        <v>0.93496050762288818</v>
      </c>
      <c r="G15" s="14">
        <f t="shared" si="0"/>
        <v>0.88058445424959797</v>
      </c>
      <c r="H15" s="14">
        <f t="shared" si="0"/>
        <v>0.90240950877234449</v>
      </c>
      <c r="I15" s="14">
        <f t="shared" si="0"/>
        <v>0.90012137050863217</v>
      </c>
      <c r="J15" s="15">
        <f>'0830'!S70</f>
        <v>0.79169107681380768</v>
      </c>
    </row>
    <row r="16" spans="2:15" ht="17.25" customHeight="1">
      <c r="B16" s="733" t="s">
        <v>101</v>
      </c>
      <c r="C16" s="10" t="s">
        <v>34</v>
      </c>
      <c r="D16" s="16">
        <f>'0830'!T5</f>
        <v>0.29305555555555601</v>
      </c>
      <c r="E16" s="16">
        <f>'0830'!T16</f>
        <v>0.29166666666666702</v>
      </c>
      <c r="F16" s="16">
        <f>'0830'!T27</f>
        <v>0.28819444444444398</v>
      </c>
      <c r="G16" s="16">
        <f>'0830'!T38</f>
        <v>0.33333333333333298</v>
      </c>
      <c r="H16" s="16">
        <f>'0830'!T49</f>
        <v>0.29166666666666702</v>
      </c>
      <c r="I16" s="16">
        <f>'0830'!T59</f>
        <v>0.29166666666666702</v>
      </c>
      <c r="J16" s="17">
        <f>'0830'!T70</f>
        <v>0.29930555555555599</v>
      </c>
    </row>
    <row r="17" spans="2:10" ht="17.25" customHeight="1">
      <c r="B17" s="734"/>
      <c r="C17" s="10" t="s">
        <v>35</v>
      </c>
      <c r="D17" s="183">
        <v>0.61111111111111105</v>
      </c>
      <c r="E17" s="183">
        <v>0.61111111111111105</v>
      </c>
      <c r="F17" s="19">
        <v>0.59722222222222199</v>
      </c>
      <c r="G17" s="328">
        <v>0.67361111111111105</v>
      </c>
      <c r="H17" s="21">
        <v>0.64236111111111105</v>
      </c>
      <c r="I17" s="110">
        <v>0.57638888888888895</v>
      </c>
      <c r="J17" s="22">
        <v>0.44583333333333303</v>
      </c>
    </row>
    <row r="18" spans="2:10" ht="17.25" customHeight="1">
      <c r="B18" s="735" t="s">
        <v>102</v>
      </c>
      <c r="C18" s="330" t="s">
        <v>36</v>
      </c>
      <c r="D18" s="386">
        <f>'0830'!Z15</f>
        <v>0</v>
      </c>
      <c r="E18" s="387">
        <f>'0830'!Z26</f>
        <v>0</v>
      </c>
      <c r="F18" s="387">
        <f>'0830'!Z37</f>
        <v>0</v>
      </c>
      <c r="G18" s="388">
        <f>'0830'!Z48</f>
        <v>0</v>
      </c>
      <c r="H18" s="388">
        <f>'0830'!Z58</f>
        <v>0</v>
      </c>
      <c r="I18" s="387">
        <f>'0830'!Z69</f>
        <v>0</v>
      </c>
      <c r="J18" s="387">
        <f>'0830'!AA79</f>
        <v>0</v>
      </c>
    </row>
    <row r="19" spans="2:10" ht="17.25" customHeight="1">
      <c r="B19" s="736"/>
      <c r="C19" s="330" t="s">
        <v>37</v>
      </c>
      <c r="D19" s="386">
        <f>'0830'!AA15</f>
        <v>0</v>
      </c>
      <c r="E19" s="387">
        <f>'0830'!AA26</f>
        <v>0</v>
      </c>
      <c r="F19" s="387">
        <f>'0830'!AA37</f>
        <v>0</v>
      </c>
      <c r="G19" s="388">
        <f>'0830'!AA48</f>
        <v>0</v>
      </c>
      <c r="H19" s="388">
        <f>'0830'!AA58</f>
        <v>0</v>
      </c>
      <c r="I19" s="387">
        <f>'0830'!AA69</f>
        <v>0</v>
      </c>
      <c r="J19" s="387">
        <f>'0830'!AB79</f>
        <v>0</v>
      </c>
    </row>
    <row r="20" spans="2:10" ht="17.25" customHeight="1">
      <c r="B20" s="735" t="s">
        <v>103</v>
      </c>
      <c r="C20" s="330" t="s">
        <v>36</v>
      </c>
      <c r="D20" s="386">
        <f>'0830'!AD15</f>
        <v>0</v>
      </c>
      <c r="E20" s="387">
        <f>'0830'!AD26</f>
        <v>0</v>
      </c>
      <c r="F20" s="387">
        <f>'0830'!AD37</f>
        <v>0</v>
      </c>
      <c r="G20" s="388">
        <f>'0830'!AD48</f>
        <v>0</v>
      </c>
      <c r="H20" s="388">
        <f>'0830'!AD58</f>
        <v>0</v>
      </c>
      <c r="I20" s="387">
        <f>'0830'!AD69</f>
        <v>0</v>
      </c>
      <c r="J20" s="387">
        <f>'0830'!AD79</f>
        <v>0</v>
      </c>
    </row>
    <row r="21" spans="2:10" ht="17.25" customHeight="1">
      <c r="B21" s="736"/>
      <c r="C21" s="330" t="s">
        <v>85</v>
      </c>
      <c r="D21" s="386">
        <f>'0830'!AE15</f>
        <v>0</v>
      </c>
      <c r="E21" s="387">
        <f>'0830'!AE26</f>
        <v>0</v>
      </c>
      <c r="F21" s="387">
        <f>'0830'!AE37</f>
        <v>0</v>
      </c>
      <c r="G21" s="388">
        <f>'0830'!AE48</f>
        <v>0</v>
      </c>
      <c r="H21" s="388">
        <f>'0830'!AE58</f>
        <v>0</v>
      </c>
      <c r="I21" s="387">
        <f>'0830'!AE69</f>
        <v>0</v>
      </c>
      <c r="J21" s="387">
        <f>'0830'!AE79</f>
        <v>0</v>
      </c>
    </row>
    <row r="22" spans="2:10" ht="17.25" customHeight="1">
      <c r="B22" s="719" t="s">
        <v>104</v>
      </c>
      <c r="C22" s="720"/>
      <c r="D22" s="23">
        <f>VALUE('0830'!M15)</f>
        <v>14.2</v>
      </c>
      <c r="E22" s="23">
        <f>VALUE('0830'!M26)</f>
        <v>12.75</v>
      </c>
      <c r="F22" s="23">
        <f>VALUE('0830'!M37)</f>
        <v>16.600000000000001</v>
      </c>
      <c r="G22" s="23">
        <f>VALUE('0830'!M48)</f>
        <v>17</v>
      </c>
      <c r="H22" s="23">
        <f>VALUE('0830'!M58)</f>
        <v>16.5</v>
      </c>
      <c r="I22" s="23">
        <f>VALUE('0830'!M69)</f>
        <v>12</v>
      </c>
      <c r="J22" s="23">
        <f>'0830'!M79</f>
        <v>10.666666666666666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1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33753-2F54-4540-B738-D7661EB482E7}">
  <sheetPr>
    <tabColor theme="9" tint="0.79998168889431442"/>
  </sheetPr>
  <dimension ref="A1:AJ92"/>
  <sheetViews>
    <sheetView zoomScale="69" zoomScaleNormal="69" workbookViewId="0">
      <pane xSplit="5" ySplit="4" topLeftCell="F5" activePane="bottomRight" state="frozen"/>
      <selection activeCell="G76" sqref="G76"/>
      <selection pane="topRight" activeCell="G76" sqref="G76"/>
      <selection pane="bottomLeft" activeCell="G76" sqref="G76"/>
      <selection pane="bottomRight" activeCell="U31" sqref="U31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62542</v>
      </c>
      <c r="F1" s="30" t="s">
        <v>2</v>
      </c>
      <c r="G1" s="31">
        <f>SUM(H5:H79)</f>
        <v>2906320.074</v>
      </c>
      <c r="H1" s="32" t="s">
        <v>3</v>
      </c>
      <c r="I1" s="33">
        <f>M15+M26+M48+M58+M69+M79+M37</f>
        <v>99.716666666666669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218</v>
      </c>
      <c r="B2" s="739"/>
      <c r="C2" s="28"/>
      <c r="D2" s="28" t="s">
        <v>14</v>
      </c>
      <c r="E2" s="35">
        <f>AVERAGE(O15,O26,O37,O48,O58,O69,O79)</f>
        <v>115.08459668862425</v>
      </c>
      <c r="F2" s="36" t="s">
        <v>15</v>
      </c>
      <c r="G2" s="37">
        <f>G1/E1</f>
        <v>46.469893415624703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0</v>
      </c>
      <c r="AA2" s="339">
        <f>AA15+AA26+AA37+AA48+AA58+AA69+AA79</f>
        <v>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120</v>
      </c>
      <c r="E5" s="41"/>
      <c r="F5" s="39">
        <f>VLOOKUP(D5,廠價表!$C$1:$E$43,3,0)</f>
        <v>56.87</v>
      </c>
      <c r="G5" s="42">
        <v>1722</v>
      </c>
      <c r="H5" s="43">
        <f>F5*G5</f>
        <v>97930.14</v>
      </c>
      <c r="I5" s="44"/>
      <c r="J5" s="45">
        <v>14</v>
      </c>
      <c r="K5" s="46">
        <f>VLOOKUP(D5,產線配置圖!$A$3:$C$40,3,0)</f>
        <v>2250</v>
      </c>
      <c r="L5" s="47">
        <f>K5/J5</f>
        <v>160.71428571428572</v>
      </c>
      <c r="M5" s="48">
        <v>14</v>
      </c>
      <c r="N5" s="46">
        <f>G5/W5*60</f>
        <v>2152.5000000000223</v>
      </c>
      <c r="O5" s="47">
        <f>N5/M5</f>
        <v>153.75000000000159</v>
      </c>
      <c r="P5" s="49">
        <f>M5-J5</f>
        <v>0</v>
      </c>
      <c r="Q5" s="50">
        <f>O5-L5</f>
        <v>-6.9642857142841308</v>
      </c>
      <c r="R5" s="51">
        <f>O5/L5</f>
        <v>0.95666666666667655</v>
      </c>
      <c r="S5" s="748">
        <f>R15</f>
        <v>0.91299906910132744</v>
      </c>
      <c r="T5" s="319">
        <v>0.29305555555555601</v>
      </c>
      <c r="U5" s="320">
        <v>0.32638888888888901</v>
      </c>
      <c r="V5" s="53"/>
      <c r="W5" s="54">
        <f t="shared" ref="W5:W14" si="0">(U5-T5)*24*60</f>
        <v>47.99999999999951</v>
      </c>
      <c r="X5" s="55"/>
      <c r="Y5" s="290"/>
      <c r="Z5" s="169"/>
      <c r="AA5" s="169"/>
      <c r="AB5" s="791"/>
      <c r="AC5" s="791"/>
      <c r="AD5" s="135"/>
      <c r="AE5" s="135"/>
      <c r="AF5" s="229">
        <f t="shared" ref="AF5:AF11" si="1">N5-K5</f>
        <v>-97.499999999977717</v>
      </c>
      <c r="AG5" s="52">
        <f t="shared" ref="AG5:AG11" si="2">N5/K5</f>
        <v>0.95666666666667655</v>
      </c>
      <c r="AH5" s="784">
        <f>AG15</f>
        <v>0.9079335322433093</v>
      </c>
    </row>
    <row r="6" spans="1:34" ht="15" customHeight="1">
      <c r="A6" s="755"/>
      <c r="B6" s="57" t="s">
        <v>81</v>
      </c>
      <c r="C6" s="58"/>
      <c r="D6" s="59" t="s">
        <v>113</v>
      </c>
      <c r="E6" s="60"/>
      <c r="F6" s="61">
        <f>VLOOKUP(D6,廠價表!$C$1:$E$43,3,0)</f>
        <v>50.67</v>
      </c>
      <c r="G6" s="62">
        <v>1060</v>
      </c>
      <c r="H6" s="63">
        <f>F6*G6</f>
        <v>53710.200000000004</v>
      </c>
      <c r="I6" s="64"/>
      <c r="J6" s="65">
        <v>16</v>
      </c>
      <c r="K6" s="66">
        <f>VLOOKUP(D6,產線配置圖!$A$3:$C$40,3,0)</f>
        <v>2250</v>
      </c>
      <c r="L6" s="67">
        <f>K6/J6</f>
        <v>140.625</v>
      </c>
      <c r="M6" s="68">
        <v>16</v>
      </c>
      <c r="N6" s="66">
        <f>G6/W6*60</f>
        <v>1673.6842105263077</v>
      </c>
      <c r="O6" s="67">
        <f>N6/M6</f>
        <v>104.60526315789423</v>
      </c>
      <c r="P6" s="69">
        <f>M6-J6</f>
        <v>0</v>
      </c>
      <c r="Q6" s="70">
        <f>O6-L6</f>
        <v>-36.019736842105772</v>
      </c>
      <c r="R6" s="71">
        <f>O6/L6</f>
        <v>0.74385964912280345</v>
      </c>
      <c r="S6" s="749"/>
      <c r="T6" s="16">
        <v>0.33333333333333298</v>
      </c>
      <c r="U6" s="16">
        <v>0.359722222222222</v>
      </c>
      <c r="V6" s="30">
        <f>(T6-U5)*24*60</f>
        <v>9.999999999999325</v>
      </c>
      <c r="W6" s="73">
        <f t="shared" si="0"/>
        <v>38.000000000000185</v>
      </c>
      <c r="X6" s="22"/>
      <c r="Y6" s="84"/>
      <c r="Z6" s="90"/>
      <c r="AA6" s="90"/>
      <c r="AB6" s="788" t="s">
        <v>149</v>
      </c>
      <c r="AC6" s="788"/>
      <c r="AD6" s="149"/>
      <c r="AE6" s="149"/>
      <c r="AF6" s="307">
        <f t="shared" si="1"/>
        <v>-576.31578947369235</v>
      </c>
      <c r="AG6" s="72">
        <f t="shared" si="2"/>
        <v>0.74385964912280345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75">
        <f>VLOOKUP(D7,廠價表!$C$1:$E$43,3,0)</f>
        <v>58.17</v>
      </c>
      <c r="G7" s="66">
        <v>1959</v>
      </c>
      <c r="H7" s="78">
        <f>F7*G7</f>
        <v>113955.03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80">
        <f>G7/W7*60</f>
        <v>2176.6666666666679</v>
      </c>
      <c r="O7" s="81">
        <f>N7/M7</f>
        <v>167.43589743589752</v>
      </c>
      <c r="P7" s="74">
        <f>M7-J7</f>
        <v>0</v>
      </c>
      <c r="Q7" s="83">
        <f>O7-L7</f>
        <v>-5.6410256410255499</v>
      </c>
      <c r="R7" s="72">
        <f>O7/L7</f>
        <v>0.96740740740740794</v>
      </c>
      <c r="S7" s="749"/>
      <c r="T7" s="18">
        <v>0.36805555555555602</v>
      </c>
      <c r="U7" s="18">
        <v>0.405555555555556</v>
      </c>
      <c r="V7" s="30">
        <f>(T7-U6)*24*60</f>
        <v>12.000000000000997</v>
      </c>
      <c r="W7" s="73">
        <f t="shared" si="0"/>
        <v>53.999999999999972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-73.333333333332121</v>
      </c>
      <c r="AG7" s="72">
        <f t="shared" si="2"/>
        <v>0.96740740740740794</v>
      </c>
      <c r="AH7" s="785"/>
    </row>
    <row r="8" spans="1:34" ht="15" customHeight="1">
      <c r="A8" s="755"/>
      <c r="B8" s="75" t="s">
        <v>81</v>
      </c>
      <c r="C8" s="76"/>
      <c r="D8" s="59" t="s">
        <v>115</v>
      </c>
      <c r="E8" s="77"/>
      <c r="F8" s="75">
        <f>VLOOKUP(D8,廠價表!$C$1:$E$43,3,0)</f>
        <v>49.14</v>
      </c>
      <c r="G8" s="66">
        <v>3157</v>
      </c>
      <c r="H8" s="78">
        <f t="shared" ref="H8:H9" si="3">F8*G8</f>
        <v>155134.98000000001</v>
      </c>
      <c r="I8" s="73"/>
      <c r="J8" s="79">
        <v>14</v>
      </c>
      <c r="K8" s="80">
        <f>VLOOKUP(D8,產線配置圖!$A$3:$C$40,3,0)</f>
        <v>2250</v>
      </c>
      <c r="L8" s="81">
        <f t="shared" ref="L8:L9" si="4">K8/J8</f>
        <v>160.71428571428572</v>
      </c>
      <c r="M8" s="82">
        <v>14</v>
      </c>
      <c r="N8" s="80">
        <f t="shared" ref="N8:N9" si="5">G8/W8*60</f>
        <v>2104.6666666666665</v>
      </c>
      <c r="O8" s="81">
        <f t="shared" ref="O8:O9" si="6">N8/M8</f>
        <v>150.33333333333331</v>
      </c>
      <c r="P8" s="74">
        <f t="shared" ref="P8:P9" si="7">M8-J8</f>
        <v>0</v>
      </c>
      <c r="Q8" s="83">
        <f t="shared" ref="Q8:Q9" si="8">O8-L8</f>
        <v>-10.380952380952408</v>
      </c>
      <c r="R8" s="72">
        <f t="shared" ref="R8:R9" si="9">O8/L8</f>
        <v>0.93540740740740724</v>
      </c>
      <c r="S8" s="749"/>
      <c r="T8" s="16">
        <v>0.41319444444444398</v>
      </c>
      <c r="U8" s="16">
        <v>0.47569444444444398</v>
      </c>
      <c r="V8" s="30">
        <f t="shared" ref="V8:V9" si="10">(T8-U7)*24*60</f>
        <v>10.999999999998682</v>
      </c>
      <c r="W8" s="73">
        <f t="shared" si="0"/>
        <v>90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-145.33333333333348</v>
      </c>
      <c r="AG8" s="72">
        <f t="shared" si="2"/>
        <v>0.93540740740740735</v>
      </c>
      <c r="AH8" s="785"/>
    </row>
    <row r="9" spans="1:34" ht="15" customHeight="1">
      <c r="A9" s="756"/>
      <c r="B9" s="75" t="s">
        <v>81</v>
      </c>
      <c r="C9" s="76"/>
      <c r="D9" s="59" t="s">
        <v>115</v>
      </c>
      <c r="E9" s="77"/>
      <c r="F9" s="75">
        <f>VLOOKUP(D9,廠價表!$C$1:$E$43,3,0)</f>
        <v>49.14</v>
      </c>
      <c r="G9" s="66">
        <v>3441</v>
      </c>
      <c r="H9" s="78">
        <f t="shared" si="3"/>
        <v>169090.74</v>
      </c>
      <c r="I9" s="73"/>
      <c r="J9" s="79">
        <v>14</v>
      </c>
      <c r="K9" s="80">
        <f>VLOOKUP(D9,產線配置圖!$A$3:$C$40,3,0)</f>
        <v>2250</v>
      </c>
      <c r="L9" s="81">
        <f t="shared" si="4"/>
        <v>160.71428571428572</v>
      </c>
      <c r="M9" s="82">
        <v>14</v>
      </c>
      <c r="N9" s="80">
        <f t="shared" si="5"/>
        <v>2106.7346938775654</v>
      </c>
      <c r="O9" s="81">
        <f t="shared" si="6"/>
        <v>150.48104956268324</v>
      </c>
      <c r="P9" s="74">
        <f t="shared" si="7"/>
        <v>0</v>
      </c>
      <c r="Q9" s="83">
        <f t="shared" si="8"/>
        <v>-10.233236151602483</v>
      </c>
      <c r="R9" s="72">
        <f t="shared" si="9"/>
        <v>0.93632653061225124</v>
      </c>
      <c r="S9" s="750"/>
      <c r="T9" s="16">
        <v>0.54305555555555596</v>
      </c>
      <c r="U9" s="16">
        <v>0.61111111111111105</v>
      </c>
      <c r="V9" s="30">
        <f t="shared" si="10"/>
        <v>97.000000000001251</v>
      </c>
      <c r="W9" s="73">
        <f t="shared" si="0"/>
        <v>97.999999999999332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-143.26530612243459</v>
      </c>
      <c r="AG9" s="72">
        <f t="shared" si="2"/>
        <v>0.93632653061225124</v>
      </c>
      <c r="AH9" s="786"/>
    </row>
    <row r="10" spans="1:34" ht="15" customHeight="1">
      <c r="A10" s="756"/>
      <c r="B10" s="75"/>
      <c r="C10" s="86"/>
      <c r="D10" s="59"/>
      <c r="E10" s="87"/>
      <c r="F10" s="75"/>
      <c r="G10" s="62"/>
      <c r="H10" s="78"/>
      <c r="I10" s="73"/>
      <c r="J10" s="79"/>
      <c r="K10" s="80"/>
      <c r="L10" s="81"/>
      <c r="M10" s="82"/>
      <c r="N10" s="80"/>
      <c r="O10" s="81"/>
      <c r="P10" s="74"/>
      <c r="Q10" s="83"/>
      <c r="R10" s="72"/>
      <c r="S10" s="750"/>
      <c r="T10" s="22"/>
      <c r="U10" s="22"/>
      <c r="V10" s="30"/>
      <c r="W10" s="73">
        <f t="shared" si="0"/>
        <v>0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0</v>
      </c>
      <c r="AG10" s="72" t="e">
        <f t="shared" si="2"/>
        <v>#DIV/0!</v>
      </c>
      <c r="AH10" s="786"/>
    </row>
    <row r="11" spans="1:34" ht="15" customHeight="1">
      <c r="A11" s="756"/>
      <c r="B11" s="75"/>
      <c r="C11" s="88"/>
      <c r="D11" s="59"/>
      <c r="E11" s="89"/>
      <c r="F11" s="75"/>
      <c r="G11" s="90"/>
      <c r="H11" s="91"/>
      <c r="I11" s="92"/>
      <c r="J11" s="79"/>
      <c r="K11" s="80"/>
      <c r="L11" s="93"/>
      <c r="M11" s="94"/>
      <c r="N11" s="95"/>
      <c r="O11" s="96"/>
      <c r="P11" s="97"/>
      <c r="Q11" s="98"/>
      <c r="R11" s="99"/>
      <c r="S11" s="750"/>
      <c r="T11" s="22"/>
      <c r="U11" s="22"/>
      <c r="V11" s="30"/>
      <c r="W11" s="100">
        <f t="shared" si="0"/>
        <v>0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0</v>
      </c>
      <c r="AG11" s="72" t="e">
        <f t="shared" si="2"/>
        <v>#DIV/0!</v>
      </c>
      <c r="AH11" s="786"/>
    </row>
    <row r="12" spans="1:34" ht="15" customHeight="1">
      <c r="A12" s="756"/>
      <c r="B12" s="101"/>
      <c r="C12" s="102"/>
      <c r="D12" s="103"/>
      <c r="E12" s="104"/>
      <c r="F12" s="105"/>
      <c r="G12" s="62"/>
      <c r="H12" s="78"/>
      <c r="I12" s="38"/>
      <c r="J12" s="106"/>
      <c r="K12" s="107"/>
      <c r="L12" s="81"/>
      <c r="M12" s="108"/>
      <c r="N12" s="62"/>
      <c r="O12" s="81"/>
      <c r="P12" s="74"/>
      <c r="Q12" s="83"/>
      <c r="R12" s="72"/>
      <c r="S12" s="750"/>
      <c r="T12" s="109"/>
      <c r="U12" s="109"/>
      <c r="V12" s="38"/>
      <c r="W12" s="100">
        <f t="shared" si="0"/>
        <v>0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80"/>
      <c r="O13" s="81"/>
      <c r="P13" s="74"/>
      <c r="Q13" s="83"/>
      <c r="R13" s="72"/>
      <c r="S13" s="751"/>
      <c r="T13" s="113"/>
      <c r="U13" s="113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114"/>
      <c r="U14" s="114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14.2</v>
      </c>
      <c r="K15" s="120">
        <f t="shared" si="11"/>
        <v>2250</v>
      </c>
      <c r="L15" s="117">
        <f t="shared" si="11"/>
        <v>159.16895604395603</v>
      </c>
      <c r="M15" s="120">
        <f t="shared" si="11"/>
        <v>14.2</v>
      </c>
      <c r="N15" s="120">
        <f t="shared" si="11"/>
        <v>2042.850447547446</v>
      </c>
      <c r="O15" s="117">
        <f t="shared" si="11"/>
        <v>145.32110869796196</v>
      </c>
      <c r="P15" s="121">
        <f>M15-J15</f>
        <v>0</v>
      </c>
      <c r="Q15" s="122">
        <f>O15-L15</f>
        <v>-13.847847345994069</v>
      </c>
      <c r="R15" s="123">
        <f>O15/L15</f>
        <v>0.91299906910132744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-207.14955245255396</v>
      </c>
      <c r="AG15" s="124">
        <f>N15/K15</f>
        <v>0.9079335322433093</v>
      </c>
      <c r="AH15" s="787"/>
    </row>
    <row r="16" spans="1:34" ht="15" customHeight="1">
      <c r="A16" s="801" t="s">
        <v>43</v>
      </c>
      <c r="B16" s="129" t="s">
        <v>81</v>
      </c>
      <c r="C16" s="130"/>
      <c r="D16" s="131" t="s">
        <v>120</v>
      </c>
      <c r="E16" s="132"/>
      <c r="F16" s="129">
        <f>VLOOKUP(D16,廠價表!$C$1:$E$43,3,0)</f>
        <v>56.87</v>
      </c>
      <c r="G16" s="133">
        <v>1474</v>
      </c>
      <c r="H16" s="134">
        <f>F16*G16</f>
        <v>83826.37999999999</v>
      </c>
      <c r="I16" s="135"/>
      <c r="J16" s="136">
        <v>14</v>
      </c>
      <c r="K16" s="137">
        <f>VLOOKUP(D16,產線配置圖!$A$3:$C$40,3,0)</f>
        <v>2250</v>
      </c>
      <c r="L16" s="138">
        <f>K16/J16</f>
        <v>160.71428571428572</v>
      </c>
      <c r="M16" s="139">
        <v>14</v>
      </c>
      <c r="N16" s="140">
        <f>G16/W16*60</f>
        <v>2157.0731707317273</v>
      </c>
      <c r="O16" s="141">
        <f>N16/M16</f>
        <v>154.07665505226623</v>
      </c>
      <c r="P16" s="142">
        <f>M16-J16</f>
        <v>0</v>
      </c>
      <c r="Q16" s="143">
        <f>O16-L16</f>
        <v>-6.6376306620194896</v>
      </c>
      <c r="R16" s="144">
        <f>O16/L16</f>
        <v>0.95869918699187873</v>
      </c>
      <c r="S16" s="795">
        <f>R26</f>
        <v>0.94540274432262583</v>
      </c>
      <c r="T16" s="145">
        <v>0.29166666666666702</v>
      </c>
      <c r="U16" s="145">
        <v>0.32013888888888897</v>
      </c>
      <c r="V16" s="135"/>
      <c r="W16" s="146">
        <f t="shared" ref="W16:W78" si="12">(U16-T16)*24*60</f>
        <v>40.999999999999616</v>
      </c>
      <c r="X16" s="141"/>
      <c r="Y16" s="296"/>
      <c r="Z16" s="169"/>
      <c r="AA16" s="169"/>
      <c r="AB16" s="791"/>
      <c r="AC16" s="791"/>
      <c r="AD16" s="135"/>
      <c r="AE16" s="135"/>
      <c r="AF16" s="229">
        <f>N16-K16</f>
        <v>-92.926829268272741</v>
      </c>
      <c r="AG16" s="52">
        <f>N16/K16</f>
        <v>0.95869918699187873</v>
      </c>
      <c r="AH16" s="784">
        <f>AG26</f>
        <v>0.94617171165685476</v>
      </c>
    </row>
    <row r="17" spans="1:34" ht="15" customHeight="1">
      <c r="A17" s="802"/>
      <c r="B17" s="75" t="s">
        <v>81</v>
      </c>
      <c r="C17" s="76"/>
      <c r="D17" s="59" t="s">
        <v>119</v>
      </c>
      <c r="E17" s="77"/>
      <c r="F17" s="75">
        <f>VLOOKUP(D17,廠價表!$C$1:$E$43,3,0)</f>
        <v>50.67</v>
      </c>
      <c r="G17" s="147">
        <v>4143</v>
      </c>
      <c r="H17" s="78">
        <f>F17*G17</f>
        <v>209925.81</v>
      </c>
      <c r="I17" s="30"/>
      <c r="J17" s="79">
        <f>VLOOKUP(D17,產線配置圖!$A$3:$C$40,2,0)</f>
        <v>13</v>
      </c>
      <c r="K17" s="80">
        <f>VLOOKUP(D17,產線配置圖!$A$3:$C$40,3,0)</f>
        <v>2250</v>
      </c>
      <c r="L17" s="81">
        <f>K17/J17</f>
        <v>173.07692307692307</v>
      </c>
      <c r="M17" s="148">
        <v>13</v>
      </c>
      <c r="N17" s="95">
        <f>G17/W17*60</f>
        <v>2161.5652173913077</v>
      </c>
      <c r="O17" s="96">
        <f>N17/M17</f>
        <v>166.27424749163904</v>
      </c>
      <c r="P17" s="97">
        <f>M17-J17</f>
        <v>0</v>
      </c>
      <c r="Q17" s="98">
        <f>O17-L17</f>
        <v>-6.8026755852840211</v>
      </c>
      <c r="R17" s="99">
        <f>O17/L17</f>
        <v>0.9606956521739145</v>
      </c>
      <c r="S17" s="796"/>
      <c r="T17" s="19">
        <v>0.32638888888888901</v>
      </c>
      <c r="U17" s="19">
        <v>0.40625</v>
      </c>
      <c r="V17" s="30">
        <f>(T17-U16)*24*60</f>
        <v>9.000000000000048</v>
      </c>
      <c r="W17" s="149">
        <f t="shared" si="12"/>
        <v>114.99999999999983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-88.434782608692331</v>
      </c>
      <c r="AG17" s="72">
        <f>N17/K17</f>
        <v>0.9606956521739145</v>
      </c>
      <c r="AH17" s="785"/>
    </row>
    <row r="18" spans="1:34" ht="15" customHeight="1">
      <c r="A18" s="802"/>
      <c r="B18" s="75" t="s">
        <v>81</v>
      </c>
      <c r="C18" s="76"/>
      <c r="D18" s="59" t="s">
        <v>121</v>
      </c>
      <c r="E18" s="77"/>
      <c r="F18" s="75">
        <f>VLOOKUP(D18,廠價表!$C$1:$E$43,3,0)</f>
        <v>50.39</v>
      </c>
      <c r="G18" s="147">
        <v>3177</v>
      </c>
      <c r="H18" s="78">
        <f>F18*G18</f>
        <v>160089.03</v>
      </c>
      <c r="I18" s="30"/>
      <c r="J18" s="79">
        <f>VLOOKUP(D18,產線配置圖!$A$3:$C$40,2,0)</f>
        <v>12</v>
      </c>
      <c r="K18" s="80">
        <f>VLOOKUP(D18,產線配置圖!$A$3:$C$40,3,0)</f>
        <v>2250</v>
      </c>
      <c r="L18" s="81">
        <f>K18/J18</f>
        <v>187.5</v>
      </c>
      <c r="M18" s="148">
        <v>12</v>
      </c>
      <c r="N18" s="95">
        <f>G18/W18*60</f>
        <v>2071.9565217391591</v>
      </c>
      <c r="O18" s="96">
        <f>N18/M18</f>
        <v>172.66304347826326</v>
      </c>
      <c r="P18" s="97">
        <f>M18-J18</f>
        <v>0</v>
      </c>
      <c r="Q18" s="98">
        <f>O18-L18</f>
        <v>-14.836956521736738</v>
      </c>
      <c r="R18" s="99">
        <f>O18/L18</f>
        <v>0.92086956521740404</v>
      </c>
      <c r="S18" s="796"/>
      <c r="T18" s="19">
        <v>0.41180555555555598</v>
      </c>
      <c r="U18" s="19">
        <v>0.47569444444444398</v>
      </c>
      <c r="V18" s="30">
        <f>(T18-U17)*24*60</f>
        <v>8.0000000000006111</v>
      </c>
      <c r="W18" s="149">
        <f t="shared" si="12"/>
        <v>91.999999999998721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-178.04347826084086</v>
      </c>
      <c r="AG18" s="72">
        <f>N18/K18</f>
        <v>0.92086956521740404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3577</v>
      </c>
      <c r="H19" s="78">
        <f>F19*G19</f>
        <v>180245.03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>K19/J19</f>
        <v>187.5</v>
      </c>
      <c r="M19" s="148">
        <v>12</v>
      </c>
      <c r="N19" s="95">
        <f>G19/W19*60</f>
        <v>2124.9504950494988</v>
      </c>
      <c r="O19" s="96">
        <f>N19/M19</f>
        <v>177.07920792079156</v>
      </c>
      <c r="P19" s="97">
        <f>M19-J19</f>
        <v>0</v>
      </c>
      <c r="Q19" s="98">
        <f>O19-L19</f>
        <v>-10.420792079208439</v>
      </c>
      <c r="R19" s="99">
        <f>O19/L19</f>
        <v>0.94442244224422167</v>
      </c>
      <c r="S19" s="796"/>
      <c r="T19" s="19">
        <v>0.54097222222222197</v>
      </c>
      <c r="U19" s="19">
        <v>0.61111111111111105</v>
      </c>
      <c r="V19" s="30">
        <f>(T19-U18)*24*60</f>
        <v>94.000000000000313</v>
      </c>
      <c r="W19" s="149">
        <f t="shared" si="12"/>
        <v>101.00000000000028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-125.04950495050116</v>
      </c>
      <c r="AG19" s="72">
        <f>N19/K19</f>
        <v>0.94442244224422167</v>
      </c>
      <c r="AH19" s="786"/>
    </row>
    <row r="20" spans="1:34" ht="15" customHeight="1">
      <c r="A20" s="802"/>
      <c r="B20" s="75"/>
      <c r="C20" s="76"/>
      <c r="D20" s="59"/>
      <c r="E20" s="77"/>
      <c r="F20" s="75"/>
      <c r="G20" s="147"/>
      <c r="H20" s="78"/>
      <c r="I20" s="30"/>
      <c r="J20" s="79"/>
      <c r="K20" s="80"/>
      <c r="L20" s="81"/>
      <c r="M20" s="148"/>
      <c r="N20" s="95"/>
      <c r="O20" s="96"/>
      <c r="P20" s="97"/>
      <c r="Q20" s="98"/>
      <c r="R20" s="99"/>
      <c r="S20" s="796"/>
      <c r="T20" s="19"/>
      <c r="U20" s="19"/>
      <c r="V20" s="30"/>
      <c r="W20" s="149">
        <f t="shared" si="12"/>
        <v>0</v>
      </c>
      <c r="X20" s="19"/>
      <c r="Y20" s="297"/>
      <c r="Z20" s="90"/>
      <c r="AA20" s="90"/>
      <c r="AB20" s="789"/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/>
      <c r="C21" s="76"/>
      <c r="D21" s="59"/>
      <c r="E21" s="77"/>
      <c r="F21" s="75"/>
      <c r="G21" s="147"/>
      <c r="H21" s="78"/>
      <c r="I21" s="30"/>
      <c r="J21" s="79"/>
      <c r="K21" s="80"/>
      <c r="L21" s="81"/>
      <c r="M21" s="148"/>
      <c r="N21" s="95"/>
      <c r="O21" s="96"/>
      <c r="P21" s="97"/>
      <c r="Q21" s="98"/>
      <c r="R21" s="99"/>
      <c r="S21" s="796"/>
      <c r="T21" s="19"/>
      <c r="U21" s="19"/>
      <c r="V21" s="30"/>
      <c r="W21" s="149">
        <f t="shared" si="12"/>
        <v>0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13">AVERAGE(J16:J25)</f>
        <v>12.75</v>
      </c>
      <c r="K26" s="155">
        <f t="shared" si="13"/>
        <v>2250</v>
      </c>
      <c r="L26" s="158">
        <f t="shared" si="13"/>
        <v>177.19780219780219</v>
      </c>
      <c r="M26" s="155">
        <f t="shared" si="13"/>
        <v>12.75</v>
      </c>
      <c r="N26" s="155">
        <f t="shared" si="13"/>
        <v>2128.8863512279231</v>
      </c>
      <c r="O26" s="158">
        <f t="shared" si="13"/>
        <v>167.52328848574001</v>
      </c>
      <c r="P26" s="159">
        <f>M26-J26</f>
        <v>0</v>
      </c>
      <c r="Q26" s="160">
        <f>O26-L26</f>
        <v>-9.6745137120621791</v>
      </c>
      <c r="R26" s="161">
        <f>O26/L26</f>
        <v>0.94540274432262583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14">N26-K26</f>
        <v>-121.11364877207689</v>
      </c>
      <c r="AG26" s="124">
        <f t="shared" ref="AG26:AG31" si="15">N26/K26</f>
        <v>0.94617171165685476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49.91</v>
      </c>
      <c r="G27" s="169">
        <v>1070</v>
      </c>
      <c r="H27" s="134">
        <f>F27*G27</f>
        <v>53403.7</v>
      </c>
      <c r="I27" s="135"/>
      <c r="J27" s="136">
        <f>VLOOKUP(D27,產線配置圖!$A$3:$C$40,2,0)</f>
        <v>18</v>
      </c>
      <c r="K27" s="137">
        <v>1636</v>
      </c>
      <c r="L27" s="138">
        <f>K27/J27</f>
        <v>90.888888888888886</v>
      </c>
      <c r="M27" s="170">
        <v>17</v>
      </c>
      <c r="N27" s="140">
        <f>G27/W27*60</f>
        <v>1426.6666666666667</v>
      </c>
      <c r="O27" s="141">
        <f>N27/M27</f>
        <v>83.921568627450981</v>
      </c>
      <c r="P27" s="142">
        <f>M27-J27</f>
        <v>-1</v>
      </c>
      <c r="Q27" s="143">
        <f>O27-L27</f>
        <v>-6.9673202614379051</v>
      </c>
      <c r="R27" s="144">
        <f>O27/L27</f>
        <v>0.92334244211131888</v>
      </c>
      <c r="S27" s="795">
        <f>R37</f>
        <v>0.93496050762288818</v>
      </c>
      <c r="T27" s="171">
        <v>0.28819444444444398</v>
      </c>
      <c r="U27" s="171">
        <v>0.31944444444444398</v>
      </c>
      <c r="V27" s="135"/>
      <c r="W27" s="146">
        <f t="shared" si="12"/>
        <v>45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14"/>
        <v>-209.33333333333326</v>
      </c>
      <c r="AG27" s="172">
        <f t="shared" si="15"/>
        <v>0.87204563977180116</v>
      </c>
      <c r="AH27" s="784">
        <f>AG37</f>
        <v>0.91331221218478198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1117</v>
      </c>
      <c r="H28" s="91">
        <f>F28*G28</f>
        <v>63903.57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17</v>
      </c>
      <c r="N28" s="95">
        <f>G28/W28*60</f>
        <v>1340.4000000000092</v>
      </c>
      <c r="O28" s="96">
        <f>N28/M28</f>
        <v>78.847058823529949</v>
      </c>
      <c r="P28" s="97">
        <f>M28-J28</f>
        <v>-1</v>
      </c>
      <c r="Q28" s="98">
        <f>O28-L28</f>
        <v>-12.041830065358937</v>
      </c>
      <c r="R28" s="99">
        <f>O28/L28</f>
        <v>0.86751042715375248</v>
      </c>
      <c r="S28" s="796"/>
      <c r="T28" s="19">
        <v>0.32500000000000001</v>
      </c>
      <c r="U28" s="19">
        <v>0.359722222222222</v>
      </c>
      <c r="V28" s="92">
        <f>(T28-U27)*24*60</f>
        <v>8.000000000000691</v>
      </c>
      <c r="W28" s="149">
        <f t="shared" si="12"/>
        <v>49.999999999999659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14"/>
        <v>-295.59999999999081</v>
      </c>
      <c r="AG28" s="99">
        <f t="shared" si="15"/>
        <v>0.81931540342298848</v>
      </c>
      <c r="AH28" s="805"/>
    </row>
    <row r="29" spans="1:34" ht="15" customHeight="1">
      <c r="A29" s="793"/>
      <c r="B29" s="75" t="s">
        <v>81</v>
      </c>
      <c r="C29" s="173"/>
      <c r="D29" s="59" t="s">
        <v>125</v>
      </c>
      <c r="E29" s="104"/>
      <c r="F29" s="75">
        <f>VLOOKUP(D29,廠價表!$C$1:$E$43,3,0)</f>
        <v>45.66</v>
      </c>
      <c r="G29" s="90">
        <v>1301</v>
      </c>
      <c r="H29" s="91">
        <f>F29*G29</f>
        <v>59403.659999999996</v>
      </c>
      <c r="I29" s="92"/>
      <c r="J29" s="79">
        <f>VLOOKUP(D29,產線配置圖!$A$3:$C$40,2,0)</f>
        <v>17</v>
      </c>
      <c r="K29" s="80">
        <f>VLOOKUP(D29,產線配置圖!$A$3:$C$40,3,0)</f>
        <v>1636</v>
      </c>
      <c r="L29" s="93">
        <f>K29/J29</f>
        <v>96.235294117647058</v>
      </c>
      <c r="M29" s="94">
        <v>17</v>
      </c>
      <c r="N29" s="95">
        <f>G29/W29*60</f>
        <v>1530.5882352941449</v>
      </c>
      <c r="O29" s="96">
        <f>N29/M29</f>
        <v>90.034602076126163</v>
      </c>
      <c r="P29" s="97">
        <f>M29-J29</f>
        <v>0</v>
      </c>
      <c r="Q29" s="98">
        <f>O29-L29</f>
        <v>-6.2006920415208953</v>
      </c>
      <c r="R29" s="99">
        <f>O29/L29</f>
        <v>0.93556738098664105</v>
      </c>
      <c r="S29" s="796"/>
      <c r="T29" s="19">
        <v>0.36527777777777798</v>
      </c>
      <c r="U29" s="19">
        <v>0.40069444444444402</v>
      </c>
      <c r="V29" s="92">
        <f>(T29-U28)*24*60</f>
        <v>8.0000000000006111</v>
      </c>
      <c r="W29" s="149">
        <f t="shared" si="12"/>
        <v>50.999999999999098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14"/>
        <v>-105.41176470585515</v>
      </c>
      <c r="AG29" s="99">
        <f t="shared" si="15"/>
        <v>0.93556738098664116</v>
      </c>
      <c r="AH29" s="805"/>
    </row>
    <row r="30" spans="1:34" ht="15" customHeight="1">
      <c r="A30" s="793"/>
      <c r="B30" s="75" t="s">
        <v>81</v>
      </c>
      <c r="C30" s="88"/>
      <c r="D30" s="59" t="s">
        <v>122</v>
      </c>
      <c r="E30" s="89"/>
      <c r="F30" s="75">
        <f>VLOOKUP(D30,廠價表!$C$1:$E$43,3,0)</f>
        <v>46.34</v>
      </c>
      <c r="G30" s="90">
        <v>1906</v>
      </c>
      <c r="H30" s="91">
        <f>F30*G30</f>
        <v>88324.040000000008</v>
      </c>
      <c r="I30" s="92"/>
      <c r="J30" s="79">
        <f>VLOOKUP(D30,產線配置圖!$A$3:$C$40,2,0)</f>
        <v>16</v>
      </c>
      <c r="K30" s="80">
        <f>VLOOKUP(D30,產線配置圖!$A$3:$C$40,3,0)</f>
        <v>1636</v>
      </c>
      <c r="L30" s="93">
        <f>K30/J30</f>
        <v>102.25</v>
      </c>
      <c r="M30" s="94">
        <v>16</v>
      </c>
      <c r="N30" s="95">
        <f t="shared" ref="N30:N31" si="16">G30/W30*60</f>
        <v>1588.3333333333337</v>
      </c>
      <c r="O30" s="96">
        <f t="shared" ref="O30:O31" si="17">N30/M30</f>
        <v>99.270833333333357</v>
      </c>
      <c r="P30" s="97">
        <f t="shared" ref="P30:P31" si="18">M30-J30</f>
        <v>0</v>
      </c>
      <c r="Q30" s="98">
        <f t="shared" ref="Q30:Q31" si="19">O30-L30</f>
        <v>-2.979166666666643</v>
      </c>
      <c r="R30" s="99">
        <f t="shared" ref="R30:R31" si="20">O30/L30</f>
        <v>0.97086389568052178</v>
      </c>
      <c r="S30" s="796"/>
      <c r="T30" s="19">
        <v>0.406944444444444</v>
      </c>
      <c r="U30" s="19">
        <v>0.45694444444444399</v>
      </c>
      <c r="V30" s="92">
        <f>(T30-U29)*24*60</f>
        <v>8.999999999999968</v>
      </c>
      <c r="W30" s="149">
        <f t="shared" si="12"/>
        <v>71.999999999999986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14"/>
        <v>-47.666666666666288</v>
      </c>
      <c r="AG30" s="99">
        <f t="shared" si="15"/>
        <v>0.97086389568052178</v>
      </c>
      <c r="AH30" s="806"/>
    </row>
    <row r="31" spans="1:34" ht="15" customHeight="1">
      <c r="A31" s="793"/>
      <c r="B31" s="75" t="s">
        <v>81</v>
      </c>
      <c r="C31" s="88"/>
      <c r="D31" s="59" t="s">
        <v>122</v>
      </c>
      <c r="E31" s="89"/>
      <c r="F31" s="75">
        <f>VLOOKUP(D31,廠價表!$C$1:$E$43,3,0)</f>
        <v>46.34</v>
      </c>
      <c r="G31" s="90">
        <v>2800</v>
      </c>
      <c r="H31" s="91">
        <f>F31*G31</f>
        <v>129752.00000000001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>K31/J31</f>
        <v>102.25</v>
      </c>
      <c r="M31" s="94">
        <v>16</v>
      </c>
      <c r="N31" s="95">
        <f t="shared" si="16"/>
        <v>1584.9056603773618</v>
      </c>
      <c r="O31" s="96">
        <f t="shared" si="17"/>
        <v>99.05660377358511</v>
      </c>
      <c r="P31" s="97">
        <f t="shared" si="18"/>
        <v>0</v>
      </c>
      <c r="Q31" s="98">
        <f t="shared" si="19"/>
        <v>-3.1933962264148903</v>
      </c>
      <c r="R31" s="99">
        <f t="shared" si="20"/>
        <v>0.96876874106195709</v>
      </c>
      <c r="S31" s="796"/>
      <c r="T31" s="19">
        <v>0.52361111111111103</v>
      </c>
      <c r="U31" s="19">
        <v>0.59722222222222199</v>
      </c>
      <c r="V31" s="92">
        <f>(T31-U30)*24*60</f>
        <v>96.00000000000054</v>
      </c>
      <c r="W31" s="149">
        <f t="shared" si="12"/>
        <v>105.99999999999979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14"/>
        <v>-51.094339622638245</v>
      </c>
      <c r="AG31" s="99">
        <f t="shared" si="15"/>
        <v>0.96876874106195709</v>
      </c>
      <c r="AH31" s="786"/>
    </row>
    <row r="32" spans="1:34" ht="15" customHeight="1">
      <c r="A32" s="793"/>
      <c r="B32" s="75"/>
      <c r="C32" s="102"/>
      <c r="D32" s="175"/>
      <c r="E32" s="176"/>
      <c r="F32" s="75"/>
      <c r="G32" s="90"/>
      <c r="H32" s="91"/>
      <c r="I32" s="92"/>
      <c r="J32" s="79"/>
      <c r="K32" s="80"/>
      <c r="L32" s="93"/>
      <c r="M32" s="94"/>
      <c r="N32" s="95"/>
      <c r="O32" s="96"/>
      <c r="P32" s="97"/>
      <c r="Q32" s="98"/>
      <c r="R32" s="99"/>
      <c r="S32" s="796"/>
      <c r="T32" s="19"/>
      <c r="U32" s="19"/>
      <c r="V32" s="92"/>
      <c r="W32" s="149">
        <f t="shared" si="12"/>
        <v>0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/>
      <c r="C33" s="177"/>
      <c r="D33" s="59"/>
      <c r="E33" s="178"/>
      <c r="F33" s="75"/>
      <c r="G33" s="90"/>
      <c r="H33" s="91"/>
      <c r="I33" s="92"/>
      <c r="J33" s="79"/>
      <c r="K33" s="80"/>
      <c r="L33" s="93"/>
      <c r="M33" s="94"/>
      <c r="N33" s="95"/>
      <c r="O33" s="96"/>
      <c r="P33" s="97"/>
      <c r="Q33" s="98"/>
      <c r="R33" s="99"/>
      <c r="S33" s="796"/>
      <c r="T33" s="150"/>
      <c r="U33" s="150"/>
      <c r="V33" s="92"/>
      <c r="W33" s="149">
        <f t="shared" si="12"/>
        <v>0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50"/>
      <c r="U34" s="150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50"/>
      <c r="U35" s="150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21">AVERAGE(J27:J36)</f>
        <v>17</v>
      </c>
      <c r="K37" s="155">
        <f t="shared" si="21"/>
        <v>1636</v>
      </c>
      <c r="L37" s="158">
        <f t="shared" si="21"/>
        <v>96.502614379084974</v>
      </c>
      <c r="M37" s="155">
        <f t="shared" si="21"/>
        <v>16.600000000000001</v>
      </c>
      <c r="N37" s="155">
        <f t="shared" si="21"/>
        <v>1494.1787791343033</v>
      </c>
      <c r="O37" s="158">
        <f t="shared" si="21"/>
        <v>90.226133326805112</v>
      </c>
      <c r="P37" s="159">
        <f>M37-J37</f>
        <v>-0.39999999999999858</v>
      </c>
      <c r="Q37" s="160">
        <f>N37-K37</f>
        <v>-141.82122086569666</v>
      </c>
      <c r="R37" s="161">
        <f>O37/L37</f>
        <v>0.93496050762288818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-141.82122086569666</v>
      </c>
      <c r="AG37" s="124">
        <f>N37/K37</f>
        <v>0.91331221218478198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2719</v>
      </c>
      <c r="H38" s="134">
        <f>F38*G38</f>
        <v>135705.28999999998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1553.714285714278</v>
      </c>
      <c r="O38" s="141">
        <f>N38/M38</f>
        <v>103.58095238095187</v>
      </c>
      <c r="P38" s="142">
        <f>M38-J38</f>
        <v>-1</v>
      </c>
      <c r="Q38" s="143">
        <f>O38-L38</f>
        <v>-3.5440476190481291</v>
      </c>
      <c r="R38" s="144">
        <f>O38/L38</f>
        <v>0.96691670834027421</v>
      </c>
      <c r="S38" s="817">
        <f>R48</f>
        <v>0.88058445424959797</v>
      </c>
      <c r="T38" s="191">
        <v>0.33333333333333298</v>
      </c>
      <c r="U38" s="191">
        <v>0.40625</v>
      </c>
      <c r="V38" s="192"/>
      <c r="W38" s="193">
        <f t="shared" si="12"/>
        <v>105.00000000000051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-160.28571428572195</v>
      </c>
      <c r="AG38" s="195">
        <f>N38/K38</f>
        <v>0.90648441406900704</v>
      </c>
      <c r="AH38" s="807">
        <f>AG48</f>
        <v>0.85610037125323224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2842</v>
      </c>
      <c r="H39" s="91">
        <f>F39*G39</f>
        <v>125900.59999999999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18</v>
      </c>
      <c r="N39" s="202">
        <f>G39/W39*60</f>
        <v>1342.6771653543371</v>
      </c>
      <c r="O39" s="203">
        <f>N39/M39</f>
        <v>74.593175853018735</v>
      </c>
      <c r="P39" s="97">
        <f>M39-J39</f>
        <v>0</v>
      </c>
      <c r="Q39" s="98">
        <f>O39-L39</f>
        <v>-16.295713035870151</v>
      </c>
      <c r="R39" s="99">
        <f>O39/L39</f>
        <v>0.82070731378626971</v>
      </c>
      <c r="S39" s="818"/>
      <c r="T39" s="20">
        <v>0.41180555555555598</v>
      </c>
      <c r="U39" s="20">
        <v>0.5</v>
      </c>
      <c r="V39" s="92">
        <f>(T39-U38)*24*60</f>
        <v>8.0000000000006111</v>
      </c>
      <c r="W39" s="205">
        <f t="shared" si="12"/>
        <v>126.99999999999939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-293.32283464566285</v>
      </c>
      <c r="AG39" s="206">
        <f>N39/K39</f>
        <v>0.8207073137862696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3659</v>
      </c>
      <c r="H40" s="91">
        <f>F40*G40</f>
        <v>162093.69999999998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1372.1250000000007</v>
      </c>
      <c r="O40" s="203">
        <f>N40/M40</f>
        <v>76.2291666666667</v>
      </c>
      <c r="P40" s="97">
        <f>M40-J40</f>
        <v>0</v>
      </c>
      <c r="Q40" s="98">
        <f>O40-L40</f>
        <v>-14.659722222222186</v>
      </c>
      <c r="R40" s="99">
        <f>O40/L40</f>
        <v>0.83870721271393678</v>
      </c>
      <c r="S40" s="749"/>
      <c r="T40" s="20">
        <v>0.5625</v>
      </c>
      <c r="U40" s="20">
        <v>0.67361111111111105</v>
      </c>
      <c r="V40" s="92">
        <f>(T40-U39)*24*60</f>
        <v>90</v>
      </c>
      <c r="W40" s="205">
        <f t="shared" si="12"/>
        <v>159.99999999999991</v>
      </c>
      <c r="X40" s="208"/>
      <c r="Y40" s="209"/>
      <c r="Z40" s="337"/>
      <c r="AA40" s="337"/>
      <c r="AB40" s="789"/>
      <c r="AC40" s="789"/>
      <c r="AD40" s="92"/>
      <c r="AE40" s="92"/>
      <c r="AF40" s="314">
        <f>N40-K40</f>
        <v>-263.87499999999932</v>
      </c>
      <c r="AG40" s="206">
        <f>N40/K40</f>
        <v>0.83870721271393689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22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22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22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22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22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23">AVERAGE(J38:J47)</f>
        <v>17.333333333333332</v>
      </c>
      <c r="K48" s="155">
        <f t="shared" si="23"/>
        <v>1662</v>
      </c>
      <c r="L48" s="158">
        <f t="shared" si="23"/>
        <v>96.300925925925924</v>
      </c>
      <c r="M48" s="155">
        <f t="shared" si="23"/>
        <v>17</v>
      </c>
      <c r="N48" s="155">
        <f t="shared" si="23"/>
        <v>1422.838817022872</v>
      </c>
      <c r="O48" s="158">
        <f t="shared" si="23"/>
        <v>84.801098300212445</v>
      </c>
      <c r="P48" s="221">
        <f>M48-J48</f>
        <v>-0.33333333333333215</v>
      </c>
      <c r="Q48" s="222">
        <f>N48-K48</f>
        <v>-239.16118297712796</v>
      </c>
      <c r="R48" s="223">
        <f>O48/L48</f>
        <v>0.88058445424959797</v>
      </c>
      <c r="S48" s="752"/>
      <c r="T48" s="224"/>
      <c r="U48" s="224"/>
      <c r="V48" s="225"/>
      <c r="W48" s="226">
        <f t="shared" si="22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24">N48-K48</f>
        <v>-239.16118297712796</v>
      </c>
      <c r="AG48" s="162">
        <f t="shared" ref="AG48:AG53" si="25">N48/K48</f>
        <v>0.85610037125323224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2339</v>
      </c>
      <c r="H49" s="134">
        <f>F49*G49</f>
        <v>115827.28000000001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17</v>
      </c>
      <c r="N49" s="140">
        <f>G49/W49*60</f>
        <v>1732.5925925925935</v>
      </c>
      <c r="O49" s="141">
        <f>N49/M49</f>
        <v>101.91721132897609</v>
      </c>
      <c r="P49" s="229">
        <f>M49-J49</f>
        <v>0</v>
      </c>
      <c r="Q49" s="230">
        <f>O49-L49</f>
        <v>-3.9651416122003695</v>
      </c>
      <c r="R49" s="52">
        <f>O49/L49</f>
        <v>0.96255144032921869</v>
      </c>
      <c r="S49" s="748">
        <f>R58</f>
        <v>0.90240950877234449</v>
      </c>
      <c r="T49" s="191">
        <v>0.29166666666666702</v>
      </c>
      <c r="U49" s="191">
        <v>0.34791666666666698</v>
      </c>
      <c r="V49" s="55"/>
      <c r="W49" s="193">
        <f t="shared" si="12"/>
        <v>80.999999999999957</v>
      </c>
      <c r="X49" s="55"/>
      <c r="Y49" s="290"/>
      <c r="Z49" s="169"/>
      <c r="AA49" s="169"/>
      <c r="AB49" s="791"/>
      <c r="AC49" s="791"/>
      <c r="AD49" s="135"/>
      <c r="AE49" s="135"/>
      <c r="AF49" s="229">
        <f t="shared" si="24"/>
        <v>-67.407407407406481</v>
      </c>
      <c r="AG49" s="52">
        <f t="shared" si="25"/>
        <v>0.96255144032921858</v>
      </c>
      <c r="AH49" s="784">
        <f>AG58</f>
        <v>0.90345661820772027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1792</v>
      </c>
      <c r="H50" s="231">
        <f>F50*G50</f>
        <v>90117.888000000006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17</v>
      </c>
      <c r="N50" s="234">
        <f>G50/W50*60</f>
        <v>1493.3333333333335</v>
      </c>
      <c r="O50" s="235">
        <f>N50/M50</f>
        <v>87.843137254901976</v>
      </c>
      <c r="P50" s="74">
        <f>M50-J50</f>
        <v>0</v>
      </c>
      <c r="Q50" s="83">
        <f>O50-L50</f>
        <v>-8.3921568627450824</v>
      </c>
      <c r="R50" s="72">
        <f>O50/L50</f>
        <v>0.91279543602282009</v>
      </c>
      <c r="S50" s="749"/>
      <c r="T50" s="21">
        <v>0.35625000000000001</v>
      </c>
      <c r="U50" s="21">
        <v>0.40625</v>
      </c>
      <c r="V50" s="30">
        <f>(T50-U49)*24*60</f>
        <v>11.999999999999558</v>
      </c>
      <c r="W50" s="236">
        <f t="shared" si="12"/>
        <v>71.999999999999986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24"/>
        <v>-142.66666666666652</v>
      </c>
      <c r="AG50" s="72">
        <f t="shared" si="25"/>
        <v>0.91279543602281998</v>
      </c>
      <c r="AH50" s="785"/>
    </row>
    <row r="51" spans="1:34" ht="15" customHeight="1">
      <c r="A51" s="812"/>
      <c r="B51" s="75" t="s">
        <v>81</v>
      </c>
      <c r="C51" s="76"/>
      <c r="D51" s="59" t="s">
        <v>129</v>
      </c>
      <c r="E51" s="77"/>
      <c r="F51" s="75">
        <f>VLOOKUP(D51,廠價表!$C$1:$E$43,3,0)</f>
        <v>49.97</v>
      </c>
      <c r="G51" s="202">
        <v>2341</v>
      </c>
      <c r="H51" s="231">
        <f>F51*G51</f>
        <v>116979.77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>K51/J51</f>
        <v>112.5</v>
      </c>
      <c r="M51" s="233">
        <v>16</v>
      </c>
      <c r="N51" s="234">
        <f>G51/W51*60</f>
        <v>1578.202247191</v>
      </c>
      <c r="O51" s="235">
        <f>N51/M51</f>
        <v>98.637640449437498</v>
      </c>
      <c r="P51" s="74">
        <f>M51-J51</f>
        <v>0</v>
      </c>
      <c r="Q51" s="83">
        <f>O51-L51</f>
        <v>-13.862359550562502</v>
      </c>
      <c r="R51" s="72">
        <f>O51/L51</f>
        <v>0.87677902621722226</v>
      </c>
      <c r="S51" s="749"/>
      <c r="T51" s="21">
        <v>0.41111111111111098</v>
      </c>
      <c r="U51" s="19">
        <v>0.47291666666666698</v>
      </c>
      <c r="V51" s="30">
        <f>(T51-U50)*24*60</f>
        <v>6.9999999999998153</v>
      </c>
      <c r="W51" s="236">
        <f t="shared" si="12"/>
        <v>89.000000000000639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24"/>
        <v>-221.79775280900003</v>
      </c>
      <c r="AG51" s="72">
        <f t="shared" si="25"/>
        <v>0.87677902621722226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4192</v>
      </c>
      <c r="H52" s="231">
        <f>F52*G52</f>
        <v>209474.24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>K52/J52</f>
        <v>112.5</v>
      </c>
      <c r="M52" s="233">
        <v>16</v>
      </c>
      <c r="N52" s="234">
        <f>G52/W52*60</f>
        <v>1552.5925925925919</v>
      </c>
      <c r="O52" s="235">
        <f>N52/M52</f>
        <v>97.037037037036995</v>
      </c>
      <c r="P52" s="74">
        <f>M52-J52</f>
        <v>0</v>
      </c>
      <c r="Q52" s="83">
        <f>O52-L52</f>
        <v>-15.462962962963005</v>
      </c>
      <c r="R52" s="72">
        <f>O52/L52</f>
        <v>0.86255144032921771</v>
      </c>
      <c r="S52" s="749"/>
      <c r="T52" s="21">
        <v>0.52986111111111101</v>
      </c>
      <c r="U52" s="21">
        <v>0.64236111111111105</v>
      </c>
      <c r="V52" s="30">
        <f>(T52-U51)*24*60</f>
        <v>81.999999999999389</v>
      </c>
      <c r="W52" s="236">
        <f t="shared" si="12"/>
        <v>162.00000000000006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24"/>
        <v>-247.40740740740807</v>
      </c>
      <c r="AG52" s="72">
        <f t="shared" si="25"/>
        <v>0.86255144032921771</v>
      </c>
      <c r="AH52" s="785"/>
    </row>
    <row r="53" spans="1:34" ht="15" customHeight="1">
      <c r="A53" s="812"/>
      <c r="B53" s="101"/>
      <c r="C53" s="102"/>
      <c r="D53" s="103"/>
      <c r="E53" s="104"/>
      <c r="F53" s="75"/>
      <c r="G53" s="202"/>
      <c r="H53" s="78"/>
      <c r="I53" s="30"/>
      <c r="J53" s="79"/>
      <c r="K53" s="80"/>
      <c r="L53" s="81"/>
      <c r="M53" s="108"/>
      <c r="N53" s="234"/>
      <c r="O53" s="235"/>
      <c r="P53" s="74"/>
      <c r="Q53" s="83"/>
      <c r="R53" s="72"/>
      <c r="S53" s="749"/>
      <c r="T53" s="21"/>
      <c r="U53" s="21"/>
      <c r="V53" s="30"/>
      <c r="W53" s="236">
        <f t="shared" si="12"/>
        <v>0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24"/>
        <v>0</v>
      </c>
      <c r="AG53" s="72" t="e">
        <f t="shared" si="25"/>
        <v>#DIV/0!</v>
      </c>
      <c r="AH53" s="785"/>
    </row>
    <row r="54" spans="1:34" ht="15" customHeight="1">
      <c r="A54" s="812"/>
      <c r="B54" s="101"/>
      <c r="C54" s="102"/>
      <c r="D54" s="103"/>
      <c r="E54" s="104"/>
      <c r="F54" s="75"/>
      <c r="G54" s="202"/>
      <c r="H54" s="78"/>
      <c r="I54" s="30"/>
      <c r="J54" s="79"/>
      <c r="K54" s="80"/>
      <c r="L54" s="81"/>
      <c r="M54" s="108"/>
      <c r="N54" s="234"/>
      <c r="O54" s="235"/>
      <c r="P54" s="74"/>
      <c r="Q54" s="83"/>
      <c r="R54" s="72"/>
      <c r="S54" s="749"/>
      <c r="T54" s="21"/>
      <c r="U54" s="21"/>
      <c r="V54" s="30"/>
      <c r="W54" s="236">
        <f t="shared" si="12"/>
        <v>0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26">AVERAGE(J49:J57)</f>
        <v>16.5</v>
      </c>
      <c r="K58" s="120">
        <f t="shared" si="26"/>
        <v>1759</v>
      </c>
      <c r="L58" s="117">
        <f t="shared" si="26"/>
        <v>106.77941176470588</v>
      </c>
      <c r="M58" s="120">
        <f t="shared" si="26"/>
        <v>16.5</v>
      </c>
      <c r="N58" s="120">
        <f t="shared" si="26"/>
        <v>1589.1801914273799</v>
      </c>
      <c r="O58" s="117">
        <f t="shared" si="26"/>
        <v>96.358756517588134</v>
      </c>
      <c r="P58" s="121">
        <f>M58-J58</f>
        <v>0</v>
      </c>
      <c r="Q58" s="122">
        <f>N58-K58</f>
        <v>-169.8198085726201</v>
      </c>
      <c r="R58" s="123">
        <f>O58/L58</f>
        <v>0.90240950877234449</v>
      </c>
      <c r="S58" s="752"/>
      <c r="T58" s="241"/>
      <c r="U58" s="241"/>
      <c r="V58" s="126"/>
      <c r="W58" s="242"/>
      <c r="X58" s="128"/>
      <c r="Y58" s="295"/>
      <c r="Z58" s="334">
        <f>SUM(Z49:Z57)</f>
        <v>0</v>
      </c>
      <c r="AA58" s="334">
        <f>SUM(AA49:AA57)</f>
        <v>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-169.8198085726201</v>
      </c>
      <c r="AG58" s="124">
        <f>N58/K58</f>
        <v>0.90345661820772027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3685</v>
      </c>
      <c r="H59" s="243">
        <f>F59*G59</f>
        <v>99458.15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1579.2857142857183</v>
      </c>
      <c r="O59" s="138">
        <f>N59/M59</f>
        <v>105.28571428571455</v>
      </c>
      <c r="P59" s="56">
        <f>M59-J59</f>
        <v>0</v>
      </c>
      <c r="Q59" s="230">
        <f>O59-L59</f>
        <v>-3.7809523809521153</v>
      </c>
      <c r="R59" s="52">
        <f>O59/L59</f>
        <v>0.96533356618931432</v>
      </c>
      <c r="S59" s="748">
        <f>R69</f>
        <v>0.90012137050863217</v>
      </c>
      <c r="T59" s="245">
        <v>0.29166666666666702</v>
      </c>
      <c r="U59" s="245">
        <v>0.38888888888888901</v>
      </c>
      <c r="V59" s="55"/>
      <c r="W59" s="54">
        <f t="shared" si="12"/>
        <v>139.99999999999966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-56.714285714281687</v>
      </c>
      <c r="AG59" s="246">
        <f>N59/K59</f>
        <v>0.96533356618931432</v>
      </c>
      <c r="AH59" s="784">
        <f>AG69</f>
        <v>0.9044688502206778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1290</v>
      </c>
      <c r="H60" s="78">
        <f>F60*G60</f>
        <v>36455.4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1407.2727272727057</v>
      </c>
      <c r="O60" s="81">
        <f>N60/M60</f>
        <v>127.9338842975187</v>
      </c>
      <c r="P60" s="74">
        <f>M60-J60</f>
        <v>0</v>
      </c>
      <c r="Q60" s="83">
        <f>O60-L60</f>
        <v>-20.793388429754017</v>
      </c>
      <c r="R60" s="72">
        <f>O60/L60</f>
        <v>0.86019115358967346</v>
      </c>
      <c r="S60" s="829"/>
      <c r="T60" s="22">
        <v>0.39583333333333298</v>
      </c>
      <c r="U60" s="22">
        <v>0.43402777777777801</v>
      </c>
      <c r="V60" s="30">
        <f>(T60-U59)*24*60</f>
        <v>9.999999999999325</v>
      </c>
      <c r="W60" s="248">
        <f t="shared" si="12"/>
        <v>55.000000000000846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-228.72727272729435</v>
      </c>
      <c r="AG60" s="249">
        <f>N60/K60</f>
        <v>0.86019115358967335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865</v>
      </c>
      <c r="H61" s="254">
        <f>F61*G61</f>
        <v>24444.9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1482.8571428571145</v>
      </c>
      <c r="O61" s="238">
        <f>N61/M61</f>
        <v>134.80519480519223</v>
      </c>
      <c r="P61" s="111">
        <f>M61-J61</f>
        <v>0</v>
      </c>
      <c r="Q61" s="255">
        <f>O61-L61</f>
        <v>-13.92207792208049</v>
      </c>
      <c r="R61" s="85">
        <f>O61/L61</f>
        <v>0.90639189661192821</v>
      </c>
      <c r="S61" s="749"/>
      <c r="T61" s="22">
        <v>0.44097222222222199</v>
      </c>
      <c r="U61" s="22">
        <v>0.46527777777777801</v>
      </c>
      <c r="V61" s="30">
        <f t="shared" ref="V61:V62" si="27">(T61-U60)*24*60</f>
        <v>9.999999999999325</v>
      </c>
      <c r="W61" s="256">
        <f t="shared" si="12"/>
        <v>35.000000000000675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-153.14285714288553</v>
      </c>
      <c r="AG61" s="247">
        <f>N61/K61</f>
        <v>0.90639189661192821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1691</v>
      </c>
      <c r="H62" s="78">
        <f>F62*G62</f>
        <v>47787.66</v>
      </c>
      <c r="I62" s="30"/>
      <c r="J62" s="79">
        <f>VLOOKUP(D62,產線配置圖!$A$3:$C$40,2,0)</f>
        <v>11</v>
      </c>
      <c r="K62" s="80">
        <f>VLOOKUP(D62,產線配置圖!$A$3:$C$40,3,0)</f>
        <v>1636</v>
      </c>
      <c r="L62" s="81">
        <f>K62/J62</f>
        <v>148.72727272727272</v>
      </c>
      <c r="M62" s="108">
        <v>11</v>
      </c>
      <c r="N62" s="107">
        <f>G62/W62*60</f>
        <v>1449.4285714285768</v>
      </c>
      <c r="O62" s="238">
        <f>N62/M62</f>
        <v>131.76623376623425</v>
      </c>
      <c r="P62" s="111">
        <f>M62-J62</f>
        <v>0</v>
      </c>
      <c r="Q62" s="255">
        <f>O62-L62</f>
        <v>-16.961038961038469</v>
      </c>
      <c r="R62" s="85">
        <f>O62/L62</f>
        <v>0.8859587844917951</v>
      </c>
      <c r="S62" s="749"/>
      <c r="T62" s="22">
        <v>0.52777777777777801</v>
      </c>
      <c r="U62" s="22">
        <v>0.57638888888888895</v>
      </c>
      <c r="V62" s="30">
        <f t="shared" si="27"/>
        <v>90</v>
      </c>
      <c r="W62" s="248">
        <f t="shared" si="12"/>
        <v>69.999999999999744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-186.57142857142321</v>
      </c>
      <c r="AG62" s="247">
        <f>N62/K62</f>
        <v>0.8859587844917951</v>
      </c>
      <c r="AH62" s="785"/>
    </row>
    <row r="63" spans="1:34" ht="15" customHeight="1">
      <c r="A63" s="827"/>
      <c r="B63" s="258"/>
      <c r="C63" s="58"/>
      <c r="D63" s="259"/>
      <c r="E63" s="60"/>
      <c r="F63" s="250" t="s">
        <v>46</v>
      </c>
      <c r="G63" s="260"/>
      <c r="H63" s="254"/>
      <c r="I63" s="260"/>
      <c r="J63" s="106"/>
      <c r="K63" s="107"/>
      <c r="L63" s="238"/>
      <c r="M63" s="68"/>
      <c r="N63" s="107"/>
      <c r="O63" s="238"/>
      <c r="P63" s="111"/>
      <c r="Q63" s="255"/>
      <c r="R63" s="85"/>
      <c r="S63" s="749"/>
      <c r="T63" s="22"/>
      <c r="U63" s="22"/>
      <c r="V63" s="30"/>
      <c r="W63" s="248">
        <f t="shared" si="12"/>
        <v>0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/>
      <c r="C64" s="76"/>
      <c r="D64" s="175"/>
      <c r="E64" s="77"/>
      <c r="F64" s="250"/>
      <c r="G64" s="30"/>
      <c r="H64" s="254"/>
      <c r="I64" s="182"/>
      <c r="J64" s="106"/>
      <c r="K64" s="107"/>
      <c r="L64" s="238"/>
      <c r="M64" s="82"/>
      <c r="N64" s="107"/>
      <c r="O64" s="238"/>
      <c r="P64" s="111"/>
      <c r="Q64" s="255"/>
      <c r="R64" s="85"/>
      <c r="S64" s="749"/>
      <c r="T64" s="22"/>
      <c r="U64" s="22"/>
      <c r="V64" s="30"/>
      <c r="W64" s="73">
        <f t="shared" si="12"/>
        <v>0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63"/>
      <c r="U65" s="263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28">AVERAGE(J59:J68)</f>
        <v>12</v>
      </c>
      <c r="K69" s="240">
        <f t="shared" si="28"/>
        <v>1636</v>
      </c>
      <c r="L69" s="268">
        <f t="shared" si="28"/>
        <v>138.81212121212121</v>
      </c>
      <c r="M69" s="240">
        <f t="shared" si="28"/>
        <v>12</v>
      </c>
      <c r="N69" s="240">
        <f t="shared" si="28"/>
        <v>1479.7110389610289</v>
      </c>
      <c r="O69" s="268">
        <f t="shared" si="28"/>
        <v>124.94775678866492</v>
      </c>
      <c r="P69" s="269">
        <f>M69-J69</f>
        <v>0</v>
      </c>
      <c r="Q69" s="222">
        <f>N69-K69</f>
        <v>-156.28896103897114</v>
      </c>
      <c r="R69" s="123">
        <f>O69/L69</f>
        <v>0.90012137050863217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-156.28896103897114</v>
      </c>
      <c r="AG69" s="124">
        <f>N69/K69</f>
        <v>0.9044688502206778</v>
      </c>
      <c r="AH69" s="787"/>
    </row>
    <row r="70" spans="1:36" ht="15" customHeight="1">
      <c r="A70" s="821" t="s">
        <v>55</v>
      </c>
      <c r="B70" s="129" t="s">
        <v>81</v>
      </c>
      <c r="C70" s="129"/>
      <c r="D70" s="131" t="s">
        <v>142</v>
      </c>
      <c r="E70" s="132"/>
      <c r="F70" s="129">
        <f>VLOOKUP(D70,廠價表!$C$1:$E$43,3,0)</f>
        <v>43.89</v>
      </c>
      <c r="G70" s="55">
        <v>1187</v>
      </c>
      <c r="H70" s="243">
        <f>F70*G70</f>
        <v>52097.43</v>
      </c>
      <c r="I70" s="55"/>
      <c r="J70" s="136">
        <f>VLOOKUP(D70,產線配置圖!$A$3:$C$40,2,0)</f>
        <v>13</v>
      </c>
      <c r="K70" s="137">
        <f>VLOOKUP(D70,產線配置圖!$A$3:$C$40,3,0)</f>
        <v>1565</v>
      </c>
      <c r="L70" s="138">
        <f>K70/J70</f>
        <v>120.38461538461539</v>
      </c>
      <c r="M70" s="244">
        <v>9</v>
      </c>
      <c r="N70" s="137">
        <f>G70/W70*60</f>
        <v>962.43243243244945</v>
      </c>
      <c r="O70" s="138">
        <f>N70/M70</f>
        <v>106.93693693693882</v>
      </c>
      <c r="P70" s="56">
        <f>M70-J70</f>
        <v>-4</v>
      </c>
      <c r="Q70" s="230">
        <f>O70-L70</f>
        <v>-13.447678447676566</v>
      </c>
      <c r="R70" s="52">
        <f>O70/L70</f>
        <v>0.88829404484358121</v>
      </c>
      <c r="S70" s="748">
        <f>R79</f>
        <v>0.79169107681380768</v>
      </c>
      <c r="T70" s="245">
        <v>0.29930555555555599</v>
      </c>
      <c r="U70" s="245">
        <v>0.35069444444444398</v>
      </c>
      <c r="V70" s="55"/>
      <c r="W70" s="54">
        <f t="shared" si="12"/>
        <v>73.999999999998693</v>
      </c>
      <c r="X70" s="270"/>
      <c r="Y70" s="292"/>
      <c r="Z70" s="169"/>
      <c r="AA70" s="169"/>
      <c r="AB70" s="791"/>
      <c r="AC70" s="791"/>
      <c r="AD70" s="135"/>
      <c r="AE70" s="135"/>
      <c r="AF70" s="310">
        <f>N70-K70</f>
        <v>-602.56756756755055</v>
      </c>
      <c r="AG70" s="246">
        <f>N70/K70</f>
        <v>0.6149728002763255</v>
      </c>
      <c r="AH70" s="784">
        <f>AG79</f>
        <v>0.61387510676018486</v>
      </c>
    </row>
    <row r="71" spans="1:36" ht="15" customHeight="1">
      <c r="A71" s="822"/>
      <c r="B71" s="75" t="s">
        <v>130</v>
      </c>
      <c r="C71" s="76"/>
      <c r="D71" s="59" t="s">
        <v>134</v>
      </c>
      <c r="E71" s="77"/>
      <c r="F71" s="250">
        <f>VLOOKUP(D71,廠價表!$C$1:$E$43,3,0)</f>
        <v>28.26</v>
      </c>
      <c r="G71" s="30">
        <v>1412</v>
      </c>
      <c r="H71" s="78">
        <f t="shared" ref="H71:H72" si="29">F71*G71</f>
        <v>39903.120000000003</v>
      </c>
      <c r="I71" s="30"/>
      <c r="J71" s="79">
        <f>VLOOKUP(D71,產線配置圖!$A$3:$C$40,2,0)</f>
        <v>11</v>
      </c>
      <c r="K71" s="80">
        <f>VLOOKUP(D71,產線配置圖!$A$3:$C$40,3,0)</f>
        <v>1636</v>
      </c>
      <c r="L71" s="81">
        <f t="shared" ref="L71:L72" si="30">K71/J71</f>
        <v>148.72727272727272</v>
      </c>
      <c r="M71" s="82">
        <v>10</v>
      </c>
      <c r="N71" s="107">
        <f t="shared" ref="N71:N72" si="31">G71/W71*60</f>
        <v>1210.2857142857172</v>
      </c>
      <c r="O71" s="238">
        <f t="shared" ref="O71:O72" si="32">N71/M71</f>
        <v>121.02857142857172</v>
      </c>
      <c r="P71" s="111">
        <f t="shared" ref="P71:P72" si="33">M71-J71</f>
        <v>-1</v>
      </c>
      <c r="Q71" s="255">
        <f t="shared" ref="Q71:Q72" si="34">O71-L71</f>
        <v>-27.698701298700996</v>
      </c>
      <c r="R71" s="85">
        <f t="shared" ref="R71:R72" si="35">O71/L71</f>
        <v>0.81376178833391755</v>
      </c>
      <c r="S71" s="749"/>
      <c r="T71" s="22">
        <v>0.35763888888888901</v>
      </c>
      <c r="U71" s="22">
        <v>0.40625</v>
      </c>
      <c r="V71" s="30">
        <f t="shared" ref="V71:V72" si="36">(T71-U70)*24*60</f>
        <v>10.000000000000844</v>
      </c>
      <c r="W71" s="73">
        <f t="shared" si="12"/>
        <v>69.999999999999829</v>
      </c>
      <c r="X71" s="271"/>
      <c r="Y71" s="293"/>
      <c r="Z71" s="90"/>
      <c r="AA71" s="90"/>
      <c r="AB71" s="810"/>
      <c r="AC71" s="810"/>
      <c r="AD71" s="200"/>
      <c r="AE71" s="200"/>
      <c r="AF71" s="311">
        <v>-300.31249999999704</v>
      </c>
      <c r="AG71" s="99">
        <v>0.80810702875399554</v>
      </c>
      <c r="AH71" s="805"/>
    </row>
    <row r="72" spans="1:36" ht="15" customHeight="1">
      <c r="A72" s="822"/>
      <c r="B72" s="75" t="s">
        <v>81</v>
      </c>
      <c r="C72" s="76"/>
      <c r="D72" s="59" t="s">
        <v>128</v>
      </c>
      <c r="E72" s="77"/>
      <c r="F72" s="250">
        <f>VLOOKUP(D72,廠價表!$C$1:$E$43,3,0)</f>
        <v>50.289000000000001</v>
      </c>
      <c r="G72" s="202">
        <v>624</v>
      </c>
      <c r="H72" s="78">
        <f t="shared" si="29"/>
        <v>31380.335999999999</v>
      </c>
      <c r="I72" s="30"/>
      <c r="J72" s="79">
        <f>VLOOKUP(D72,產線配置圖!$A$3:$C$40,2,0)</f>
        <v>17</v>
      </c>
      <c r="K72" s="80">
        <f>VLOOKUP(D72,產線配置圖!$A$3:$C$40,3,0)</f>
        <v>1636</v>
      </c>
      <c r="L72" s="81">
        <f t="shared" si="30"/>
        <v>96.235294117647058</v>
      </c>
      <c r="M72" s="82">
        <v>13</v>
      </c>
      <c r="N72" s="107">
        <f t="shared" si="31"/>
        <v>796.59574468084713</v>
      </c>
      <c r="O72" s="238">
        <f t="shared" si="32"/>
        <v>61.276595744680549</v>
      </c>
      <c r="P72" s="111">
        <f t="shared" si="33"/>
        <v>-4</v>
      </c>
      <c r="Q72" s="255">
        <f t="shared" si="34"/>
        <v>-34.958698372966509</v>
      </c>
      <c r="R72" s="85">
        <f t="shared" si="35"/>
        <v>0.63673724184570257</v>
      </c>
      <c r="S72" s="749"/>
      <c r="T72" s="22">
        <v>0.41319444444444398</v>
      </c>
      <c r="U72" s="22">
        <v>0.44583333333333303</v>
      </c>
      <c r="V72" s="30">
        <f t="shared" si="36"/>
        <v>9.999999999999325</v>
      </c>
      <c r="W72" s="73">
        <f t="shared" si="12"/>
        <v>47.000000000000234</v>
      </c>
      <c r="X72" s="272"/>
      <c r="Y72" s="288"/>
      <c r="Z72" s="90"/>
      <c r="AA72" s="90"/>
      <c r="AB72" s="789" t="s">
        <v>219</v>
      </c>
      <c r="AC72" s="789"/>
      <c r="AD72" s="92"/>
      <c r="AE72" s="92"/>
      <c r="AF72" s="311">
        <v>-130.33333333333326</v>
      </c>
      <c r="AG72" s="99">
        <v>0.91671991480298198</v>
      </c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>
        <f>F75*G75</f>
        <v>0</v>
      </c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>
        <f>F76*G76</f>
        <v>0</v>
      </c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>
        <f>F77*G77</f>
        <v>0</v>
      </c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>
        <f>F78*G78</f>
        <v>0</v>
      </c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 t="s">
        <v>56</v>
      </c>
      <c r="D79" s="762" t="s">
        <v>42</v>
      </c>
      <c r="E79" s="762"/>
      <c r="F79" s="116"/>
      <c r="G79" s="117"/>
      <c r="H79" s="282"/>
      <c r="I79" s="268"/>
      <c r="J79" s="240">
        <f t="shared" ref="J79:O79" si="37">AVERAGE(J70:J78)</f>
        <v>13.666666666666666</v>
      </c>
      <c r="K79" s="240">
        <f t="shared" si="37"/>
        <v>1612.3333333333333</v>
      </c>
      <c r="L79" s="268">
        <f t="shared" si="37"/>
        <v>121.78239407651172</v>
      </c>
      <c r="M79" s="240">
        <f t="shared" si="37"/>
        <v>10.666666666666666</v>
      </c>
      <c r="N79" s="240">
        <f t="shared" si="37"/>
        <v>989.77129713300462</v>
      </c>
      <c r="O79" s="268">
        <f t="shared" si="37"/>
        <v>96.414034703397036</v>
      </c>
      <c r="P79" s="269">
        <f>M79-J79</f>
        <v>-3</v>
      </c>
      <c r="Q79" s="222">
        <f>N79-K79</f>
        <v>-622.56203620032863</v>
      </c>
      <c r="R79" s="223">
        <f>O79/L79</f>
        <v>0.79169107681380768</v>
      </c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-622.56203620032863</v>
      </c>
      <c r="AG79" s="124">
        <f>N79/K79</f>
        <v>0.61387510676018486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18" priority="1" operator="greaterThan">
      <formula>0</formula>
    </cfRule>
  </conditionalFormatting>
  <conditionalFormatting sqref="Q5:Q79 AF5:AF79">
    <cfRule type="cellIs" dxfId="17" priority="4" operator="lessThan">
      <formula>0</formula>
    </cfRule>
  </conditionalFormatting>
  <conditionalFormatting sqref="R5:R79 AG5:AG79">
    <cfRule type="cellIs" dxfId="16" priority="2" operator="greaterThan">
      <formula>1</formula>
    </cfRule>
    <cfRule type="cellIs" dxfId="15" priority="3" operator="lessThan">
      <formula>0.8</formula>
    </cfRule>
  </conditionalFormatting>
  <conditionalFormatting sqref="S5:S10 S37:S62 AH59:AH62 S69:S76 AH69:AH76">
    <cfRule type="cellIs" dxfId="14" priority="7" operator="lessThan">
      <formula>0.8</formula>
    </cfRule>
  </conditionalFormatting>
  <conditionalFormatting sqref="S19:S25 AH19:AH25">
    <cfRule type="cellIs" dxfId="13" priority="6" operator="lessThan">
      <formula>0.8</formula>
    </cfRule>
  </conditionalFormatting>
  <conditionalFormatting sqref="S79">
    <cfRule type="cellIs" dxfId="12" priority="5" operator="lessThan">
      <formula>0.8</formula>
    </cfRule>
  </conditionalFormatting>
  <conditionalFormatting sqref="AH5:AH8 S15:S16 AH15:AH16 AH49 AH79">
    <cfRule type="cellIs" dxfId="11" priority="9" operator="lessThan">
      <formula>0.8</formula>
    </cfRule>
  </conditionalFormatting>
  <conditionalFormatting sqref="AH27 S27:S28">
    <cfRule type="cellIs" dxfId="1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0573C-D5F4-4B58-B3D1-D1CE27381FA6}">
  <dimension ref="B1:O26"/>
  <sheetViews>
    <sheetView tabSelected="1" topLeftCell="B1" zoomScale="70" zoomScaleNormal="70" workbookViewId="0">
      <selection activeCell="F9" sqref="F9"/>
    </sheetView>
  </sheetViews>
  <sheetFormatPr defaultColWidth="8.85546875" defaultRowHeight="15.75"/>
  <cols>
    <col min="1" max="1" width="8.85546875" style="2" customWidth="1"/>
    <col min="2" max="2" width="12.5703125" style="2" customWidth="1"/>
    <col min="3" max="3" width="12.5703125" style="26" customWidth="1"/>
    <col min="4" max="17" width="15.42578125" style="2" customWidth="1"/>
    <col min="18" max="21" width="10.5703125" style="2" customWidth="1"/>
    <col min="22" max="22" width="12.140625" style="2" customWidth="1"/>
    <col min="23" max="23" width="12.5703125" style="2" customWidth="1"/>
    <col min="24" max="178" width="8.85546875" style="2" customWidth="1"/>
    <col min="179" max="16384" width="8.85546875" style="2"/>
  </cols>
  <sheetData>
    <row r="1" spans="2:15" ht="27.75" customHeight="1">
      <c r="B1" s="704" t="s">
        <v>70</v>
      </c>
      <c r="C1" s="704"/>
      <c r="D1" s="704"/>
      <c r="E1" s="704"/>
      <c r="F1" s="704"/>
      <c r="G1" s="704"/>
      <c r="H1" s="704"/>
      <c r="I1" s="704"/>
      <c r="J1" s="704"/>
      <c r="K1" s="704"/>
      <c r="L1" s="1"/>
      <c r="M1" s="1"/>
    </row>
    <row r="2" spans="2:15" ht="27.75" customHeight="1"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1"/>
      <c r="M2" s="1"/>
    </row>
    <row r="3" spans="2:15" ht="46.5" customHeight="1">
      <c r="B3" s="701" t="s">
        <v>71</v>
      </c>
      <c r="C3" s="701"/>
      <c r="D3" s="705">
        <f>DATE(2026,8,31)</f>
        <v>46265</v>
      </c>
      <c r="E3" s="706"/>
      <c r="F3" s="3" t="s">
        <v>72</v>
      </c>
      <c r="G3" s="707">
        <f>'0831'!E1</f>
        <v>64483</v>
      </c>
      <c r="H3" s="707"/>
      <c r="I3" s="3" t="s">
        <v>2</v>
      </c>
      <c r="J3" s="708">
        <f>'0831'!G1</f>
        <v>2992907.2370000007</v>
      </c>
      <c r="K3" s="708"/>
      <c r="L3" s="4"/>
    </row>
    <row r="4" spans="2:15" ht="24" customHeight="1">
      <c r="B4" s="701" t="s">
        <v>73</v>
      </c>
      <c r="C4" s="701"/>
      <c r="D4" s="702">
        <v>3</v>
      </c>
      <c r="E4" s="702"/>
      <c r="F4" s="703" t="s">
        <v>74</v>
      </c>
      <c r="G4" s="703"/>
      <c r="H4" s="703" t="s">
        <v>75</v>
      </c>
      <c r="I4" s="703"/>
      <c r="J4" s="702" t="s">
        <v>76</v>
      </c>
      <c r="K4" s="703"/>
      <c r="L4" s="722" t="s">
        <v>77</v>
      </c>
      <c r="M4" s="715"/>
      <c r="N4" s="715" t="s">
        <v>78</v>
      </c>
      <c r="O4" s="715"/>
    </row>
    <row r="5" spans="2:15" ht="24" customHeight="1">
      <c r="B5" s="701" t="s">
        <v>14</v>
      </c>
      <c r="C5" s="701"/>
      <c r="D5" s="702" t="s">
        <v>79</v>
      </c>
      <c r="E5" s="702"/>
      <c r="F5" s="702" t="s">
        <v>80</v>
      </c>
      <c r="G5" s="702"/>
      <c r="H5" s="711" t="s">
        <v>81</v>
      </c>
      <c r="I5" s="711"/>
      <c r="J5" s="712" t="s">
        <v>82</v>
      </c>
      <c r="K5" s="712"/>
      <c r="L5" s="325" t="s">
        <v>83</v>
      </c>
      <c r="M5" s="326" t="s">
        <v>84</v>
      </c>
      <c r="N5" s="325" t="s">
        <v>83</v>
      </c>
      <c r="O5" s="326" t="s">
        <v>85</v>
      </c>
    </row>
    <row r="6" spans="2:15" ht="39.6" customHeight="1">
      <c r="B6" s="701"/>
      <c r="C6" s="701"/>
      <c r="D6" s="701" t="s">
        <v>86</v>
      </c>
      <c r="E6" s="701"/>
      <c r="F6" s="713">
        <f>AVERAGE(D13:I13)</f>
        <v>128.82582756182634</v>
      </c>
      <c r="G6" s="713"/>
      <c r="H6" s="714">
        <f>AVERAGE(D13:H13)</f>
        <v>127.48957893277748</v>
      </c>
      <c r="I6" s="714"/>
      <c r="J6" s="714">
        <f>AVERAGE(I13)</f>
        <v>135.50707070707071</v>
      </c>
      <c r="K6" s="714"/>
      <c r="L6" s="716">
        <f>'0831'!Z2</f>
        <v>1</v>
      </c>
      <c r="M6" s="717">
        <f>'0831'!AA2</f>
        <v>10</v>
      </c>
      <c r="N6" s="718">
        <f>'0831'!AD2</f>
        <v>0</v>
      </c>
      <c r="O6" s="717">
        <f>'0831'!AE2</f>
        <v>0</v>
      </c>
    </row>
    <row r="7" spans="2:15" ht="39.6" customHeight="1">
      <c r="B7" s="701"/>
      <c r="C7" s="701"/>
      <c r="D7" s="709" t="s">
        <v>87</v>
      </c>
      <c r="E7" s="709"/>
      <c r="F7" s="737">
        <f>AVERAGE(D14:I14)</f>
        <v>112.9161255182044</v>
      </c>
      <c r="G7" s="737"/>
      <c r="H7" s="738">
        <f>AVERAGE(D14:H14)</f>
        <v>110.66195801445269</v>
      </c>
      <c r="I7" s="738"/>
      <c r="J7" s="738">
        <f>AVERAGE(I14)</f>
        <v>124.18696303696292</v>
      </c>
      <c r="K7" s="738"/>
      <c r="L7" s="716"/>
      <c r="M7" s="717"/>
      <c r="N7" s="718"/>
      <c r="O7" s="717"/>
    </row>
    <row r="8" spans="2:15" ht="39.6" customHeight="1">
      <c r="B8" s="701"/>
      <c r="C8" s="701"/>
      <c r="D8" s="709" t="s">
        <v>27</v>
      </c>
      <c r="E8" s="709"/>
      <c r="F8" s="710">
        <f>AVERAGE(D15:I15)</f>
        <v>0.87867761579855708</v>
      </c>
      <c r="G8" s="710"/>
      <c r="H8" s="710">
        <f>AVERAGE(D15:H15)</f>
        <v>0.87112091311505591</v>
      </c>
      <c r="I8" s="710"/>
      <c r="J8" s="710">
        <f>AVERAGE(I15)</f>
        <v>0.91646112921606304</v>
      </c>
      <c r="K8" s="710"/>
      <c r="L8" s="716"/>
      <c r="M8" s="717"/>
      <c r="N8" s="718"/>
      <c r="O8" s="717"/>
    </row>
    <row r="9" spans="2:15" ht="25.5" customHeight="1">
      <c r="B9" s="5"/>
      <c r="C9" s="5"/>
      <c r="D9" s="5"/>
      <c r="E9" s="5"/>
      <c r="F9" s="5"/>
      <c r="G9" s="5"/>
      <c r="H9" s="8"/>
      <c r="I9" s="9"/>
      <c r="J9" s="7" t="s">
        <v>88</v>
      </c>
      <c r="K9" s="9"/>
      <c r="L9" s="9"/>
      <c r="M9" s="9"/>
      <c r="N9" s="9"/>
      <c r="O9" s="5"/>
    </row>
    <row r="10" spans="2:15" ht="30" customHeight="1">
      <c r="B10" s="719" t="s">
        <v>89</v>
      </c>
      <c r="C10" s="720"/>
      <c r="D10" s="723" t="s">
        <v>90</v>
      </c>
      <c r="E10" s="724"/>
      <c r="F10" s="724"/>
      <c r="G10" s="724"/>
      <c r="H10" s="724"/>
      <c r="I10" s="724"/>
      <c r="J10" s="725"/>
    </row>
    <row r="11" spans="2:15" ht="17.25" customHeight="1">
      <c r="B11" s="726" t="s">
        <v>91</v>
      </c>
      <c r="C11" s="727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</row>
    <row r="12" spans="2:15" ht="33.950000000000003" customHeight="1">
      <c r="B12" s="728"/>
      <c r="C12" s="729"/>
      <c r="D12" s="11" t="s">
        <v>92</v>
      </c>
      <c r="E12" s="11" t="s">
        <v>93</v>
      </c>
      <c r="F12" s="11" t="s">
        <v>94</v>
      </c>
      <c r="G12" s="11" t="s">
        <v>95</v>
      </c>
      <c r="H12" s="11" t="s">
        <v>96</v>
      </c>
      <c r="I12" s="11" t="s">
        <v>97</v>
      </c>
      <c r="J12" s="11" t="s">
        <v>98</v>
      </c>
    </row>
    <row r="13" spans="2:15" ht="39.950000000000003" customHeight="1">
      <c r="B13" s="730" t="s">
        <v>14</v>
      </c>
      <c r="C13" s="12" t="s">
        <v>99</v>
      </c>
      <c r="D13" s="13">
        <f>VALUE('0831'!L15)</f>
        <v>156.25257554945057</v>
      </c>
      <c r="E13" s="13">
        <f>VALUE('0831'!L26)</f>
        <v>174.16974691974693</v>
      </c>
      <c r="F13" s="13">
        <f>VALUE('0831'!L37)</f>
        <v>104.74915607268549</v>
      </c>
      <c r="G13" s="13">
        <f>VALUE('0831'!L48)</f>
        <v>96.300925925925924</v>
      </c>
      <c r="H13" s="13">
        <f>VALUE('0831'!L58)</f>
        <v>105.97549019607844</v>
      </c>
      <c r="I13" s="13">
        <f>VALUE('0831'!L69)</f>
        <v>135.50707070707071</v>
      </c>
      <c r="J13" s="13">
        <f>'0831'!L79</f>
        <v>0</v>
      </c>
    </row>
    <row r="14" spans="2:15" ht="39.950000000000003" customHeight="1">
      <c r="B14" s="731"/>
      <c r="C14" s="12" t="s">
        <v>100</v>
      </c>
      <c r="D14" s="13">
        <f>VALUE('0831'!O15)</f>
        <v>134.59699074364565</v>
      </c>
      <c r="E14" s="13">
        <f>VALUE('0831'!O26)</f>
        <v>148.77467773928603</v>
      </c>
      <c r="F14" s="13">
        <f>VALUE('0831'!O37)</f>
        <v>91.004479360110054</v>
      </c>
      <c r="G14" s="13">
        <f>VALUE('0831'!O48)</f>
        <v>87.319002912055907</v>
      </c>
      <c r="H14" s="13">
        <f>VALUE('0831'!O58)</f>
        <v>91.614639317165825</v>
      </c>
      <c r="I14" s="13">
        <f>VALUE('0831'!O69)</f>
        <v>124.18696303696292</v>
      </c>
      <c r="J14" s="13">
        <f>'0831'!O79</f>
        <v>0</v>
      </c>
    </row>
    <row r="15" spans="2:15" ht="39.950000000000003" customHeight="1">
      <c r="B15" s="732"/>
      <c r="C15" s="10" t="s">
        <v>26</v>
      </c>
      <c r="D15" s="14">
        <f t="shared" ref="D15:I15" si="0">D14/D13</f>
        <v>0.8614065417504021</v>
      </c>
      <c r="E15" s="14">
        <f t="shared" si="0"/>
        <v>0.85419356903491217</v>
      </c>
      <c r="F15" s="14">
        <f t="shared" si="0"/>
        <v>0.8687848453591549</v>
      </c>
      <c r="G15" s="14">
        <f t="shared" si="0"/>
        <v>0.90673066818922532</v>
      </c>
      <c r="H15" s="14">
        <f t="shared" si="0"/>
        <v>0.86448894124158504</v>
      </c>
      <c r="I15" s="14">
        <f t="shared" si="0"/>
        <v>0.91646112921606304</v>
      </c>
      <c r="J15" s="15">
        <f>'0831'!S70</f>
        <v>0</v>
      </c>
    </row>
    <row r="16" spans="2:15" ht="17.25" customHeight="1">
      <c r="B16" s="733" t="s">
        <v>101</v>
      </c>
      <c r="C16" s="10" t="s">
        <v>34</v>
      </c>
      <c r="D16" s="16">
        <f>'0831'!T5</f>
        <v>0.31458333333333333</v>
      </c>
      <c r="E16" s="16">
        <f>'0831'!T16</f>
        <v>0.31458333333333333</v>
      </c>
      <c r="F16" s="16">
        <f>'0831'!T27</f>
        <v>0.29166666666666702</v>
      </c>
      <c r="G16" s="16">
        <f>'0831'!T38</f>
        <v>0.33333333333333298</v>
      </c>
      <c r="H16" s="16">
        <f>'0831'!T49</f>
        <v>0.2986111111111111</v>
      </c>
      <c r="I16" s="16">
        <f>'0831'!T59</f>
        <v>0.29166666666666702</v>
      </c>
      <c r="J16" s="17"/>
    </row>
    <row r="17" spans="2:10" ht="17.25" customHeight="1">
      <c r="B17" s="734"/>
      <c r="C17" s="10" t="s">
        <v>35</v>
      </c>
      <c r="D17" s="700">
        <v>0.71250000000000002</v>
      </c>
      <c r="E17" s="19">
        <v>0.71180555555555558</v>
      </c>
      <c r="F17" s="19">
        <v>0.61805555555555558</v>
      </c>
      <c r="G17" s="20">
        <v>0.67361111111111116</v>
      </c>
      <c r="H17" s="21">
        <v>0.72083333333333299</v>
      </c>
      <c r="I17" s="22">
        <v>0.65277777777777801</v>
      </c>
      <c r="J17" s="110"/>
    </row>
    <row r="18" spans="2:10" ht="17.25" customHeight="1">
      <c r="B18" s="735" t="s">
        <v>102</v>
      </c>
      <c r="C18" s="330" t="s">
        <v>36</v>
      </c>
      <c r="D18" s="386">
        <f>'0831'!Z15</f>
        <v>0</v>
      </c>
      <c r="E18" s="387">
        <f>'0831'!Z26</f>
        <v>0</v>
      </c>
      <c r="F18" s="387">
        <f>'0831'!Z37</f>
        <v>0</v>
      </c>
      <c r="G18" s="388">
        <f>'0831'!Z48</f>
        <v>0</v>
      </c>
      <c r="H18" s="388">
        <f>'0831'!Z58</f>
        <v>1</v>
      </c>
      <c r="I18" s="387">
        <f>'0831'!Z69</f>
        <v>0</v>
      </c>
      <c r="J18" s="387">
        <f>'0831'!AA79</f>
        <v>0</v>
      </c>
    </row>
    <row r="19" spans="2:10" ht="17.25" customHeight="1">
      <c r="B19" s="736"/>
      <c r="C19" s="330" t="s">
        <v>37</v>
      </c>
      <c r="D19" s="386">
        <f>'0831'!AA15</f>
        <v>0</v>
      </c>
      <c r="E19" s="387">
        <f>'0831'!AA26</f>
        <v>0</v>
      </c>
      <c r="F19" s="387">
        <f>'0831'!AA37</f>
        <v>0</v>
      </c>
      <c r="G19" s="388">
        <f>'0831'!AA48</f>
        <v>0</v>
      </c>
      <c r="H19" s="388">
        <f>'0831'!AA58</f>
        <v>10</v>
      </c>
      <c r="I19" s="387">
        <f>'0831'!AA69</f>
        <v>0</v>
      </c>
      <c r="J19" s="387">
        <f>'0831'!AB79</f>
        <v>0</v>
      </c>
    </row>
    <row r="20" spans="2:10" ht="17.25" customHeight="1">
      <c r="B20" s="735" t="s">
        <v>103</v>
      </c>
      <c r="C20" s="330" t="s">
        <v>36</v>
      </c>
      <c r="D20" s="386">
        <f>'0831'!AD15</f>
        <v>0</v>
      </c>
      <c r="E20" s="387">
        <f>'0831'!AD26</f>
        <v>0</v>
      </c>
      <c r="F20" s="387">
        <f>'0831'!AD37</f>
        <v>0</v>
      </c>
      <c r="G20" s="388">
        <f>'0831'!AD48</f>
        <v>0</v>
      </c>
      <c r="H20" s="388">
        <f>'0831'!AD58</f>
        <v>0</v>
      </c>
      <c r="I20" s="387">
        <f>'0831'!AD69</f>
        <v>0</v>
      </c>
      <c r="J20" s="387">
        <f>'0831'!AD79</f>
        <v>0</v>
      </c>
    </row>
    <row r="21" spans="2:10" ht="17.25" customHeight="1">
      <c r="B21" s="736"/>
      <c r="C21" s="330" t="s">
        <v>85</v>
      </c>
      <c r="D21" s="386">
        <f>'0831'!AE15</f>
        <v>0</v>
      </c>
      <c r="E21" s="387">
        <f>'0831'!AE26</f>
        <v>0</v>
      </c>
      <c r="F21" s="387">
        <f>'0831'!AE37</f>
        <v>0</v>
      </c>
      <c r="G21" s="388">
        <f>'0831'!AE48</f>
        <v>0</v>
      </c>
      <c r="H21" s="388">
        <f>'0831'!AE58</f>
        <v>0</v>
      </c>
      <c r="I21" s="387">
        <f>'0831'!AE69</f>
        <v>0</v>
      </c>
      <c r="J21" s="387">
        <f>'0831'!AE79</f>
        <v>0</v>
      </c>
    </row>
    <row r="22" spans="2:10" ht="17.25" customHeight="1">
      <c r="B22" s="719" t="s">
        <v>104</v>
      </c>
      <c r="C22" s="720"/>
      <c r="D22" s="23">
        <f>VALUE('0831'!M15)</f>
        <v>13.875</v>
      </c>
      <c r="E22" s="23">
        <f>VALUE('0831'!M26)</f>
        <v>12.166666666666666</v>
      </c>
      <c r="F22" s="23">
        <f>VALUE('0831'!M37)</f>
        <v>16.428571428571427</v>
      </c>
      <c r="G22" s="23">
        <f>VALUE('0831'!M48)</f>
        <v>16.666666666666668</v>
      </c>
      <c r="H22" s="23">
        <f>VALUE('0831'!M58)</f>
        <v>16</v>
      </c>
      <c r="I22" s="23">
        <f>VALUE('0831'!M69)</f>
        <v>12</v>
      </c>
      <c r="J22" s="23">
        <f>'0831'!M79</f>
        <v>0</v>
      </c>
    </row>
    <row r="23" spans="2:10" ht="17.25" customHeight="1">
      <c r="B23" s="719" t="s">
        <v>105</v>
      </c>
      <c r="C23" s="720"/>
      <c r="D23" s="11" t="s">
        <v>106</v>
      </c>
      <c r="E23" s="11" t="s">
        <v>106</v>
      </c>
      <c r="F23" s="11" t="s">
        <v>107</v>
      </c>
      <c r="G23" s="11" t="s">
        <v>107</v>
      </c>
      <c r="H23" s="11" t="s">
        <v>107</v>
      </c>
      <c r="I23" s="11" t="s">
        <v>108</v>
      </c>
      <c r="J23" s="11"/>
    </row>
    <row r="24" spans="2:10" ht="17.25" customHeight="1">
      <c r="B24" s="719" t="s">
        <v>109</v>
      </c>
      <c r="C24" s="720"/>
      <c r="D24" s="11"/>
      <c r="E24" s="11"/>
      <c r="F24" s="11"/>
      <c r="G24" s="24"/>
      <c r="H24" s="11" t="s">
        <v>110</v>
      </c>
      <c r="I24" s="11"/>
      <c r="J24" s="11"/>
    </row>
    <row r="25" spans="2:10" ht="17.25" customHeight="1">
      <c r="B25" s="719" t="s">
        <v>111</v>
      </c>
      <c r="C25" s="720"/>
      <c r="D25" s="25"/>
      <c r="E25" s="25"/>
      <c r="F25" s="25"/>
      <c r="G25" s="25"/>
      <c r="H25" s="25"/>
      <c r="I25" s="25"/>
      <c r="J25" s="25"/>
    </row>
    <row r="26" spans="2:10">
      <c r="B26" s="721"/>
      <c r="C26" s="721"/>
    </row>
  </sheetData>
  <mergeCells count="45">
    <mergeCell ref="B23:C23"/>
    <mergeCell ref="B24:C24"/>
    <mergeCell ref="B25:C25"/>
    <mergeCell ref="B26:C26"/>
    <mergeCell ref="L4:M4"/>
    <mergeCell ref="B10:C10"/>
    <mergeCell ref="D10:J10"/>
    <mergeCell ref="B11:C12"/>
    <mergeCell ref="B13:B15"/>
    <mergeCell ref="B16:B17"/>
    <mergeCell ref="B22:C22"/>
    <mergeCell ref="B18:B19"/>
    <mergeCell ref="B20:B21"/>
    <mergeCell ref="F7:G7"/>
    <mergeCell ref="H7:I7"/>
    <mergeCell ref="J7:K7"/>
    <mergeCell ref="N4:O4"/>
    <mergeCell ref="L6:L8"/>
    <mergeCell ref="M6:M8"/>
    <mergeCell ref="N6:N8"/>
    <mergeCell ref="O6:O8"/>
    <mergeCell ref="D8:E8"/>
    <mergeCell ref="F8:G8"/>
    <mergeCell ref="H8:I8"/>
    <mergeCell ref="J8:K8"/>
    <mergeCell ref="B5:C8"/>
    <mergeCell ref="D5:E5"/>
    <mergeCell ref="F5:G5"/>
    <mergeCell ref="H5:I5"/>
    <mergeCell ref="J5:K5"/>
    <mergeCell ref="D6:E6"/>
    <mergeCell ref="F6:G6"/>
    <mergeCell ref="H6:I6"/>
    <mergeCell ref="J6:K6"/>
    <mergeCell ref="D7:E7"/>
    <mergeCell ref="B1:K2"/>
    <mergeCell ref="B3:C3"/>
    <mergeCell ref="D3:E3"/>
    <mergeCell ref="G3:H3"/>
    <mergeCell ref="J3:K3"/>
    <mergeCell ref="B4:C4"/>
    <mergeCell ref="D4:E4"/>
    <mergeCell ref="F4:G4"/>
    <mergeCell ref="H4:I4"/>
    <mergeCell ref="J4:K4"/>
  </mergeCells>
  <phoneticPr fontId="8" type="noConversion"/>
  <conditionalFormatting sqref="D15:J15">
    <cfRule type="cellIs" dxfId="9" priority="1" operator="lessThan">
      <formula>0.8</formula>
    </cfRule>
  </conditionalFormatting>
  <pageMargins left="0.7" right="0.7" top="0.75" bottom="0.75" header="0.3" footer="0.3"/>
  <pageSetup paperSize="8"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ADCE-6350-4EBC-89EC-6BB2A6EE7BBD}">
  <sheetPr>
    <tabColor theme="9" tint="0.79998168889431442"/>
  </sheetPr>
  <dimension ref="A1:AJ92"/>
  <sheetViews>
    <sheetView zoomScale="68" zoomScaleNormal="69" workbookViewId="0">
      <pane xSplit="5" ySplit="4" topLeftCell="M5" activePane="bottomRight" state="frozen"/>
      <selection activeCell="G76" sqref="G76"/>
      <selection pane="topRight" activeCell="G76" sqref="G76"/>
      <selection pane="bottomLeft" activeCell="G76" sqref="G76"/>
      <selection pane="bottomRight" activeCell="U12" sqref="U12"/>
    </sheetView>
  </sheetViews>
  <sheetFormatPr defaultColWidth="8.7109375" defaultRowHeight="15.75"/>
  <cols>
    <col min="1" max="1" width="16.42578125" style="34" customWidth="1"/>
    <col min="2" max="2" width="14.140625" style="34" customWidth="1"/>
    <col min="3" max="3" width="14.140625" style="34" hidden="1" customWidth="1"/>
    <col min="4" max="4" width="28.7109375" style="34" bestFit="1" customWidth="1"/>
    <col min="5" max="5" width="16.42578125" style="34" customWidth="1"/>
    <col min="6" max="6" width="9.85546875" style="34" bestFit="1" customWidth="1"/>
    <col min="7" max="7" width="22.140625" style="34" bestFit="1" customWidth="1"/>
    <col min="8" max="8" width="18" style="34" bestFit="1" customWidth="1"/>
    <col min="9" max="9" width="12" style="34" bestFit="1" customWidth="1"/>
    <col min="10" max="10" width="11.140625" style="34" bestFit="1" customWidth="1"/>
    <col min="11" max="11" width="11.7109375" style="34" customWidth="1"/>
    <col min="12" max="12" width="15.85546875" style="34" customWidth="1"/>
    <col min="13" max="13" width="11.140625" style="34" bestFit="1" customWidth="1"/>
    <col min="14" max="14" width="11.28515625" style="34" bestFit="1" customWidth="1"/>
    <col min="15" max="15" width="13.140625" style="34" customWidth="1"/>
    <col min="16" max="17" width="10" style="34" bestFit="1" customWidth="1"/>
    <col min="18" max="18" width="10" style="34" customWidth="1"/>
    <col min="19" max="19" width="9.140625" style="34" customWidth="1"/>
    <col min="20" max="21" width="10.28515625" style="34" bestFit="1" customWidth="1"/>
    <col min="22" max="22" width="11.7109375" style="34" customWidth="1"/>
    <col min="23" max="23" width="9.42578125" style="283" customWidth="1"/>
    <col min="24" max="24" width="8.140625" style="34" bestFit="1" customWidth="1"/>
    <col min="25" max="25" width="7.5703125" style="34" customWidth="1"/>
    <col min="26" max="27" width="14.7109375" style="34" customWidth="1"/>
    <col min="28" max="28" width="13.85546875" style="34" customWidth="1"/>
    <col min="29" max="29" width="36.7109375" style="34" customWidth="1"/>
    <col min="30" max="31" width="15.5703125" style="34" customWidth="1"/>
    <col min="32" max="32" width="14.42578125" style="34" bestFit="1" customWidth="1"/>
    <col min="33" max="33" width="11.42578125" style="34" customWidth="1"/>
    <col min="34" max="34" width="10" style="34" customWidth="1"/>
    <col min="35" max="35" width="8.7109375" style="34" customWidth="1"/>
    <col min="36" max="36" width="26.85546875" style="34" bestFit="1" customWidth="1"/>
    <col min="37" max="191" width="8.7109375" style="34" customWidth="1"/>
    <col min="192" max="16384" width="8.7109375" style="34"/>
  </cols>
  <sheetData>
    <row r="1" spans="1:34" ht="31.5">
      <c r="A1" s="27" t="s">
        <v>0</v>
      </c>
      <c r="B1" s="27"/>
      <c r="C1" s="27"/>
      <c r="D1" s="28" t="s">
        <v>1</v>
      </c>
      <c r="E1" s="29">
        <f>SUM(G5:G79)</f>
        <v>64483</v>
      </c>
      <c r="F1" s="30" t="s">
        <v>2</v>
      </c>
      <c r="G1" s="31">
        <f>SUM(H5:H79)</f>
        <v>2992907.2370000007</v>
      </c>
      <c r="H1" s="32" t="s">
        <v>3</v>
      </c>
      <c r="I1" s="33">
        <f>M15+M26+M48+M58+M69+M79+M37</f>
        <v>87.136904761904759</v>
      </c>
      <c r="J1" s="753" t="s">
        <v>4</v>
      </c>
      <c r="K1" s="753"/>
      <c r="L1" s="753"/>
      <c r="M1" s="753" t="s">
        <v>5</v>
      </c>
      <c r="N1" s="753"/>
      <c r="O1" s="753"/>
      <c r="P1" s="753" t="s">
        <v>6</v>
      </c>
      <c r="Q1" s="753"/>
      <c r="R1" s="753"/>
      <c r="S1" s="753"/>
      <c r="T1" s="753" t="s">
        <v>7</v>
      </c>
      <c r="U1" s="753"/>
      <c r="V1" s="753"/>
      <c r="W1" s="753"/>
      <c r="X1" s="753"/>
      <c r="Y1" s="753"/>
      <c r="Z1" s="294" t="s">
        <v>8</v>
      </c>
      <c r="AA1" s="294" t="s">
        <v>9</v>
      </c>
      <c r="AB1" s="753" t="s">
        <v>10</v>
      </c>
      <c r="AC1" s="753"/>
      <c r="AD1" s="294" t="s">
        <v>8</v>
      </c>
      <c r="AE1" s="294" t="s">
        <v>11</v>
      </c>
      <c r="AF1" s="753" t="s">
        <v>12</v>
      </c>
      <c r="AG1" s="765"/>
      <c r="AH1" s="765"/>
    </row>
    <row r="2" spans="1:34" ht="23.25">
      <c r="A2" s="739" t="s">
        <v>220</v>
      </c>
      <c r="B2" s="739"/>
      <c r="C2" s="28"/>
      <c r="D2" s="28" t="s">
        <v>14</v>
      </c>
      <c r="E2" s="35">
        <f>AVERAGE(O15,O26,O37,O48,O58,O69,O79)</f>
        <v>112.9161255182044</v>
      </c>
      <c r="F2" s="36" t="s">
        <v>15</v>
      </c>
      <c r="G2" s="37">
        <f>G1/E1</f>
        <v>46.413895708946555</v>
      </c>
      <c r="H2" s="32" t="s">
        <v>16</v>
      </c>
      <c r="I2" s="32">
        <f>COUNT(I5:I79)</f>
        <v>0</v>
      </c>
      <c r="J2" s="753"/>
      <c r="K2" s="753"/>
      <c r="L2" s="753"/>
      <c r="M2" s="753"/>
      <c r="N2" s="753"/>
      <c r="O2" s="753"/>
      <c r="P2" s="753"/>
      <c r="Q2" s="753"/>
      <c r="R2" s="753"/>
      <c r="S2" s="753"/>
      <c r="T2" s="753"/>
      <c r="U2" s="753"/>
      <c r="V2" s="753"/>
      <c r="W2" s="753"/>
      <c r="X2" s="753"/>
      <c r="Y2" s="753"/>
      <c r="Z2" s="339">
        <f>Z15+Z26+Z37+Z48+Z58+Z69+Z79</f>
        <v>1</v>
      </c>
      <c r="AA2" s="339">
        <f>AA15+AA26+AA37+AA48+AA58+AA69+AA79</f>
        <v>10</v>
      </c>
      <c r="AB2" s="783"/>
      <c r="AC2" s="783"/>
      <c r="AD2" s="340">
        <f>AD15+AD26+AD37+AD48+AD58+AD69+AD79</f>
        <v>0</v>
      </c>
      <c r="AE2" s="340">
        <f>AE15+AE26+AE37+AE48+AE58+AE69+AE79</f>
        <v>0</v>
      </c>
      <c r="AF2" s="765"/>
      <c r="AG2" s="765"/>
      <c r="AH2" s="765"/>
    </row>
    <row r="3" spans="1:34" ht="32.1" customHeight="1">
      <c r="A3" s="740" t="s">
        <v>17</v>
      </c>
      <c r="B3" s="740" t="s">
        <v>18</v>
      </c>
      <c r="C3" s="30"/>
      <c r="D3" s="740" t="s">
        <v>19</v>
      </c>
      <c r="E3" s="740"/>
      <c r="F3" s="742" t="s">
        <v>20</v>
      </c>
      <c r="G3" s="760" t="s">
        <v>21</v>
      </c>
      <c r="H3" s="742" t="s">
        <v>22</v>
      </c>
      <c r="I3" s="763" t="s">
        <v>23</v>
      </c>
      <c r="J3" s="744" t="s">
        <v>24</v>
      </c>
      <c r="K3" s="758" t="s">
        <v>25</v>
      </c>
      <c r="L3" s="746" t="s">
        <v>14</v>
      </c>
      <c r="M3" s="760" t="s">
        <v>24</v>
      </c>
      <c r="N3" s="758" t="s">
        <v>25</v>
      </c>
      <c r="O3" s="746" t="s">
        <v>14</v>
      </c>
      <c r="P3" s="744" t="s">
        <v>24</v>
      </c>
      <c r="Q3" s="746" t="s">
        <v>14</v>
      </c>
      <c r="R3" s="766" t="s">
        <v>26</v>
      </c>
      <c r="S3" s="768" t="s">
        <v>27</v>
      </c>
      <c r="T3" s="760" t="s">
        <v>28</v>
      </c>
      <c r="U3" s="760"/>
      <c r="V3" s="781" t="s">
        <v>29</v>
      </c>
      <c r="W3" s="763" t="s">
        <v>30</v>
      </c>
      <c r="X3" s="760" t="s">
        <v>31</v>
      </c>
      <c r="Y3" s="782"/>
      <c r="Z3" s="775" t="s">
        <v>32</v>
      </c>
      <c r="AA3" s="776"/>
      <c r="AB3" s="770"/>
      <c r="AC3" s="771"/>
      <c r="AD3" s="775" t="s">
        <v>33</v>
      </c>
      <c r="AE3" s="776"/>
      <c r="AF3" s="773" t="s">
        <v>25</v>
      </c>
      <c r="AG3" s="777" t="s">
        <v>26</v>
      </c>
      <c r="AH3" s="779" t="s">
        <v>27</v>
      </c>
    </row>
    <row r="4" spans="1:34">
      <c r="A4" s="741"/>
      <c r="B4" s="741"/>
      <c r="C4" s="38"/>
      <c r="D4" s="741"/>
      <c r="E4" s="741"/>
      <c r="F4" s="743"/>
      <c r="G4" s="761"/>
      <c r="H4" s="743"/>
      <c r="I4" s="764"/>
      <c r="J4" s="745"/>
      <c r="K4" s="759"/>
      <c r="L4" s="747"/>
      <c r="M4" s="761"/>
      <c r="N4" s="759"/>
      <c r="O4" s="747"/>
      <c r="P4" s="745"/>
      <c r="Q4" s="747"/>
      <c r="R4" s="767"/>
      <c r="S4" s="769"/>
      <c r="T4" s="342" t="s">
        <v>34</v>
      </c>
      <c r="U4" s="342" t="s">
        <v>35</v>
      </c>
      <c r="V4" s="761"/>
      <c r="W4" s="764"/>
      <c r="X4" s="341" t="s">
        <v>34</v>
      </c>
      <c r="Y4" s="343" t="s">
        <v>35</v>
      </c>
      <c r="Z4" s="344" t="s">
        <v>36</v>
      </c>
      <c r="AA4" s="344" t="s">
        <v>37</v>
      </c>
      <c r="AB4" s="772"/>
      <c r="AC4" s="772"/>
      <c r="AD4" s="344" t="s">
        <v>38</v>
      </c>
      <c r="AE4" s="344" t="s">
        <v>39</v>
      </c>
      <c r="AF4" s="774"/>
      <c r="AG4" s="778"/>
      <c r="AH4" s="780"/>
    </row>
    <row r="5" spans="1:34" ht="15" customHeight="1">
      <c r="A5" s="754" t="s">
        <v>40</v>
      </c>
      <c r="B5" s="39" t="s">
        <v>81</v>
      </c>
      <c r="C5" s="40"/>
      <c r="D5" s="168" t="s">
        <v>142</v>
      </c>
      <c r="E5" s="41"/>
      <c r="F5" s="39">
        <f>VLOOKUP(D5,廠價表!$C$1:$E$43,3,0)</f>
        <v>43.89</v>
      </c>
      <c r="G5" s="42">
        <v>578</v>
      </c>
      <c r="H5" s="43">
        <f>F5*G5</f>
        <v>25368.420000000002</v>
      </c>
      <c r="I5" s="44"/>
      <c r="J5" s="45">
        <f>VLOOKUP(D5,產線配置圖!$A$3:$C$40,2,0)</f>
        <v>13</v>
      </c>
      <c r="K5" s="46">
        <f>VLOOKUP(D5,產線配置圖!$A$3:$C$40,3,0)</f>
        <v>1565</v>
      </c>
      <c r="L5" s="47">
        <f>K5/J5</f>
        <v>120.38461538461539</v>
      </c>
      <c r="M5" s="48">
        <v>13</v>
      </c>
      <c r="N5" s="46">
        <f>G5/W5*60</f>
        <v>1284.4444444444682</v>
      </c>
      <c r="O5" s="47">
        <f>N5/M5</f>
        <v>98.803418803420627</v>
      </c>
      <c r="P5" s="49">
        <f>M5-J5</f>
        <v>0</v>
      </c>
      <c r="Q5" s="50">
        <f>O5-L5</f>
        <v>-21.58119658119476</v>
      </c>
      <c r="R5" s="51">
        <f>O5/L5</f>
        <v>0.82073127440541094</v>
      </c>
      <c r="S5" s="748">
        <f>R15</f>
        <v>0.8614065417504021</v>
      </c>
      <c r="T5" s="319">
        <v>0.31458333333333333</v>
      </c>
      <c r="U5" s="320">
        <v>0.33333333333333298</v>
      </c>
      <c r="V5" s="53"/>
      <c r="W5" s="54">
        <f t="shared" ref="W5:W14" si="0">(U5-T5)*24*60</f>
        <v>26.999999999999503</v>
      </c>
      <c r="X5" s="55"/>
      <c r="Y5" s="290"/>
      <c r="Z5" s="169"/>
      <c r="AA5" s="169"/>
      <c r="AB5" s="791" t="s">
        <v>238</v>
      </c>
      <c r="AC5" s="791"/>
      <c r="AD5" s="135"/>
      <c r="AE5" s="135"/>
      <c r="AF5" s="229">
        <f t="shared" ref="AF5:AF11" si="1">N5-K5</f>
        <v>-280.55555555553178</v>
      </c>
      <c r="AG5" s="52">
        <f t="shared" ref="AG5:AG11" si="2">N5/K5</f>
        <v>0.82073127440541105</v>
      </c>
      <c r="AH5" s="784">
        <f>AG15</f>
        <v>0.8620260036867613</v>
      </c>
    </row>
    <row r="6" spans="1:34" ht="15" customHeight="1">
      <c r="A6" s="755"/>
      <c r="B6" s="57" t="s">
        <v>81</v>
      </c>
      <c r="C6" s="58"/>
      <c r="D6" s="59" t="s">
        <v>120</v>
      </c>
      <c r="E6" s="60"/>
      <c r="F6" s="61">
        <f>VLOOKUP(D6,廠價表!$C$1:$E$43,3,0)</f>
        <v>56.87</v>
      </c>
      <c r="G6" s="62">
        <v>1936</v>
      </c>
      <c r="H6" s="63">
        <f>F6*G6</f>
        <v>110100.31999999999</v>
      </c>
      <c r="I6" s="64"/>
      <c r="J6" s="65">
        <v>14</v>
      </c>
      <c r="K6" s="66">
        <f>VLOOKUP(D6,產線配置圖!$A$3:$C$40,3,0)</f>
        <v>2250</v>
      </c>
      <c r="L6" s="67">
        <f>K6/J6</f>
        <v>160.71428571428572</v>
      </c>
      <c r="M6" s="68">
        <v>14</v>
      </c>
      <c r="N6" s="66">
        <f>G6/W6*60</f>
        <v>2037.8947368420725</v>
      </c>
      <c r="O6" s="67">
        <f>N6/M6</f>
        <v>145.56390977443374</v>
      </c>
      <c r="P6" s="69">
        <f>M6-J6</f>
        <v>0</v>
      </c>
      <c r="Q6" s="70">
        <f>O6-L6</f>
        <v>-15.150375939851983</v>
      </c>
      <c r="R6" s="71">
        <f>O6/L6</f>
        <v>0.90573099415203207</v>
      </c>
      <c r="S6" s="749"/>
      <c r="T6" s="16">
        <v>0.33958333333333302</v>
      </c>
      <c r="U6" s="16">
        <v>0.37916666666666698</v>
      </c>
      <c r="V6" s="30">
        <f>(T6-U5)*24*60</f>
        <v>9.000000000000048</v>
      </c>
      <c r="W6" s="73">
        <f t="shared" si="0"/>
        <v>57.000000000000917</v>
      </c>
      <c r="X6" s="22"/>
      <c r="Y6" s="84"/>
      <c r="Z6" s="90"/>
      <c r="AA6" s="90"/>
      <c r="AB6" s="788"/>
      <c r="AC6" s="788"/>
      <c r="AD6" s="149"/>
      <c r="AE6" s="149"/>
      <c r="AF6" s="307">
        <f t="shared" si="1"/>
        <v>-212.10526315792754</v>
      </c>
      <c r="AG6" s="72">
        <f t="shared" si="2"/>
        <v>0.90573099415203218</v>
      </c>
      <c r="AH6" s="785"/>
    </row>
    <row r="7" spans="1:34" ht="15" customHeight="1">
      <c r="A7" s="755"/>
      <c r="B7" s="75" t="s">
        <v>81</v>
      </c>
      <c r="C7" s="76"/>
      <c r="D7" s="59" t="s">
        <v>114</v>
      </c>
      <c r="E7" s="77"/>
      <c r="F7" s="61">
        <f>VLOOKUP(D7,廠價表!$C$1:$E$43,3,0)</f>
        <v>58.17</v>
      </c>
      <c r="G7" s="66">
        <v>1230</v>
      </c>
      <c r="H7" s="78">
        <f>F7*G7</f>
        <v>71549.100000000006</v>
      </c>
      <c r="I7" s="73"/>
      <c r="J7" s="79">
        <f>VLOOKUP(D7,產線配置圖!$A$3:$C$40,2,0)</f>
        <v>13</v>
      </c>
      <c r="K7" s="80">
        <f>VLOOKUP(D7,產線配置圖!$A$3:$C$40,3,0)</f>
        <v>2250</v>
      </c>
      <c r="L7" s="81">
        <f>K7/J7</f>
        <v>173.07692307692307</v>
      </c>
      <c r="M7" s="82">
        <v>13</v>
      </c>
      <c r="N7" s="66">
        <f t="shared" ref="N7:N12" si="3">G7/W7*60</f>
        <v>1892.3076923076949</v>
      </c>
      <c r="O7" s="67">
        <f t="shared" ref="O7:O12" si="4">N7/M7</f>
        <v>145.562130177515</v>
      </c>
      <c r="P7" s="69">
        <f t="shared" ref="P7:P12" si="5">M7-J7</f>
        <v>0</v>
      </c>
      <c r="Q7" s="70">
        <f t="shared" ref="Q7:Q12" si="6">O7-L7</f>
        <v>-27.514792899408064</v>
      </c>
      <c r="R7" s="71">
        <f t="shared" ref="R7:R12" si="7">O7/L7</f>
        <v>0.84102564102564226</v>
      </c>
      <c r="S7" s="749"/>
      <c r="T7" s="18">
        <v>0.38611111111111113</v>
      </c>
      <c r="U7" s="18">
        <v>0.41319444444444442</v>
      </c>
      <c r="V7" s="30">
        <f>(T7-U6)*24*60</f>
        <v>9.9999999999995648</v>
      </c>
      <c r="W7" s="73">
        <f t="shared" si="0"/>
        <v>38.999999999999943</v>
      </c>
      <c r="X7" s="22"/>
      <c r="Y7" s="84"/>
      <c r="Z7" s="90"/>
      <c r="AA7" s="90"/>
      <c r="AB7" s="789"/>
      <c r="AC7" s="789"/>
      <c r="AD7" s="92"/>
      <c r="AE7" s="92"/>
      <c r="AF7" s="307">
        <f t="shared" si="1"/>
        <v>-357.69230769230512</v>
      </c>
      <c r="AG7" s="72">
        <f t="shared" si="2"/>
        <v>0.84102564102564215</v>
      </c>
      <c r="AH7" s="785"/>
    </row>
    <row r="8" spans="1:34" ht="15" customHeight="1">
      <c r="A8" s="755"/>
      <c r="B8" s="75" t="s">
        <v>81</v>
      </c>
      <c r="C8" s="76"/>
      <c r="D8" s="59" t="s">
        <v>113</v>
      </c>
      <c r="E8" s="77"/>
      <c r="F8" s="61">
        <f>VLOOKUP(D8,廠價表!$C$1:$E$43,3,0)</f>
        <v>50.67</v>
      </c>
      <c r="G8" s="66">
        <v>1391</v>
      </c>
      <c r="H8" s="63">
        <f t="shared" ref="H8:H12" si="8">F8*G8</f>
        <v>70481.97</v>
      </c>
      <c r="I8" s="64"/>
      <c r="J8" s="65">
        <v>16</v>
      </c>
      <c r="K8" s="66">
        <f>VLOOKUP(D8,產線配置圖!$A$3:$C$40,3,0)</f>
        <v>2250</v>
      </c>
      <c r="L8" s="67">
        <f t="shared" ref="L8:L12" si="9">K8/J8</f>
        <v>140.625</v>
      </c>
      <c r="M8" s="82">
        <v>16</v>
      </c>
      <c r="N8" s="66">
        <f t="shared" si="3"/>
        <v>1896.8181818181818</v>
      </c>
      <c r="O8" s="67">
        <f t="shared" si="4"/>
        <v>118.55113636363636</v>
      </c>
      <c r="P8" s="69">
        <f t="shared" si="5"/>
        <v>0</v>
      </c>
      <c r="Q8" s="70">
        <f t="shared" si="6"/>
        <v>-22.07386363636364</v>
      </c>
      <c r="R8" s="71">
        <f t="shared" si="7"/>
        <v>0.84303030303030302</v>
      </c>
      <c r="S8" s="749"/>
      <c r="T8" s="16">
        <v>0.42083333333333334</v>
      </c>
      <c r="U8" s="16">
        <v>0.4513888888888889</v>
      </c>
      <c r="V8" s="30">
        <f t="shared" ref="V8:V12" si="10">(T8-U7)*24*60</f>
        <v>11.000000000000041</v>
      </c>
      <c r="W8" s="73">
        <f t="shared" si="0"/>
        <v>44</v>
      </c>
      <c r="X8" s="22"/>
      <c r="Y8" s="84"/>
      <c r="Z8" s="90"/>
      <c r="AA8" s="90"/>
      <c r="AB8" s="788"/>
      <c r="AC8" s="788"/>
      <c r="AD8" s="149"/>
      <c r="AE8" s="149"/>
      <c r="AF8" s="307">
        <f t="shared" si="1"/>
        <v>-353.18181818181824</v>
      </c>
      <c r="AG8" s="72">
        <f t="shared" si="2"/>
        <v>0.84303030303030302</v>
      </c>
      <c r="AH8" s="785"/>
    </row>
    <row r="9" spans="1:34" ht="15" customHeight="1">
      <c r="A9" s="756"/>
      <c r="B9" s="75" t="s">
        <v>81</v>
      </c>
      <c r="C9" s="86"/>
      <c r="D9" s="59" t="s">
        <v>115</v>
      </c>
      <c r="E9" s="87"/>
      <c r="F9" s="61">
        <f>VLOOKUP(D9,廠價表!$C$1:$E$43,3,0)</f>
        <v>49.14</v>
      </c>
      <c r="G9" s="62">
        <v>2232</v>
      </c>
      <c r="H9" s="78">
        <f t="shared" si="8"/>
        <v>109680.48</v>
      </c>
      <c r="I9" s="73"/>
      <c r="J9" s="79">
        <v>14</v>
      </c>
      <c r="K9" s="80">
        <f>VLOOKUP(D9,產線配置圖!$A$3:$C$40,3,0)</f>
        <v>2250</v>
      </c>
      <c r="L9" s="81">
        <f t="shared" si="9"/>
        <v>160.71428571428572</v>
      </c>
      <c r="M9" s="82">
        <v>14</v>
      </c>
      <c r="N9" s="66">
        <f t="shared" si="3"/>
        <v>2092.4999999999995</v>
      </c>
      <c r="O9" s="67">
        <f t="shared" si="4"/>
        <v>149.46428571428569</v>
      </c>
      <c r="P9" s="69">
        <f t="shared" si="5"/>
        <v>0</v>
      </c>
      <c r="Q9" s="70">
        <f t="shared" si="6"/>
        <v>-11.250000000000028</v>
      </c>
      <c r="R9" s="71">
        <f t="shared" si="7"/>
        <v>0.92999999999999983</v>
      </c>
      <c r="S9" s="750"/>
      <c r="T9" s="22">
        <v>0.45833333333333331</v>
      </c>
      <c r="U9" s="22">
        <v>0.50277777777777777</v>
      </c>
      <c r="V9" s="30">
        <f t="shared" si="10"/>
        <v>9.9999999999999645</v>
      </c>
      <c r="W9" s="73">
        <f t="shared" si="0"/>
        <v>64.000000000000014</v>
      </c>
      <c r="X9" s="22"/>
      <c r="Y9" s="84"/>
      <c r="Z9" s="90"/>
      <c r="AA9" s="90"/>
      <c r="AB9" s="788"/>
      <c r="AC9" s="788"/>
      <c r="AD9" s="149"/>
      <c r="AE9" s="149"/>
      <c r="AF9" s="307">
        <f t="shared" si="1"/>
        <v>-157.50000000000045</v>
      </c>
      <c r="AG9" s="72">
        <f t="shared" si="2"/>
        <v>0.92999999999999983</v>
      </c>
      <c r="AH9" s="786"/>
    </row>
    <row r="10" spans="1:34" ht="15" customHeight="1">
      <c r="A10" s="756"/>
      <c r="B10" s="75" t="s">
        <v>81</v>
      </c>
      <c r="C10" s="86"/>
      <c r="D10" s="59" t="s">
        <v>115</v>
      </c>
      <c r="E10" s="87"/>
      <c r="F10" s="61">
        <f>VLOOKUP(D10,廠價表!$C$1:$E$43,3,0)</f>
        <v>49.14</v>
      </c>
      <c r="G10" s="90">
        <v>2106</v>
      </c>
      <c r="H10" s="63">
        <f t="shared" si="8"/>
        <v>103488.84</v>
      </c>
      <c r="I10" s="64"/>
      <c r="J10" s="65">
        <v>14</v>
      </c>
      <c r="K10" s="66">
        <f>VLOOKUP(D10,產線配置圖!$A$3:$C$40,3,0)</f>
        <v>2250</v>
      </c>
      <c r="L10" s="67">
        <f t="shared" si="9"/>
        <v>160.71428571428572</v>
      </c>
      <c r="M10" s="82">
        <v>14</v>
      </c>
      <c r="N10" s="66">
        <f t="shared" si="3"/>
        <v>1858.2352941176537</v>
      </c>
      <c r="O10" s="67">
        <f t="shared" si="4"/>
        <v>132.73109243697527</v>
      </c>
      <c r="P10" s="69">
        <f t="shared" si="5"/>
        <v>0</v>
      </c>
      <c r="Q10" s="70">
        <f t="shared" si="6"/>
        <v>-27.983193277310448</v>
      </c>
      <c r="R10" s="71">
        <f t="shared" si="7"/>
        <v>0.8258823529411794</v>
      </c>
      <c r="S10" s="750"/>
      <c r="T10" s="22">
        <v>0.57638888888888895</v>
      </c>
      <c r="U10" s="22">
        <v>0.62361111111111101</v>
      </c>
      <c r="V10" s="30">
        <f t="shared" si="10"/>
        <v>106.0000000000001</v>
      </c>
      <c r="W10" s="73">
        <f t="shared" si="0"/>
        <v>67.999999999999758</v>
      </c>
      <c r="X10" s="22"/>
      <c r="Y10" s="84"/>
      <c r="Z10" s="90"/>
      <c r="AA10" s="90"/>
      <c r="AB10" s="789"/>
      <c r="AC10" s="789"/>
      <c r="AD10" s="92"/>
      <c r="AE10" s="92"/>
      <c r="AF10" s="307">
        <f t="shared" si="1"/>
        <v>-391.76470588234633</v>
      </c>
      <c r="AG10" s="72">
        <f t="shared" si="2"/>
        <v>0.8258823529411794</v>
      </c>
      <c r="AH10" s="786"/>
    </row>
    <row r="11" spans="1:34" ht="15" customHeight="1">
      <c r="A11" s="756"/>
      <c r="B11" s="101" t="s">
        <v>81</v>
      </c>
      <c r="C11" s="102"/>
      <c r="D11" s="103" t="s">
        <v>114</v>
      </c>
      <c r="E11" s="104"/>
      <c r="F11" s="61">
        <f>VLOOKUP(D11,廠價表!$C$1:$E$43,3,0)</f>
        <v>58.17</v>
      </c>
      <c r="G11" s="62">
        <v>1166</v>
      </c>
      <c r="H11" s="78">
        <f t="shared" si="8"/>
        <v>67826.22</v>
      </c>
      <c r="I11" s="73"/>
      <c r="J11" s="79">
        <f>VLOOKUP(D11,產線配置圖!$A$3:$C$40,2,0)</f>
        <v>13</v>
      </c>
      <c r="K11" s="80">
        <f>VLOOKUP(D11,產線配置圖!$A$3:$C$40,3,0)</f>
        <v>2250</v>
      </c>
      <c r="L11" s="81">
        <f t="shared" si="9"/>
        <v>173.07692307692307</v>
      </c>
      <c r="M11" s="108">
        <v>13</v>
      </c>
      <c r="N11" s="66">
        <f t="shared" si="3"/>
        <v>1841.052631578915</v>
      </c>
      <c r="O11" s="67">
        <f t="shared" si="4"/>
        <v>141.61943319837809</v>
      </c>
      <c r="P11" s="69">
        <f t="shared" si="5"/>
        <v>0</v>
      </c>
      <c r="Q11" s="70">
        <f t="shared" si="6"/>
        <v>-31.457489878544976</v>
      </c>
      <c r="R11" s="71">
        <f t="shared" si="7"/>
        <v>0.81824561403507345</v>
      </c>
      <c r="S11" s="750"/>
      <c r="T11" s="110">
        <v>0.63194444444444398</v>
      </c>
      <c r="U11" s="110">
        <v>0.65833333333333333</v>
      </c>
      <c r="V11" s="30">
        <f t="shared" si="10"/>
        <v>11.999999999999478</v>
      </c>
      <c r="W11" s="100">
        <f t="shared" si="0"/>
        <v>38.000000000000668</v>
      </c>
      <c r="X11" s="22"/>
      <c r="Y11" s="84"/>
      <c r="Z11" s="90"/>
      <c r="AA11" s="90"/>
      <c r="AB11" s="788"/>
      <c r="AC11" s="788"/>
      <c r="AD11" s="149"/>
      <c r="AE11" s="149"/>
      <c r="AF11" s="307">
        <f t="shared" si="1"/>
        <v>-408.947368421085</v>
      </c>
      <c r="AG11" s="72">
        <f t="shared" si="2"/>
        <v>0.81824561403507334</v>
      </c>
      <c r="AH11" s="786"/>
    </row>
    <row r="12" spans="1:34" ht="15" customHeight="1">
      <c r="A12" s="756"/>
      <c r="B12" s="75" t="s">
        <v>81</v>
      </c>
      <c r="C12" s="76"/>
      <c r="D12" s="59" t="s">
        <v>115</v>
      </c>
      <c r="E12" s="77"/>
      <c r="F12" s="61">
        <f>VLOOKUP(D12,廠價表!$C$1:$E$43,3,0)</f>
        <v>49.14</v>
      </c>
      <c r="G12" s="62">
        <v>2225</v>
      </c>
      <c r="H12" s="63">
        <f t="shared" si="8"/>
        <v>109336.5</v>
      </c>
      <c r="I12" s="64"/>
      <c r="J12" s="65">
        <v>14</v>
      </c>
      <c r="K12" s="66">
        <f>VLOOKUP(D12,產線配置圖!$A$3:$C$40,3,0)</f>
        <v>2250</v>
      </c>
      <c r="L12" s="67">
        <f t="shared" si="9"/>
        <v>160.71428571428572</v>
      </c>
      <c r="M12" s="82">
        <v>14</v>
      </c>
      <c r="N12" s="66">
        <f t="shared" si="3"/>
        <v>2022.727272727285</v>
      </c>
      <c r="O12" s="67">
        <f t="shared" si="4"/>
        <v>144.48051948052037</v>
      </c>
      <c r="P12" s="69">
        <f t="shared" si="5"/>
        <v>0</v>
      </c>
      <c r="Q12" s="70">
        <f t="shared" si="6"/>
        <v>-16.233766233765351</v>
      </c>
      <c r="R12" s="71">
        <f t="shared" si="7"/>
        <v>0.89898989898990445</v>
      </c>
      <c r="S12" s="750"/>
      <c r="T12" s="700">
        <v>0.66666666666666696</v>
      </c>
      <c r="U12" s="700">
        <v>0.71250000000000002</v>
      </c>
      <c r="V12" s="30">
        <f t="shared" si="10"/>
        <v>12.000000000000437</v>
      </c>
      <c r="W12" s="100">
        <f t="shared" si="0"/>
        <v>65.999999999999602</v>
      </c>
      <c r="X12" s="110"/>
      <c r="Y12" s="289"/>
      <c r="Z12" s="90"/>
      <c r="AA12" s="90"/>
      <c r="AB12" s="788"/>
      <c r="AC12" s="788"/>
      <c r="AD12" s="149"/>
      <c r="AE12" s="149"/>
      <c r="AF12" s="308"/>
      <c r="AG12" s="85"/>
      <c r="AH12" s="786"/>
    </row>
    <row r="13" spans="1:34" ht="15" customHeight="1">
      <c r="A13" s="756"/>
      <c r="B13" s="75"/>
      <c r="C13" s="76"/>
      <c r="D13" s="59"/>
      <c r="E13" s="77"/>
      <c r="F13" s="75"/>
      <c r="G13" s="62"/>
      <c r="H13" s="78"/>
      <c r="I13" s="73"/>
      <c r="J13" s="79"/>
      <c r="K13" s="80"/>
      <c r="L13" s="81"/>
      <c r="M13" s="82"/>
      <c r="N13" s="66"/>
      <c r="O13" s="67"/>
      <c r="P13" s="69"/>
      <c r="Q13" s="70"/>
      <c r="R13" s="71"/>
      <c r="S13" s="751"/>
      <c r="T13" s="700"/>
      <c r="U13" s="700"/>
      <c r="V13" s="101"/>
      <c r="W13" s="100">
        <f t="shared" si="0"/>
        <v>0</v>
      </c>
      <c r="X13" s="110"/>
      <c r="Y13" s="289"/>
      <c r="Z13" s="90"/>
      <c r="AA13" s="90"/>
      <c r="AB13" s="789"/>
      <c r="AC13" s="789"/>
      <c r="AD13" s="92"/>
      <c r="AE13" s="92"/>
      <c r="AF13" s="308"/>
      <c r="AG13" s="85"/>
      <c r="AH13" s="786"/>
    </row>
    <row r="14" spans="1:34" ht="15" customHeight="1">
      <c r="A14" s="756"/>
      <c r="B14" s="75"/>
      <c r="C14" s="76"/>
      <c r="D14" s="59"/>
      <c r="E14" s="77"/>
      <c r="F14" s="75"/>
      <c r="G14" s="62"/>
      <c r="H14" s="78"/>
      <c r="I14" s="73"/>
      <c r="J14" s="79"/>
      <c r="K14" s="80"/>
      <c r="L14" s="81"/>
      <c r="M14" s="82"/>
      <c r="N14" s="80"/>
      <c r="O14" s="81"/>
      <c r="P14" s="74"/>
      <c r="Q14" s="83"/>
      <c r="R14" s="72"/>
      <c r="S14" s="750"/>
      <c r="T14" s="21"/>
      <c r="U14" s="21"/>
      <c r="V14" s="38"/>
      <c r="W14" s="100">
        <f t="shared" si="0"/>
        <v>0</v>
      </c>
      <c r="X14" s="110"/>
      <c r="Y14" s="289"/>
      <c r="Z14" s="90"/>
      <c r="AA14" s="90"/>
      <c r="AB14" s="789"/>
      <c r="AC14" s="789"/>
      <c r="AD14" s="92"/>
      <c r="AE14" s="92"/>
      <c r="AF14" s="308"/>
      <c r="AG14" s="85"/>
      <c r="AH14" s="786"/>
    </row>
    <row r="15" spans="1:34" ht="15" customHeight="1">
      <c r="A15" s="757"/>
      <c r="B15" s="115"/>
      <c r="C15" s="115" t="s">
        <v>41</v>
      </c>
      <c r="D15" s="762" t="s">
        <v>42</v>
      </c>
      <c r="E15" s="762"/>
      <c r="F15" s="116"/>
      <c r="G15" s="117"/>
      <c r="H15" s="118"/>
      <c r="I15" s="119"/>
      <c r="J15" s="120">
        <f t="shared" ref="J15:O15" si="11">AVERAGE(J5:J14)</f>
        <v>13.875</v>
      </c>
      <c r="K15" s="120">
        <f t="shared" si="11"/>
        <v>2164.375</v>
      </c>
      <c r="L15" s="117">
        <f t="shared" si="11"/>
        <v>156.25257554945057</v>
      </c>
      <c r="M15" s="120">
        <f t="shared" si="11"/>
        <v>13.875</v>
      </c>
      <c r="N15" s="120">
        <f t="shared" si="11"/>
        <v>1865.7475317295339</v>
      </c>
      <c r="O15" s="117">
        <f t="shared" si="11"/>
        <v>134.59699074364565</v>
      </c>
      <c r="P15" s="121">
        <f>M15-J15</f>
        <v>0</v>
      </c>
      <c r="Q15" s="122">
        <f>O15-L15</f>
        <v>-21.655584805804921</v>
      </c>
      <c r="R15" s="123">
        <f>O15/L15</f>
        <v>0.8614065417504021</v>
      </c>
      <c r="S15" s="752"/>
      <c r="T15" s="125"/>
      <c r="U15" s="125"/>
      <c r="V15" s="126"/>
      <c r="W15" s="127"/>
      <c r="X15" s="128"/>
      <c r="Y15" s="295"/>
      <c r="Z15" s="334">
        <f>SUM(Z5:Z14)</f>
        <v>0</v>
      </c>
      <c r="AA15" s="334">
        <f>SUM(AA5:AA14)</f>
        <v>0</v>
      </c>
      <c r="AB15" s="790"/>
      <c r="AC15" s="790"/>
      <c r="AD15" s="323">
        <f>SUM(AD5:AD14)</f>
        <v>0</v>
      </c>
      <c r="AE15" s="323">
        <f>SUM(AE5:AE14)</f>
        <v>0</v>
      </c>
      <c r="AF15" s="309">
        <f>N15-K15</f>
        <v>-298.62746827046612</v>
      </c>
      <c r="AG15" s="124">
        <f>N15/K15</f>
        <v>0.8620260036867613</v>
      </c>
      <c r="AH15" s="787"/>
    </row>
    <row r="16" spans="1:34" ht="15" customHeight="1">
      <c r="A16" s="801" t="s">
        <v>43</v>
      </c>
      <c r="B16" s="129" t="s">
        <v>130</v>
      </c>
      <c r="C16" s="130"/>
      <c r="D16" s="131" t="s">
        <v>134</v>
      </c>
      <c r="E16" s="132"/>
      <c r="F16" s="129">
        <f>VLOOKUP(D16,廠價表!$C$1:$E$43,3,0)</f>
        <v>28.26</v>
      </c>
      <c r="G16" s="133">
        <v>634</v>
      </c>
      <c r="H16" s="134">
        <f>F16*G16</f>
        <v>17916.84</v>
      </c>
      <c r="I16" s="135"/>
      <c r="J16" s="136">
        <f>VLOOKUP(D16,產線配置圖!$A$3:$C$40,2,0)</f>
        <v>11</v>
      </c>
      <c r="K16" s="137">
        <f>VLOOKUP(D16,產線配置圖!$A$3:$C$40,3,0)</f>
        <v>1636</v>
      </c>
      <c r="L16" s="138">
        <f>K16/J16</f>
        <v>148.72727272727272</v>
      </c>
      <c r="M16" s="139">
        <v>10</v>
      </c>
      <c r="N16" s="140">
        <f>G16/W16*60</f>
        <v>1227.0967741935528</v>
      </c>
      <c r="O16" s="141">
        <f>N16/M16</f>
        <v>122.70967741935529</v>
      </c>
      <c r="P16" s="142">
        <f>M16-J16</f>
        <v>-1</v>
      </c>
      <c r="Q16" s="143">
        <f>O16-L16</f>
        <v>-26.017595307917432</v>
      </c>
      <c r="R16" s="144">
        <f>O16/L16</f>
        <v>0.82506506822304904</v>
      </c>
      <c r="S16" s="795">
        <f>R26</f>
        <v>0.85419356903491217</v>
      </c>
      <c r="T16" s="145">
        <v>0.31458333333333333</v>
      </c>
      <c r="U16" s="145">
        <v>0.33611111111111103</v>
      </c>
      <c r="V16" s="135"/>
      <c r="W16" s="146">
        <f t="shared" ref="W16:W78" si="12">(U16-T16)*24*60</f>
        <v>30.99999999999989</v>
      </c>
      <c r="X16" s="141"/>
      <c r="Y16" s="296"/>
      <c r="Z16" s="169"/>
      <c r="AA16" s="169"/>
      <c r="AB16" s="791" t="s">
        <v>238</v>
      </c>
      <c r="AC16" s="791"/>
      <c r="AD16" s="135"/>
      <c r="AE16" s="135"/>
      <c r="AF16" s="229">
        <f>N16-K16</f>
        <v>-408.90322580644715</v>
      </c>
      <c r="AG16" s="52">
        <f>N16/K16</f>
        <v>0.75005915293004455</v>
      </c>
      <c r="AH16" s="784">
        <f>AG26</f>
        <v>0.84420828642807555</v>
      </c>
    </row>
    <row r="17" spans="1:34" ht="15" customHeight="1">
      <c r="A17" s="802"/>
      <c r="B17" s="75" t="s">
        <v>81</v>
      </c>
      <c r="C17" s="76"/>
      <c r="D17" s="59" t="s">
        <v>120</v>
      </c>
      <c r="E17" s="77"/>
      <c r="F17" s="75">
        <f>VLOOKUP(D17,廠價表!$C$1:$E$43,3,0)</f>
        <v>56.87</v>
      </c>
      <c r="G17" s="147">
        <v>1622</v>
      </c>
      <c r="H17" s="78">
        <f>F17*G17</f>
        <v>92243.14</v>
      </c>
      <c r="I17" s="30"/>
      <c r="J17" s="79">
        <v>14</v>
      </c>
      <c r="K17" s="80">
        <f>VLOOKUP(D17,產線配置圖!$A$3:$C$40,3,0)</f>
        <v>2250</v>
      </c>
      <c r="L17" s="81">
        <f>K17/J17</f>
        <v>160.71428571428572</v>
      </c>
      <c r="M17" s="148">
        <v>14</v>
      </c>
      <c r="N17" s="95">
        <f>G17/W17*60</f>
        <v>1908.23529411763</v>
      </c>
      <c r="O17" s="96">
        <f>N17/M17</f>
        <v>136.30252100840215</v>
      </c>
      <c r="P17" s="97">
        <f>M17-J17</f>
        <v>0</v>
      </c>
      <c r="Q17" s="98">
        <f>O17-L17</f>
        <v>-24.41176470588357</v>
      </c>
      <c r="R17" s="99">
        <f>O17/L17</f>
        <v>0.84810457516339111</v>
      </c>
      <c r="S17" s="796"/>
      <c r="T17" s="19">
        <v>0.34236111111111101</v>
      </c>
      <c r="U17" s="19">
        <v>0.37777777777777799</v>
      </c>
      <c r="V17" s="30">
        <f>(T17-U16)*24*60</f>
        <v>8.999999999999968</v>
      </c>
      <c r="W17" s="149">
        <f t="shared" si="12"/>
        <v>51.000000000000455</v>
      </c>
      <c r="X17" s="19"/>
      <c r="Y17" s="297"/>
      <c r="Z17" s="90"/>
      <c r="AA17" s="90"/>
      <c r="AB17" s="789"/>
      <c r="AC17" s="789"/>
      <c r="AD17" s="92"/>
      <c r="AE17" s="92"/>
      <c r="AF17" s="307">
        <f>N17-K17</f>
        <v>-341.76470588236998</v>
      </c>
      <c r="AG17" s="72">
        <f>N17/K17</f>
        <v>0.84810457516339111</v>
      </c>
      <c r="AH17" s="785"/>
    </row>
    <row r="18" spans="1:34" ht="15" customHeight="1">
      <c r="A18" s="802"/>
      <c r="B18" s="75" t="s">
        <v>81</v>
      </c>
      <c r="C18" s="76"/>
      <c r="D18" s="59" t="s">
        <v>119</v>
      </c>
      <c r="E18" s="77"/>
      <c r="F18" s="75">
        <f>VLOOKUP(D18,廠價表!$C$1:$E$43,3,0)</f>
        <v>50.67</v>
      </c>
      <c r="G18" s="147">
        <v>2539</v>
      </c>
      <c r="H18" s="78">
        <f>F18*G18</f>
        <v>128651.13</v>
      </c>
      <c r="I18" s="30"/>
      <c r="J18" s="79">
        <f>VLOOKUP(D18,產線配置圖!$A$3:$C$40,2,0)</f>
        <v>13</v>
      </c>
      <c r="K18" s="80">
        <f>VLOOKUP(D18,產線配置圖!$A$3:$C$40,3,0)</f>
        <v>2250</v>
      </c>
      <c r="L18" s="81">
        <f>K18/J18</f>
        <v>173.07692307692307</v>
      </c>
      <c r="M18" s="148">
        <v>13</v>
      </c>
      <c r="N18" s="95">
        <f>G18/W18*60</f>
        <v>1813.5714285714093</v>
      </c>
      <c r="O18" s="96">
        <f>N18/M18</f>
        <v>139.50549450549303</v>
      </c>
      <c r="P18" s="97">
        <f>M18-J18</f>
        <v>0</v>
      </c>
      <c r="Q18" s="98">
        <f>O18-L18</f>
        <v>-33.571428571430033</v>
      </c>
      <c r="R18" s="99">
        <f>O18/L18</f>
        <v>0.80603174603173755</v>
      </c>
      <c r="S18" s="796"/>
      <c r="T18" s="19">
        <v>0.38333333333333303</v>
      </c>
      <c r="U18" s="19">
        <v>0.44166666666666698</v>
      </c>
      <c r="V18" s="30">
        <f>(T18-U17)*24*60</f>
        <v>7.9999999999992522</v>
      </c>
      <c r="W18" s="149">
        <f t="shared" si="12"/>
        <v>84.000000000000895</v>
      </c>
      <c r="X18" s="22"/>
      <c r="Y18" s="84"/>
      <c r="Z18" s="90"/>
      <c r="AA18" s="90"/>
      <c r="AB18" s="789"/>
      <c r="AC18" s="789"/>
      <c r="AD18" s="92"/>
      <c r="AE18" s="92"/>
      <c r="AF18" s="307">
        <f>N18-K18</f>
        <v>-436.42857142859066</v>
      </c>
      <c r="AG18" s="72">
        <f>N18/K18</f>
        <v>0.80603174603173744</v>
      </c>
      <c r="AH18" s="785"/>
    </row>
    <row r="19" spans="1:34" ht="15" customHeight="1">
      <c r="A19" s="802"/>
      <c r="B19" s="75" t="s">
        <v>81</v>
      </c>
      <c r="C19" s="76"/>
      <c r="D19" s="59" t="s">
        <v>121</v>
      </c>
      <c r="E19" s="77"/>
      <c r="F19" s="75">
        <f>VLOOKUP(D19,廠價表!$C$1:$E$43,3,0)</f>
        <v>50.39</v>
      </c>
      <c r="G19" s="147">
        <v>1774</v>
      </c>
      <c r="H19" s="78">
        <f t="shared" ref="H19:H21" si="13">F19*G19</f>
        <v>89391.86</v>
      </c>
      <c r="I19" s="30"/>
      <c r="J19" s="79">
        <f>VLOOKUP(D19,產線配置圖!$A$3:$C$40,2,0)</f>
        <v>12</v>
      </c>
      <c r="K19" s="80">
        <f>VLOOKUP(D19,產線配置圖!$A$3:$C$40,3,0)</f>
        <v>2250</v>
      </c>
      <c r="L19" s="81">
        <f t="shared" ref="L19:L21" si="14">K19/J19</f>
        <v>187.5</v>
      </c>
      <c r="M19" s="148">
        <v>12</v>
      </c>
      <c r="N19" s="95">
        <f t="shared" ref="N19:N21" si="15">G19/W19*60</f>
        <v>1935.2727272727288</v>
      </c>
      <c r="O19" s="96">
        <f t="shared" ref="O19:O21" si="16">N19/M19</f>
        <v>161.27272727272739</v>
      </c>
      <c r="P19" s="97">
        <f t="shared" ref="P19:P21" si="17">M19-J19</f>
        <v>0</v>
      </c>
      <c r="Q19" s="98">
        <f t="shared" ref="Q19:Q21" si="18">O19-L19</f>
        <v>-26.227272727272606</v>
      </c>
      <c r="R19" s="99">
        <f t="shared" ref="R19:R21" si="19">O19/L19</f>
        <v>0.86012121212121273</v>
      </c>
      <c r="S19" s="796"/>
      <c r="T19" s="19">
        <v>0.44791666666666669</v>
      </c>
      <c r="U19" s="19">
        <v>0.4861111111111111</v>
      </c>
      <c r="V19" s="30">
        <f>(T19-U18)*24*60</f>
        <v>8.9999999999995683</v>
      </c>
      <c r="W19" s="149">
        <f t="shared" si="12"/>
        <v>54.999999999999964</v>
      </c>
      <c r="X19" s="22"/>
      <c r="Y19" s="84"/>
      <c r="Z19" s="90"/>
      <c r="AA19" s="90"/>
      <c r="AB19" s="788"/>
      <c r="AC19" s="788"/>
      <c r="AD19" s="149"/>
      <c r="AE19" s="149"/>
      <c r="AF19" s="307">
        <f>N19-K19</f>
        <v>-314.72727272727116</v>
      </c>
      <c r="AG19" s="72">
        <f>N19/K19</f>
        <v>0.86012121212121284</v>
      </c>
      <c r="AH19" s="786"/>
    </row>
    <row r="20" spans="1:34" ht="15" customHeight="1">
      <c r="A20" s="802"/>
      <c r="B20" s="75" t="s">
        <v>81</v>
      </c>
      <c r="C20" s="76"/>
      <c r="D20" s="59" t="s">
        <v>121</v>
      </c>
      <c r="E20" s="77"/>
      <c r="F20" s="75">
        <f>VLOOKUP(D20,廠價表!$C$1:$E$43,3,0)</f>
        <v>50.39</v>
      </c>
      <c r="G20" s="147">
        <v>4448</v>
      </c>
      <c r="H20" s="78">
        <f t="shared" si="13"/>
        <v>224134.72</v>
      </c>
      <c r="I20" s="30"/>
      <c r="J20" s="79">
        <f>VLOOKUP(D20,產線配置圖!$A$3:$C$40,2,0)</f>
        <v>12</v>
      </c>
      <c r="K20" s="80">
        <f>VLOOKUP(D20,產線配置圖!$A$3:$C$40,3,0)</f>
        <v>2250</v>
      </c>
      <c r="L20" s="81">
        <f t="shared" si="14"/>
        <v>187.5</v>
      </c>
      <c r="M20" s="148">
        <v>12</v>
      </c>
      <c r="N20" s="95">
        <f t="shared" si="15"/>
        <v>2068.8372093023122</v>
      </c>
      <c r="O20" s="96">
        <f t="shared" si="16"/>
        <v>172.40310077519268</v>
      </c>
      <c r="P20" s="97">
        <f t="shared" si="17"/>
        <v>0</v>
      </c>
      <c r="Q20" s="98">
        <f t="shared" si="18"/>
        <v>-15.096899224807316</v>
      </c>
      <c r="R20" s="99">
        <f t="shared" si="19"/>
        <v>0.91948320413436102</v>
      </c>
      <c r="S20" s="796"/>
      <c r="T20" s="19">
        <v>0.57847222222222205</v>
      </c>
      <c r="U20" s="19">
        <v>0.66805555555555596</v>
      </c>
      <c r="V20" s="30">
        <f>(T20-U19)*24*60</f>
        <v>132.99999999999977</v>
      </c>
      <c r="W20" s="149">
        <f t="shared" si="12"/>
        <v>129.00000000000082</v>
      </c>
      <c r="X20" s="19"/>
      <c r="Y20" s="297"/>
      <c r="Z20" s="90"/>
      <c r="AA20" s="90"/>
      <c r="AB20" s="789" t="s">
        <v>237</v>
      </c>
      <c r="AC20" s="789"/>
      <c r="AD20" s="92"/>
      <c r="AE20" s="92"/>
      <c r="AF20" s="307"/>
      <c r="AG20" s="72"/>
      <c r="AH20" s="786"/>
    </row>
    <row r="21" spans="1:34" ht="15" customHeight="1">
      <c r="A21" s="803"/>
      <c r="B21" s="75" t="s">
        <v>81</v>
      </c>
      <c r="C21" s="76"/>
      <c r="D21" s="59" t="s">
        <v>119</v>
      </c>
      <c r="E21" s="77"/>
      <c r="F21" s="75">
        <f>VLOOKUP(D21,廠價表!$C$1:$E$43,3,0)</f>
        <v>50.67</v>
      </c>
      <c r="G21" s="147">
        <v>1765</v>
      </c>
      <c r="H21" s="78">
        <f t="shared" si="13"/>
        <v>89432.55</v>
      </c>
      <c r="I21" s="30"/>
      <c r="J21" s="79">
        <v>12</v>
      </c>
      <c r="K21" s="80">
        <f>VLOOKUP(D21,產線配置圖!$A$3:$C$40,3,0)</f>
        <v>2250</v>
      </c>
      <c r="L21" s="81">
        <f t="shared" si="14"/>
        <v>187.5</v>
      </c>
      <c r="M21" s="148">
        <v>12</v>
      </c>
      <c r="N21" s="95">
        <f t="shared" si="15"/>
        <v>1925.4545454545469</v>
      </c>
      <c r="O21" s="96">
        <f t="shared" si="16"/>
        <v>160.45454545454558</v>
      </c>
      <c r="P21" s="97">
        <f t="shared" si="17"/>
        <v>0</v>
      </c>
      <c r="Q21" s="98">
        <f t="shared" si="18"/>
        <v>-27.045454545454419</v>
      </c>
      <c r="R21" s="99">
        <f t="shared" si="19"/>
        <v>0.85575757575757638</v>
      </c>
      <c r="S21" s="796"/>
      <c r="T21" s="19">
        <v>0.67361111111111116</v>
      </c>
      <c r="U21" s="19">
        <v>0.71180555555555558</v>
      </c>
      <c r="V21" s="30">
        <f>(T21-U20)*24*60</f>
        <v>7.999999999999492</v>
      </c>
      <c r="W21" s="149">
        <f t="shared" si="12"/>
        <v>54.999999999999964</v>
      </c>
      <c r="X21" s="92"/>
      <c r="Y21" s="298"/>
      <c r="Z21" s="90"/>
      <c r="AA21" s="90"/>
      <c r="AB21" s="789"/>
      <c r="AC21" s="789"/>
      <c r="AD21" s="92"/>
      <c r="AE21" s="92"/>
      <c r="AF21" s="308"/>
      <c r="AG21" s="85"/>
      <c r="AH21" s="786"/>
    </row>
    <row r="22" spans="1:34" ht="15" customHeight="1">
      <c r="A22" s="803"/>
      <c r="B22" s="30"/>
      <c r="C22" s="151"/>
      <c r="D22" s="59"/>
      <c r="E22" s="87"/>
      <c r="F22" s="105"/>
      <c r="G22" s="95"/>
      <c r="H22" s="78"/>
      <c r="I22" s="149"/>
      <c r="J22" s="148"/>
      <c r="K22" s="95"/>
      <c r="L22" s="96"/>
      <c r="M22" s="148"/>
      <c r="N22" s="95"/>
      <c r="O22" s="96"/>
      <c r="P22" s="97"/>
      <c r="Q22" s="98"/>
      <c r="R22" s="99"/>
      <c r="S22" s="796"/>
      <c r="T22" s="150"/>
      <c r="U22" s="150"/>
      <c r="V22" s="92"/>
      <c r="W22" s="149">
        <v>0</v>
      </c>
      <c r="X22" s="92"/>
      <c r="Y22" s="298"/>
      <c r="Z22" s="90"/>
      <c r="AA22" s="90"/>
      <c r="AB22" s="789"/>
      <c r="AC22" s="789"/>
      <c r="AD22" s="92"/>
      <c r="AE22" s="92"/>
      <c r="AF22" s="308"/>
      <c r="AG22" s="85"/>
      <c r="AH22" s="786"/>
    </row>
    <row r="23" spans="1:34" ht="15" customHeight="1">
      <c r="A23" s="803"/>
      <c r="B23" s="75"/>
      <c r="C23" s="86"/>
      <c r="D23" s="59"/>
      <c r="E23" s="87"/>
      <c r="F23" s="75"/>
      <c r="G23" s="147"/>
      <c r="H23" s="78"/>
      <c r="I23" s="30"/>
      <c r="J23" s="79"/>
      <c r="K23" s="80"/>
      <c r="L23" s="81"/>
      <c r="M23" s="148"/>
      <c r="N23" s="95"/>
      <c r="O23" s="96"/>
      <c r="P23" s="97"/>
      <c r="Q23" s="98"/>
      <c r="R23" s="99"/>
      <c r="S23" s="796"/>
      <c r="T23" s="150"/>
      <c r="U23" s="150"/>
      <c r="W23" s="149">
        <f t="shared" si="12"/>
        <v>0</v>
      </c>
      <c r="X23" s="92"/>
      <c r="Y23" s="298"/>
      <c r="Z23" s="90"/>
      <c r="AA23" s="90"/>
      <c r="AB23" s="789"/>
      <c r="AC23" s="789"/>
      <c r="AD23" s="92"/>
      <c r="AE23" s="92"/>
      <c r="AF23" s="308"/>
      <c r="AG23" s="85"/>
      <c r="AH23" s="786"/>
    </row>
    <row r="24" spans="1:34" ht="15" customHeight="1">
      <c r="A24" s="803"/>
      <c r="B24" s="101"/>
      <c r="C24" s="102"/>
      <c r="D24" s="103"/>
      <c r="E24" s="104"/>
      <c r="F24" s="105"/>
      <c r="G24" s="95"/>
      <c r="H24" s="78">
        <f>F24*G24</f>
        <v>0</v>
      </c>
      <c r="I24" s="149"/>
      <c r="J24" s="148"/>
      <c r="K24" s="95"/>
      <c r="L24" s="96"/>
      <c r="M24" s="148"/>
      <c r="N24" s="95"/>
      <c r="O24" s="96"/>
      <c r="P24" s="97"/>
      <c r="Q24" s="98"/>
      <c r="R24" s="99"/>
      <c r="S24" s="796"/>
      <c r="T24" s="150"/>
      <c r="U24" s="150"/>
      <c r="V24" s="92"/>
      <c r="W24" s="149">
        <f t="shared" si="12"/>
        <v>0</v>
      </c>
      <c r="X24" s="92"/>
      <c r="Y24" s="298"/>
      <c r="Z24" s="90"/>
      <c r="AA24" s="90"/>
      <c r="AB24" s="789"/>
      <c r="AC24" s="789"/>
      <c r="AD24" s="92"/>
      <c r="AE24" s="92"/>
      <c r="AF24" s="308"/>
      <c r="AG24" s="85"/>
      <c r="AH24" s="786"/>
    </row>
    <row r="25" spans="1:34" ht="15" customHeight="1">
      <c r="A25" s="803"/>
      <c r="B25" s="101"/>
      <c r="C25" s="102"/>
      <c r="D25" s="103"/>
      <c r="E25" s="104"/>
      <c r="F25" s="105"/>
      <c r="G25" s="95"/>
      <c r="H25" s="91">
        <f>F25*G25</f>
        <v>0</v>
      </c>
      <c r="I25" s="149"/>
      <c r="J25" s="148"/>
      <c r="K25" s="95"/>
      <c r="L25" s="96"/>
      <c r="M25" s="148"/>
      <c r="N25" s="95"/>
      <c r="O25" s="96"/>
      <c r="P25" s="97"/>
      <c r="Q25" s="98"/>
      <c r="R25" s="99"/>
      <c r="S25" s="796"/>
      <c r="T25" s="150"/>
      <c r="U25" s="150"/>
      <c r="V25" s="92"/>
      <c r="W25" s="149">
        <f t="shared" si="12"/>
        <v>0</v>
      </c>
      <c r="X25" s="92"/>
      <c r="Y25" s="298"/>
      <c r="Z25" s="90"/>
      <c r="AA25" s="90"/>
      <c r="AB25" s="789"/>
      <c r="AC25" s="789"/>
      <c r="AD25" s="92"/>
      <c r="AE25" s="92"/>
      <c r="AF25" s="308"/>
      <c r="AG25" s="85"/>
      <c r="AH25" s="786"/>
    </row>
    <row r="26" spans="1:34" ht="15" customHeight="1">
      <c r="A26" s="804"/>
      <c r="B26" s="152"/>
      <c r="C26" s="153" t="s">
        <v>44</v>
      </c>
      <c r="D26" s="762" t="s">
        <v>42</v>
      </c>
      <c r="E26" s="762"/>
      <c r="F26" s="154"/>
      <c r="G26" s="155"/>
      <c r="H26" s="156"/>
      <c r="I26" s="157"/>
      <c r="J26" s="155">
        <f t="shared" ref="J26:O26" si="20">AVERAGE(J16:J25)</f>
        <v>12.333333333333334</v>
      </c>
      <c r="K26" s="155">
        <f t="shared" si="20"/>
        <v>2147.6666666666665</v>
      </c>
      <c r="L26" s="158">
        <f t="shared" si="20"/>
        <v>174.16974691974693</v>
      </c>
      <c r="M26" s="155">
        <f t="shared" si="20"/>
        <v>12.166666666666666</v>
      </c>
      <c r="N26" s="155">
        <f t="shared" si="20"/>
        <v>1813.0779964853634</v>
      </c>
      <c r="O26" s="158">
        <f t="shared" si="20"/>
        <v>148.77467773928603</v>
      </c>
      <c r="P26" s="159">
        <f>M26-J26</f>
        <v>-0.16666666666666785</v>
      </c>
      <c r="Q26" s="160">
        <f>O26-L26</f>
        <v>-25.395069180460894</v>
      </c>
      <c r="R26" s="161">
        <f>O26/L26</f>
        <v>0.85419356903491217</v>
      </c>
      <c r="S26" s="797"/>
      <c r="T26" s="163"/>
      <c r="U26" s="163"/>
      <c r="V26" s="164"/>
      <c r="W26" s="165"/>
      <c r="X26" s="166"/>
      <c r="Y26" s="299"/>
      <c r="Z26" s="334">
        <f>SUM(Z16:Z25)</f>
        <v>0</v>
      </c>
      <c r="AA26" s="334">
        <f>SUM(AA16:AA25)</f>
        <v>0</v>
      </c>
      <c r="AB26" s="790"/>
      <c r="AC26" s="790"/>
      <c r="AD26" s="323">
        <f>SUM(AD16:AD25)</f>
        <v>0</v>
      </c>
      <c r="AE26" s="323">
        <f>SUM(AE16:AE25)</f>
        <v>0</v>
      </c>
      <c r="AF26" s="309">
        <f t="shared" ref="AF26:AF31" si="21">N26-K26</f>
        <v>-334.58867018130309</v>
      </c>
      <c r="AG26" s="124">
        <f t="shared" ref="AG26:AG31" si="22">N26/K26</f>
        <v>0.84420828642807555</v>
      </c>
      <c r="AH26" s="787"/>
    </row>
    <row r="27" spans="1:34" ht="15" customHeight="1">
      <c r="A27" s="792" t="s">
        <v>45</v>
      </c>
      <c r="B27" s="167" t="s">
        <v>81</v>
      </c>
      <c r="C27" s="130"/>
      <c r="D27" s="168" t="s">
        <v>123</v>
      </c>
      <c r="E27" s="132"/>
      <c r="F27" s="129">
        <f>VLOOKUP(D27,廠價表!$C$1:$E$43,3,0)</f>
        <v>49.91</v>
      </c>
      <c r="G27" s="169">
        <v>1442</v>
      </c>
      <c r="H27" s="134">
        <f>F27*G27</f>
        <v>71970.22</v>
      </c>
      <c r="I27" s="135"/>
      <c r="J27" s="136">
        <f>VLOOKUP(D27,產線配置圖!$A$3:$C$40,2,0)</f>
        <v>18</v>
      </c>
      <c r="K27" s="137">
        <f>VLOOKUP(D27,產線配置圖!$A$3:$C$40,3,0)</f>
        <v>2250</v>
      </c>
      <c r="L27" s="138">
        <f>K27/J27</f>
        <v>125</v>
      </c>
      <c r="M27" s="170">
        <v>18</v>
      </c>
      <c r="N27" s="140">
        <f>G27/W27*60</f>
        <v>1802.5000000000184</v>
      </c>
      <c r="O27" s="141">
        <f>N27/M27</f>
        <v>100.13888888888991</v>
      </c>
      <c r="P27" s="142">
        <f>M27-J27</f>
        <v>0</v>
      </c>
      <c r="Q27" s="143">
        <f>O27-L27</f>
        <v>-24.861111111110091</v>
      </c>
      <c r="R27" s="144">
        <f>O27/L27</f>
        <v>0.80111111111111932</v>
      </c>
      <c r="S27" s="795">
        <f>R37</f>
        <v>0.8687848453591549</v>
      </c>
      <c r="T27" s="171">
        <v>0.29166666666666702</v>
      </c>
      <c r="U27" s="171">
        <v>0.32500000000000001</v>
      </c>
      <c r="V27" s="135"/>
      <c r="W27" s="146">
        <f t="shared" si="12"/>
        <v>47.99999999999951</v>
      </c>
      <c r="X27" s="135"/>
      <c r="Y27" s="300"/>
      <c r="Z27" s="169"/>
      <c r="AA27" s="169"/>
      <c r="AB27" s="791"/>
      <c r="AC27" s="791"/>
      <c r="AD27" s="135"/>
      <c r="AE27" s="135"/>
      <c r="AF27" s="310">
        <f t="shared" si="21"/>
        <v>-447.49999999998158</v>
      </c>
      <c r="AG27" s="172">
        <f t="shared" si="22"/>
        <v>0.80111111111111932</v>
      </c>
      <c r="AH27" s="784">
        <f>AG37</f>
        <v>0.86876002805098729</v>
      </c>
    </row>
    <row r="28" spans="1:34" ht="15" customHeight="1">
      <c r="A28" s="793"/>
      <c r="B28" s="75" t="s">
        <v>81</v>
      </c>
      <c r="C28" s="173"/>
      <c r="D28" s="59" t="s">
        <v>124</v>
      </c>
      <c r="E28" s="104"/>
      <c r="F28" s="75">
        <f>VLOOKUP(D28,廠價表!$C$1:$E$43,3,0)</f>
        <v>57.21</v>
      </c>
      <c r="G28" s="90">
        <v>1404</v>
      </c>
      <c r="H28" s="91">
        <f>F28*G28</f>
        <v>80322.84</v>
      </c>
      <c r="I28" s="92"/>
      <c r="J28" s="79">
        <f>VLOOKUP(D28,產線配置圖!$A$3:$C$40,2,0)</f>
        <v>18</v>
      </c>
      <c r="K28" s="80">
        <f>VLOOKUP(D28,產線配置圖!$A$3:$C$40,3,0)</f>
        <v>1636</v>
      </c>
      <c r="L28" s="93">
        <f>K28/J28</f>
        <v>90.888888888888886</v>
      </c>
      <c r="M28" s="94">
        <v>18</v>
      </c>
      <c r="N28" s="95">
        <f>G28/W28*60</f>
        <v>1403.9999999999882</v>
      </c>
      <c r="O28" s="96">
        <f>N28/M28</f>
        <v>77.999999999999346</v>
      </c>
      <c r="P28" s="97">
        <f>M28-J28</f>
        <v>0</v>
      </c>
      <c r="Q28" s="98">
        <f>O28-L28</f>
        <v>-12.888888888889539</v>
      </c>
      <c r="R28" s="99">
        <f>O28/L28</f>
        <v>0.85819070904644756</v>
      </c>
      <c r="S28" s="796"/>
      <c r="T28" s="19">
        <v>0.33333333333333298</v>
      </c>
      <c r="U28" s="19">
        <v>0.375</v>
      </c>
      <c r="V28" s="92">
        <f>(T28-U27)*24*60</f>
        <v>11.999999999999478</v>
      </c>
      <c r="W28" s="149">
        <f t="shared" si="12"/>
        <v>60.000000000000504</v>
      </c>
      <c r="X28" s="174"/>
      <c r="Y28" s="301"/>
      <c r="Z28" s="335"/>
      <c r="AA28" s="335"/>
      <c r="AB28" s="789"/>
      <c r="AC28" s="789"/>
      <c r="AD28" s="92"/>
      <c r="AE28" s="92"/>
      <c r="AF28" s="311">
        <f t="shared" si="21"/>
        <v>-232.00000000001182</v>
      </c>
      <c r="AG28" s="99">
        <f t="shared" si="22"/>
        <v>0.85819070904644756</v>
      </c>
      <c r="AH28" s="805"/>
    </row>
    <row r="29" spans="1:34" ht="15" customHeight="1">
      <c r="A29" s="793"/>
      <c r="B29" s="75" t="s">
        <v>81</v>
      </c>
      <c r="C29" s="173"/>
      <c r="D29" s="59" t="s">
        <v>142</v>
      </c>
      <c r="E29" s="104"/>
      <c r="F29" s="75">
        <f>VLOOKUP(D29,廠價表!$C$1:$E$43,3,0)</f>
        <v>43.89</v>
      </c>
      <c r="G29" s="90">
        <v>764</v>
      </c>
      <c r="H29" s="91">
        <f>F29*G29</f>
        <v>33531.96</v>
      </c>
      <c r="I29" s="92"/>
      <c r="J29" s="79">
        <f>VLOOKUP(D29,產線配置圖!$A$3:$C$40,2,0)</f>
        <v>13</v>
      </c>
      <c r="K29" s="80">
        <f>VLOOKUP(D29,產線配置圖!$A$3:$C$40,3,0)</f>
        <v>1565</v>
      </c>
      <c r="L29" s="93">
        <f>K29/J29</f>
        <v>120.38461538461539</v>
      </c>
      <c r="M29" s="94">
        <v>13</v>
      </c>
      <c r="N29" s="95">
        <f>G29/W29*60</f>
        <v>1273.3333333333264</v>
      </c>
      <c r="O29" s="96">
        <f>N29/M29</f>
        <v>97.948717948717416</v>
      </c>
      <c r="P29" s="97">
        <f>M29-J29</f>
        <v>0</v>
      </c>
      <c r="Q29" s="98">
        <f>O29-L29</f>
        <v>-22.435897435897971</v>
      </c>
      <c r="R29" s="99">
        <f>O29/L29</f>
        <v>0.81363152289669416</v>
      </c>
      <c r="S29" s="796"/>
      <c r="T29" s="19">
        <v>0.38263888888888886</v>
      </c>
      <c r="U29" s="19">
        <v>0.40763888888888899</v>
      </c>
      <c r="V29" s="92">
        <f>(T29-U28)*24*60</f>
        <v>10.999999999999961</v>
      </c>
      <c r="W29" s="149">
        <f t="shared" si="12"/>
        <v>36.000000000000192</v>
      </c>
      <c r="X29" s="22"/>
      <c r="Y29" s="84"/>
      <c r="Z29" s="90"/>
      <c r="AA29" s="90"/>
      <c r="AB29" s="789"/>
      <c r="AC29" s="789"/>
      <c r="AD29" s="92"/>
      <c r="AE29" s="92"/>
      <c r="AF29" s="312">
        <f t="shared" si="21"/>
        <v>-291.66666666667356</v>
      </c>
      <c r="AG29" s="99">
        <f t="shared" si="22"/>
        <v>0.81363152289669416</v>
      </c>
      <c r="AH29" s="805"/>
    </row>
    <row r="30" spans="1:34" ht="15" customHeight="1">
      <c r="A30" s="793"/>
      <c r="B30" s="75" t="s">
        <v>81</v>
      </c>
      <c r="C30" s="88"/>
      <c r="D30" s="59" t="s">
        <v>125</v>
      </c>
      <c r="E30" s="89"/>
      <c r="F30" s="75">
        <f>VLOOKUP(D30,廠價表!$C$1:$E$43,3,0)</f>
        <v>45.66</v>
      </c>
      <c r="G30" s="90">
        <v>1032</v>
      </c>
      <c r="H30" s="91">
        <f t="shared" ref="H30:H33" si="23">F30*G30</f>
        <v>47121.119999999995</v>
      </c>
      <c r="I30" s="92"/>
      <c r="J30" s="79">
        <f>VLOOKUP(D30,產線配置圖!$A$3:$C$40,2,0)</f>
        <v>17</v>
      </c>
      <c r="K30" s="80">
        <f>VLOOKUP(D30,產線配置圖!$A$3:$C$40,3,0)</f>
        <v>1636</v>
      </c>
      <c r="L30" s="93">
        <f t="shared" ref="L30:L33" si="24">K30/J30</f>
        <v>96.235294117647058</v>
      </c>
      <c r="M30" s="94">
        <v>17</v>
      </c>
      <c r="N30" s="95">
        <f t="shared" ref="N30:N33" si="25">G30/W30*60</f>
        <v>1510.2439024389857</v>
      </c>
      <c r="O30" s="96">
        <f t="shared" ref="O30:O33" si="26">N30/M30</f>
        <v>88.83787661405799</v>
      </c>
      <c r="P30" s="97">
        <f t="shared" ref="P30:P33" si="27">M30-J30</f>
        <v>0</v>
      </c>
      <c r="Q30" s="98">
        <f t="shared" ref="Q30:Q33" si="28">O30-L30</f>
        <v>-7.3974175035890681</v>
      </c>
      <c r="R30" s="99">
        <f t="shared" ref="R30:R33" si="29">O30/L30</f>
        <v>0.92313196970598155</v>
      </c>
      <c r="S30" s="796"/>
      <c r="T30" s="19">
        <v>0.41458333333333303</v>
      </c>
      <c r="U30" s="19">
        <v>0.44305555555555598</v>
      </c>
      <c r="V30" s="92">
        <f>(T30-U29)*24*60</f>
        <v>9.9999999999994049</v>
      </c>
      <c r="W30" s="149">
        <f t="shared" si="12"/>
        <v>41.000000000001052</v>
      </c>
      <c r="X30" s="174"/>
      <c r="Y30" s="301"/>
      <c r="Z30" s="335"/>
      <c r="AA30" s="335"/>
      <c r="AB30" s="789"/>
      <c r="AC30" s="789"/>
      <c r="AD30" s="92"/>
      <c r="AE30" s="92"/>
      <c r="AF30" s="312">
        <f t="shared" si="21"/>
        <v>-125.75609756101426</v>
      </c>
      <c r="AG30" s="99">
        <f t="shared" si="22"/>
        <v>0.92313196970598155</v>
      </c>
      <c r="AH30" s="806"/>
    </row>
    <row r="31" spans="1:34" ht="15" customHeight="1">
      <c r="A31" s="793"/>
      <c r="B31" s="75" t="s">
        <v>81</v>
      </c>
      <c r="C31" s="88"/>
      <c r="D31" s="59" t="s">
        <v>122</v>
      </c>
      <c r="E31" s="89"/>
      <c r="F31" s="75">
        <f>VLOOKUP(D31,廠價表!$C$1:$E$43,3,0)</f>
        <v>46.34</v>
      </c>
      <c r="G31" s="90">
        <v>683</v>
      </c>
      <c r="H31" s="91">
        <f t="shared" si="23"/>
        <v>31650.22</v>
      </c>
      <c r="I31" s="92"/>
      <c r="J31" s="79">
        <f>VLOOKUP(D31,產線配置圖!$A$3:$C$40,2,0)</f>
        <v>16</v>
      </c>
      <c r="K31" s="80">
        <f>VLOOKUP(D31,產線配置圖!$A$3:$C$40,3,0)</f>
        <v>1636</v>
      </c>
      <c r="L31" s="93">
        <f t="shared" si="24"/>
        <v>102.25</v>
      </c>
      <c r="M31" s="94">
        <v>16</v>
      </c>
      <c r="N31" s="95">
        <f t="shared" si="25"/>
        <v>1576.1538461538082</v>
      </c>
      <c r="O31" s="96">
        <f t="shared" si="26"/>
        <v>98.509615384613014</v>
      </c>
      <c r="P31" s="97">
        <f t="shared" si="27"/>
        <v>0</v>
      </c>
      <c r="Q31" s="98">
        <f t="shared" si="28"/>
        <v>-3.7403846153869864</v>
      </c>
      <c r="R31" s="99">
        <f t="shared" si="29"/>
        <v>0.96341922136540847</v>
      </c>
      <c r="S31" s="796"/>
      <c r="T31" s="19">
        <v>0.44861111111111102</v>
      </c>
      <c r="U31" s="19">
        <v>0.46666666666666701</v>
      </c>
      <c r="V31" s="92">
        <f t="shared" ref="V31:V33" si="30">(T31-U30)*24*60</f>
        <v>7.9999999999992522</v>
      </c>
      <c r="W31" s="149">
        <f t="shared" si="12"/>
        <v>26.000000000000625</v>
      </c>
      <c r="X31" s="174"/>
      <c r="Y31" s="301"/>
      <c r="Z31" s="335"/>
      <c r="AA31" s="335"/>
      <c r="AB31" s="789"/>
      <c r="AC31" s="789"/>
      <c r="AD31" s="92"/>
      <c r="AE31" s="92"/>
      <c r="AF31" s="312">
        <f t="shared" si="21"/>
        <v>-59.846153846191783</v>
      </c>
      <c r="AG31" s="99">
        <f t="shared" si="22"/>
        <v>0.96341922136540847</v>
      </c>
      <c r="AH31" s="786"/>
    </row>
    <row r="32" spans="1:34" ht="15" customHeight="1">
      <c r="A32" s="793"/>
      <c r="B32" s="75" t="s">
        <v>81</v>
      </c>
      <c r="C32" s="102"/>
      <c r="D32" s="175" t="s">
        <v>122</v>
      </c>
      <c r="E32" s="176"/>
      <c r="F32" s="75">
        <f>VLOOKUP(D32,廠價表!$C$1:$E$43,3,0)</f>
        <v>46.34</v>
      </c>
      <c r="G32" s="90">
        <v>1700</v>
      </c>
      <c r="H32" s="91">
        <f t="shared" si="23"/>
        <v>78778</v>
      </c>
      <c r="I32" s="92"/>
      <c r="J32" s="79">
        <f>VLOOKUP(D32,產線配置圖!$A$3:$C$40,2,0)</f>
        <v>16</v>
      </c>
      <c r="K32" s="80">
        <f>VLOOKUP(D32,產線配置圖!$A$3:$C$40,3,0)</f>
        <v>1636</v>
      </c>
      <c r="L32" s="93">
        <f t="shared" si="24"/>
        <v>102.25</v>
      </c>
      <c r="M32" s="94">
        <v>16</v>
      </c>
      <c r="N32" s="95">
        <f t="shared" si="25"/>
        <v>1545.4545454545585</v>
      </c>
      <c r="O32" s="96">
        <f t="shared" si="26"/>
        <v>96.590909090909904</v>
      </c>
      <c r="P32" s="97">
        <f t="shared" si="27"/>
        <v>0</v>
      </c>
      <c r="Q32" s="98">
        <f t="shared" si="28"/>
        <v>-5.6590909090900965</v>
      </c>
      <c r="R32" s="99">
        <f t="shared" si="29"/>
        <v>0.94465436763726063</v>
      </c>
      <c r="S32" s="796"/>
      <c r="T32" s="19">
        <v>0.52916666666666701</v>
      </c>
      <c r="U32" s="19">
        <v>0.57499999999999996</v>
      </c>
      <c r="V32" s="92">
        <f t="shared" si="30"/>
        <v>90</v>
      </c>
      <c r="W32" s="149">
        <f t="shared" si="12"/>
        <v>65.999999999999446</v>
      </c>
      <c r="X32" s="174"/>
      <c r="Y32" s="301"/>
      <c r="Z32" s="335"/>
      <c r="AA32" s="335"/>
      <c r="AB32" s="789"/>
      <c r="AC32" s="789"/>
      <c r="AD32" s="92"/>
      <c r="AE32" s="92"/>
      <c r="AF32" s="307"/>
      <c r="AG32" s="72"/>
      <c r="AH32" s="786"/>
    </row>
    <row r="33" spans="1:34" ht="15" customHeight="1">
      <c r="A33" s="793"/>
      <c r="B33" s="75" t="s">
        <v>81</v>
      </c>
      <c r="C33" s="177"/>
      <c r="D33" s="59" t="s">
        <v>125</v>
      </c>
      <c r="E33" s="178"/>
      <c r="F33" s="75">
        <f>VLOOKUP(D33,廠價表!$C$1:$E$43,3,0)</f>
        <v>45.66</v>
      </c>
      <c r="G33" s="90">
        <v>1200</v>
      </c>
      <c r="H33" s="91">
        <f t="shared" si="23"/>
        <v>54791.999999999993</v>
      </c>
      <c r="I33" s="92"/>
      <c r="J33" s="79">
        <f>VLOOKUP(D33,產線配置圖!$A$3:$C$40,2,0)</f>
        <v>17</v>
      </c>
      <c r="K33" s="80">
        <f>VLOOKUP(D33,產線配置圖!$A$3:$C$40,3,0)</f>
        <v>1636</v>
      </c>
      <c r="L33" s="93">
        <f t="shared" si="24"/>
        <v>96.235294117647058</v>
      </c>
      <c r="M33" s="94">
        <v>17</v>
      </c>
      <c r="N33" s="95">
        <f t="shared" si="25"/>
        <v>1309.0909090909061</v>
      </c>
      <c r="O33" s="96">
        <f t="shared" si="26"/>
        <v>77.005347593582712</v>
      </c>
      <c r="P33" s="97">
        <f t="shared" si="27"/>
        <v>0</v>
      </c>
      <c r="Q33" s="98">
        <f t="shared" si="28"/>
        <v>-19.229946524064346</v>
      </c>
      <c r="R33" s="99">
        <f t="shared" si="29"/>
        <v>0.80017781729272985</v>
      </c>
      <c r="S33" s="796"/>
      <c r="T33" s="19">
        <v>0.57986111111111105</v>
      </c>
      <c r="U33" s="19">
        <v>0.61805555555555558</v>
      </c>
      <c r="V33" s="92">
        <f t="shared" si="30"/>
        <v>6.9999999999999751</v>
      </c>
      <c r="W33" s="149">
        <f t="shared" si="12"/>
        <v>55.000000000000128</v>
      </c>
      <c r="X33" s="174"/>
      <c r="Y33" s="301"/>
      <c r="Z33" s="335"/>
      <c r="AA33" s="335"/>
      <c r="AB33" s="789"/>
      <c r="AC33" s="789"/>
      <c r="AD33" s="92"/>
      <c r="AE33" s="92"/>
      <c r="AF33" s="307"/>
      <c r="AG33" s="112"/>
      <c r="AH33" s="786"/>
    </row>
    <row r="34" spans="1:34" ht="15" customHeight="1">
      <c r="A34" s="793"/>
      <c r="B34" s="75"/>
      <c r="C34" s="173"/>
      <c r="D34" s="59"/>
      <c r="E34" s="104"/>
      <c r="F34" s="75"/>
      <c r="G34" s="90"/>
      <c r="H34" s="91"/>
      <c r="I34" s="92"/>
      <c r="J34" s="79"/>
      <c r="K34" s="80"/>
      <c r="L34" s="93"/>
      <c r="M34" s="94"/>
      <c r="N34" s="95"/>
      <c r="O34" s="96"/>
      <c r="P34" s="97"/>
      <c r="Q34" s="98"/>
      <c r="R34" s="99"/>
      <c r="S34" s="796"/>
      <c r="T34" s="19"/>
      <c r="U34" s="19"/>
      <c r="V34" s="92"/>
      <c r="W34" s="149">
        <f t="shared" si="12"/>
        <v>0</v>
      </c>
      <c r="X34" s="174"/>
      <c r="Y34" s="301"/>
      <c r="Z34" s="335"/>
      <c r="AA34" s="335"/>
      <c r="AB34" s="789"/>
      <c r="AC34" s="789"/>
      <c r="AD34" s="92"/>
      <c r="AE34" s="92"/>
      <c r="AF34" s="307"/>
      <c r="AG34" s="112"/>
      <c r="AH34" s="786"/>
    </row>
    <row r="35" spans="1:34" ht="15" customHeight="1">
      <c r="A35" s="793"/>
      <c r="B35" s="75"/>
      <c r="C35" s="173"/>
      <c r="D35" s="59"/>
      <c r="E35" s="104"/>
      <c r="F35" s="75"/>
      <c r="G35" s="90"/>
      <c r="H35" s="91"/>
      <c r="I35" s="92"/>
      <c r="J35" s="79"/>
      <c r="K35" s="80"/>
      <c r="L35" s="93"/>
      <c r="M35" s="94"/>
      <c r="N35" s="95"/>
      <c r="O35" s="96"/>
      <c r="P35" s="97"/>
      <c r="Q35" s="98"/>
      <c r="R35" s="99"/>
      <c r="S35" s="796"/>
      <c r="T35" s="19"/>
      <c r="U35" s="19"/>
      <c r="V35" s="92"/>
      <c r="W35" s="149">
        <f t="shared" si="12"/>
        <v>0</v>
      </c>
      <c r="X35" s="174"/>
      <c r="Y35" s="301"/>
      <c r="Z35" s="335"/>
      <c r="AA35" s="335"/>
      <c r="AB35" s="789"/>
      <c r="AC35" s="789"/>
      <c r="AD35" s="92"/>
      <c r="AE35" s="92"/>
      <c r="AF35" s="307"/>
      <c r="AG35" s="112"/>
      <c r="AH35" s="786"/>
    </row>
    <row r="36" spans="1:34" ht="15" customHeight="1">
      <c r="A36" s="793"/>
      <c r="B36" s="179"/>
      <c r="C36" s="102"/>
      <c r="D36" s="103"/>
      <c r="E36" s="104"/>
      <c r="F36" s="105"/>
      <c r="G36" s="90"/>
      <c r="H36" s="91">
        <f>F36*G36</f>
        <v>0</v>
      </c>
      <c r="I36" s="92"/>
      <c r="J36" s="148"/>
      <c r="K36" s="95"/>
      <c r="L36" s="96"/>
      <c r="M36" s="94"/>
      <c r="N36" s="95"/>
      <c r="O36" s="96"/>
      <c r="P36" s="97"/>
      <c r="Q36" s="98"/>
      <c r="R36" s="99"/>
      <c r="S36" s="796"/>
      <c r="T36" s="150"/>
      <c r="U36" s="150"/>
      <c r="V36" s="92"/>
      <c r="W36" s="149">
        <f t="shared" si="12"/>
        <v>0</v>
      </c>
      <c r="X36" s="174"/>
      <c r="Y36" s="301"/>
      <c r="Z36" s="335"/>
      <c r="AA36" s="335"/>
      <c r="AB36" s="789"/>
      <c r="AC36" s="789"/>
      <c r="AD36" s="92"/>
      <c r="AE36" s="92"/>
      <c r="AF36" s="307"/>
      <c r="AG36" s="112"/>
      <c r="AH36" s="786"/>
    </row>
    <row r="37" spans="1:34" ht="15" customHeight="1">
      <c r="A37" s="794"/>
      <c r="B37" s="152"/>
      <c r="C37" s="153" t="s">
        <v>47</v>
      </c>
      <c r="D37" s="798" t="s">
        <v>42</v>
      </c>
      <c r="E37" s="799"/>
      <c r="F37" s="154"/>
      <c r="G37" s="220"/>
      <c r="H37" s="156"/>
      <c r="I37" s="157"/>
      <c r="J37" s="155">
        <f t="shared" ref="J37:O37" si="31">AVERAGE(J27:J36)</f>
        <v>16.428571428571427</v>
      </c>
      <c r="K37" s="155">
        <f t="shared" si="31"/>
        <v>1713.5714285714287</v>
      </c>
      <c r="L37" s="158">
        <f t="shared" si="31"/>
        <v>104.74915607268549</v>
      </c>
      <c r="M37" s="155">
        <f t="shared" si="31"/>
        <v>16.428571428571427</v>
      </c>
      <c r="N37" s="155">
        <f t="shared" si="31"/>
        <v>1488.6823623530847</v>
      </c>
      <c r="O37" s="158">
        <f t="shared" si="31"/>
        <v>91.004479360110054</v>
      </c>
      <c r="P37" s="159">
        <f>M37-J37</f>
        <v>0</v>
      </c>
      <c r="Q37" s="160">
        <f>N37-K37</f>
        <v>-224.88906621834394</v>
      </c>
      <c r="R37" s="161">
        <f>O37/L37</f>
        <v>0.8687848453591549</v>
      </c>
      <c r="S37" s="797"/>
      <c r="T37" s="163"/>
      <c r="U37" s="163"/>
      <c r="V37" s="164"/>
      <c r="W37" s="164"/>
      <c r="X37" s="321"/>
      <c r="Y37" s="322"/>
      <c r="Z37" s="334">
        <f>SUM(Z27:Z36)</f>
        <v>0</v>
      </c>
      <c r="AA37" s="334">
        <f>SUM(AA27:AA36)</f>
        <v>0</v>
      </c>
      <c r="AB37" s="800"/>
      <c r="AC37" s="800"/>
      <c r="AD37" s="324">
        <f>SUM(AD27:AD36)</f>
        <v>0</v>
      </c>
      <c r="AE37" s="324">
        <f>SUM(AE27:AE36)</f>
        <v>0</v>
      </c>
      <c r="AF37" s="309">
        <f>N37-K37</f>
        <v>-224.88906621834394</v>
      </c>
      <c r="AG37" s="124">
        <f>N37/K37</f>
        <v>0.86876002805098729</v>
      </c>
      <c r="AH37" s="787"/>
    </row>
    <row r="38" spans="1:34" ht="15" customHeight="1">
      <c r="A38" s="814" t="s">
        <v>48</v>
      </c>
      <c r="B38" s="167" t="s">
        <v>116</v>
      </c>
      <c r="C38" s="129"/>
      <c r="D38" s="184" t="s">
        <v>126</v>
      </c>
      <c r="E38" s="185"/>
      <c r="F38" s="39">
        <f>VLOOKUP(D38,廠價表!$C$1:$E$43,3,0)</f>
        <v>49.91</v>
      </c>
      <c r="G38" s="186">
        <v>3086</v>
      </c>
      <c r="H38" s="134">
        <f>F38*G38</f>
        <v>154022.25999999998</v>
      </c>
      <c r="I38" s="135"/>
      <c r="J38" s="187">
        <f>VLOOKUP(D38,產線配置圖!$A$3:$C$40,2,0)</f>
        <v>16</v>
      </c>
      <c r="K38" s="188">
        <f>VLOOKUP(D38,產線配置圖!$A$3:$C$40,3,0)</f>
        <v>1714</v>
      </c>
      <c r="L38" s="189">
        <f>K38/J38</f>
        <v>107.125</v>
      </c>
      <c r="M38" s="190">
        <v>15</v>
      </c>
      <c r="N38" s="140">
        <f>G38/W38*60</f>
        <v>1481.2799999999918</v>
      </c>
      <c r="O38" s="141">
        <f>N38/M38</f>
        <v>98.751999999999455</v>
      </c>
      <c r="P38" s="142">
        <f>M38-J38</f>
        <v>-1</v>
      </c>
      <c r="Q38" s="143">
        <f>O38-L38</f>
        <v>-8.3730000000005447</v>
      </c>
      <c r="R38" s="144">
        <f>O38/L38</f>
        <v>0.92183897316218866</v>
      </c>
      <c r="S38" s="817">
        <f>R48</f>
        <v>0.90673066818922532</v>
      </c>
      <c r="T38" s="191">
        <v>0.33333333333333298</v>
      </c>
      <c r="U38" s="191">
        <v>0.42013888888888901</v>
      </c>
      <c r="V38" s="192"/>
      <c r="W38" s="193">
        <f t="shared" si="12"/>
        <v>125.00000000000068</v>
      </c>
      <c r="X38" s="194"/>
      <c r="Y38" s="302"/>
      <c r="Z38" s="336"/>
      <c r="AA38" s="336"/>
      <c r="AB38" s="819"/>
      <c r="AC38" s="819"/>
      <c r="AD38" s="192"/>
      <c r="AE38" s="192"/>
      <c r="AF38" s="313">
        <f>N38-K38</f>
        <v>-232.72000000000821</v>
      </c>
      <c r="AG38" s="195">
        <f>N38/K38</f>
        <v>0.86422403733955178</v>
      </c>
      <c r="AH38" s="807">
        <f>AG48</f>
        <v>0.86891540460055794</v>
      </c>
    </row>
    <row r="39" spans="1:34" ht="15" customHeight="1">
      <c r="A39" s="815"/>
      <c r="B39" s="75" t="s">
        <v>116</v>
      </c>
      <c r="C39" s="197"/>
      <c r="D39" s="198" t="s">
        <v>117</v>
      </c>
      <c r="E39" s="176"/>
      <c r="F39" s="75">
        <f>VLOOKUP(D39,廠價表!$C$1:$E$43,3,0)</f>
        <v>44.3</v>
      </c>
      <c r="G39" s="199">
        <v>2477</v>
      </c>
      <c r="H39" s="91">
        <f>F39*G39</f>
        <v>109731.09999999999</v>
      </c>
      <c r="I39" s="200"/>
      <c r="J39" s="148">
        <f>VLOOKUP(D39,產線配置圖!$A$3:$C$40,2,0)</f>
        <v>18</v>
      </c>
      <c r="K39" s="95">
        <f>VLOOKUP(D39,產線配置圖!$A$3:$C$40,3,0)</f>
        <v>1636</v>
      </c>
      <c r="L39" s="96">
        <f>K39/J39</f>
        <v>90.888888888888886</v>
      </c>
      <c r="M39" s="201">
        <v>17</v>
      </c>
      <c r="N39" s="202">
        <f>G39/W39*60</f>
        <v>1471.4851485148556</v>
      </c>
      <c r="O39" s="203">
        <f>N39/M39</f>
        <v>86.557949912638563</v>
      </c>
      <c r="P39" s="97">
        <f>M39-J39</f>
        <v>-1</v>
      </c>
      <c r="Q39" s="98">
        <f>O39-L39</f>
        <v>-4.330938976250323</v>
      </c>
      <c r="R39" s="99">
        <f>O39/L39</f>
        <v>0.95234908216839498</v>
      </c>
      <c r="S39" s="818"/>
      <c r="T39" s="20">
        <v>0.42708333333333331</v>
      </c>
      <c r="U39" s="20">
        <v>0.49722222222222201</v>
      </c>
      <c r="V39" s="92">
        <f>(T39-U38)*24*60</f>
        <v>9.9999999999998046</v>
      </c>
      <c r="W39" s="205">
        <f t="shared" si="12"/>
        <v>100.99999999999972</v>
      </c>
      <c r="X39" s="22"/>
      <c r="Y39" s="84"/>
      <c r="Z39" s="90"/>
      <c r="AA39" s="90"/>
      <c r="AB39" s="810"/>
      <c r="AC39" s="810"/>
      <c r="AD39" s="200"/>
      <c r="AE39" s="200"/>
      <c r="AF39" s="314">
        <f>N39-K39</f>
        <v>-164.51485148514439</v>
      </c>
      <c r="AG39" s="206">
        <f>N39/K39</f>
        <v>0.89944079982570635</v>
      </c>
      <c r="AH39" s="808"/>
    </row>
    <row r="40" spans="1:34" ht="15" customHeight="1">
      <c r="A40" s="815"/>
      <c r="B40" s="75" t="s">
        <v>116</v>
      </c>
      <c r="C40" s="207"/>
      <c r="D40" s="198" t="s">
        <v>117</v>
      </c>
      <c r="E40" s="178"/>
      <c r="F40" s="75">
        <f>VLOOKUP(D40,廠價表!$C$1:$E$43,3,0)</f>
        <v>44.3</v>
      </c>
      <c r="G40" s="199">
        <v>3909</v>
      </c>
      <c r="H40" s="91">
        <f>F40*G40</f>
        <v>173168.69999999998</v>
      </c>
      <c r="I40" s="200"/>
      <c r="J40" s="148">
        <f>VLOOKUP(D40,產線配置圖!$A$3:$C$40,2,0)</f>
        <v>18</v>
      </c>
      <c r="K40" s="95">
        <f>VLOOKUP(D40,產線配置圖!$A$3:$C$40,3,0)</f>
        <v>1636</v>
      </c>
      <c r="L40" s="96">
        <f>K40/J40</f>
        <v>90.888888888888886</v>
      </c>
      <c r="M40" s="201">
        <v>18</v>
      </c>
      <c r="N40" s="202">
        <f>G40/W40*60</f>
        <v>1379.6470588235343</v>
      </c>
      <c r="O40" s="203">
        <f>N40/M40</f>
        <v>76.647058823529676</v>
      </c>
      <c r="P40" s="97">
        <f>M40-J40</f>
        <v>0</v>
      </c>
      <c r="Q40" s="98">
        <f>O40-L40</f>
        <v>-14.24183006535921</v>
      </c>
      <c r="R40" s="99">
        <f>O40/L40</f>
        <v>0.84330504818064433</v>
      </c>
      <c r="S40" s="749"/>
      <c r="T40" s="20">
        <v>0.55555555555555602</v>
      </c>
      <c r="U40" s="20">
        <v>0.67361111111111116</v>
      </c>
      <c r="V40" s="92">
        <f>(T40-U39)*24*60</f>
        <v>84.000000000000981</v>
      </c>
      <c r="W40" s="205">
        <f t="shared" si="12"/>
        <v>169.9999999999994</v>
      </c>
      <c r="X40" s="208"/>
      <c r="Y40" s="209"/>
      <c r="Z40" s="337"/>
      <c r="AA40" s="337"/>
      <c r="AB40" s="789" t="s">
        <v>236</v>
      </c>
      <c r="AC40" s="789"/>
      <c r="AD40" s="92"/>
      <c r="AE40" s="92"/>
      <c r="AF40" s="314">
        <f>N40-K40</f>
        <v>-256.35294117646572</v>
      </c>
      <c r="AG40" s="206">
        <f>N40/K40</f>
        <v>0.84330504818064445</v>
      </c>
      <c r="AH40" s="808"/>
    </row>
    <row r="41" spans="1:34" ht="15" customHeight="1">
      <c r="A41" s="815"/>
      <c r="B41" s="75"/>
      <c r="C41" s="207"/>
      <c r="D41" s="198"/>
      <c r="E41" s="178"/>
      <c r="F41" s="75"/>
      <c r="G41" s="199"/>
      <c r="H41" s="91"/>
      <c r="I41" s="200"/>
      <c r="J41" s="148"/>
      <c r="K41" s="95"/>
      <c r="L41" s="96"/>
      <c r="M41" s="201"/>
      <c r="N41" s="202"/>
      <c r="O41" s="203"/>
      <c r="P41" s="97"/>
      <c r="Q41" s="98"/>
      <c r="R41" s="99"/>
      <c r="S41" s="749"/>
      <c r="T41" s="20"/>
      <c r="U41" s="210"/>
      <c r="V41" s="92"/>
      <c r="W41" s="205">
        <f t="shared" si="12"/>
        <v>0</v>
      </c>
      <c r="X41" s="208"/>
      <c r="Y41" s="209"/>
      <c r="Z41" s="337"/>
      <c r="AA41" s="337"/>
      <c r="AB41" s="789"/>
      <c r="AC41" s="789"/>
      <c r="AD41" s="92"/>
      <c r="AE41" s="92"/>
      <c r="AF41" s="314">
        <f>N41-K41</f>
        <v>0</v>
      </c>
      <c r="AG41" s="206" t="e">
        <f>N41/K41</f>
        <v>#DIV/0!</v>
      </c>
      <c r="AH41" s="808"/>
    </row>
    <row r="42" spans="1:34" ht="15" customHeight="1">
      <c r="A42" s="815"/>
      <c r="B42" s="75"/>
      <c r="C42" s="86"/>
      <c r="D42" s="198"/>
      <c r="E42" s="87"/>
      <c r="F42" s="75"/>
      <c r="G42" s="199"/>
      <c r="H42" s="91"/>
      <c r="I42" s="200"/>
      <c r="J42" s="148"/>
      <c r="K42" s="95"/>
      <c r="L42" s="96"/>
      <c r="M42" s="201"/>
      <c r="N42" s="202"/>
      <c r="O42" s="203"/>
      <c r="P42" s="97"/>
      <c r="Q42" s="98"/>
      <c r="R42" s="99"/>
      <c r="S42" s="749"/>
      <c r="T42" s="210"/>
      <c r="U42" s="210"/>
      <c r="V42" s="92"/>
      <c r="W42" s="205">
        <f t="shared" si="12"/>
        <v>0</v>
      </c>
      <c r="X42" s="208"/>
      <c r="Y42" s="211"/>
      <c r="Z42" s="338"/>
      <c r="AA42" s="338"/>
      <c r="AB42" s="789"/>
      <c r="AC42" s="789"/>
      <c r="AD42" s="92"/>
      <c r="AE42" s="92"/>
      <c r="AF42" s="314"/>
      <c r="AG42" s="206"/>
      <c r="AH42" s="808"/>
    </row>
    <row r="43" spans="1:34" ht="15" customHeight="1">
      <c r="A43" s="815"/>
      <c r="B43" s="75"/>
      <c r="C43" s="102"/>
      <c r="D43" s="198"/>
      <c r="E43" s="104"/>
      <c r="F43" s="75"/>
      <c r="G43" s="202"/>
      <c r="H43" s="91"/>
      <c r="I43" s="200"/>
      <c r="J43" s="148"/>
      <c r="K43" s="95"/>
      <c r="L43" s="96"/>
      <c r="M43" s="201"/>
      <c r="N43" s="202"/>
      <c r="O43" s="203"/>
      <c r="P43" s="97"/>
      <c r="Q43" s="98"/>
      <c r="R43" s="99"/>
      <c r="S43" s="749"/>
      <c r="T43" s="210"/>
      <c r="U43" s="210"/>
      <c r="V43" s="92"/>
      <c r="W43" s="205">
        <f t="shared" ref="W43:W48" si="32">(U43-T43)*24*60</f>
        <v>0</v>
      </c>
      <c r="X43" s="208"/>
      <c r="Y43" s="212"/>
      <c r="Z43" s="338"/>
      <c r="AA43" s="338"/>
      <c r="AB43" s="789"/>
      <c r="AC43" s="789"/>
      <c r="AD43" s="92"/>
      <c r="AE43" s="92"/>
      <c r="AF43" s="213"/>
      <c r="AG43" s="206"/>
      <c r="AH43" s="808"/>
    </row>
    <row r="44" spans="1:34" ht="15" customHeight="1">
      <c r="A44" s="815"/>
      <c r="B44" s="75"/>
      <c r="C44" s="86"/>
      <c r="D44" s="198"/>
      <c r="E44" s="87"/>
      <c r="F44" s="75"/>
      <c r="G44" s="199"/>
      <c r="H44" s="91"/>
      <c r="I44" s="200"/>
      <c r="J44" s="148"/>
      <c r="K44" s="95"/>
      <c r="L44" s="96"/>
      <c r="M44" s="201"/>
      <c r="N44" s="202"/>
      <c r="O44" s="203"/>
      <c r="P44" s="97"/>
      <c r="Q44" s="98"/>
      <c r="R44" s="99"/>
      <c r="S44" s="749"/>
      <c r="T44" s="210"/>
      <c r="U44" s="210"/>
      <c r="V44" s="92"/>
      <c r="W44" s="205">
        <f t="shared" si="32"/>
        <v>0</v>
      </c>
      <c r="X44" s="208"/>
      <c r="Y44" s="212"/>
      <c r="Z44" s="338"/>
      <c r="AA44" s="338"/>
      <c r="AB44" s="789"/>
      <c r="AC44" s="789"/>
      <c r="AD44" s="92"/>
      <c r="AE44" s="92"/>
      <c r="AF44" s="213"/>
      <c r="AG44" s="206"/>
      <c r="AH44" s="808"/>
    </row>
    <row r="45" spans="1:34" ht="15" customHeight="1">
      <c r="A45" s="815"/>
      <c r="B45" s="75"/>
      <c r="C45" s="86"/>
      <c r="D45" s="198"/>
      <c r="E45" s="87"/>
      <c r="F45" s="75"/>
      <c r="G45" s="199"/>
      <c r="H45" s="91"/>
      <c r="I45" s="200"/>
      <c r="J45" s="148"/>
      <c r="K45" s="95"/>
      <c r="L45" s="96"/>
      <c r="M45" s="201"/>
      <c r="N45" s="202"/>
      <c r="O45" s="203"/>
      <c r="P45" s="97"/>
      <c r="Q45" s="98"/>
      <c r="R45" s="99"/>
      <c r="S45" s="749"/>
      <c r="T45" s="210"/>
      <c r="U45" s="210"/>
      <c r="V45" s="200"/>
      <c r="W45" s="205">
        <f t="shared" si="32"/>
        <v>0</v>
      </c>
      <c r="X45" s="208"/>
      <c r="Y45" s="212"/>
      <c r="Z45" s="338"/>
      <c r="AA45" s="338"/>
      <c r="AB45" s="789"/>
      <c r="AC45" s="789"/>
      <c r="AD45" s="92"/>
      <c r="AE45" s="92"/>
      <c r="AF45" s="213"/>
      <c r="AG45" s="206"/>
      <c r="AH45" s="808"/>
    </row>
    <row r="46" spans="1:34" ht="15" customHeight="1">
      <c r="A46" s="815"/>
      <c r="B46" s="214"/>
      <c r="C46" s="102"/>
      <c r="D46" s="103"/>
      <c r="E46" s="104"/>
      <c r="F46" s="105"/>
      <c r="G46" s="202"/>
      <c r="H46" s="215"/>
      <c r="I46" s="200"/>
      <c r="J46" s="201"/>
      <c r="K46" s="202"/>
      <c r="L46" s="203"/>
      <c r="M46" s="201"/>
      <c r="N46" s="202"/>
      <c r="O46" s="203"/>
      <c r="P46" s="97"/>
      <c r="Q46" s="98"/>
      <c r="R46" s="204"/>
      <c r="S46" s="749"/>
      <c r="T46" s="216"/>
      <c r="U46" s="216"/>
      <c r="V46" s="200"/>
      <c r="W46" s="205">
        <f t="shared" si="32"/>
        <v>0</v>
      </c>
      <c r="X46" s="208"/>
      <c r="Y46" s="212"/>
      <c r="Z46" s="338"/>
      <c r="AA46" s="338"/>
      <c r="AB46" s="789"/>
      <c r="AC46" s="789"/>
      <c r="AD46" s="92"/>
      <c r="AE46" s="92"/>
      <c r="AF46" s="213"/>
      <c r="AG46" s="206"/>
      <c r="AH46" s="808"/>
    </row>
    <row r="47" spans="1:34" ht="15" customHeight="1">
      <c r="A47" s="815"/>
      <c r="B47" s="217"/>
      <c r="C47" s="102"/>
      <c r="D47" s="103"/>
      <c r="E47" s="104"/>
      <c r="F47" s="105"/>
      <c r="G47" s="202"/>
      <c r="H47" s="215">
        <f>F47*G47</f>
        <v>0</v>
      </c>
      <c r="I47" s="200"/>
      <c r="J47" s="201"/>
      <c r="K47" s="202"/>
      <c r="L47" s="203"/>
      <c r="M47" s="201"/>
      <c r="N47" s="202"/>
      <c r="O47" s="203"/>
      <c r="P47" s="97"/>
      <c r="Q47" s="98"/>
      <c r="R47" s="204"/>
      <c r="S47" s="749"/>
      <c r="T47" s="218"/>
      <c r="U47" s="218"/>
      <c r="V47" s="200"/>
      <c r="W47" s="205">
        <f t="shared" si="32"/>
        <v>0</v>
      </c>
      <c r="X47" s="208"/>
      <c r="Y47" s="212"/>
      <c r="Z47" s="338"/>
      <c r="AA47" s="338"/>
      <c r="AB47" s="789"/>
      <c r="AC47" s="789"/>
      <c r="AD47" s="92"/>
      <c r="AE47" s="92"/>
      <c r="AF47" s="213"/>
      <c r="AG47" s="206"/>
      <c r="AH47" s="808"/>
    </row>
    <row r="48" spans="1:34" ht="15" customHeight="1">
      <c r="A48" s="816"/>
      <c r="B48" s="219"/>
      <c r="C48" s="153" t="s">
        <v>49</v>
      </c>
      <c r="D48" s="762" t="s">
        <v>42</v>
      </c>
      <c r="E48" s="762"/>
      <c r="F48" s="154"/>
      <c r="G48" s="220"/>
      <c r="H48" s="156"/>
      <c r="I48" s="157"/>
      <c r="J48" s="155">
        <f t="shared" ref="J48:O48" si="33">AVERAGE(J38:J47)</f>
        <v>17.333333333333332</v>
      </c>
      <c r="K48" s="155">
        <f t="shared" si="33"/>
        <v>1662</v>
      </c>
      <c r="L48" s="158">
        <f t="shared" si="33"/>
        <v>96.300925925925924</v>
      </c>
      <c r="M48" s="155">
        <f t="shared" si="33"/>
        <v>16.666666666666668</v>
      </c>
      <c r="N48" s="155">
        <f t="shared" si="33"/>
        <v>1444.1374024461272</v>
      </c>
      <c r="O48" s="158">
        <f t="shared" si="33"/>
        <v>87.319002912055907</v>
      </c>
      <c r="P48" s="221">
        <f>M48-J48</f>
        <v>-0.6666666666666643</v>
      </c>
      <c r="Q48" s="222">
        <f>N48-K48</f>
        <v>-217.86259755387277</v>
      </c>
      <c r="R48" s="223">
        <f>O48/L48</f>
        <v>0.90673066818922532</v>
      </c>
      <c r="S48" s="752"/>
      <c r="T48" s="224"/>
      <c r="U48" s="224"/>
      <c r="V48" s="225"/>
      <c r="W48" s="226">
        <f t="shared" si="32"/>
        <v>0</v>
      </c>
      <c r="X48" s="227"/>
      <c r="Y48" s="303"/>
      <c r="Z48" s="334">
        <f>SUM(Z38:Z47)</f>
        <v>0</v>
      </c>
      <c r="AA48" s="334">
        <f>SUM(AA38:AA47)</f>
        <v>0</v>
      </c>
      <c r="AB48" s="790"/>
      <c r="AC48" s="790"/>
      <c r="AD48" s="323">
        <f>SUM(AD38:AD47)</f>
        <v>0</v>
      </c>
      <c r="AE48" s="323">
        <f>SUM(AE38:AE47)</f>
        <v>0</v>
      </c>
      <c r="AF48" s="315">
        <f t="shared" ref="AF48:AF53" si="34">N48-K48</f>
        <v>-217.86259755387277</v>
      </c>
      <c r="AG48" s="162">
        <f t="shared" ref="AG48:AG53" si="35">N48/K48</f>
        <v>0.86891540460055794</v>
      </c>
      <c r="AH48" s="809"/>
    </row>
    <row r="49" spans="1:34" ht="15" customHeight="1">
      <c r="A49" s="811" t="s">
        <v>50</v>
      </c>
      <c r="B49" s="129" t="s">
        <v>116</v>
      </c>
      <c r="C49" s="130"/>
      <c r="D49" s="131" t="s">
        <v>127</v>
      </c>
      <c r="E49" s="132"/>
      <c r="F49" s="129">
        <f>VLOOKUP(D49,廠價表!$C$1:$E$43,3,0)</f>
        <v>49.52</v>
      </c>
      <c r="G49" s="228">
        <v>2672</v>
      </c>
      <c r="H49" s="134">
        <f>F49*G49</f>
        <v>132317.44</v>
      </c>
      <c r="I49" s="135"/>
      <c r="J49" s="136">
        <f>VLOOKUP(D49,產線配置圖!$A$3:$C$40,2,0)</f>
        <v>17</v>
      </c>
      <c r="K49" s="137">
        <f>VLOOKUP(D49,產線配置圖!$A$3:$C$40,3,0)</f>
        <v>1800</v>
      </c>
      <c r="L49" s="138">
        <f>K49/J49</f>
        <v>105.88235294117646</v>
      </c>
      <c r="M49" s="170">
        <v>16</v>
      </c>
      <c r="N49" s="140">
        <f>G49/W49*60</f>
        <v>1418.7610619469028</v>
      </c>
      <c r="O49" s="141">
        <f>N49/M49</f>
        <v>88.672566371681427</v>
      </c>
      <c r="P49" s="229">
        <f>M49-J49</f>
        <v>-1</v>
      </c>
      <c r="Q49" s="230">
        <f>O49-L49</f>
        <v>-17.209786569495037</v>
      </c>
      <c r="R49" s="52">
        <f>O49/L49</f>
        <v>0.83746312684365798</v>
      </c>
      <c r="S49" s="748">
        <f>R58</f>
        <v>0.86448894124158504</v>
      </c>
      <c r="T49" s="191">
        <v>0.2986111111111111</v>
      </c>
      <c r="U49" s="191">
        <v>0.37708333333333333</v>
      </c>
      <c r="V49" s="55"/>
      <c r="W49" s="193">
        <f t="shared" si="12"/>
        <v>113</v>
      </c>
      <c r="X49" s="55"/>
      <c r="Y49" s="290"/>
      <c r="Z49" s="169">
        <v>1</v>
      </c>
      <c r="AA49" s="169">
        <v>10</v>
      </c>
      <c r="AB49" s="791" t="s">
        <v>235</v>
      </c>
      <c r="AC49" s="791"/>
      <c r="AD49" s="135"/>
      <c r="AE49" s="135"/>
      <c r="AF49" s="229">
        <f t="shared" si="34"/>
        <v>-381.23893805309717</v>
      </c>
      <c r="AG49" s="52">
        <f t="shared" si="35"/>
        <v>0.78820058997050158</v>
      </c>
      <c r="AH49" s="784">
        <f>AG58</f>
        <v>0.83985918396179526</v>
      </c>
    </row>
    <row r="50" spans="1:34" ht="15" customHeight="1">
      <c r="A50" s="812"/>
      <c r="B50" s="75" t="s">
        <v>81</v>
      </c>
      <c r="C50" s="76"/>
      <c r="D50" s="59" t="s">
        <v>128</v>
      </c>
      <c r="E50" s="77"/>
      <c r="F50" s="75">
        <f>VLOOKUP(D50,廠價表!$C$1:$E$43,3,0)</f>
        <v>50.289000000000001</v>
      </c>
      <c r="G50" s="202">
        <v>1476</v>
      </c>
      <c r="H50" s="231">
        <f>F50*G50</f>
        <v>74226.563999999998</v>
      </c>
      <c r="I50" s="232"/>
      <c r="J50" s="79">
        <f>VLOOKUP(D50,產線配置圖!$A$3:$C$40,2,0)</f>
        <v>17</v>
      </c>
      <c r="K50" s="80">
        <f>VLOOKUP(D50,產線配置圖!$A$3:$C$40,3,0)</f>
        <v>1636</v>
      </c>
      <c r="L50" s="81">
        <f>K50/J50</f>
        <v>96.235294117647058</v>
      </c>
      <c r="M50" s="233">
        <v>16</v>
      </c>
      <c r="N50" s="234">
        <f>G50/W50*60</f>
        <v>1428.3870967742059</v>
      </c>
      <c r="O50" s="235">
        <f>N50/M50</f>
        <v>89.274193548387871</v>
      </c>
      <c r="P50" s="74">
        <f>M50-J50</f>
        <v>-1</v>
      </c>
      <c r="Q50" s="83">
        <f>O50-L50</f>
        <v>-6.9611005692591874</v>
      </c>
      <c r="R50" s="72">
        <f>O50/L50</f>
        <v>0.92766582538055853</v>
      </c>
      <c r="S50" s="749"/>
      <c r="T50" s="21">
        <v>0.3840277777777778</v>
      </c>
      <c r="U50" s="19">
        <v>0.42708333333333298</v>
      </c>
      <c r="V50" s="30">
        <f>(T50-U49)*24*60</f>
        <v>10.000000000000044</v>
      </c>
      <c r="W50" s="236">
        <f t="shared" si="12"/>
        <v>61.99999999999946</v>
      </c>
      <c r="X50" s="22"/>
      <c r="Y50" s="84"/>
      <c r="Z50" s="90"/>
      <c r="AA50" s="90"/>
      <c r="AB50" s="789"/>
      <c r="AC50" s="789"/>
      <c r="AD50" s="92"/>
      <c r="AE50" s="92"/>
      <c r="AF50" s="307">
        <f t="shared" si="34"/>
        <v>-207.61290322579407</v>
      </c>
      <c r="AG50" s="72">
        <f t="shared" si="35"/>
        <v>0.87309724741699624</v>
      </c>
      <c r="AH50" s="785"/>
    </row>
    <row r="51" spans="1:34" ht="15" customHeight="1">
      <c r="A51" s="812"/>
      <c r="B51" s="75" t="s">
        <v>81</v>
      </c>
      <c r="C51" s="86"/>
      <c r="D51" s="59" t="s">
        <v>129</v>
      </c>
      <c r="E51" s="87"/>
      <c r="F51" s="75">
        <f>VLOOKUP(D51,廠價表!$C$1:$E$43,3,0)</f>
        <v>49.97</v>
      </c>
      <c r="G51" s="202">
        <v>1957</v>
      </c>
      <c r="H51" s="231">
        <f t="shared" ref="H51:H54" si="36">F51*G51</f>
        <v>97791.29</v>
      </c>
      <c r="I51" s="232"/>
      <c r="J51" s="79">
        <f>VLOOKUP(D51,產線配置圖!$A$3:$C$40,2,0)</f>
        <v>16</v>
      </c>
      <c r="K51" s="80">
        <f>VLOOKUP(D51,產線配置圖!$A$3:$C$40,3,0)</f>
        <v>1800</v>
      </c>
      <c r="L51" s="81">
        <f t="shared" ref="L51:L54" si="37">K51/J51</f>
        <v>112.5</v>
      </c>
      <c r="M51" s="233">
        <v>16</v>
      </c>
      <c r="N51" s="234">
        <f t="shared" ref="N51:N54" si="38">G51/W51*60</f>
        <v>1486.3291139240637</v>
      </c>
      <c r="O51" s="235">
        <f t="shared" ref="O51:O54" si="39">N51/M51</f>
        <v>92.89556962025398</v>
      </c>
      <c r="P51" s="74">
        <f t="shared" ref="P51:P54" si="40">M51-J51</f>
        <v>0</v>
      </c>
      <c r="Q51" s="83">
        <f t="shared" ref="Q51:Q54" si="41">O51-L51</f>
        <v>-19.60443037974602</v>
      </c>
      <c r="R51" s="72">
        <f t="shared" ref="R51:R54" si="42">O51/L51</f>
        <v>0.82573839662447979</v>
      </c>
      <c r="S51" s="749"/>
      <c r="T51" s="21">
        <v>0.43333333333333335</v>
      </c>
      <c r="U51" s="21">
        <v>0.48819444444444399</v>
      </c>
      <c r="V51" s="30">
        <f>(T51-U50)*24*60</f>
        <v>9.0000000000005276</v>
      </c>
      <c r="W51" s="236">
        <f t="shared" si="12"/>
        <v>78.999999999999318</v>
      </c>
      <c r="X51" s="22"/>
      <c r="Y51" s="84"/>
      <c r="Z51" s="90"/>
      <c r="AA51" s="90"/>
      <c r="AB51" s="789"/>
      <c r="AC51" s="789"/>
      <c r="AD51" s="92"/>
      <c r="AE51" s="92"/>
      <c r="AF51" s="307">
        <f t="shared" si="34"/>
        <v>-313.67088607593632</v>
      </c>
      <c r="AG51" s="72">
        <f t="shared" si="35"/>
        <v>0.82573839662447979</v>
      </c>
      <c r="AH51" s="785"/>
    </row>
    <row r="52" spans="1:34" ht="15" customHeight="1">
      <c r="A52" s="812"/>
      <c r="B52" s="75" t="s">
        <v>81</v>
      </c>
      <c r="C52" s="86"/>
      <c r="D52" s="59" t="s">
        <v>129</v>
      </c>
      <c r="E52" s="87"/>
      <c r="F52" s="75">
        <f>VLOOKUP(D52,廠價表!$C$1:$E$43,3,0)</f>
        <v>49.97</v>
      </c>
      <c r="G52" s="202">
        <v>3062</v>
      </c>
      <c r="H52" s="231">
        <f t="shared" si="36"/>
        <v>153008.13999999998</v>
      </c>
      <c r="I52" s="232"/>
      <c r="J52" s="79">
        <f>VLOOKUP(D52,產線配置圖!$A$3:$C$40,2,0)</f>
        <v>16</v>
      </c>
      <c r="K52" s="80">
        <f>VLOOKUP(D52,產線配置圖!$A$3:$C$40,3,0)</f>
        <v>1800</v>
      </c>
      <c r="L52" s="81">
        <f t="shared" si="37"/>
        <v>112.5</v>
      </c>
      <c r="M52" s="233">
        <v>16</v>
      </c>
      <c r="N52" s="234">
        <f t="shared" si="38"/>
        <v>1493.6585365853671</v>
      </c>
      <c r="O52" s="235">
        <f t="shared" si="39"/>
        <v>93.353658536585442</v>
      </c>
      <c r="P52" s="74">
        <f t="shared" si="40"/>
        <v>0</v>
      </c>
      <c r="Q52" s="83">
        <f t="shared" si="41"/>
        <v>-19.146341463414558</v>
      </c>
      <c r="R52" s="72">
        <f t="shared" si="42"/>
        <v>0.82981029810298168</v>
      </c>
      <c r="S52" s="749"/>
      <c r="T52" s="21">
        <v>0.54861111111111116</v>
      </c>
      <c r="U52" s="21">
        <v>0.63402777777777775</v>
      </c>
      <c r="V52" s="30">
        <f t="shared" ref="V52:V54" si="43">(T52-U51)*24*60</f>
        <v>87.000000000000725</v>
      </c>
      <c r="W52" s="236">
        <f t="shared" si="12"/>
        <v>122.99999999999989</v>
      </c>
      <c r="X52" s="22"/>
      <c r="Y52" s="84"/>
      <c r="Z52" s="90"/>
      <c r="AA52" s="90"/>
      <c r="AB52" s="789"/>
      <c r="AC52" s="789"/>
      <c r="AD52" s="92"/>
      <c r="AE52" s="92"/>
      <c r="AF52" s="307">
        <f t="shared" si="34"/>
        <v>-306.34146341463293</v>
      </c>
      <c r="AG52" s="72">
        <f t="shared" si="35"/>
        <v>0.82981029810298168</v>
      </c>
      <c r="AH52" s="785"/>
    </row>
    <row r="53" spans="1:34" ht="15" customHeight="1">
      <c r="A53" s="812"/>
      <c r="B53" s="101" t="s">
        <v>81</v>
      </c>
      <c r="C53" s="102"/>
      <c r="D53" s="103" t="s">
        <v>128</v>
      </c>
      <c r="E53" s="104"/>
      <c r="F53" s="75">
        <f>VLOOKUP(D53,廠價表!$C$1:$E$43,3,0)</f>
        <v>50.289000000000001</v>
      </c>
      <c r="G53" s="202">
        <v>1097</v>
      </c>
      <c r="H53" s="231">
        <f t="shared" si="36"/>
        <v>55167.033000000003</v>
      </c>
      <c r="I53" s="232"/>
      <c r="J53" s="79">
        <f>VLOOKUP(D53,產線配置圖!$A$3:$C$40,2,0)</f>
        <v>17</v>
      </c>
      <c r="K53" s="80">
        <f>VLOOKUP(D53,產線配置圖!$A$3:$C$40,3,0)</f>
        <v>1636</v>
      </c>
      <c r="L53" s="81">
        <f t="shared" si="37"/>
        <v>96.235294117647058</v>
      </c>
      <c r="M53" s="108">
        <v>16</v>
      </c>
      <c r="N53" s="234">
        <f t="shared" si="38"/>
        <v>1430.8695652173665</v>
      </c>
      <c r="O53" s="235">
        <f t="shared" si="39"/>
        <v>89.429347826085404</v>
      </c>
      <c r="P53" s="74">
        <f t="shared" si="40"/>
        <v>-1</v>
      </c>
      <c r="Q53" s="83">
        <f t="shared" si="41"/>
        <v>-6.8059462915616535</v>
      </c>
      <c r="R53" s="72">
        <f t="shared" si="42"/>
        <v>0.92927806420748893</v>
      </c>
      <c r="S53" s="749"/>
      <c r="T53" s="21">
        <v>0.64097222222222205</v>
      </c>
      <c r="U53" s="21">
        <v>0.67291666666666705</v>
      </c>
      <c r="V53" s="30">
        <f t="shared" si="43"/>
        <v>9.9999999999998046</v>
      </c>
      <c r="W53" s="236">
        <f t="shared" si="12"/>
        <v>46.000000000000796</v>
      </c>
      <c r="X53" s="30"/>
      <c r="Y53" s="151"/>
      <c r="Z53" s="90"/>
      <c r="AA53" s="90"/>
      <c r="AB53" s="789"/>
      <c r="AC53" s="789"/>
      <c r="AD53" s="92"/>
      <c r="AE53" s="92"/>
      <c r="AF53" s="307">
        <f t="shared" si="34"/>
        <v>-205.13043478263353</v>
      </c>
      <c r="AG53" s="72">
        <f t="shared" si="35"/>
        <v>0.87461464866587191</v>
      </c>
      <c r="AH53" s="785"/>
    </row>
    <row r="54" spans="1:34" ht="15" customHeight="1">
      <c r="A54" s="812"/>
      <c r="B54" s="101" t="s">
        <v>81</v>
      </c>
      <c r="C54" s="102"/>
      <c r="D54" s="103" t="s">
        <v>129</v>
      </c>
      <c r="E54" s="104"/>
      <c r="F54" s="75">
        <f>VLOOKUP(D54,廠價表!$C$1:$E$43,3,0)</f>
        <v>49.97</v>
      </c>
      <c r="G54" s="202">
        <v>1537</v>
      </c>
      <c r="H54" s="231">
        <f t="shared" si="36"/>
        <v>76803.89</v>
      </c>
      <c r="I54" s="232"/>
      <c r="J54" s="79">
        <f>VLOOKUP(D54,產線配置圖!$A$3:$C$40,2,0)</f>
        <v>16</v>
      </c>
      <c r="K54" s="80">
        <f>VLOOKUP(D54,產線配置圖!$A$3:$C$40,3,0)</f>
        <v>1800</v>
      </c>
      <c r="L54" s="81">
        <f t="shared" si="37"/>
        <v>112.5</v>
      </c>
      <c r="M54" s="108">
        <v>16</v>
      </c>
      <c r="N54" s="234">
        <f t="shared" si="38"/>
        <v>1537.0000000000136</v>
      </c>
      <c r="O54" s="235">
        <f t="shared" si="39"/>
        <v>96.062500000000853</v>
      </c>
      <c r="P54" s="74">
        <f t="shared" si="40"/>
        <v>0</v>
      </c>
      <c r="Q54" s="83">
        <f t="shared" si="41"/>
        <v>-16.437499999999147</v>
      </c>
      <c r="R54" s="72">
        <f t="shared" si="42"/>
        <v>0.85388888888889647</v>
      </c>
      <c r="S54" s="749"/>
      <c r="T54" s="21">
        <v>0.6791666666666667</v>
      </c>
      <c r="U54" s="21">
        <v>0.72083333333333299</v>
      </c>
      <c r="V54" s="30">
        <f t="shared" si="43"/>
        <v>8.9999999999994884</v>
      </c>
      <c r="W54" s="236">
        <f t="shared" si="12"/>
        <v>59.999999999999467</v>
      </c>
      <c r="X54" s="30"/>
      <c r="Y54" s="151"/>
      <c r="Z54" s="90"/>
      <c r="AA54" s="90"/>
      <c r="AB54" s="789"/>
      <c r="AC54" s="789"/>
      <c r="AD54" s="92"/>
      <c r="AE54" s="92"/>
      <c r="AF54" s="307"/>
      <c r="AG54" s="72"/>
      <c r="AH54" s="785"/>
    </row>
    <row r="55" spans="1:34" ht="15" customHeight="1">
      <c r="A55" s="812"/>
      <c r="B55" s="101"/>
      <c r="C55" s="102"/>
      <c r="D55" s="103"/>
      <c r="E55" s="104"/>
      <c r="F55" s="75"/>
      <c r="G55" s="202"/>
      <c r="H55" s="78"/>
      <c r="I55" s="30"/>
      <c r="J55" s="79"/>
      <c r="K55" s="80"/>
      <c r="L55" s="81"/>
      <c r="M55" s="108"/>
      <c r="N55" s="234"/>
      <c r="O55" s="235"/>
      <c r="P55" s="74"/>
      <c r="Q55" s="83"/>
      <c r="R55" s="72"/>
      <c r="S55" s="749"/>
      <c r="T55" s="21"/>
      <c r="U55" s="21"/>
      <c r="V55" s="237"/>
      <c r="W55" s="236">
        <f t="shared" si="12"/>
        <v>0</v>
      </c>
      <c r="X55" s="30"/>
      <c r="Y55" s="151"/>
      <c r="Z55" s="90"/>
      <c r="AA55" s="90"/>
      <c r="AB55" s="789"/>
      <c r="AC55" s="789"/>
      <c r="AD55" s="92"/>
      <c r="AE55" s="92"/>
      <c r="AF55" s="307"/>
      <c r="AG55" s="72"/>
      <c r="AH55" s="785"/>
    </row>
    <row r="56" spans="1:34" ht="15" customHeight="1">
      <c r="A56" s="812"/>
      <c r="B56" s="101"/>
      <c r="C56" s="102"/>
      <c r="D56" s="103"/>
      <c r="E56" s="104"/>
      <c r="F56" s="75"/>
      <c r="G56" s="202"/>
      <c r="H56" s="78"/>
      <c r="I56" s="30"/>
      <c r="J56" s="79"/>
      <c r="K56" s="80"/>
      <c r="L56" s="81"/>
      <c r="M56" s="108"/>
      <c r="N56" s="234"/>
      <c r="O56" s="235"/>
      <c r="P56" s="74"/>
      <c r="Q56" s="83"/>
      <c r="R56" s="72"/>
      <c r="S56" s="749"/>
      <c r="T56" s="21"/>
      <c r="U56" s="21"/>
      <c r="V56" s="237"/>
      <c r="W56" s="236">
        <f t="shared" si="12"/>
        <v>0</v>
      </c>
      <c r="X56" s="30"/>
      <c r="Y56" s="151"/>
      <c r="Z56" s="90"/>
      <c r="AA56" s="90"/>
      <c r="AB56" s="789"/>
      <c r="AC56" s="789"/>
      <c r="AD56" s="92"/>
      <c r="AE56" s="92"/>
      <c r="AF56" s="307"/>
      <c r="AG56" s="72"/>
      <c r="AH56" s="785"/>
    </row>
    <row r="57" spans="1:34" ht="15" customHeight="1">
      <c r="A57" s="812"/>
      <c r="B57" s="101"/>
      <c r="C57" s="102"/>
      <c r="D57" s="103"/>
      <c r="E57" s="104"/>
      <c r="F57" s="105"/>
      <c r="G57" s="202"/>
      <c r="H57" s="78"/>
      <c r="I57" s="30"/>
      <c r="J57" s="106"/>
      <c r="K57" s="107"/>
      <c r="L57" s="96"/>
      <c r="M57" s="108"/>
      <c r="N57" s="107"/>
      <c r="O57" s="238"/>
      <c r="P57" s="74"/>
      <c r="Q57" s="83"/>
      <c r="R57" s="72"/>
      <c r="S57" s="749"/>
      <c r="T57" s="114"/>
      <c r="U57" s="114"/>
      <c r="V57" s="237"/>
      <c r="W57" s="236">
        <f t="shared" si="12"/>
        <v>0</v>
      </c>
      <c r="X57" s="30"/>
      <c r="Y57" s="151"/>
      <c r="Z57" s="90"/>
      <c r="AA57" s="90"/>
      <c r="AB57" s="789"/>
      <c r="AC57" s="789"/>
      <c r="AD57" s="92"/>
      <c r="AE57" s="92"/>
      <c r="AF57" s="307"/>
      <c r="AG57" s="72"/>
      <c r="AH57" s="785"/>
    </row>
    <row r="58" spans="1:34" ht="15" customHeight="1">
      <c r="A58" s="813"/>
      <c r="B58" s="239"/>
      <c r="C58" s="153" t="s">
        <v>51</v>
      </c>
      <c r="D58" s="762" t="s">
        <v>42</v>
      </c>
      <c r="E58" s="762"/>
      <c r="F58" s="116"/>
      <c r="G58" s="240"/>
      <c r="H58" s="118"/>
      <c r="I58" s="117"/>
      <c r="J58" s="120">
        <f t="shared" ref="J58:O58" si="44">AVERAGE(J49:J57)</f>
        <v>16.5</v>
      </c>
      <c r="K58" s="120">
        <f t="shared" si="44"/>
        <v>1745.3333333333333</v>
      </c>
      <c r="L58" s="117">
        <f t="shared" si="44"/>
        <v>105.97549019607844</v>
      </c>
      <c r="M58" s="120">
        <f t="shared" si="44"/>
        <v>16</v>
      </c>
      <c r="N58" s="120">
        <f t="shared" si="44"/>
        <v>1465.8342290746532</v>
      </c>
      <c r="O58" s="117">
        <f t="shared" si="44"/>
        <v>91.614639317165825</v>
      </c>
      <c r="P58" s="121">
        <f>M58-J58</f>
        <v>-0.5</v>
      </c>
      <c r="Q58" s="122">
        <f>N58-K58</f>
        <v>-279.49910425868006</v>
      </c>
      <c r="R58" s="123">
        <f>O58/L58</f>
        <v>0.86448894124158504</v>
      </c>
      <c r="S58" s="752"/>
      <c r="T58" s="241"/>
      <c r="U58" s="241"/>
      <c r="V58" s="126"/>
      <c r="W58" s="242"/>
      <c r="X58" s="128"/>
      <c r="Y58" s="295"/>
      <c r="Z58" s="334">
        <f>SUM(Z49:Z57)</f>
        <v>1</v>
      </c>
      <c r="AA58" s="334">
        <f>SUM(AA49:AA57)</f>
        <v>10</v>
      </c>
      <c r="AB58" s="790"/>
      <c r="AC58" s="790"/>
      <c r="AD58" s="323">
        <f>SUM(AD49:AD57)</f>
        <v>0</v>
      </c>
      <c r="AE58" s="323">
        <f>SUM(AE49:AE57)</f>
        <v>0</v>
      </c>
      <c r="AF58" s="309">
        <f>N58-K58</f>
        <v>-279.49910425868006</v>
      </c>
      <c r="AG58" s="124">
        <f>N58/K58</f>
        <v>0.83985918396179526</v>
      </c>
      <c r="AH58" s="787"/>
    </row>
    <row r="59" spans="1:34" ht="15" customHeight="1">
      <c r="A59" s="825" t="s">
        <v>52</v>
      </c>
      <c r="B59" s="129" t="s">
        <v>130</v>
      </c>
      <c r="C59" s="130"/>
      <c r="D59" s="131" t="s">
        <v>131</v>
      </c>
      <c r="E59" s="132"/>
      <c r="F59" s="129">
        <f>VLOOKUP(D59,廠價表!$C$1:$E$43,3,0)</f>
        <v>26.99</v>
      </c>
      <c r="G59" s="55">
        <v>2875</v>
      </c>
      <c r="H59" s="243">
        <f>F59*G59</f>
        <v>77596.25</v>
      </c>
      <c r="I59" s="55"/>
      <c r="J59" s="136">
        <f>VLOOKUP(D59,產線配置圖!$A$3:$C$40,2,0)</f>
        <v>15</v>
      </c>
      <c r="K59" s="137">
        <f>VLOOKUP(D59,產線配置圖!$A$3:$C$40,3,0)</f>
        <v>1636</v>
      </c>
      <c r="L59" s="138">
        <f>K59/J59</f>
        <v>109.06666666666666</v>
      </c>
      <c r="M59" s="244">
        <v>15</v>
      </c>
      <c r="N59" s="137">
        <f>G59/W59*60</f>
        <v>1500.000000000002</v>
      </c>
      <c r="O59" s="138">
        <f>N59/M59</f>
        <v>100.00000000000014</v>
      </c>
      <c r="P59" s="56">
        <f>M59-J59</f>
        <v>0</v>
      </c>
      <c r="Q59" s="230">
        <f>O59-L59</f>
        <v>-9.0666666666665208</v>
      </c>
      <c r="R59" s="52">
        <f>O59/L59</f>
        <v>0.91687041564792304</v>
      </c>
      <c r="S59" s="748">
        <f>R69</f>
        <v>0.91646112921606304</v>
      </c>
      <c r="T59" s="245">
        <v>0.29166666666666702</v>
      </c>
      <c r="U59" s="245">
        <v>0.37152777777777801</v>
      </c>
      <c r="V59" s="55"/>
      <c r="W59" s="54">
        <f t="shared" si="12"/>
        <v>114.99999999999983</v>
      </c>
      <c r="X59" s="55"/>
      <c r="Y59" s="290"/>
      <c r="Z59" s="169"/>
      <c r="AA59" s="169"/>
      <c r="AB59" s="791"/>
      <c r="AC59" s="791"/>
      <c r="AD59" s="135"/>
      <c r="AE59" s="135"/>
      <c r="AF59" s="310">
        <f>N59-K59</f>
        <v>-135.99999999999795</v>
      </c>
      <c r="AG59" s="246">
        <f>N59/K59</f>
        <v>0.91687041564792304</v>
      </c>
      <c r="AH59" s="784">
        <f>AG69</f>
        <v>0.8959846897194077</v>
      </c>
    </row>
    <row r="60" spans="1:34" ht="15" customHeight="1">
      <c r="A60" s="826"/>
      <c r="B60" s="75" t="s">
        <v>130</v>
      </c>
      <c r="C60" s="86"/>
      <c r="D60" s="175" t="s">
        <v>132</v>
      </c>
      <c r="E60" s="87"/>
      <c r="F60" s="75">
        <f>VLOOKUP(D60,廠價表!$C$1:$E$43,3,0)</f>
        <v>28.26</v>
      </c>
      <c r="G60" s="30">
        <v>1491</v>
      </c>
      <c r="H60" s="78">
        <f>F60*G60</f>
        <v>42135.66</v>
      </c>
      <c r="I60" s="30"/>
      <c r="J60" s="79">
        <f>VLOOKUP(D60,產線配置圖!$A$3:$C$40,2,0)</f>
        <v>11</v>
      </c>
      <c r="K60" s="80">
        <f>VLOOKUP(D60,產線配置圖!$A$3:$C$40,3,0)</f>
        <v>1636</v>
      </c>
      <c r="L60" s="81">
        <f>K60/J60</f>
        <v>148.72727272727272</v>
      </c>
      <c r="M60" s="82">
        <v>11</v>
      </c>
      <c r="N60" s="80">
        <f>G60/W60*60</f>
        <v>1490.9999999999993</v>
      </c>
      <c r="O60" s="81">
        <f>N60/M60</f>
        <v>135.54545454545448</v>
      </c>
      <c r="P60" s="74">
        <f>M60-J60</f>
        <v>0</v>
      </c>
      <c r="Q60" s="83">
        <f>O60-L60</f>
        <v>-13.181818181818244</v>
      </c>
      <c r="R60" s="72">
        <f>O60/L60</f>
        <v>0.91136919315403386</v>
      </c>
      <c r="S60" s="829"/>
      <c r="T60" s="22">
        <v>0.37847222222222221</v>
      </c>
      <c r="U60" s="22">
        <v>0.4201388888888889</v>
      </c>
      <c r="V60" s="30">
        <f>(T60-U59)*24*60</f>
        <v>9.9999999999996447</v>
      </c>
      <c r="W60" s="248">
        <f t="shared" si="12"/>
        <v>60.000000000000028</v>
      </c>
      <c r="X60" s="232"/>
      <c r="Y60" s="177"/>
      <c r="Z60" s="90"/>
      <c r="AA60" s="90"/>
      <c r="AB60" s="789"/>
      <c r="AC60" s="789"/>
      <c r="AD60" s="92"/>
      <c r="AE60" s="92"/>
      <c r="AF60" s="316">
        <f>N60-K60</f>
        <v>-145.00000000000068</v>
      </c>
      <c r="AG60" s="249">
        <f>N60/K60</f>
        <v>0.91136919315403386</v>
      </c>
      <c r="AH60" s="820"/>
    </row>
    <row r="61" spans="1:34" ht="15" customHeight="1">
      <c r="A61" s="827"/>
      <c r="B61" s="250" t="s">
        <v>130</v>
      </c>
      <c r="C61" s="251"/>
      <c r="D61" s="252" t="s">
        <v>133</v>
      </c>
      <c r="E61" s="253"/>
      <c r="F61" s="250">
        <f>VLOOKUP(D61,廠價表!$C$1:$E$43,3,0)</f>
        <v>28.26</v>
      </c>
      <c r="G61" s="38">
        <v>1065</v>
      </c>
      <c r="H61" s="254">
        <f>F61*G61</f>
        <v>30096.9</v>
      </c>
      <c r="I61" s="182"/>
      <c r="J61" s="106">
        <f>VLOOKUP(D61,產線配置圖!$A$3:$C$40,2,0)</f>
        <v>11</v>
      </c>
      <c r="K61" s="107">
        <f>VLOOKUP(D61,產線配置圖!$A$3:$C$40,3,0)</f>
        <v>1636</v>
      </c>
      <c r="L61" s="238">
        <f>K61/J61</f>
        <v>148.72727272727272</v>
      </c>
      <c r="M61" s="108">
        <v>11</v>
      </c>
      <c r="N61" s="107">
        <f>G61/W61*60</f>
        <v>1420</v>
      </c>
      <c r="O61" s="238">
        <f>N61/M61</f>
        <v>129.09090909090909</v>
      </c>
      <c r="P61" s="111">
        <f>M61-J61</f>
        <v>0</v>
      </c>
      <c r="Q61" s="255">
        <f>O61-L61</f>
        <v>-19.636363636363626</v>
      </c>
      <c r="R61" s="85">
        <f>O61/L61</f>
        <v>0.86797066014669932</v>
      </c>
      <c r="S61" s="749"/>
      <c r="T61" s="22">
        <v>0.42708333333333331</v>
      </c>
      <c r="U61" s="22">
        <v>0.45833333333333331</v>
      </c>
      <c r="V61" s="30">
        <f t="shared" ref="V61:V64" si="45">(T61-U60)*24*60</f>
        <v>9.9999999999999645</v>
      </c>
      <c r="W61" s="256">
        <f t="shared" si="12"/>
        <v>45</v>
      </c>
      <c r="X61" s="22"/>
      <c r="Y61" s="84"/>
      <c r="Z61" s="90"/>
      <c r="AA61" s="90"/>
      <c r="AB61" s="789"/>
      <c r="AC61" s="789"/>
      <c r="AD61" s="92"/>
      <c r="AE61" s="92"/>
      <c r="AF61" s="317">
        <f>N61-K61</f>
        <v>-216</v>
      </c>
      <c r="AG61" s="247">
        <f>N61/K61</f>
        <v>0.86797066014669921</v>
      </c>
      <c r="AH61" s="785"/>
    </row>
    <row r="62" spans="1:34" ht="15" customHeight="1">
      <c r="A62" s="827"/>
      <c r="B62" s="250" t="s">
        <v>130</v>
      </c>
      <c r="C62" s="251"/>
      <c r="D62" s="257" t="s">
        <v>134</v>
      </c>
      <c r="E62" s="253"/>
      <c r="F62" s="250">
        <f>VLOOKUP(D62,廠價表!$C$1:$E$43,3,0)</f>
        <v>28.26</v>
      </c>
      <c r="G62" s="38">
        <v>1035</v>
      </c>
      <c r="H62" s="254">
        <f t="shared" ref="H62:H64" si="46">F62*G62</f>
        <v>29249.100000000002</v>
      </c>
      <c r="I62" s="182"/>
      <c r="J62" s="106">
        <f>VLOOKUP(D62,產線配置圖!$A$3:$C$40,2,0)</f>
        <v>11</v>
      </c>
      <c r="K62" s="107">
        <f>VLOOKUP(D62,產線配置圖!$A$3:$C$40,3,0)</f>
        <v>1636</v>
      </c>
      <c r="L62" s="238">
        <f t="shared" ref="L62:L64" si="47">K62/J62</f>
        <v>148.72727272727272</v>
      </c>
      <c r="M62" s="108">
        <v>11</v>
      </c>
      <c r="N62" s="80">
        <f t="shared" ref="N62:N64" si="48">G62/W62*60</f>
        <v>1552.4999999999993</v>
      </c>
      <c r="O62" s="81">
        <f t="shared" ref="O62:O64" si="49">N62/M62</f>
        <v>141.13636363636357</v>
      </c>
      <c r="P62" s="74">
        <f t="shared" ref="P62:P64" si="50">M62-J62</f>
        <v>0</v>
      </c>
      <c r="Q62" s="83">
        <f t="shared" ref="Q62:Q64" si="51">O62-L62</f>
        <v>-7.5909090909091503</v>
      </c>
      <c r="R62" s="72">
        <f t="shared" ref="R62:R64" si="52">O62/L62</f>
        <v>0.94896088019559866</v>
      </c>
      <c r="S62" s="749"/>
      <c r="T62" s="22">
        <v>0.46527777777777779</v>
      </c>
      <c r="U62" s="22">
        <v>0.49305555555555558</v>
      </c>
      <c r="V62" s="30">
        <f t="shared" si="45"/>
        <v>10.000000000000044</v>
      </c>
      <c r="W62" s="248">
        <f t="shared" si="12"/>
        <v>40.000000000000014</v>
      </c>
      <c r="X62" s="22"/>
      <c r="Y62" s="84"/>
      <c r="Z62" s="90"/>
      <c r="AA62" s="90"/>
      <c r="AB62" s="789"/>
      <c r="AC62" s="789"/>
      <c r="AD62" s="92"/>
      <c r="AE62" s="92"/>
      <c r="AF62" s="317">
        <f>N62-K62</f>
        <v>-83.500000000000682</v>
      </c>
      <c r="AG62" s="247">
        <f>N62/K62</f>
        <v>0.94896088019559866</v>
      </c>
      <c r="AH62" s="785"/>
    </row>
    <row r="63" spans="1:34" ht="15" customHeight="1">
      <c r="A63" s="827"/>
      <c r="B63" s="258" t="s">
        <v>130</v>
      </c>
      <c r="C63" s="58"/>
      <c r="D63" s="259" t="s">
        <v>134</v>
      </c>
      <c r="E63" s="60"/>
      <c r="F63" s="250">
        <f>VLOOKUP(D63,廠價表!$C$1:$E$43,3,0)</f>
        <v>28.26</v>
      </c>
      <c r="G63" s="260">
        <v>1797</v>
      </c>
      <c r="H63" s="254">
        <f t="shared" si="46"/>
        <v>50783.22</v>
      </c>
      <c r="I63" s="182"/>
      <c r="J63" s="106">
        <f>VLOOKUP(D63,產線配置圖!$A$3:$C$40,2,0)</f>
        <v>11</v>
      </c>
      <c r="K63" s="107">
        <f>VLOOKUP(D63,產線配置圖!$A$3:$C$40,3,0)</f>
        <v>1636</v>
      </c>
      <c r="L63" s="238">
        <f t="shared" si="47"/>
        <v>148.72727272727272</v>
      </c>
      <c r="M63" s="68">
        <v>11</v>
      </c>
      <c r="N63" s="107">
        <f t="shared" si="48"/>
        <v>1540.2857142857129</v>
      </c>
      <c r="O63" s="238">
        <f t="shared" si="49"/>
        <v>140.02597402597391</v>
      </c>
      <c r="P63" s="111">
        <f t="shared" si="50"/>
        <v>0</v>
      </c>
      <c r="Q63" s="255">
        <f t="shared" si="51"/>
        <v>-8.7012987012988106</v>
      </c>
      <c r="R63" s="85">
        <f t="shared" si="52"/>
        <v>0.9414949353824652</v>
      </c>
      <c r="S63" s="749"/>
      <c r="T63" s="22">
        <v>0.5625</v>
      </c>
      <c r="U63" s="22">
        <v>0.61111111111111116</v>
      </c>
      <c r="V63" s="30">
        <f t="shared" si="45"/>
        <v>99.999999999999972</v>
      </c>
      <c r="W63" s="248">
        <f t="shared" si="12"/>
        <v>70.000000000000071</v>
      </c>
      <c r="X63" s="261"/>
      <c r="Y63" s="291"/>
      <c r="Z63" s="335"/>
      <c r="AA63" s="335"/>
      <c r="AB63" s="789"/>
      <c r="AC63" s="789"/>
      <c r="AD63" s="92"/>
      <c r="AE63" s="92"/>
      <c r="AF63" s="317"/>
      <c r="AG63" s="247"/>
      <c r="AH63" s="785"/>
    </row>
    <row r="64" spans="1:34" ht="15" customHeight="1">
      <c r="A64" s="827"/>
      <c r="B64" s="75" t="s">
        <v>130</v>
      </c>
      <c r="C64" s="76"/>
      <c r="D64" s="175" t="s">
        <v>131</v>
      </c>
      <c r="E64" s="77"/>
      <c r="F64" s="250">
        <f>VLOOKUP(D64,廠價表!$C$1:$E$43,3,0)</f>
        <v>26.99</v>
      </c>
      <c r="G64" s="30">
        <v>1076</v>
      </c>
      <c r="H64" s="254">
        <f t="shared" si="46"/>
        <v>29041.239999999998</v>
      </c>
      <c r="I64" s="182"/>
      <c r="J64" s="106">
        <f>VLOOKUP(D64,產線配置圖!$A$3:$C$40,2,0)</f>
        <v>15</v>
      </c>
      <c r="K64" s="107">
        <f>VLOOKUP(D64,產線配置圖!$A$3:$C$40,3,0)</f>
        <v>1636</v>
      </c>
      <c r="L64" s="238">
        <f t="shared" si="47"/>
        <v>109.06666666666666</v>
      </c>
      <c r="M64" s="82">
        <v>13</v>
      </c>
      <c r="N64" s="80">
        <f t="shared" si="48"/>
        <v>1291.1999999999923</v>
      </c>
      <c r="O64" s="81">
        <f t="shared" si="49"/>
        <v>99.323076923076329</v>
      </c>
      <c r="P64" s="74">
        <f t="shared" si="50"/>
        <v>-2</v>
      </c>
      <c r="Q64" s="83">
        <f t="shared" si="51"/>
        <v>-9.7435897435903343</v>
      </c>
      <c r="R64" s="72">
        <f t="shared" si="52"/>
        <v>0.91066390821891507</v>
      </c>
      <c r="S64" s="749"/>
      <c r="T64" s="22">
        <v>0.61805555555555558</v>
      </c>
      <c r="U64" s="22">
        <v>0.65277777777777801</v>
      </c>
      <c r="V64" s="30">
        <f t="shared" si="45"/>
        <v>9.9999999999999645</v>
      </c>
      <c r="W64" s="73">
        <f t="shared" si="12"/>
        <v>50.000000000000298</v>
      </c>
      <c r="X64" s="261"/>
      <c r="Y64" s="291"/>
      <c r="Z64" s="335"/>
      <c r="AA64" s="335"/>
      <c r="AB64" s="789"/>
      <c r="AC64" s="789"/>
      <c r="AD64" s="92"/>
      <c r="AE64" s="92"/>
      <c r="AF64" s="307"/>
      <c r="AG64" s="262"/>
      <c r="AH64" s="785"/>
    </row>
    <row r="65" spans="1:36" ht="15" customHeight="1">
      <c r="A65" s="827"/>
      <c r="B65" s="75"/>
      <c r="C65" s="86"/>
      <c r="D65" s="175"/>
      <c r="E65" s="87"/>
      <c r="F65" s="75"/>
      <c r="G65" s="30"/>
      <c r="H65" s="78"/>
      <c r="I65" s="30"/>
      <c r="J65" s="79"/>
      <c r="K65" s="80"/>
      <c r="L65" s="81"/>
      <c r="M65" s="82"/>
      <c r="N65" s="80"/>
      <c r="O65" s="81"/>
      <c r="P65" s="74"/>
      <c r="Q65" s="83"/>
      <c r="R65" s="72"/>
      <c r="S65" s="749"/>
      <c r="T65" s="22"/>
      <c r="U65" s="22"/>
      <c r="V65" s="30"/>
      <c r="W65" s="73">
        <f t="shared" si="12"/>
        <v>0</v>
      </c>
      <c r="X65" s="261"/>
      <c r="Y65" s="291"/>
      <c r="Z65" s="335"/>
      <c r="AA65" s="335"/>
      <c r="AB65" s="789"/>
      <c r="AC65" s="789"/>
      <c r="AD65" s="92"/>
      <c r="AE65" s="92"/>
      <c r="AF65" s="307"/>
      <c r="AG65" s="262"/>
      <c r="AH65" s="785"/>
    </row>
    <row r="66" spans="1:36" ht="15" customHeight="1">
      <c r="A66" s="827"/>
      <c r="B66" s="101"/>
      <c r="C66" s="102"/>
      <c r="D66" s="103"/>
      <c r="E66" s="104"/>
      <c r="F66" s="105"/>
      <c r="G66" s="151"/>
      <c r="H66" s="78"/>
      <c r="I66" s="264"/>
      <c r="J66" s="79"/>
      <c r="K66" s="80"/>
      <c r="L66" s="81"/>
      <c r="M66" s="94"/>
      <c r="N66" s="95"/>
      <c r="O66" s="96"/>
      <c r="P66" s="97"/>
      <c r="Q66" s="98"/>
      <c r="R66" s="204"/>
      <c r="S66" s="749"/>
      <c r="T66" s="263"/>
      <c r="U66" s="263"/>
      <c r="V66" s="30"/>
      <c r="W66" s="73">
        <f t="shared" si="12"/>
        <v>0</v>
      </c>
      <c r="X66" s="261"/>
      <c r="Y66" s="291"/>
      <c r="Z66" s="335"/>
      <c r="AA66" s="335"/>
      <c r="AB66" s="789"/>
      <c r="AC66" s="789"/>
      <c r="AD66" s="92"/>
      <c r="AE66" s="92"/>
      <c r="AF66" s="307"/>
      <c r="AG66" s="262"/>
      <c r="AH66" s="785"/>
    </row>
    <row r="67" spans="1:36" ht="15" customHeight="1">
      <c r="A67" s="827"/>
      <c r="B67" s="101"/>
      <c r="C67" s="102"/>
      <c r="D67" s="103"/>
      <c r="E67" s="104"/>
      <c r="F67" s="105"/>
      <c r="G67" s="30"/>
      <c r="H67" s="78"/>
      <c r="I67" s="30"/>
      <c r="J67" s="79"/>
      <c r="K67" s="80"/>
      <c r="L67" s="81"/>
      <c r="M67" s="94"/>
      <c r="N67" s="95"/>
      <c r="O67" s="96"/>
      <c r="P67" s="97"/>
      <c r="Q67" s="98"/>
      <c r="R67" s="204"/>
      <c r="S67" s="749"/>
      <c r="T67" s="263"/>
      <c r="U67" s="263"/>
      <c r="V67" s="30"/>
      <c r="W67" s="73">
        <f t="shared" si="12"/>
        <v>0</v>
      </c>
      <c r="X67" s="261"/>
      <c r="Y67" s="291"/>
      <c r="Z67" s="335"/>
      <c r="AA67" s="335"/>
      <c r="AB67" s="789"/>
      <c r="AC67" s="789"/>
      <c r="AD67" s="92"/>
      <c r="AE67" s="92"/>
      <c r="AF67" s="307"/>
      <c r="AG67" s="262"/>
      <c r="AH67" s="785"/>
    </row>
    <row r="68" spans="1:36" ht="15" customHeight="1">
      <c r="A68" s="827"/>
      <c r="B68" s="101"/>
      <c r="C68" s="102"/>
      <c r="D68" s="103"/>
      <c r="E68" s="104"/>
      <c r="F68" s="105"/>
      <c r="G68" s="151"/>
      <c r="H68" s="78">
        <f>F68*G68</f>
        <v>0</v>
      </c>
      <c r="I68" s="264"/>
      <c r="J68" s="79"/>
      <c r="K68" s="265"/>
      <c r="L68" s="266"/>
      <c r="M68" s="94"/>
      <c r="N68" s="95"/>
      <c r="O68" s="96"/>
      <c r="P68" s="97"/>
      <c r="Q68" s="98"/>
      <c r="R68" s="204"/>
      <c r="S68" s="749"/>
      <c r="T68" s="263"/>
      <c r="U68" s="263"/>
      <c r="V68" s="30"/>
      <c r="W68" s="73">
        <f t="shared" si="12"/>
        <v>0</v>
      </c>
      <c r="X68" s="261"/>
      <c r="Y68" s="291"/>
      <c r="Z68" s="335"/>
      <c r="AA68" s="335"/>
      <c r="AB68" s="789" t="s">
        <v>53</v>
      </c>
      <c r="AC68" s="789"/>
      <c r="AD68" s="92"/>
      <c r="AE68" s="92"/>
      <c r="AF68" s="307"/>
      <c r="AG68" s="262"/>
      <c r="AH68" s="785"/>
    </row>
    <row r="69" spans="1:36" ht="15" customHeight="1">
      <c r="A69" s="828"/>
      <c r="B69" s="239"/>
      <c r="C69" s="153" t="s">
        <v>54</v>
      </c>
      <c r="D69" s="762" t="s">
        <v>42</v>
      </c>
      <c r="E69" s="762"/>
      <c r="F69" s="116"/>
      <c r="G69" s="117"/>
      <c r="H69" s="118"/>
      <c r="I69" s="267"/>
      <c r="J69" s="240">
        <f t="shared" ref="J69:O69" si="53">AVERAGE(J59:J68)</f>
        <v>12.333333333333334</v>
      </c>
      <c r="K69" s="240">
        <f t="shared" si="53"/>
        <v>1636</v>
      </c>
      <c r="L69" s="268">
        <f t="shared" si="53"/>
        <v>135.50707070707071</v>
      </c>
      <c r="M69" s="240">
        <f t="shared" si="53"/>
        <v>12</v>
      </c>
      <c r="N69" s="240">
        <f t="shared" si="53"/>
        <v>1465.830952380951</v>
      </c>
      <c r="O69" s="268">
        <f t="shared" si="53"/>
        <v>124.18696303696292</v>
      </c>
      <c r="P69" s="269">
        <f>M69-J69</f>
        <v>-0.33333333333333393</v>
      </c>
      <c r="Q69" s="222">
        <f>N69-K69</f>
        <v>-170.16904761904902</v>
      </c>
      <c r="R69" s="123">
        <f>O69/L69</f>
        <v>0.91646112921606304</v>
      </c>
      <c r="S69" s="752"/>
      <c r="T69" s="125"/>
      <c r="U69" s="125"/>
      <c r="V69" s="126"/>
      <c r="W69" s="242"/>
      <c r="X69" s="128"/>
      <c r="Y69" s="295"/>
      <c r="Z69" s="334">
        <f>SUM(Z59:Z68)</f>
        <v>0</v>
      </c>
      <c r="AA69" s="334">
        <f>SUM(AA59:AA68)</f>
        <v>0</v>
      </c>
      <c r="AB69" s="790"/>
      <c r="AC69" s="790"/>
      <c r="AD69" s="323">
        <f>SUM(AD59:AD68)</f>
        <v>0</v>
      </c>
      <c r="AE69" s="323">
        <f>SUM(AE59:AE68)</f>
        <v>0</v>
      </c>
      <c r="AF69" s="309">
        <f>N69-K69</f>
        <v>-170.16904761904902</v>
      </c>
      <c r="AG69" s="124">
        <f>N69/K69</f>
        <v>0.8959846897194077</v>
      </c>
      <c r="AH69" s="787"/>
    </row>
    <row r="70" spans="1:36" ht="15" customHeight="1">
      <c r="A70" s="821" t="s">
        <v>55</v>
      </c>
      <c r="B70" s="129"/>
      <c r="C70" s="129"/>
      <c r="D70" s="131"/>
      <c r="E70" s="132"/>
      <c r="F70" s="129"/>
      <c r="G70" s="55"/>
      <c r="H70" s="243"/>
      <c r="I70" s="55"/>
      <c r="J70" s="136"/>
      <c r="K70" s="137"/>
      <c r="L70" s="138"/>
      <c r="M70" s="244"/>
      <c r="N70" s="137"/>
      <c r="O70" s="138"/>
      <c r="P70" s="56"/>
      <c r="Q70" s="230"/>
      <c r="R70" s="52"/>
      <c r="S70" s="748">
        <f>R79</f>
        <v>0</v>
      </c>
      <c r="T70" s="245"/>
      <c r="U70" s="245"/>
      <c r="V70" s="55"/>
      <c r="W70" s="54">
        <f t="shared" si="12"/>
        <v>0</v>
      </c>
      <c r="X70" s="270"/>
      <c r="Y70" s="292"/>
      <c r="Z70" s="169"/>
      <c r="AA70" s="169"/>
      <c r="AB70" s="791"/>
      <c r="AC70" s="791"/>
      <c r="AD70" s="135"/>
      <c r="AE70" s="135"/>
      <c r="AF70" s="310"/>
      <c r="AG70" s="246"/>
      <c r="AH70" s="784" t="e">
        <f>AG79</f>
        <v>#DIV/0!</v>
      </c>
    </row>
    <row r="71" spans="1:36" ht="15" customHeight="1">
      <c r="A71" s="822"/>
      <c r="B71" s="75"/>
      <c r="C71" s="76"/>
      <c r="D71" s="59"/>
      <c r="E71" s="77"/>
      <c r="F71" s="75"/>
      <c r="G71" s="30"/>
      <c r="H71" s="78"/>
      <c r="I71" s="232"/>
      <c r="J71" s="79"/>
      <c r="K71" s="80"/>
      <c r="L71" s="81"/>
      <c r="M71" s="82"/>
      <c r="N71" s="80"/>
      <c r="O71" s="81"/>
      <c r="P71" s="74"/>
      <c r="Q71" s="83"/>
      <c r="R71" s="72"/>
      <c r="S71" s="749"/>
      <c r="T71" s="22"/>
      <c r="U71" s="22"/>
      <c r="V71" s="30"/>
      <c r="W71" s="73">
        <f t="shared" si="12"/>
        <v>0</v>
      </c>
      <c r="X71" s="271"/>
      <c r="Y71" s="293"/>
      <c r="Z71" s="90"/>
      <c r="AA71" s="90"/>
      <c r="AB71" s="810"/>
      <c r="AC71" s="810"/>
      <c r="AD71" s="200"/>
      <c r="AE71" s="200"/>
      <c r="AF71" s="311"/>
      <c r="AG71" s="99"/>
      <c r="AH71" s="805"/>
    </row>
    <row r="72" spans="1:36" ht="15" customHeight="1">
      <c r="A72" s="822"/>
      <c r="B72" s="75"/>
      <c r="C72" s="76"/>
      <c r="D72" s="59"/>
      <c r="E72" s="77"/>
      <c r="F72" s="75"/>
      <c r="G72" s="202"/>
      <c r="H72" s="231"/>
      <c r="I72" s="232"/>
      <c r="J72" s="79"/>
      <c r="K72" s="80"/>
      <c r="L72" s="81"/>
      <c r="M72" s="82"/>
      <c r="N72" s="80"/>
      <c r="O72" s="81"/>
      <c r="P72" s="74"/>
      <c r="Q72" s="83"/>
      <c r="R72" s="72"/>
      <c r="S72" s="749"/>
      <c r="T72" s="22"/>
      <c r="U72" s="22"/>
      <c r="V72" s="30"/>
      <c r="W72" s="73">
        <f t="shared" si="12"/>
        <v>0</v>
      </c>
      <c r="X72" s="272"/>
      <c r="Y72" s="288"/>
      <c r="Z72" s="90"/>
      <c r="AA72" s="90"/>
      <c r="AB72" s="789"/>
      <c r="AC72" s="789"/>
      <c r="AD72" s="92"/>
      <c r="AE72" s="92"/>
      <c r="AF72" s="311"/>
      <c r="AG72" s="99"/>
      <c r="AH72" s="805"/>
    </row>
    <row r="73" spans="1:36" ht="15" customHeight="1">
      <c r="A73" s="822"/>
      <c r="B73" s="75"/>
      <c r="C73" s="86"/>
      <c r="D73" s="59"/>
      <c r="E73" s="87"/>
      <c r="F73" s="75"/>
      <c r="G73" s="202"/>
      <c r="H73" s="231"/>
      <c r="I73" s="232"/>
      <c r="J73" s="79"/>
      <c r="K73" s="80"/>
      <c r="L73" s="81"/>
      <c r="M73" s="82"/>
      <c r="N73" s="80"/>
      <c r="O73" s="81"/>
      <c r="P73" s="74"/>
      <c r="Q73" s="83"/>
      <c r="R73" s="72"/>
      <c r="S73" s="749"/>
      <c r="T73" s="22"/>
      <c r="U73" s="22"/>
      <c r="V73" s="30"/>
      <c r="W73" s="73">
        <f t="shared" si="12"/>
        <v>0</v>
      </c>
      <c r="X73" s="22"/>
      <c r="Y73" s="84"/>
      <c r="Z73" s="90"/>
      <c r="AA73" s="90"/>
      <c r="AB73" s="789"/>
      <c r="AC73" s="789"/>
      <c r="AD73" s="92"/>
      <c r="AE73" s="92"/>
      <c r="AF73" s="311"/>
      <c r="AG73" s="99"/>
      <c r="AH73" s="805"/>
    </row>
    <row r="74" spans="1:36" ht="15" customHeight="1">
      <c r="A74" s="822"/>
      <c r="B74" s="75"/>
      <c r="C74" s="58"/>
      <c r="D74" s="259"/>
      <c r="E74" s="60"/>
      <c r="F74" s="75"/>
      <c r="G74" s="273"/>
      <c r="H74" s="231"/>
      <c r="I74" s="182"/>
      <c r="J74" s="274"/>
      <c r="K74" s="95"/>
      <c r="L74" s="93"/>
      <c r="M74" s="94"/>
      <c r="N74" s="95"/>
      <c r="O74" s="96"/>
      <c r="P74" s="97"/>
      <c r="Q74" s="98"/>
      <c r="R74" s="99"/>
      <c r="S74" s="749"/>
      <c r="T74" s="263"/>
      <c r="U74" s="263"/>
      <c r="V74" s="30"/>
      <c r="W74" s="73">
        <f t="shared" si="12"/>
        <v>0</v>
      </c>
      <c r="X74" s="22"/>
      <c r="Y74" s="84"/>
      <c r="Z74" s="90"/>
      <c r="AA74" s="90"/>
      <c r="AB74" s="789"/>
      <c r="AC74" s="789"/>
      <c r="AD74" s="92"/>
      <c r="AE74" s="92"/>
      <c r="AF74" s="311"/>
      <c r="AG74" s="99"/>
      <c r="AH74" s="805"/>
    </row>
    <row r="75" spans="1:36" ht="15" customHeight="1">
      <c r="A75" s="822"/>
      <c r="B75" s="30"/>
      <c r="C75" s="151"/>
      <c r="D75" s="59"/>
      <c r="E75" s="87"/>
      <c r="F75" s="105"/>
      <c r="G75" s="30"/>
      <c r="H75" s="78"/>
      <c r="I75" s="182"/>
      <c r="J75" s="275"/>
      <c r="K75" s="276"/>
      <c r="L75" s="277"/>
      <c r="M75" s="108"/>
      <c r="N75" s="276"/>
      <c r="O75" s="277"/>
      <c r="P75" s="180"/>
      <c r="Q75" s="181"/>
      <c r="R75" s="278"/>
      <c r="S75" s="749"/>
      <c r="T75" s="263"/>
      <c r="U75" s="263"/>
      <c r="V75" s="30"/>
      <c r="W75" s="256">
        <f t="shared" si="12"/>
        <v>0</v>
      </c>
      <c r="X75" s="279"/>
      <c r="Y75" s="304"/>
      <c r="Z75" s="90"/>
      <c r="AA75" s="90"/>
      <c r="AB75" s="789"/>
      <c r="AC75" s="789"/>
      <c r="AD75" s="92"/>
      <c r="AE75" s="92"/>
      <c r="AF75" s="318"/>
      <c r="AG75" s="280"/>
      <c r="AH75" s="785"/>
    </row>
    <row r="76" spans="1:36" ht="15" customHeight="1">
      <c r="A76" s="822"/>
      <c r="B76" s="101"/>
      <c r="C76" s="102"/>
      <c r="D76" s="103"/>
      <c r="E76" s="104"/>
      <c r="F76" s="105"/>
      <c r="G76" s="30"/>
      <c r="H76" s="78"/>
      <c r="I76" s="182"/>
      <c r="J76" s="275"/>
      <c r="K76" s="276"/>
      <c r="L76" s="277"/>
      <c r="M76" s="108"/>
      <c r="N76" s="276"/>
      <c r="O76" s="277"/>
      <c r="P76" s="180"/>
      <c r="Q76" s="181"/>
      <c r="R76" s="278"/>
      <c r="S76" s="750"/>
      <c r="T76" s="263"/>
      <c r="U76" s="263"/>
      <c r="V76" s="30"/>
      <c r="W76" s="248">
        <f t="shared" si="12"/>
        <v>0</v>
      </c>
      <c r="X76" s="235"/>
      <c r="Y76" s="305"/>
      <c r="Z76" s="90"/>
      <c r="AA76" s="90"/>
      <c r="AB76" s="789"/>
      <c r="AC76" s="789"/>
      <c r="AD76" s="92"/>
      <c r="AE76" s="92"/>
      <c r="AF76" s="317"/>
      <c r="AG76" s="247"/>
      <c r="AH76" s="786"/>
    </row>
    <row r="77" spans="1:36" ht="15" customHeight="1">
      <c r="A77" s="822"/>
      <c r="B77" s="101"/>
      <c r="C77" s="102"/>
      <c r="D77" s="103"/>
      <c r="E77" s="104"/>
      <c r="F77" s="105"/>
      <c r="G77" s="30"/>
      <c r="H77" s="78"/>
      <c r="I77" s="182"/>
      <c r="J77" s="275"/>
      <c r="K77" s="276"/>
      <c r="L77" s="277"/>
      <c r="M77" s="108"/>
      <c r="N77" s="276"/>
      <c r="O77" s="277"/>
      <c r="P77" s="180"/>
      <c r="Q77" s="181"/>
      <c r="R77" s="278"/>
      <c r="S77" s="750"/>
      <c r="T77" s="263"/>
      <c r="U77" s="263"/>
      <c r="V77" s="30"/>
      <c r="W77" s="73">
        <f t="shared" si="12"/>
        <v>0</v>
      </c>
      <c r="X77" s="261"/>
      <c r="Y77" s="291"/>
      <c r="Z77" s="335"/>
      <c r="AA77" s="335"/>
      <c r="AB77" s="789"/>
      <c r="AC77" s="789"/>
      <c r="AD77" s="92"/>
      <c r="AE77" s="92"/>
      <c r="AF77" s="307"/>
      <c r="AG77" s="262"/>
      <c r="AH77" s="786"/>
    </row>
    <row r="78" spans="1:36" ht="15" customHeight="1">
      <c r="A78" s="822"/>
      <c r="B78" s="101"/>
      <c r="C78" s="102"/>
      <c r="D78" s="103"/>
      <c r="E78" s="104"/>
      <c r="F78" s="105"/>
      <c r="G78" s="30"/>
      <c r="H78" s="78"/>
      <c r="I78" s="264"/>
      <c r="J78" s="148"/>
      <c r="K78" s="95"/>
      <c r="L78" s="277"/>
      <c r="M78" s="94"/>
      <c r="N78" s="95"/>
      <c r="O78" s="96"/>
      <c r="P78" s="97"/>
      <c r="Q78" s="98"/>
      <c r="R78" s="99"/>
      <c r="S78" s="824"/>
      <c r="T78" s="109"/>
      <c r="U78" s="109"/>
      <c r="V78" s="38"/>
      <c r="W78" s="73">
        <f t="shared" si="12"/>
        <v>0</v>
      </c>
      <c r="X78" s="281"/>
      <c r="Y78" s="306"/>
      <c r="Z78" s="335"/>
      <c r="AA78" s="335"/>
      <c r="AB78" s="789"/>
      <c r="AC78" s="789"/>
      <c r="AD78" s="92"/>
      <c r="AE78" s="92"/>
      <c r="AF78" s="308"/>
      <c r="AG78" s="112"/>
      <c r="AH78" s="786"/>
    </row>
    <row r="79" spans="1:36" ht="15" customHeight="1">
      <c r="A79" s="823"/>
      <c r="B79" s="239"/>
      <c r="C79" s="153"/>
      <c r="D79" s="762"/>
      <c r="E79" s="762"/>
      <c r="F79" s="116"/>
      <c r="G79" s="117"/>
      <c r="H79" s="282"/>
      <c r="I79" s="268"/>
      <c r="J79" s="240"/>
      <c r="K79" s="240"/>
      <c r="L79" s="268"/>
      <c r="M79" s="240"/>
      <c r="N79" s="240"/>
      <c r="O79" s="268"/>
      <c r="P79" s="269"/>
      <c r="Q79" s="222"/>
      <c r="R79" s="223"/>
      <c r="S79" s="752"/>
      <c r="T79" s="125"/>
      <c r="U79" s="125"/>
      <c r="V79" s="126"/>
      <c r="W79" s="242"/>
      <c r="X79" s="128"/>
      <c r="Y79" s="295"/>
      <c r="Z79" s="334">
        <f>SUM(Z70:Z78)</f>
        <v>0</v>
      </c>
      <c r="AA79" s="334">
        <f>SUM(AA70:AA78)</f>
        <v>0</v>
      </c>
      <c r="AB79" s="790"/>
      <c r="AC79" s="790"/>
      <c r="AD79" s="323">
        <f>SUM(AD70:AD78)</f>
        <v>0</v>
      </c>
      <c r="AE79" s="323">
        <f>SUM(AE70:AE78)</f>
        <v>0</v>
      </c>
      <c r="AF79" s="309">
        <f>N79-K79</f>
        <v>0</v>
      </c>
      <c r="AG79" s="124" t="e">
        <f>N79/K79</f>
        <v>#DIV/0!</v>
      </c>
      <c r="AH79" s="787"/>
    </row>
    <row r="80" spans="1:36">
      <c r="AJ80" s="284" t="s">
        <v>57</v>
      </c>
    </row>
    <row r="81" spans="4:36">
      <c r="AJ81" s="284" t="s">
        <v>58</v>
      </c>
    </row>
    <row r="82" spans="4:36">
      <c r="AJ82" s="284" t="s">
        <v>59</v>
      </c>
    </row>
    <row r="83" spans="4:36">
      <c r="D83" s="285"/>
      <c r="W83" s="34"/>
      <c r="AJ83" s="284" t="s">
        <v>60</v>
      </c>
    </row>
    <row r="84" spans="4:36">
      <c r="D84" s="286"/>
      <c r="W84" s="34"/>
      <c r="AJ84" s="284" t="s">
        <v>61</v>
      </c>
    </row>
    <row r="85" spans="4:36">
      <c r="D85" s="286"/>
      <c r="W85" s="34"/>
      <c r="AJ85" s="284" t="s">
        <v>62</v>
      </c>
    </row>
    <row r="86" spans="4:36">
      <c r="D86" s="287"/>
      <c r="W86" s="34"/>
      <c r="AJ86" s="284" t="s">
        <v>63</v>
      </c>
    </row>
    <row r="87" spans="4:36">
      <c r="W87" s="34"/>
      <c r="AJ87" s="284" t="s">
        <v>64</v>
      </c>
    </row>
    <row r="88" spans="4:36">
      <c r="W88" s="34"/>
      <c r="AJ88" s="284" t="s">
        <v>65</v>
      </c>
    </row>
    <row r="89" spans="4:36">
      <c r="W89" s="34"/>
      <c r="AJ89" s="284" t="s">
        <v>66</v>
      </c>
    </row>
    <row r="90" spans="4:36">
      <c r="W90" s="34"/>
      <c r="AJ90" s="284" t="s">
        <v>67</v>
      </c>
    </row>
    <row r="91" spans="4:36">
      <c r="W91" s="34"/>
      <c r="AJ91" s="284" t="s">
        <v>68</v>
      </c>
    </row>
    <row r="92" spans="4:36">
      <c r="W92" s="34"/>
      <c r="AJ92" s="284" t="s">
        <v>69</v>
      </c>
    </row>
  </sheetData>
  <mergeCells count="137">
    <mergeCell ref="AH70:AH79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D69:E69"/>
    <mergeCell ref="AB69:AC69"/>
    <mergeCell ref="A70:A79"/>
    <mergeCell ref="S70:S79"/>
    <mergeCell ref="AB70:AC70"/>
    <mergeCell ref="D79:E79"/>
    <mergeCell ref="A59:A69"/>
    <mergeCell ref="S59:S69"/>
    <mergeCell ref="AB59:AC59"/>
    <mergeCell ref="AH59:AH69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H49:AH58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D48:E48"/>
    <mergeCell ref="AB48:AC48"/>
    <mergeCell ref="A49:A58"/>
    <mergeCell ref="S49:S58"/>
    <mergeCell ref="AB49:AC49"/>
    <mergeCell ref="D58:E58"/>
    <mergeCell ref="A38:A48"/>
    <mergeCell ref="S38:S48"/>
    <mergeCell ref="AB38:AC38"/>
    <mergeCell ref="AH38:AH4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H27:AH3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D26:E26"/>
    <mergeCell ref="AB26:AC26"/>
    <mergeCell ref="A27:A37"/>
    <mergeCell ref="S27:S37"/>
    <mergeCell ref="AB27:AC27"/>
    <mergeCell ref="D37:E37"/>
    <mergeCell ref="AB37:AC37"/>
    <mergeCell ref="A16:A26"/>
    <mergeCell ref="S16:S26"/>
    <mergeCell ref="AB16:AC16"/>
    <mergeCell ref="AH16:AH26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H5:AH15"/>
    <mergeCell ref="AB6:AC6"/>
    <mergeCell ref="AB7:AC7"/>
    <mergeCell ref="AB8:AC8"/>
    <mergeCell ref="AB9:AC9"/>
    <mergeCell ref="AB11:AC11"/>
    <mergeCell ref="AB12:AC12"/>
    <mergeCell ref="AB13:AC13"/>
    <mergeCell ref="AB14:AC14"/>
    <mergeCell ref="AB15:AC15"/>
    <mergeCell ref="AB10:AC10"/>
    <mergeCell ref="AB5:AC5"/>
    <mergeCell ref="AF1:AH2"/>
    <mergeCell ref="R3:R4"/>
    <mergeCell ref="S3:S4"/>
    <mergeCell ref="AB3:AC4"/>
    <mergeCell ref="AF3:AF4"/>
    <mergeCell ref="Z3:AA3"/>
    <mergeCell ref="AD3:AE3"/>
    <mergeCell ref="AG3:AG4"/>
    <mergeCell ref="AH3:AH4"/>
    <mergeCell ref="T1:Y2"/>
    <mergeCell ref="V3:V4"/>
    <mergeCell ref="W3:W4"/>
    <mergeCell ref="X3:Y3"/>
    <mergeCell ref="T3:U3"/>
    <mergeCell ref="P1:S2"/>
    <mergeCell ref="AB1:AC2"/>
    <mergeCell ref="A2:B2"/>
    <mergeCell ref="A3:A4"/>
    <mergeCell ref="B3:B4"/>
    <mergeCell ref="D3:E4"/>
    <mergeCell ref="F3:F4"/>
    <mergeCell ref="P3:P4"/>
    <mergeCell ref="Q3:Q4"/>
    <mergeCell ref="S5:S15"/>
    <mergeCell ref="J1:L2"/>
    <mergeCell ref="M1:O2"/>
    <mergeCell ref="A5:A15"/>
    <mergeCell ref="K3:K4"/>
    <mergeCell ref="O3:O4"/>
    <mergeCell ref="L3:L4"/>
    <mergeCell ref="M3:M4"/>
    <mergeCell ref="N3:N4"/>
    <mergeCell ref="D15:E15"/>
    <mergeCell ref="G3:G4"/>
    <mergeCell ref="H3:H4"/>
    <mergeCell ref="I3:I4"/>
    <mergeCell ref="J3:J4"/>
  </mergeCells>
  <phoneticPr fontId="8" type="noConversion"/>
  <conditionalFormatting sqref="P5:P79">
    <cfRule type="cellIs" dxfId="8" priority="1" operator="greaterThan">
      <formula>0</formula>
    </cfRule>
  </conditionalFormatting>
  <conditionalFormatting sqref="Q5:Q79 AF5:AF79">
    <cfRule type="cellIs" dxfId="7" priority="4" operator="lessThan">
      <formula>0</formula>
    </cfRule>
  </conditionalFormatting>
  <conditionalFormatting sqref="R5:R79 AG5:AG79">
    <cfRule type="cellIs" dxfId="6" priority="2" operator="greaterThan">
      <formula>1</formula>
    </cfRule>
    <cfRule type="cellIs" dxfId="5" priority="3" operator="lessThan">
      <formula>0.8</formula>
    </cfRule>
  </conditionalFormatting>
  <conditionalFormatting sqref="S5:S10 S37:S62 AH59:AH62 S69:S76 AH69:AH76">
    <cfRule type="cellIs" dxfId="4" priority="7" operator="lessThan">
      <formula>0.8</formula>
    </cfRule>
  </conditionalFormatting>
  <conditionalFormatting sqref="S19:S25 AH19:AH25">
    <cfRule type="cellIs" dxfId="3" priority="6" operator="lessThan">
      <formula>0.8</formula>
    </cfRule>
  </conditionalFormatting>
  <conditionalFormatting sqref="S79">
    <cfRule type="cellIs" dxfId="2" priority="5" operator="lessThan">
      <formula>0.8</formula>
    </cfRule>
  </conditionalFormatting>
  <conditionalFormatting sqref="AH5:AH8 S15:S16 AH15:AH16 AH49 AH79">
    <cfRule type="cellIs" dxfId="1" priority="9" operator="lessThan">
      <formula>0.8</formula>
    </cfRule>
  </conditionalFormatting>
  <conditionalFormatting sqref="AH27 S27:S28">
    <cfRule type="cellIs" dxfId="0" priority="8" operator="lessThan">
      <formula>0.8</formula>
    </cfRule>
  </conditionalFormatting>
  <pageMargins left="0" right="0" top="0" bottom="0" header="0" footer="0"/>
  <pageSetup paperSize="8" scale="61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'C:\Users\CHENG191\Desktop\生產日報(工廠寄)\長家\114.12\人時性\[長家生產日報1201-1224.xlsx]廠價表'!#REF!</xm:f>
          </x14:formula1>
          <xm:sqref>D1:D1048576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F1F9A5-510B-4CB6-A4AE-6D269476B140}"/>
</file>

<file path=customXml/itemProps2.xml><?xml version="1.0" encoding="utf-8"?>
<ds:datastoreItem xmlns:ds="http://schemas.openxmlformats.org/officeDocument/2006/customXml" ds:itemID="{FAA3E494-7895-4CCF-B6A2-9422A49595BB}"/>
</file>

<file path=customXml/itemProps3.xml><?xml version="1.0" encoding="utf-8"?>
<ds:datastoreItem xmlns:ds="http://schemas.openxmlformats.org/officeDocument/2006/customXml" ds:itemID="{BEC6A562-CE32-4B4C-AEE8-5BFB4334F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66</vt:i4>
      </vt:variant>
      <vt:variant>
        <vt:lpstr>具名範圍</vt:lpstr>
      </vt:variant>
      <vt:variant>
        <vt:i4>94</vt:i4>
      </vt:variant>
    </vt:vector>
  </HeadingPairs>
  <TitlesOfParts>
    <vt:vector size="160" baseType="lpstr">
      <vt:lpstr>廠價表</vt:lpstr>
      <vt:lpstr>產線配置圖</vt:lpstr>
      <vt:lpstr>範本總</vt:lpstr>
      <vt:lpstr>範本</vt:lpstr>
      <vt:lpstr>0801總</vt:lpstr>
      <vt:lpstr>0801</vt:lpstr>
      <vt:lpstr>0802總</vt:lpstr>
      <vt:lpstr>0802</vt:lpstr>
      <vt:lpstr>0803總</vt:lpstr>
      <vt:lpstr>0803</vt:lpstr>
      <vt:lpstr>0804總</vt:lpstr>
      <vt:lpstr>0804</vt:lpstr>
      <vt:lpstr>0805總</vt:lpstr>
      <vt:lpstr>0805</vt:lpstr>
      <vt:lpstr>0806總</vt:lpstr>
      <vt:lpstr>0806</vt:lpstr>
      <vt:lpstr>0807總</vt:lpstr>
      <vt:lpstr>0807</vt:lpstr>
      <vt:lpstr>0808總</vt:lpstr>
      <vt:lpstr>0808</vt:lpstr>
      <vt:lpstr>0809總</vt:lpstr>
      <vt:lpstr>0809</vt:lpstr>
      <vt:lpstr>0810總</vt:lpstr>
      <vt:lpstr>0810</vt:lpstr>
      <vt:lpstr>0811總</vt:lpstr>
      <vt:lpstr>0811</vt:lpstr>
      <vt:lpstr>0812總</vt:lpstr>
      <vt:lpstr>0812</vt:lpstr>
      <vt:lpstr>0813總</vt:lpstr>
      <vt:lpstr>0813</vt:lpstr>
      <vt:lpstr>0814總</vt:lpstr>
      <vt:lpstr>0814</vt:lpstr>
      <vt:lpstr>0815總</vt:lpstr>
      <vt:lpstr>0815</vt:lpstr>
      <vt:lpstr>0816總</vt:lpstr>
      <vt:lpstr>0816</vt:lpstr>
      <vt:lpstr>0817總</vt:lpstr>
      <vt:lpstr>0817</vt:lpstr>
      <vt:lpstr>0818總</vt:lpstr>
      <vt:lpstr>0818</vt:lpstr>
      <vt:lpstr>0819總</vt:lpstr>
      <vt:lpstr>0819</vt:lpstr>
      <vt:lpstr>0820總</vt:lpstr>
      <vt:lpstr>0820</vt:lpstr>
      <vt:lpstr>0821總</vt:lpstr>
      <vt:lpstr>0821</vt:lpstr>
      <vt:lpstr>0822總</vt:lpstr>
      <vt:lpstr>0822</vt:lpstr>
      <vt:lpstr>0823總</vt:lpstr>
      <vt:lpstr>0823</vt:lpstr>
      <vt:lpstr>0824總</vt:lpstr>
      <vt:lpstr>0824</vt:lpstr>
      <vt:lpstr>0825總</vt:lpstr>
      <vt:lpstr>0825</vt:lpstr>
      <vt:lpstr>0826總</vt:lpstr>
      <vt:lpstr>0826</vt:lpstr>
      <vt:lpstr>0827總</vt:lpstr>
      <vt:lpstr>0827</vt:lpstr>
      <vt:lpstr>0828總</vt:lpstr>
      <vt:lpstr>0828</vt:lpstr>
      <vt:lpstr>0829總</vt:lpstr>
      <vt:lpstr>0829</vt:lpstr>
      <vt:lpstr>0830總</vt:lpstr>
      <vt:lpstr>0830</vt:lpstr>
      <vt:lpstr>0831總</vt:lpstr>
      <vt:lpstr>0831</vt:lpstr>
      <vt:lpstr>'0801'!_FilterDatabase</vt:lpstr>
      <vt:lpstr>'0801總'!_FilterDatabase</vt:lpstr>
      <vt:lpstr>'0802'!_FilterDatabase</vt:lpstr>
      <vt:lpstr>'0802總'!_FilterDatabase</vt:lpstr>
      <vt:lpstr>'0803'!_FilterDatabase</vt:lpstr>
      <vt:lpstr>'0803總'!_FilterDatabase</vt:lpstr>
      <vt:lpstr>'0804'!_FilterDatabase</vt:lpstr>
      <vt:lpstr>'0804總'!_FilterDatabase</vt:lpstr>
      <vt:lpstr>'0805'!_FilterDatabase</vt:lpstr>
      <vt:lpstr>'0805總'!_FilterDatabase</vt:lpstr>
      <vt:lpstr>'0806'!_FilterDatabase</vt:lpstr>
      <vt:lpstr>'0806總'!_FilterDatabase</vt:lpstr>
      <vt:lpstr>'0807'!_FilterDatabase</vt:lpstr>
      <vt:lpstr>'0807總'!_FilterDatabase</vt:lpstr>
      <vt:lpstr>'0808'!_FilterDatabase</vt:lpstr>
      <vt:lpstr>'0808總'!_FilterDatabase</vt:lpstr>
      <vt:lpstr>'0809'!_FilterDatabase</vt:lpstr>
      <vt:lpstr>'0809總'!_FilterDatabase</vt:lpstr>
      <vt:lpstr>'0810'!_FilterDatabase</vt:lpstr>
      <vt:lpstr>'0810總'!_FilterDatabase</vt:lpstr>
      <vt:lpstr>'0811'!_FilterDatabase</vt:lpstr>
      <vt:lpstr>'0811總'!_FilterDatabase</vt:lpstr>
      <vt:lpstr>'0812'!_FilterDatabase</vt:lpstr>
      <vt:lpstr>'0812總'!_FilterDatabase</vt:lpstr>
      <vt:lpstr>'0813'!_FilterDatabase</vt:lpstr>
      <vt:lpstr>'0813總'!_FilterDatabase</vt:lpstr>
      <vt:lpstr>'0814'!_FilterDatabase</vt:lpstr>
      <vt:lpstr>'0814總'!_FilterDatabase</vt:lpstr>
      <vt:lpstr>'0815'!_FilterDatabase</vt:lpstr>
      <vt:lpstr>'0815總'!_FilterDatabase</vt:lpstr>
      <vt:lpstr>'0816'!_FilterDatabase</vt:lpstr>
      <vt:lpstr>'0816總'!_FilterDatabase</vt:lpstr>
      <vt:lpstr>'0817'!_FilterDatabase</vt:lpstr>
      <vt:lpstr>'0817總'!_FilterDatabase</vt:lpstr>
      <vt:lpstr>'0818'!_FilterDatabase</vt:lpstr>
      <vt:lpstr>'0818總'!_FilterDatabase</vt:lpstr>
      <vt:lpstr>'0819'!_FilterDatabase</vt:lpstr>
      <vt:lpstr>'0819總'!_FilterDatabase</vt:lpstr>
      <vt:lpstr>'0820'!_FilterDatabase</vt:lpstr>
      <vt:lpstr>'0820總'!_FilterDatabase</vt:lpstr>
      <vt:lpstr>'0821'!_FilterDatabase</vt:lpstr>
      <vt:lpstr>'0821總'!_FilterDatabase</vt:lpstr>
      <vt:lpstr>'0822'!_FilterDatabase</vt:lpstr>
      <vt:lpstr>'0822總'!_FilterDatabase</vt:lpstr>
      <vt:lpstr>'0823'!_FilterDatabase</vt:lpstr>
      <vt:lpstr>'0823總'!_FilterDatabase</vt:lpstr>
      <vt:lpstr>'0824'!_FilterDatabase</vt:lpstr>
      <vt:lpstr>'0824總'!_FilterDatabase</vt:lpstr>
      <vt:lpstr>'0825'!_FilterDatabase</vt:lpstr>
      <vt:lpstr>'0825總'!_FilterDatabase</vt:lpstr>
      <vt:lpstr>'0826'!_FilterDatabase</vt:lpstr>
      <vt:lpstr>'0826總'!_FilterDatabase</vt:lpstr>
      <vt:lpstr>'0827'!_FilterDatabase</vt:lpstr>
      <vt:lpstr>'0827總'!_FilterDatabase</vt:lpstr>
      <vt:lpstr>'0828'!_FilterDatabase</vt:lpstr>
      <vt:lpstr>'0828總'!_FilterDatabase</vt:lpstr>
      <vt:lpstr>'0829'!_FilterDatabase</vt:lpstr>
      <vt:lpstr>'0829總'!_FilterDatabase</vt:lpstr>
      <vt:lpstr>'0830'!_FilterDatabase</vt:lpstr>
      <vt:lpstr>'0830總'!_FilterDatabase</vt:lpstr>
      <vt:lpstr>'0831'!_FilterDatabase</vt:lpstr>
      <vt:lpstr>'0831總'!_FilterDatabase</vt:lpstr>
      <vt:lpstr>'0801'!Print_Area</vt:lpstr>
      <vt:lpstr>'0802'!Print_Area</vt:lpstr>
      <vt:lpstr>'0803'!Print_Area</vt:lpstr>
      <vt:lpstr>'0804'!Print_Area</vt:lpstr>
      <vt:lpstr>'0805'!Print_Area</vt:lpstr>
      <vt:lpstr>'0806'!Print_Area</vt:lpstr>
      <vt:lpstr>'0807'!Print_Area</vt:lpstr>
      <vt:lpstr>'0808'!Print_Area</vt:lpstr>
      <vt:lpstr>'0809'!Print_Area</vt:lpstr>
      <vt:lpstr>'0810'!Print_Area</vt:lpstr>
      <vt:lpstr>'0811'!Print_Area</vt:lpstr>
      <vt:lpstr>'0812'!Print_Area</vt:lpstr>
      <vt:lpstr>'0813'!Print_Area</vt:lpstr>
      <vt:lpstr>'0814'!Print_Area</vt:lpstr>
      <vt:lpstr>'0815'!Print_Area</vt:lpstr>
      <vt:lpstr>'0816'!Print_Area</vt:lpstr>
      <vt:lpstr>'0817'!Print_Area</vt:lpstr>
      <vt:lpstr>'0818'!Print_Area</vt:lpstr>
      <vt:lpstr>'0819'!Print_Area</vt:lpstr>
      <vt:lpstr>'0820'!Print_Area</vt:lpstr>
      <vt:lpstr>'0821'!Print_Area</vt:lpstr>
      <vt:lpstr>'0822'!Print_Area</vt:lpstr>
      <vt:lpstr>'0823'!Print_Area</vt:lpstr>
      <vt:lpstr>'0824'!Print_Area</vt:lpstr>
      <vt:lpstr>'0825'!Print_Area</vt:lpstr>
      <vt:lpstr>'0826'!Print_Area</vt:lpstr>
      <vt:lpstr>'0827'!Print_Area</vt:lpstr>
      <vt:lpstr>'0828'!Print_Area</vt:lpstr>
      <vt:lpstr>'0829'!Print_Area</vt:lpstr>
      <vt:lpstr>'0830'!Print_Area</vt:lpstr>
      <vt:lpstr>'0831'!Print_Area</vt:lpstr>
      <vt:lpstr>範本!Print_Area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2026-09-02T07:14:47Z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