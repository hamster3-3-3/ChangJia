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_{B3DD6CE5-DFE5-4BDA-BD5D-74A6915F082A}" xr6:coauthVersionLast="47" xr6:coauthVersionMax="47" xr10:uidLastSave="{00000000-0000-0000-0000-000000000000}"/>
  <bookViews>
    <workbookView xWindow="-120" yWindow="-120" windowWidth="29040" windowHeight="15720" tabRatio="546" firstSheet="59" activeTab="63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401總" sheetId="417" r:id="rId5"/>
    <sheet name="0401" sheetId="418" r:id="rId6"/>
    <sheet name="0402總" sheetId="419" r:id="rId7"/>
    <sheet name="0402" sheetId="420" r:id="rId8"/>
    <sheet name="0403總" sheetId="421" r:id="rId9"/>
    <sheet name="0403" sheetId="422" r:id="rId10"/>
    <sheet name="0404總" sheetId="423" r:id="rId11"/>
    <sheet name="0404" sheetId="424" r:id="rId12"/>
    <sheet name="0405總" sheetId="425" r:id="rId13"/>
    <sheet name="0405" sheetId="426" r:id="rId14"/>
    <sheet name="0406總" sheetId="427" r:id="rId15"/>
    <sheet name="0406" sheetId="428" r:id="rId16"/>
    <sheet name="0407總" sheetId="429" r:id="rId17"/>
    <sheet name="0407" sheetId="430" r:id="rId18"/>
    <sheet name="0408總 " sheetId="431" r:id="rId19"/>
    <sheet name="0408" sheetId="432" r:id="rId20"/>
    <sheet name="0409總" sheetId="433" r:id="rId21"/>
    <sheet name="0409" sheetId="434" r:id="rId22"/>
    <sheet name="0410總" sheetId="435" r:id="rId23"/>
    <sheet name="0410" sheetId="436" r:id="rId24"/>
    <sheet name="0411總" sheetId="437" r:id="rId25"/>
    <sheet name="0411" sheetId="438" r:id="rId26"/>
    <sheet name="0412總" sheetId="439" r:id="rId27"/>
    <sheet name="0412" sheetId="440" r:id="rId28"/>
    <sheet name="0413總" sheetId="441" r:id="rId29"/>
    <sheet name="0413" sheetId="442" r:id="rId30"/>
    <sheet name="0414總" sheetId="443" r:id="rId31"/>
    <sheet name="0414" sheetId="444" r:id="rId32"/>
    <sheet name="0415總" sheetId="445" r:id="rId33"/>
    <sheet name="0415" sheetId="446" r:id="rId34"/>
    <sheet name="0416總" sheetId="447" r:id="rId35"/>
    <sheet name="0416" sheetId="448" r:id="rId36"/>
    <sheet name="0417總" sheetId="449" r:id="rId37"/>
    <sheet name="0417" sheetId="450" r:id="rId38"/>
    <sheet name="0418總" sheetId="451" r:id="rId39"/>
    <sheet name="0418" sheetId="452" r:id="rId40"/>
    <sheet name="0419總" sheetId="453" r:id="rId41"/>
    <sheet name="0419" sheetId="454" r:id="rId42"/>
    <sheet name="0420總" sheetId="455" r:id="rId43"/>
    <sheet name="0420" sheetId="456" r:id="rId44"/>
    <sheet name="0421總" sheetId="457" r:id="rId45"/>
    <sheet name="0421" sheetId="458" r:id="rId46"/>
    <sheet name="0422總" sheetId="459" r:id="rId47"/>
    <sheet name="0422" sheetId="460" r:id="rId48"/>
    <sheet name="0423總" sheetId="461" r:id="rId49"/>
    <sheet name="0423" sheetId="462" r:id="rId50"/>
    <sheet name="0424總" sheetId="463" r:id="rId51"/>
    <sheet name="0424" sheetId="464" r:id="rId52"/>
    <sheet name="0425總" sheetId="465" r:id="rId53"/>
    <sheet name="0425" sheetId="466" r:id="rId54"/>
    <sheet name="0426總" sheetId="467" r:id="rId55"/>
    <sheet name="0426" sheetId="468" r:id="rId56"/>
    <sheet name="0427總" sheetId="469" r:id="rId57"/>
    <sheet name="0427" sheetId="470" r:id="rId58"/>
    <sheet name="0428總" sheetId="471" r:id="rId59"/>
    <sheet name="0428" sheetId="472" r:id="rId60"/>
    <sheet name="0429總" sheetId="473" r:id="rId61"/>
    <sheet name="0429" sheetId="474" r:id="rId62"/>
    <sheet name="0430總" sheetId="475" r:id="rId63"/>
    <sheet name="0430" sheetId="476" r:id="rId64"/>
  </sheets>
  <externalReferences>
    <externalReference r:id="rId65"/>
  </externalReferences>
  <definedNames>
    <definedName name="_xlnm._FilterDatabase" localSheetId="5">'0401'!$A$4:$AJ$79</definedName>
    <definedName name="_xlnm._FilterDatabase" localSheetId="4">'0401總'!$B$10:$J$25</definedName>
    <definedName name="_xlnm._FilterDatabase" localSheetId="7">'0402'!$A$4:$AJ$79</definedName>
    <definedName name="_xlnm._FilterDatabase" localSheetId="6">'0402總'!$B$10:$J$25</definedName>
    <definedName name="_xlnm._FilterDatabase" localSheetId="9">'0403'!$A$4:$AJ$79</definedName>
    <definedName name="_xlnm._FilterDatabase" localSheetId="8">'0403總'!$B$10:$J$25</definedName>
    <definedName name="_xlnm._FilterDatabase" localSheetId="11">'0404'!$A$4:$AJ$79</definedName>
    <definedName name="_xlnm._FilterDatabase" localSheetId="10">'0404總'!$B$10:$J$25</definedName>
    <definedName name="_xlnm._FilterDatabase" localSheetId="13">'0405'!$A$4:$AJ$79</definedName>
    <definedName name="_xlnm._FilterDatabase" localSheetId="12">'0405總'!$B$10:$J$25</definedName>
    <definedName name="_xlnm._FilterDatabase" localSheetId="15">'0406'!$A$4:$AJ$79</definedName>
    <definedName name="_xlnm._FilterDatabase" localSheetId="14">'0406總'!$B$10:$J$25</definedName>
    <definedName name="_xlnm._FilterDatabase" localSheetId="17">'0407'!$A$4:$AJ$79</definedName>
    <definedName name="_xlnm._FilterDatabase" localSheetId="16">'0407總'!$B$10:$J$25</definedName>
    <definedName name="_xlnm._FilterDatabase" localSheetId="19">'0408'!$A$4:$AJ$79</definedName>
    <definedName name="_xlnm._FilterDatabase" localSheetId="18">'0408總 '!$B$10:$J$25</definedName>
    <definedName name="_xlnm._FilterDatabase" localSheetId="21">'0409'!$A$4:$AJ$79</definedName>
    <definedName name="_xlnm._FilterDatabase" localSheetId="20">'0409總'!$B$10:$J$25</definedName>
    <definedName name="_xlnm._FilterDatabase" localSheetId="23">'0410'!$A$4:$AJ$79</definedName>
    <definedName name="_xlnm._FilterDatabase" localSheetId="22">'0410總'!$B$10:$J$25</definedName>
    <definedName name="_xlnm._FilterDatabase" localSheetId="25">'0411'!$A$4:$AJ$79</definedName>
    <definedName name="_xlnm._FilterDatabase" localSheetId="24">'0411總'!$B$10:$J$25</definedName>
    <definedName name="_xlnm._FilterDatabase" localSheetId="27">'0412'!$A$4:$AJ$79</definedName>
    <definedName name="_xlnm._FilterDatabase" localSheetId="26">'0412總'!$B$10:$J$25</definedName>
    <definedName name="_xlnm._FilterDatabase" localSheetId="29">'0413'!$A$4:$AJ$79</definedName>
    <definedName name="_xlnm._FilterDatabase" localSheetId="28">'0413總'!$B$10:$J$25</definedName>
    <definedName name="_xlnm._FilterDatabase" localSheetId="31">'0414'!$A$4:$AJ$79</definedName>
    <definedName name="_xlnm._FilterDatabase" localSheetId="30">'0414總'!$B$10:$J$25</definedName>
    <definedName name="_xlnm._FilterDatabase" localSheetId="33">'0415'!$A$4:$AJ$79</definedName>
    <definedName name="_xlnm._FilterDatabase" localSheetId="32">'0415總'!$B$10:$J$25</definedName>
    <definedName name="_xlnm._FilterDatabase" localSheetId="35">'0416'!$A$4:$AJ$79</definedName>
    <definedName name="_xlnm._FilterDatabase" localSheetId="34">'0416總'!$B$10:$J$25</definedName>
    <definedName name="_xlnm._FilterDatabase" localSheetId="37">'0417'!$A$4:$AJ$79</definedName>
    <definedName name="_xlnm._FilterDatabase" localSheetId="36">'0417總'!$B$10:$J$25</definedName>
    <definedName name="_xlnm._FilterDatabase" localSheetId="39">'0418'!$A$4:$AJ$79</definedName>
    <definedName name="_xlnm._FilterDatabase" localSheetId="38">'0418總'!$B$10:$J$25</definedName>
    <definedName name="_xlnm._FilterDatabase" localSheetId="41">'0419'!$A$4:$AJ$79</definedName>
    <definedName name="_xlnm._FilterDatabase" localSheetId="40">'0419總'!$B$10:$J$25</definedName>
    <definedName name="_xlnm._FilterDatabase" localSheetId="43">'0420'!$A$4:$AJ$79</definedName>
    <definedName name="_xlnm._FilterDatabase" localSheetId="42">'0420總'!$B$10:$J$25</definedName>
    <definedName name="_xlnm._FilterDatabase" localSheetId="45">'0421'!$A$4:$AJ$79</definedName>
    <definedName name="_xlnm._FilterDatabase" localSheetId="44">'0421總'!$B$10:$J$25</definedName>
    <definedName name="_xlnm._FilterDatabase" localSheetId="47">'0422'!$A$4:$AJ$79</definedName>
    <definedName name="_xlnm._FilterDatabase" localSheetId="46">'0422總'!$B$10:$J$25</definedName>
    <definedName name="_xlnm._FilterDatabase" localSheetId="49">'0423'!$A$4:$AJ$79</definedName>
    <definedName name="_xlnm._FilterDatabase" localSheetId="48">'0423總'!$B$10:$J$25</definedName>
    <definedName name="_xlnm._FilterDatabase" localSheetId="51">'0424'!$A$4:$AJ$79</definedName>
    <definedName name="_xlnm._FilterDatabase" localSheetId="50">'0424總'!$B$10:$J$25</definedName>
    <definedName name="_xlnm._FilterDatabase" localSheetId="53">'0425'!$A$4:$AJ$79</definedName>
    <definedName name="_xlnm._FilterDatabase" localSheetId="52">'0425總'!$B$10:$J$25</definedName>
    <definedName name="_xlnm._FilterDatabase" localSheetId="55">'0426'!$A$4:$AJ$79</definedName>
    <definedName name="_xlnm._FilterDatabase" localSheetId="54">'0426總'!$B$10:$J$25</definedName>
    <definedName name="_xlnm._FilterDatabase" localSheetId="57">'0427'!$A$4:$AJ$79</definedName>
    <definedName name="_xlnm._FilterDatabase" localSheetId="56">'0427總'!$B$10:$J$25</definedName>
    <definedName name="_xlnm._FilterDatabase" localSheetId="59">'0428'!$A$4:$AJ$79</definedName>
    <definedName name="_xlnm._FilterDatabase" localSheetId="58">'0428總'!$B$10:$J$25</definedName>
    <definedName name="_xlnm._FilterDatabase" localSheetId="61">'0429'!$A$4:$AJ$79</definedName>
    <definedName name="_xlnm._FilterDatabase" localSheetId="60">'0429總'!$B$10:$J$25</definedName>
    <definedName name="_xlnm._FilterDatabase" localSheetId="63">'0430'!$A$4:$AJ$79</definedName>
    <definedName name="_xlnm._FilterDatabase" localSheetId="62">'0430總'!$B$10:$J$25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'0401'!$A$1:$AH$79</definedName>
    <definedName name="_xlnm.Print_Area" localSheetId="7">'0402'!$A$1:$AH$79</definedName>
    <definedName name="_xlnm.Print_Area" localSheetId="9">'0403'!$A$1:$AH$79</definedName>
    <definedName name="_xlnm.Print_Area" localSheetId="11">'0404'!$A$1:$AH$79</definedName>
    <definedName name="_xlnm.Print_Area" localSheetId="13">'0405'!$A$1:$AH$79</definedName>
    <definedName name="_xlnm.Print_Area" localSheetId="15">'0406'!$A$1:$AH$79</definedName>
    <definedName name="_xlnm.Print_Area" localSheetId="17">'0407'!$A$1:$AH$79</definedName>
    <definedName name="_xlnm.Print_Area" localSheetId="19">'0408'!$A$1:$AH$79</definedName>
    <definedName name="_xlnm.Print_Area" localSheetId="21">'0409'!$A$1:$AH$79</definedName>
    <definedName name="_xlnm.Print_Area" localSheetId="23">'0410'!$A$1:$AH$79</definedName>
    <definedName name="_xlnm.Print_Area" localSheetId="25">'0411'!$A$1:$AH$79</definedName>
    <definedName name="_xlnm.Print_Area" localSheetId="27">'0412'!$A$1:$AH$79</definedName>
    <definedName name="_xlnm.Print_Area" localSheetId="29">'0413'!$A$1:$AH$79</definedName>
    <definedName name="_xlnm.Print_Area" localSheetId="31">'0414'!$A$1:$AH$79</definedName>
    <definedName name="_xlnm.Print_Area" localSheetId="33">'0415'!$A$1:$AH$79</definedName>
    <definedName name="_xlnm.Print_Area" localSheetId="35">'0416'!$A$1:$AH$79</definedName>
    <definedName name="_xlnm.Print_Area" localSheetId="37">'0417'!$A$1:$AH$79</definedName>
    <definedName name="_xlnm.Print_Area" localSheetId="39">'0418'!$A$1:$AH$79</definedName>
    <definedName name="_xlnm.Print_Area" localSheetId="41">'0419'!$A$1:$AH$79</definedName>
    <definedName name="_xlnm.Print_Area" localSheetId="43">'0420'!$A$1:$AH$79</definedName>
    <definedName name="_xlnm.Print_Area" localSheetId="45">'0421'!$A$1:$AH$79</definedName>
    <definedName name="_xlnm.Print_Area" localSheetId="47">'0422'!$A$1:$AH$79</definedName>
    <definedName name="_xlnm.Print_Area" localSheetId="49">'0423'!$A$1:$AH$79</definedName>
    <definedName name="_xlnm.Print_Area" localSheetId="51">'0424'!$A$1:$AH$79</definedName>
    <definedName name="_xlnm.Print_Area" localSheetId="53">'0425'!$A$1:$AH$79</definedName>
    <definedName name="_xlnm.Print_Area" localSheetId="55">'0426'!$A$1:$AH$79</definedName>
    <definedName name="_xlnm.Print_Area" localSheetId="57">'0427'!$A$1:$AH$79</definedName>
    <definedName name="_xlnm.Print_Area" localSheetId="59">'0428'!$A$1:$AH$79</definedName>
    <definedName name="_xlnm.Print_Area" localSheetId="61">'0429'!$A$1:$AH$79</definedName>
    <definedName name="_xlnm.Print_Area" localSheetId="63">'0430'!$A$1:$AH$79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476" l="1"/>
  <c r="O55" i="476" s="1"/>
  <c r="K55" i="476"/>
  <c r="K58" i="476" s="1"/>
  <c r="J55" i="476"/>
  <c r="P55" i="476" s="1"/>
  <c r="F55" i="476"/>
  <c r="H55" i="476" s="1"/>
  <c r="K54" i="474"/>
  <c r="L54" i="474" s="1"/>
  <c r="J54" i="474"/>
  <c r="P54" i="474" s="1"/>
  <c r="F54" i="474"/>
  <c r="H54" i="474" s="1"/>
  <c r="AG79" i="476"/>
  <c r="AF79" i="476"/>
  <c r="AE79" i="476"/>
  <c r="AD79" i="476"/>
  <c r="AA79" i="476"/>
  <c r="Z79" i="476"/>
  <c r="W78" i="476"/>
  <c r="H78" i="476"/>
  <c r="W77" i="476"/>
  <c r="H77" i="476"/>
  <c r="W76" i="476"/>
  <c r="H76" i="476"/>
  <c r="W75" i="476"/>
  <c r="H75" i="476"/>
  <c r="W74" i="476"/>
  <c r="W73" i="476"/>
  <c r="W72" i="476"/>
  <c r="W71" i="476"/>
  <c r="AH70" i="476"/>
  <c r="AG70" i="476"/>
  <c r="AF70" i="476"/>
  <c r="W70" i="476"/>
  <c r="S70" i="476"/>
  <c r="J15" i="475" s="1"/>
  <c r="AE69" i="476"/>
  <c r="AD69" i="476"/>
  <c r="AA69" i="476"/>
  <c r="Z69" i="476"/>
  <c r="M69" i="476"/>
  <c r="W68" i="476"/>
  <c r="H68" i="476"/>
  <c r="W67" i="476"/>
  <c r="W66" i="476"/>
  <c r="W65" i="476"/>
  <c r="W64" i="476"/>
  <c r="W63" i="476"/>
  <c r="AG62" i="476"/>
  <c r="AF62" i="476"/>
  <c r="W62" i="476"/>
  <c r="W61" i="476"/>
  <c r="W60" i="476"/>
  <c r="V60" i="476"/>
  <c r="P60" i="476"/>
  <c r="N60" i="476"/>
  <c r="O60" i="476" s="1"/>
  <c r="L60" i="476"/>
  <c r="K60" i="476"/>
  <c r="J60" i="476"/>
  <c r="F60" i="476"/>
  <c r="H60" i="476" s="1"/>
  <c r="W59" i="476"/>
  <c r="N59" i="476" s="1"/>
  <c r="N69" i="476" s="1"/>
  <c r="P59" i="476"/>
  <c r="K59" i="476"/>
  <c r="F59" i="476"/>
  <c r="H59" i="476" s="1"/>
  <c r="AE58" i="476"/>
  <c r="H21" i="475" s="1"/>
  <c r="AD58" i="476"/>
  <c r="H20" i="475" s="1"/>
  <c r="AA58" i="476"/>
  <c r="H19" i="475" s="1"/>
  <c r="Z58" i="476"/>
  <c r="H18" i="475" s="1"/>
  <c r="M58" i="476"/>
  <c r="H22" i="475" s="1"/>
  <c r="W57" i="476"/>
  <c r="W56" i="476"/>
  <c r="W55" i="476"/>
  <c r="W54" i="476"/>
  <c r="AG53" i="476"/>
  <c r="AF53" i="476"/>
  <c r="W53" i="476"/>
  <c r="W52" i="476"/>
  <c r="N52" i="476" s="1"/>
  <c r="V52" i="476"/>
  <c r="P52" i="476"/>
  <c r="L52" i="476"/>
  <c r="F52" i="476"/>
  <c r="H52" i="476" s="1"/>
  <c r="W51" i="476"/>
  <c r="N51" i="476" s="1"/>
  <c r="V51" i="476"/>
  <c r="P51" i="476"/>
  <c r="O51" i="476"/>
  <c r="Q51" i="476" s="1"/>
  <c r="K51" i="476"/>
  <c r="J51" i="476"/>
  <c r="L51" i="476" s="1"/>
  <c r="F51" i="476"/>
  <c r="H51" i="476" s="1"/>
  <c r="W50" i="476"/>
  <c r="N50" i="476" s="1"/>
  <c r="V50" i="476"/>
  <c r="K50" i="476"/>
  <c r="L50" i="476" s="1"/>
  <c r="J50" i="476"/>
  <c r="P50" i="476" s="1"/>
  <c r="F50" i="476"/>
  <c r="H50" i="476" s="1"/>
  <c r="W49" i="476"/>
  <c r="N49" i="476" s="1"/>
  <c r="J49" i="476"/>
  <c r="P49" i="476" s="1"/>
  <c r="F49" i="476"/>
  <c r="H49" i="476" s="1"/>
  <c r="AE48" i="476"/>
  <c r="AD48" i="476"/>
  <c r="AA48" i="476"/>
  <c r="Z48" i="476"/>
  <c r="W48" i="476"/>
  <c r="N48" i="476"/>
  <c r="Q48" i="476" s="1"/>
  <c r="M48" i="476"/>
  <c r="P48" i="476" s="1"/>
  <c r="J48" i="476"/>
  <c r="W47" i="476"/>
  <c r="H47" i="476"/>
  <c r="W46" i="476"/>
  <c r="W45" i="476"/>
  <c r="W44" i="476"/>
  <c r="W43" i="476"/>
  <c r="W42" i="476"/>
  <c r="AG41" i="476"/>
  <c r="AF41" i="476"/>
  <c r="W41" i="476"/>
  <c r="W40" i="476"/>
  <c r="V40" i="476"/>
  <c r="P40" i="476"/>
  <c r="N40" i="476"/>
  <c r="K40" i="476"/>
  <c r="L40" i="476" s="1"/>
  <c r="H40" i="476"/>
  <c r="F40" i="476"/>
  <c r="W39" i="476"/>
  <c r="V39" i="476"/>
  <c r="P39" i="476"/>
  <c r="O39" i="476"/>
  <c r="N39" i="476"/>
  <c r="K39" i="476"/>
  <c r="L39" i="476" s="1"/>
  <c r="F39" i="476"/>
  <c r="H39" i="476" s="1"/>
  <c r="W38" i="476"/>
  <c r="P38" i="476"/>
  <c r="N38" i="476"/>
  <c r="K38" i="476"/>
  <c r="K48" i="476" s="1"/>
  <c r="J38" i="476"/>
  <c r="F38" i="476"/>
  <c r="H38" i="476" s="1"/>
  <c r="AE37" i="476"/>
  <c r="AD37" i="476"/>
  <c r="AA37" i="476"/>
  <c r="Z37" i="476"/>
  <c r="M37" i="476"/>
  <c r="W36" i="476"/>
  <c r="H36" i="476"/>
  <c r="W35" i="476"/>
  <c r="W34" i="476"/>
  <c r="W33" i="476"/>
  <c r="W32" i="476"/>
  <c r="AG31" i="476"/>
  <c r="AF31" i="476"/>
  <c r="W31" i="476"/>
  <c r="W30" i="476"/>
  <c r="N30" i="476" s="1"/>
  <c r="V30" i="476"/>
  <c r="P30" i="476"/>
  <c r="K30" i="476"/>
  <c r="L30" i="476" s="1"/>
  <c r="F30" i="476"/>
  <c r="H30" i="476" s="1"/>
  <c r="W29" i="476"/>
  <c r="N29" i="476" s="1"/>
  <c r="V29" i="476"/>
  <c r="P29" i="476"/>
  <c r="L29" i="476"/>
  <c r="F29" i="476"/>
  <c r="H29" i="476" s="1"/>
  <c r="W28" i="476"/>
  <c r="N28" i="476" s="1"/>
  <c r="V28" i="476"/>
  <c r="P28" i="476"/>
  <c r="K28" i="476"/>
  <c r="L28" i="476" s="1"/>
  <c r="F28" i="476"/>
  <c r="H28" i="476" s="1"/>
  <c r="W27" i="476"/>
  <c r="N27" i="476" s="1"/>
  <c r="K27" i="476"/>
  <c r="L27" i="476" s="1"/>
  <c r="J27" i="476"/>
  <c r="J37" i="476" s="1"/>
  <c r="F27" i="476"/>
  <c r="H27" i="476" s="1"/>
  <c r="AE26" i="476"/>
  <c r="AD26" i="476"/>
  <c r="AA26" i="476"/>
  <c r="Z26" i="476"/>
  <c r="M26" i="476"/>
  <c r="P26" i="476" s="1"/>
  <c r="K26" i="476"/>
  <c r="J26" i="476"/>
  <c r="W25" i="476"/>
  <c r="H25" i="476"/>
  <c r="W24" i="476"/>
  <c r="H24" i="476"/>
  <c r="W23" i="476"/>
  <c r="W21" i="476"/>
  <c r="W20" i="476"/>
  <c r="AG19" i="476"/>
  <c r="AF19" i="476"/>
  <c r="W19" i="476"/>
  <c r="W18" i="476"/>
  <c r="V18" i="476"/>
  <c r="P18" i="476"/>
  <c r="N18" i="476"/>
  <c r="L18" i="476"/>
  <c r="H18" i="476"/>
  <c r="F18" i="476"/>
  <c r="W17" i="476"/>
  <c r="V17" i="476"/>
  <c r="P17" i="476"/>
  <c r="N17" i="476"/>
  <c r="AG17" i="476" s="1"/>
  <c r="L17" i="476"/>
  <c r="L26" i="476" s="1"/>
  <c r="E13" i="475" s="1"/>
  <c r="F17" i="476"/>
  <c r="H17" i="476" s="1"/>
  <c r="W16" i="476"/>
  <c r="P16" i="476"/>
  <c r="N16" i="476"/>
  <c r="L16" i="476"/>
  <c r="F16" i="476"/>
  <c r="H16" i="476" s="1"/>
  <c r="AE15" i="476"/>
  <c r="AD15" i="476"/>
  <c r="D20" i="475" s="1"/>
  <c r="AA15" i="476"/>
  <c r="Z15" i="476"/>
  <c r="D18" i="475" s="1"/>
  <c r="P15" i="476"/>
  <c r="M15" i="476"/>
  <c r="D22" i="475" s="1"/>
  <c r="K15" i="476"/>
  <c r="J15" i="476"/>
  <c r="W14" i="476"/>
  <c r="W13" i="476"/>
  <c r="W12" i="476"/>
  <c r="AG11" i="476"/>
  <c r="AF11" i="476"/>
  <c r="W11" i="476"/>
  <c r="AG10" i="476"/>
  <c r="AF10" i="476"/>
  <c r="W10" i="476"/>
  <c r="AG9" i="476"/>
  <c r="AF9" i="476"/>
  <c r="W9" i="476"/>
  <c r="W8" i="476"/>
  <c r="V8" i="476"/>
  <c r="P8" i="476"/>
  <c r="N8" i="476"/>
  <c r="L8" i="476"/>
  <c r="H8" i="476"/>
  <c r="F8" i="476"/>
  <c r="W7" i="476"/>
  <c r="V7" i="476"/>
  <c r="P7" i="476"/>
  <c r="N7" i="476"/>
  <c r="L7" i="476"/>
  <c r="F7" i="476"/>
  <c r="H7" i="476" s="1"/>
  <c r="W6" i="476"/>
  <c r="V6" i="476"/>
  <c r="P6" i="476"/>
  <c r="N6" i="476"/>
  <c r="O6" i="476" s="1"/>
  <c r="L6" i="476"/>
  <c r="F6" i="476"/>
  <c r="H6" i="476" s="1"/>
  <c r="W5" i="476"/>
  <c r="N5" i="476" s="1"/>
  <c r="P5" i="476"/>
  <c r="L5" i="476"/>
  <c r="L15" i="476" s="1"/>
  <c r="F5" i="476"/>
  <c r="H5" i="476" s="1"/>
  <c r="I2" i="476"/>
  <c r="E1" i="476"/>
  <c r="I19" i="475"/>
  <c r="G21" i="475"/>
  <c r="F21" i="475"/>
  <c r="F18" i="475"/>
  <c r="E21" i="475"/>
  <c r="E20" i="475"/>
  <c r="J22" i="475"/>
  <c r="F22" i="475"/>
  <c r="J21" i="475"/>
  <c r="I21" i="475"/>
  <c r="D21" i="475"/>
  <c r="J20" i="475"/>
  <c r="I20" i="475"/>
  <c r="G20" i="475"/>
  <c r="J19" i="475"/>
  <c r="G19" i="475"/>
  <c r="E19" i="475"/>
  <c r="D19" i="475"/>
  <c r="J18" i="475"/>
  <c r="I18" i="475"/>
  <c r="G18" i="475"/>
  <c r="E18" i="475"/>
  <c r="J16" i="475"/>
  <c r="I16" i="475"/>
  <c r="H16" i="475"/>
  <c r="G16" i="475"/>
  <c r="F16" i="475"/>
  <c r="E16" i="475"/>
  <c r="D16" i="475"/>
  <c r="J14" i="475"/>
  <c r="J13" i="475"/>
  <c r="D13" i="475"/>
  <c r="O8" i="475"/>
  <c r="N8" i="475"/>
  <c r="M8" i="475"/>
  <c r="L8" i="475"/>
  <c r="O7" i="475"/>
  <c r="N7" i="475"/>
  <c r="M7" i="475"/>
  <c r="L7" i="475"/>
  <c r="G3" i="475"/>
  <c r="V8" i="474"/>
  <c r="V9" i="474"/>
  <c r="AG79" i="474"/>
  <c r="AH70" i="474" s="1"/>
  <c r="AF79" i="474"/>
  <c r="AE79" i="474"/>
  <c r="AD79" i="474"/>
  <c r="AA79" i="474"/>
  <c r="Z79" i="474"/>
  <c r="W78" i="474"/>
  <c r="H78" i="474"/>
  <c r="W77" i="474"/>
  <c r="H77" i="474"/>
  <c r="W76" i="474"/>
  <c r="H76" i="474"/>
  <c r="W75" i="474"/>
  <c r="H75" i="474"/>
  <c r="W74" i="474"/>
  <c r="W73" i="474"/>
  <c r="W72" i="474"/>
  <c r="W71" i="474"/>
  <c r="AG70" i="474"/>
  <c r="AF70" i="474"/>
  <c r="W70" i="474"/>
  <c r="S70" i="474"/>
  <c r="AE69" i="474"/>
  <c r="AD69" i="474"/>
  <c r="AA69" i="474"/>
  <c r="Z69" i="474"/>
  <c r="M69" i="474"/>
  <c r="W68" i="474"/>
  <c r="H68" i="474"/>
  <c r="W67" i="474"/>
  <c r="W66" i="474"/>
  <c r="W65" i="474"/>
  <c r="W64" i="474"/>
  <c r="W63" i="474"/>
  <c r="AF62" i="474"/>
  <c r="W62" i="474"/>
  <c r="W61" i="474"/>
  <c r="V61" i="474"/>
  <c r="P61" i="474"/>
  <c r="N61" i="474"/>
  <c r="L61" i="474"/>
  <c r="K61" i="474"/>
  <c r="F61" i="474"/>
  <c r="H61" i="474" s="1"/>
  <c r="W60" i="474"/>
  <c r="V60" i="474"/>
  <c r="N60" i="474"/>
  <c r="K60" i="474"/>
  <c r="J60" i="474"/>
  <c r="H60" i="474"/>
  <c r="F60" i="474"/>
  <c r="W59" i="474"/>
  <c r="P59" i="474"/>
  <c r="N59" i="474"/>
  <c r="L59" i="474"/>
  <c r="K59" i="474"/>
  <c r="H59" i="474"/>
  <c r="F59" i="474"/>
  <c r="AE58" i="474"/>
  <c r="AD58" i="474"/>
  <c r="AA58" i="474"/>
  <c r="Z58" i="474"/>
  <c r="M58" i="474"/>
  <c r="W57" i="474"/>
  <c r="W56" i="474"/>
  <c r="W55" i="474"/>
  <c r="W54" i="474"/>
  <c r="N54" i="474" s="1"/>
  <c r="O54" i="474" s="1"/>
  <c r="R54" i="474" s="1"/>
  <c r="AG53" i="474"/>
  <c r="AF53" i="474"/>
  <c r="W53" i="474"/>
  <c r="W52" i="474"/>
  <c r="V52" i="474"/>
  <c r="P52" i="474"/>
  <c r="N52" i="474"/>
  <c r="L52" i="474"/>
  <c r="H52" i="474"/>
  <c r="F52" i="474"/>
  <c r="W51" i="474"/>
  <c r="V51" i="474"/>
  <c r="P51" i="474"/>
  <c r="N51" i="474"/>
  <c r="K51" i="474"/>
  <c r="L51" i="474" s="1"/>
  <c r="J51" i="474"/>
  <c r="H51" i="474"/>
  <c r="F51" i="474"/>
  <c r="W50" i="474"/>
  <c r="V50" i="474"/>
  <c r="P50" i="474"/>
  <c r="N50" i="474"/>
  <c r="L50" i="474"/>
  <c r="K50" i="474"/>
  <c r="J50" i="474"/>
  <c r="H50" i="474"/>
  <c r="F50" i="474"/>
  <c r="W49" i="474"/>
  <c r="P49" i="474"/>
  <c r="N49" i="474"/>
  <c r="AG49" i="474" s="1"/>
  <c r="L49" i="474"/>
  <c r="J49" i="474"/>
  <c r="F49" i="474"/>
  <c r="H49" i="474" s="1"/>
  <c r="AE48" i="474"/>
  <c r="AD48" i="474"/>
  <c r="AA48" i="474"/>
  <c r="Z48" i="474"/>
  <c r="W48" i="474"/>
  <c r="M48" i="474"/>
  <c r="J48" i="474"/>
  <c r="W47" i="474"/>
  <c r="H47" i="474"/>
  <c r="W46" i="474"/>
  <c r="W45" i="474"/>
  <c r="W44" i="474"/>
  <c r="W43" i="474"/>
  <c r="W42" i="474"/>
  <c r="AG41" i="474"/>
  <c r="AF41" i="474"/>
  <c r="W41" i="474"/>
  <c r="W40" i="474"/>
  <c r="N40" i="474" s="1"/>
  <c r="V40" i="474"/>
  <c r="P40" i="474"/>
  <c r="K40" i="474"/>
  <c r="L40" i="474" s="1"/>
  <c r="F40" i="474"/>
  <c r="H40" i="474" s="1"/>
  <c r="AG39" i="474"/>
  <c r="AF39" i="474"/>
  <c r="W39" i="474"/>
  <c r="V39" i="474"/>
  <c r="P39" i="474"/>
  <c r="N39" i="474"/>
  <c r="O39" i="474" s="1"/>
  <c r="L39" i="474"/>
  <c r="K39" i="474"/>
  <c r="F39" i="474"/>
  <c r="H39" i="474" s="1"/>
  <c r="W38" i="474"/>
  <c r="N38" i="474" s="1"/>
  <c r="P38" i="474"/>
  <c r="O38" i="474"/>
  <c r="L38" i="474"/>
  <c r="L48" i="474" s="1"/>
  <c r="K38" i="474"/>
  <c r="K48" i="474" s="1"/>
  <c r="J38" i="474"/>
  <c r="H38" i="474"/>
  <c r="F38" i="474"/>
  <c r="AE37" i="474"/>
  <c r="AD37" i="474"/>
  <c r="AA37" i="474"/>
  <c r="Z37" i="474"/>
  <c r="P37" i="474"/>
  <c r="M37" i="474"/>
  <c r="W36" i="474"/>
  <c r="H36" i="474"/>
  <c r="W35" i="474"/>
  <c r="W34" i="474"/>
  <c r="W33" i="474"/>
  <c r="W32" i="474"/>
  <c r="AG31" i="474"/>
  <c r="AF31" i="474"/>
  <c r="W31" i="474"/>
  <c r="W30" i="474"/>
  <c r="V30" i="474"/>
  <c r="P30" i="474"/>
  <c r="N30" i="474"/>
  <c r="L30" i="474"/>
  <c r="K30" i="474"/>
  <c r="H30" i="474"/>
  <c r="F30" i="474"/>
  <c r="W29" i="474"/>
  <c r="V29" i="474"/>
  <c r="R29" i="474"/>
  <c r="P29" i="474"/>
  <c r="O29" i="474"/>
  <c r="Q29" i="474" s="1"/>
  <c r="N29" i="474"/>
  <c r="L29" i="474"/>
  <c r="H29" i="474"/>
  <c r="F29" i="474"/>
  <c r="W28" i="474"/>
  <c r="V28" i="474"/>
  <c r="P28" i="474"/>
  <c r="O28" i="474"/>
  <c r="N28" i="474"/>
  <c r="L28" i="474"/>
  <c r="K28" i="474"/>
  <c r="F28" i="474"/>
  <c r="H28" i="474" s="1"/>
  <c r="W27" i="474"/>
  <c r="N27" i="474" s="1"/>
  <c r="P27" i="474"/>
  <c r="K27" i="474"/>
  <c r="L27" i="474" s="1"/>
  <c r="J27" i="474"/>
  <c r="J37" i="474" s="1"/>
  <c r="F27" i="474"/>
  <c r="H27" i="474" s="1"/>
  <c r="AE26" i="474"/>
  <c r="AE2" i="474" s="1"/>
  <c r="AD26" i="474"/>
  <c r="AA26" i="474"/>
  <c r="Z26" i="474"/>
  <c r="M26" i="474"/>
  <c r="P26" i="474" s="1"/>
  <c r="K26" i="474"/>
  <c r="J26" i="474"/>
  <c r="W25" i="474"/>
  <c r="H25" i="474"/>
  <c r="W24" i="474"/>
  <c r="H24" i="474"/>
  <c r="W23" i="474"/>
  <c r="W21" i="474"/>
  <c r="W20" i="474"/>
  <c r="V20" i="474"/>
  <c r="P20" i="474"/>
  <c r="N20" i="474"/>
  <c r="O20" i="474" s="1"/>
  <c r="L20" i="474"/>
  <c r="H20" i="474"/>
  <c r="F20" i="474"/>
  <c r="W19" i="474"/>
  <c r="V19" i="474"/>
  <c r="P19" i="474"/>
  <c r="O19" i="474"/>
  <c r="N19" i="474"/>
  <c r="L19" i="474"/>
  <c r="H19" i="474"/>
  <c r="F19" i="474"/>
  <c r="W18" i="474"/>
  <c r="V18" i="474"/>
  <c r="P18" i="474"/>
  <c r="N18" i="474"/>
  <c r="L18" i="474"/>
  <c r="L26" i="474" s="1"/>
  <c r="H18" i="474"/>
  <c r="F18" i="474"/>
  <c r="W17" i="474"/>
  <c r="V17" i="474"/>
  <c r="R17" i="474"/>
  <c r="Q17" i="474"/>
  <c r="P17" i="474"/>
  <c r="O17" i="474"/>
  <c r="N17" i="474"/>
  <c r="L17" i="474"/>
  <c r="H17" i="474"/>
  <c r="F17" i="474"/>
  <c r="W16" i="474"/>
  <c r="P16" i="474"/>
  <c r="N16" i="474"/>
  <c r="L16" i="474"/>
  <c r="H16" i="474"/>
  <c r="F16" i="474"/>
  <c r="AE15" i="474"/>
  <c r="AD15" i="474"/>
  <c r="AD2" i="474" s="1"/>
  <c r="AA15" i="474"/>
  <c r="AA2" i="474" s="1"/>
  <c r="Z15" i="474"/>
  <c r="P15" i="474"/>
  <c r="M15" i="474"/>
  <c r="K15" i="474"/>
  <c r="J15" i="474"/>
  <c r="W14" i="474"/>
  <c r="W13" i="474"/>
  <c r="W12" i="474"/>
  <c r="AG11" i="474"/>
  <c r="AF11" i="474"/>
  <c r="W11" i="474"/>
  <c r="AG10" i="474"/>
  <c r="AF10" i="474"/>
  <c r="W10" i="474"/>
  <c r="W9" i="474"/>
  <c r="P9" i="474"/>
  <c r="N9" i="474"/>
  <c r="L9" i="474"/>
  <c r="F9" i="474"/>
  <c r="H9" i="474" s="1"/>
  <c r="W8" i="474"/>
  <c r="P8" i="474"/>
  <c r="N8" i="474"/>
  <c r="L8" i="474"/>
  <c r="H8" i="474"/>
  <c r="F8" i="474"/>
  <c r="W7" i="474"/>
  <c r="V7" i="474"/>
  <c r="P7" i="474"/>
  <c r="N7" i="474"/>
  <c r="L7" i="474"/>
  <c r="H7" i="474"/>
  <c r="F7" i="474"/>
  <c r="W6" i="474"/>
  <c r="V6" i="474"/>
  <c r="P6" i="474"/>
  <c r="N6" i="474"/>
  <c r="L6" i="474"/>
  <c r="F6" i="474"/>
  <c r="H6" i="474" s="1"/>
  <c r="W5" i="474"/>
  <c r="P5" i="474"/>
  <c r="O5" i="474"/>
  <c r="N5" i="474"/>
  <c r="L5" i="474"/>
  <c r="L15" i="474" s="1"/>
  <c r="H5" i="474"/>
  <c r="F5" i="474"/>
  <c r="I2" i="474"/>
  <c r="E1" i="474"/>
  <c r="AG79" i="472"/>
  <c r="AH70" i="472" s="1"/>
  <c r="AF79" i="472"/>
  <c r="AE79" i="472"/>
  <c r="AD79" i="472"/>
  <c r="AA79" i="472"/>
  <c r="Z79" i="472"/>
  <c r="W78" i="472"/>
  <c r="H78" i="472"/>
  <c r="W77" i="472"/>
  <c r="H77" i="472"/>
  <c r="W76" i="472"/>
  <c r="H76" i="472"/>
  <c r="W75" i="472"/>
  <c r="H75" i="472"/>
  <c r="W74" i="472"/>
  <c r="W73" i="472"/>
  <c r="W72" i="472"/>
  <c r="W71" i="472"/>
  <c r="AG70" i="472"/>
  <c r="AF70" i="472"/>
  <c r="W70" i="472"/>
  <c r="S70" i="472"/>
  <c r="J15" i="471" s="1"/>
  <c r="AE69" i="472"/>
  <c r="I21" i="471" s="1"/>
  <c r="AD69" i="472"/>
  <c r="AA69" i="472"/>
  <c r="Z69" i="472"/>
  <c r="M69" i="472"/>
  <c r="P69" i="472" s="1"/>
  <c r="K69" i="472"/>
  <c r="J69" i="472"/>
  <c r="W68" i="472"/>
  <c r="H68" i="472"/>
  <c r="W67" i="472"/>
  <c r="W66" i="472"/>
  <c r="W65" i="472"/>
  <c r="W64" i="472"/>
  <c r="W63" i="472"/>
  <c r="V63" i="472"/>
  <c r="P63" i="472"/>
  <c r="O63" i="472"/>
  <c r="N63" i="472"/>
  <c r="L63" i="472"/>
  <c r="K63" i="472"/>
  <c r="F63" i="472"/>
  <c r="H63" i="472" s="1"/>
  <c r="W62" i="472"/>
  <c r="V62" i="472"/>
  <c r="P62" i="472"/>
  <c r="N62" i="472"/>
  <c r="L62" i="472"/>
  <c r="K62" i="472"/>
  <c r="F62" i="472"/>
  <c r="H62" i="472" s="1"/>
  <c r="AF61" i="472"/>
  <c r="W61" i="472"/>
  <c r="N61" i="472" s="1"/>
  <c r="V61" i="472"/>
  <c r="P61" i="472"/>
  <c r="O61" i="472"/>
  <c r="K61" i="472"/>
  <c r="L61" i="472" s="1"/>
  <c r="H61" i="472"/>
  <c r="F61" i="472"/>
  <c r="W60" i="472"/>
  <c r="N60" i="472" s="1"/>
  <c r="V60" i="472"/>
  <c r="P60" i="472"/>
  <c r="K60" i="472"/>
  <c r="L60" i="472" s="1"/>
  <c r="J60" i="472"/>
  <c r="H60" i="472"/>
  <c r="F60" i="472"/>
  <c r="AG59" i="472"/>
  <c r="AF59" i="472"/>
  <c r="W59" i="472"/>
  <c r="N59" i="472" s="1"/>
  <c r="P59" i="472"/>
  <c r="K59" i="472"/>
  <c r="L59" i="472" s="1"/>
  <c r="L69" i="472" s="1"/>
  <c r="I13" i="471" s="1"/>
  <c r="J6" i="471" s="1"/>
  <c r="H59" i="472"/>
  <c r="F59" i="472"/>
  <c r="AE58" i="472"/>
  <c r="AD58" i="472"/>
  <c r="AA58" i="472"/>
  <c r="Z58" i="472"/>
  <c r="H18" i="471" s="1"/>
  <c r="P58" i="472"/>
  <c r="M58" i="472"/>
  <c r="H22" i="471" s="1"/>
  <c r="J58" i="472"/>
  <c r="W57" i="472"/>
  <c r="W56" i="472"/>
  <c r="W55" i="472"/>
  <c r="W54" i="472"/>
  <c r="W53" i="472"/>
  <c r="N53" i="472" s="1"/>
  <c r="AG53" i="472" s="1"/>
  <c r="V53" i="472"/>
  <c r="P53" i="472"/>
  <c r="O53" i="472"/>
  <c r="K53" i="472"/>
  <c r="L53" i="472" s="1"/>
  <c r="H53" i="472"/>
  <c r="F53" i="472"/>
  <c r="AG52" i="472"/>
  <c r="AF52" i="472"/>
  <c r="W52" i="472"/>
  <c r="N52" i="472" s="1"/>
  <c r="O52" i="472" s="1"/>
  <c r="Q52" i="472" s="1"/>
  <c r="V52" i="472"/>
  <c r="R52" i="472"/>
  <c r="P52" i="472"/>
  <c r="L52" i="472"/>
  <c r="H52" i="472"/>
  <c r="F52" i="472"/>
  <c r="AG51" i="472"/>
  <c r="W51" i="472"/>
  <c r="N51" i="472" s="1"/>
  <c r="O51" i="472" s="1"/>
  <c r="V51" i="472"/>
  <c r="P51" i="472"/>
  <c r="K51" i="472"/>
  <c r="L51" i="472" s="1"/>
  <c r="R51" i="472" s="1"/>
  <c r="J51" i="472"/>
  <c r="F51" i="472"/>
  <c r="H51" i="472" s="1"/>
  <c r="W50" i="472"/>
  <c r="V50" i="472"/>
  <c r="N50" i="472"/>
  <c r="K50" i="472"/>
  <c r="J50" i="472"/>
  <c r="P50" i="472" s="1"/>
  <c r="H50" i="472"/>
  <c r="F50" i="472"/>
  <c r="W49" i="472"/>
  <c r="N49" i="472"/>
  <c r="L49" i="472"/>
  <c r="J49" i="472"/>
  <c r="P49" i="472" s="1"/>
  <c r="H49" i="472"/>
  <c r="F49" i="472"/>
  <c r="AE48" i="472"/>
  <c r="AD48" i="472"/>
  <c r="G20" i="471" s="1"/>
  <c r="AA48" i="472"/>
  <c r="G19" i="471" s="1"/>
  <c r="Z48" i="472"/>
  <c r="W48" i="472"/>
  <c r="M48" i="472"/>
  <c r="W47" i="472"/>
  <c r="H47" i="472"/>
  <c r="W46" i="472"/>
  <c r="W45" i="472"/>
  <c r="W44" i="472"/>
  <c r="W43" i="472"/>
  <c r="W42" i="472"/>
  <c r="AG41" i="472"/>
  <c r="AF41" i="472"/>
  <c r="W41" i="472"/>
  <c r="AF40" i="472"/>
  <c r="W40" i="472"/>
  <c r="V40" i="472"/>
  <c r="P40" i="472"/>
  <c r="N40" i="472"/>
  <c r="K40" i="472"/>
  <c r="L40" i="472" s="1"/>
  <c r="F40" i="472"/>
  <c r="H40" i="472" s="1"/>
  <c r="AG39" i="472"/>
  <c r="AF39" i="472"/>
  <c r="W39" i="472"/>
  <c r="V39" i="472"/>
  <c r="P39" i="472"/>
  <c r="O39" i="472"/>
  <c r="N39" i="472"/>
  <c r="L39" i="472"/>
  <c r="K39" i="472"/>
  <c r="F39" i="472"/>
  <c r="H39" i="472" s="1"/>
  <c r="W38" i="472"/>
  <c r="N38" i="472" s="1"/>
  <c r="O38" i="472"/>
  <c r="K38" i="472"/>
  <c r="J38" i="472"/>
  <c r="P38" i="472" s="1"/>
  <c r="F38" i="472"/>
  <c r="H38" i="472" s="1"/>
  <c r="AE37" i="472"/>
  <c r="F21" i="471" s="1"/>
  <c r="AD37" i="472"/>
  <c r="AA37" i="472"/>
  <c r="Z37" i="472"/>
  <c r="F18" i="471" s="1"/>
  <c r="M37" i="472"/>
  <c r="W36" i="472"/>
  <c r="H36" i="472"/>
  <c r="W35" i="472"/>
  <c r="W34" i="472"/>
  <c r="W33" i="472"/>
  <c r="W32" i="472"/>
  <c r="AG31" i="472"/>
  <c r="AF31" i="472"/>
  <c r="W31" i="472"/>
  <c r="W30" i="472"/>
  <c r="V30" i="472"/>
  <c r="P30" i="472"/>
  <c r="N30" i="472"/>
  <c r="L30" i="472"/>
  <c r="K30" i="472"/>
  <c r="F30" i="472"/>
  <c r="H30" i="472" s="1"/>
  <c r="AG29" i="472"/>
  <c r="AF29" i="472"/>
  <c r="W29" i="472"/>
  <c r="V29" i="472"/>
  <c r="P29" i="472"/>
  <c r="O29" i="472"/>
  <c r="Q29" i="472" s="1"/>
  <c r="N29" i="472"/>
  <c r="L29" i="472"/>
  <c r="H29" i="472"/>
  <c r="F29" i="472"/>
  <c r="W28" i="472"/>
  <c r="N28" i="472" s="1"/>
  <c r="V28" i="472"/>
  <c r="P28" i="472"/>
  <c r="K28" i="472"/>
  <c r="L28" i="472" s="1"/>
  <c r="H28" i="472"/>
  <c r="F28" i="472"/>
  <c r="W27" i="472"/>
  <c r="N27" i="472" s="1"/>
  <c r="K27" i="472"/>
  <c r="J27" i="472"/>
  <c r="H27" i="472"/>
  <c r="F27" i="472"/>
  <c r="AE26" i="472"/>
  <c r="AD26" i="472"/>
  <c r="AA26" i="472"/>
  <c r="AA2" i="472" s="1"/>
  <c r="Z26" i="472"/>
  <c r="M26" i="472"/>
  <c r="E22" i="471" s="1"/>
  <c r="W25" i="472"/>
  <c r="H25" i="472"/>
  <c r="W24" i="472"/>
  <c r="H24" i="472"/>
  <c r="W23" i="472"/>
  <c r="W21" i="472"/>
  <c r="W20" i="472"/>
  <c r="V20" i="472"/>
  <c r="Q20" i="472"/>
  <c r="N20" i="472"/>
  <c r="O20" i="472" s="1"/>
  <c r="R20" i="472" s="1"/>
  <c r="L20" i="472"/>
  <c r="K20" i="472"/>
  <c r="K26" i="472" s="1"/>
  <c r="J20" i="472"/>
  <c r="F20" i="472"/>
  <c r="H20" i="472" s="1"/>
  <c r="AG19" i="472"/>
  <c r="AF19" i="472"/>
  <c r="W19" i="472"/>
  <c r="N19" i="472" s="1"/>
  <c r="V19" i="472"/>
  <c r="P19" i="472"/>
  <c r="O19" i="472"/>
  <c r="L19" i="472"/>
  <c r="L26" i="472" s="1"/>
  <c r="E13" i="471" s="1"/>
  <c r="H19" i="472"/>
  <c r="F19" i="472"/>
  <c r="W18" i="472"/>
  <c r="N18" i="472" s="1"/>
  <c r="AG18" i="472" s="1"/>
  <c r="V18" i="472"/>
  <c r="P18" i="472"/>
  <c r="L18" i="472"/>
  <c r="H18" i="472"/>
  <c r="F18" i="472"/>
  <c r="AG17" i="472"/>
  <c r="AF17" i="472"/>
  <c r="W17" i="472"/>
  <c r="N17" i="472" s="1"/>
  <c r="O17" i="472" s="1"/>
  <c r="V17" i="472"/>
  <c r="P17" i="472"/>
  <c r="L17" i="472"/>
  <c r="H17" i="472"/>
  <c r="F17" i="472"/>
  <c r="AG16" i="472"/>
  <c r="W16" i="472"/>
  <c r="P16" i="472"/>
  <c r="N16" i="472"/>
  <c r="L16" i="472"/>
  <c r="F16" i="472"/>
  <c r="H16" i="472" s="1"/>
  <c r="AE15" i="472"/>
  <c r="AD15" i="472"/>
  <c r="AA15" i="472"/>
  <c r="Z15" i="472"/>
  <c r="Z2" i="472" s="1"/>
  <c r="M15" i="472"/>
  <c r="K15" i="472"/>
  <c r="J15" i="472"/>
  <c r="P15" i="472" s="1"/>
  <c r="W14" i="472"/>
  <c r="W13" i="472"/>
  <c r="W12" i="472"/>
  <c r="AG11" i="472"/>
  <c r="AF11" i="472"/>
  <c r="W11" i="472"/>
  <c r="AG10" i="472"/>
  <c r="AF10" i="472"/>
  <c r="W10" i="472"/>
  <c r="W9" i="472"/>
  <c r="N9" i="472" s="1"/>
  <c r="V9" i="472"/>
  <c r="P9" i="472"/>
  <c r="L9" i="472"/>
  <c r="F9" i="472"/>
  <c r="H9" i="472" s="1"/>
  <c r="AG8" i="472"/>
  <c r="W8" i="472"/>
  <c r="N8" i="472" s="1"/>
  <c r="V8" i="472"/>
  <c r="P8" i="472"/>
  <c r="L8" i="472"/>
  <c r="F8" i="472"/>
  <c r="H8" i="472" s="1"/>
  <c r="W7" i="472"/>
  <c r="N7" i="472" s="1"/>
  <c r="V7" i="472"/>
  <c r="P7" i="472"/>
  <c r="L7" i="472"/>
  <c r="F7" i="472"/>
  <c r="H7" i="472" s="1"/>
  <c r="W6" i="472"/>
  <c r="V6" i="472"/>
  <c r="P6" i="472"/>
  <c r="N6" i="472"/>
  <c r="L6" i="472"/>
  <c r="H6" i="472"/>
  <c r="F6" i="472"/>
  <c r="W5" i="472"/>
  <c r="P5" i="472"/>
  <c r="N5" i="472"/>
  <c r="L5" i="472"/>
  <c r="F5" i="472"/>
  <c r="H5" i="472" s="1"/>
  <c r="I2" i="472"/>
  <c r="I1" i="472"/>
  <c r="E1" i="472"/>
  <c r="J22" i="471"/>
  <c r="I22" i="471"/>
  <c r="G22" i="471"/>
  <c r="D22" i="471"/>
  <c r="J21" i="471"/>
  <c r="H21" i="471"/>
  <c r="G21" i="471"/>
  <c r="E21" i="471"/>
  <c r="D21" i="471"/>
  <c r="J20" i="471"/>
  <c r="I20" i="471"/>
  <c r="H20" i="471"/>
  <c r="F20" i="471"/>
  <c r="E20" i="471"/>
  <c r="D20" i="471"/>
  <c r="J19" i="471"/>
  <c r="I19" i="471"/>
  <c r="H19" i="471"/>
  <c r="F19" i="471"/>
  <c r="E19" i="471"/>
  <c r="D19" i="471"/>
  <c r="J18" i="471"/>
  <c r="I18" i="471"/>
  <c r="G18" i="471"/>
  <c r="E18" i="471"/>
  <c r="J16" i="471"/>
  <c r="I16" i="471"/>
  <c r="H16" i="471"/>
  <c r="G16" i="471"/>
  <c r="F16" i="471"/>
  <c r="E16" i="471"/>
  <c r="D16" i="471"/>
  <c r="J14" i="471"/>
  <c r="J13" i="471"/>
  <c r="O8" i="471"/>
  <c r="N8" i="471"/>
  <c r="M8" i="471"/>
  <c r="L8" i="471"/>
  <c r="O7" i="471"/>
  <c r="N7" i="471"/>
  <c r="M7" i="471"/>
  <c r="L7" i="471"/>
  <c r="G3" i="471"/>
  <c r="AG79" i="470"/>
  <c r="AH70" i="470" s="1"/>
  <c r="AF79" i="470"/>
  <c r="AE79" i="470"/>
  <c r="AD79" i="470"/>
  <c r="AA79" i="470"/>
  <c r="Z79" i="470"/>
  <c r="W78" i="470"/>
  <c r="H78" i="470"/>
  <c r="W77" i="470"/>
  <c r="H77" i="470"/>
  <c r="W76" i="470"/>
  <c r="H76" i="470"/>
  <c r="W75" i="470"/>
  <c r="H75" i="470"/>
  <c r="W74" i="470"/>
  <c r="W73" i="470"/>
  <c r="W72" i="470"/>
  <c r="W71" i="470"/>
  <c r="AG70" i="470"/>
  <c r="AF70" i="470"/>
  <c r="W70" i="470"/>
  <c r="S70" i="470"/>
  <c r="AE69" i="470"/>
  <c r="I21" i="469" s="1"/>
  <c r="AD69" i="470"/>
  <c r="AA69" i="470"/>
  <c r="Z69" i="470"/>
  <c r="M69" i="470"/>
  <c r="W68" i="470"/>
  <c r="H68" i="470"/>
  <c r="W67" i="470"/>
  <c r="W66" i="470"/>
  <c r="W65" i="470"/>
  <c r="W64" i="470"/>
  <c r="W63" i="470"/>
  <c r="N63" i="470" s="1"/>
  <c r="V63" i="470"/>
  <c r="P63" i="470"/>
  <c r="O63" i="470"/>
  <c r="K63" i="470"/>
  <c r="L63" i="470" s="1"/>
  <c r="R63" i="470" s="1"/>
  <c r="H63" i="470"/>
  <c r="F63" i="470"/>
  <c r="AG62" i="470"/>
  <c r="W62" i="470"/>
  <c r="V62" i="470"/>
  <c r="Q62" i="470"/>
  <c r="P62" i="470"/>
  <c r="N62" i="470"/>
  <c r="O62" i="470" s="1"/>
  <c r="K62" i="470"/>
  <c r="L62" i="470" s="1"/>
  <c r="R62" i="470" s="1"/>
  <c r="F62" i="470"/>
  <c r="H62" i="470" s="1"/>
  <c r="AG61" i="470"/>
  <c r="AF61" i="470"/>
  <c r="W61" i="470"/>
  <c r="V61" i="470"/>
  <c r="P61" i="470"/>
  <c r="N61" i="470"/>
  <c r="O61" i="470" s="1"/>
  <c r="K61" i="470"/>
  <c r="L61" i="470" s="1"/>
  <c r="F61" i="470"/>
  <c r="H61" i="470" s="1"/>
  <c r="W60" i="470"/>
  <c r="V60" i="470"/>
  <c r="N60" i="470"/>
  <c r="K60" i="470"/>
  <c r="L60" i="470" s="1"/>
  <c r="J60" i="470"/>
  <c r="H60" i="470"/>
  <c r="F60" i="470"/>
  <c r="W59" i="470"/>
  <c r="N59" i="470" s="1"/>
  <c r="P59" i="470"/>
  <c r="L59" i="470"/>
  <c r="K59" i="470"/>
  <c r="F59" i="470"/>
  <c r="H59" i="470" s="1"/>
  <c r="AE58" i="470"/>
  <c r="AD58" i="470"/>
  <c r="AA58" i="470"/>
  <c r="H19" i="469" s="1"/>
  <c r="Z58" i="470"/>
  <c r="M58" i="470"/>
  <c r="W57" i="470"/>
  <c r="W56" i="470"/>
  <c r="W55" i="470"/>
  <c r="W54" i="470"/>
  <c r="AG53" i="470"/>
  <c r="AF53" i="470"/>
  <c r="W53" i="470"/>
  <c r="W52" i="470"/>
  <c r="V52" i="470"/>
  <c r="P52" i="470"/>
  <c r="N52" i="470"/>
  <c r="L52" i="470"/>
  <c r="H52" i="470"/>
  <c r="F52" i="470"/>
  <c r="W51" i="470"/>
  <c r="N51" i="470" s="1"/>
  <c r="V51" i="470"/>
  <c r="P51" i="470"/>
  <c r="K51" i="470"/>
  <c r="J51" i="470"/>
  <c r="F51" i="470"/>
  <c r="H51" i="470" s="1"/>
  <c r="AG50" i="470"/>
  <c r="AF50" i="470"/>
  <c r="W50" i="470"/>
  <c r="V50" i="470"/>
  <c r="P50" i="470"/>
  <c r="O50" i="470"/>
  <c r="N50" i="470"/>
  <c r="K50" i="470"/>
  <c r="J50" i="470"/>
  <c r="L50" i="470" s="1"/>
  <c r="H50" i="470"/>
  <c r="F50" i="470"/>
  <c r="AF49" i="470"/>
  <c r="W49" i="470"/>
  <c r="N49" i="470" s="1"/>
  <c r="P49" i="470"/>
  <c r="L49" i="470"/>
  <c r="K49" i="470"/>
  <c r="J49" i="470"/>
  <c r="J58" i="470" s="1"/>
  <c r="P58" i="470" s="1"/>
  <c r="F49" i="470"/>
  <c r="H49" i="470" s="1"/>
  <c r="AE48" i="470"/>
  <c r="AD48" i="470"/>
  <c r="G20" i="469" s="1"/>
  <c r="AA48" i="470"/>
  <c r="Z48" i="470"/>
  <c r="W48" i="470"/>
  <c r="M48" i="470"/>
  <c r="J48" i="470"/>
  <c r="W47" i="470"/>
  <c r="H47" i="470"/>
  <c r="W46" i="470"/>
  <c r="W45" i="470"/>
  <c r="W44" i="470"/>
  <c r="W43" i="470"/>
  <c r="W42" i="470"/>
  <c r="AG41" i="470"/>
  <c r="AF41" i="470"/>
  <c r="W41" i="470"/>
  <c r="AG40" i="470"/>
  <c r="W40" i="470"/>
  <c r="V40" i="470"/>
  <c r="P40" i="470"/>
  <c r="N40" i="470"/>
  <c r="O40" i="470" s="1"/>
  <c r="L40" i="470"/>
  <c r="Q40" i="470" s="1"/>
  <c r="K40" i="470"/>
  <c r="AF40" i="470" s="1"/>
  <c r="F40" i="470"/>
  <c r="H40" i="470" s="1"/>
  <c r="W39" i="470"/>
  <c r="V39" i="470"/>
  <c r="P39" i="470"/>
  <c r="N39" i="470"/>
  <c r="K39" i="470"/>
  <c r="L39" i="470" s="1"/>
  <c r="H39" i="470"/>
  <c r="F39" i="470"/>
  <c r="W38" i="470"/>
  <c r="N38" i="470" s="1"/>
  <c r="P38" i="470"/>
  <c r="K38" i="470"/>
  <c r="L38" i="470" s="1"/>
  <c r="J38" i="470"/>
  <c r="F38" i="470"/>
  <c r="H38" i="470" s="1"/>
  <c r="AE37" i="470"/>
  <c r="AD37" i="470"/>
  <c r="AA37" i="470"/>
  <c r="F19" i="469" s="1"/>
  <c r="Z37" i="470"/>
  <c r="F18" i="469" s="1"/>
  <c r="M37" i="470"/>
  <c r="W36" i="470"/>
  <c r="H36" i="470"/>
  <c r="W35" i="470"/>
  <c r="W34" i="470"/>
  <c r="W33" i="470"/>
  <c r="W32" i="470"/>
  <c r="N32" i="470" s="1"/>
  <c r="O32" i="470" s="1"/>
  <c r="V32" i="470"/>
  <c r="K32" i="470"/>
  <c r="J32" i="470"/>
  <c r="P32" i="470" s="1"/>
  <c r="F32" i="470"/>
  <c r="H32" i="470" s="1"/>
  <c r="W31" i="470"/>
  <c r="V31" i="470"/>
  <c r="P31" i="470"/>
  <c r="N31" i="470"/>
  <c r="K31" i="470"/>
  <c r="AG31" i="470" s="1"/>
  <c r="H31" i="470"/>
  <c r="F31" i="470"/>
  <c r="W30" i="470"/>
  <c r="V30" i="470"/>
  <c r="P30" i="470"/>
  <c r="O30" i="470"/>
  <c r="N30" i="470"/>
  <c r="K30" i="470"/>
  <c r="L30" i="470" s="1"/>
  <c r="H30" i="470"/>
  <c r="F30" i="470"/>
  <c r="W29" i="470"/>
  <c r="N29" i="470" s="1"/>
  <c r="V29" i="470"/>
  <c r="P29" i="470"/>
  <c r="L29" i="470"/>
  <c r="H29" i="470"/>
  <c r="F29" i="470"/>
  <c r="W28" i="470"/>
  <c r="V28" i="470"/>
  <c r="P28" i="470"/>
  <c r="N28" i="470"/>
  <c r="K28" i="470"/>
  <c r="H28" i="470"/>
  <c r="F28" i="470"/>
  <c r="W27" i="470"/>
  <c r="P27" i="470"/>
  <c r="N27" i="470"/>
  <c r="K27" i="470"/>
  <c r="J27" i="470"/>
  <c r="L27" i="470" s="1"/>
  <c r="H27" i="470"/>
  <c r="F27" i="470"/>
  <c r="AE26" i="470"/>
  <c r="E21" i="469" s="1"/>
  <c r="AD26" i="470"/>
  <c r="AA26" i="470"/>
  <c r="Z26" i="470"/>
  <c r="E18" i="469" s="1"/>
  <c r="M26" i="470"/>
  <c r="J26" i="470"/>
  <c r="W25" i="470"/>
  <c r="H25" i="470"/>
  <c r="W24" i="470"/>
  <c r="W23" i="470"/>
  <c r="W21" i="470"/>
  <c r="W20" i="470"/>
  <c r="V20" i="470"/>
  <c r="P20" i="470"/>
  <c r="N20" i="470"/>
  <c r="O20" i="470" s="1"/>
  <c r="L20" i="470"/>
  <c r="F20" i="470"/>
  <c r="H20" i="470" s="1"/>
  <c r="W19" i="470"/>
  <c r="V19" i="470"/>
  <c r="P19" i="470"/>
  <c r="N19" i="470"/>
  <c r="K19" i="470"/>
  <c r="H19" i="470"/>
  <c r="F19" i="470"/>
  <c r="W18" i="470"/>
  <c r="V18" i="470"/>
  <c r="P18" i="470"/>
  <c r="N18" i="470"/>
  <c r="K18" i="470"/>
  <c r="L18" i="470" s="1"/>
  <c r="H18" i="470"/>
  <c r="F18" i="470"/>
  <c r="W17" i="470"/>
  <c r="N17" i="470" s="1"/>
  <c r="V17" i="470"/>
  <c r="P17" i="470"/>
  <c r="L17" i="470"/>
  <c r="H17" i="470"/>
  <c r="F17" i="470"/>
  <c r="W16" i="470"/>
  <c r="P16" i="470"/>
  <c r="O16" i="470"/>
  <c r="N16" i="470"/>
  <c r="AG16" i="470" s="1"/>
  <c r="L16" i="470"/>
  <c r="K16" i="470"/>
  <c r="F16" i="470"/>
  <c r="H16" i="470" s="1"/>
  <c r="AE15" i="470"/>
  <c r="AD15" i="470"/>
  <c r="D20" i="469" s="1"/>
  <c r="AA15" i="470"/>
  <c r="Z15" i="470"/>
  <c r="D18" i="469" s="1"/>
  <c r="P15" i="470"/>
  <c r="M15" i="470"/>
  <c r="J15" i="470"/>
  <c r="W14" i="470"/>
  <c r="W13" i="470"/>
  <c r="W12" i="470"/>
  <c r="AG11" i="470"/>
  <c r="AF11" i="470"/>
  <c r="W11" i="470"/>
  <c r="AG10" i="470"/>
  <c r="AF10" i="470"/>
  <c r="W10" i="470"/>
  <c r="W9" i="470"/>
  <c r="V9" i="470"/>
  <c r="P9" i="470"/>
  <c r="N9" i="470"/>
  <c r="L9" i="470"/>
  <c r="K9" i="470"/>
  <c r="F9" i="470"/>
  <c r="H9" i="470" s="1"/>
  <c r="AG8" i="470"/>
  <c r="W8" i="470"/>
  <c r="V8" i="470"/>
  <c r="R8" i="470"/>
  <c r="Q8" i="470"/>
  <c r="P8" i="470"/>
  <c r="O8" i="470"/>
  <c r="N8" i="470"/>
  <c r="AF8" i="470" s="1"/>
  <c r="L8" i="470"/>
  <c r="F8" i="470"/>
  <c r="H8" i="470" s="1"/>
  <c r="AG7" i="470"/>
  <c r="W7" i="470"/>
  <c r="V7" i="470"/>
  <c r="P7" i="470"/>
  <c r="O7" i="470"/>
  <c r="R7" i="470" s="1"/>
  <c r="N7" i="470"/>
  <c r="AF7" i="470" s="1"/>
  <c r="L7" i="470"/>
  <c r="F7" i="470"/>
  <c r="H7" i="470" s="1"/>
  <c r="AG6" i="470"/>
  <c r="W6" i="470"/>
  <c r="V6" i="470"/>
  <c r="R6" i="470"/>
  <c r="P6" i="470"/>
  <c r="O6" i="470"/>
  <c r="Q6" i="470" s="1"/>
  <c r="N6" i="470"/>
  <c r="AF6" i="470" s="1"/>
  <c r="K6" i="470"/>
  <c r="L6" i="470" s="1"/>
  <c r="F6" i="470"/>
  <c r="H6" i="470" s="1"/>
  <c r="W5" i="470"/>
  <c r="N5" i="470" s="1"/>
  <c r="P5" i="470"/>
  <c r="K5" i="470"/>
  <c r="F5" i="470"/>
  <c r="H5" i="470" s="1"/>
  <c r="AE2" i="470"/>
  <c r="I2" i="470"/>
  <c r="E1" i="470"/>
  <c r="G3" i="469" s="1"/>
  <c r="J22" i="469"/>
  <c r="H22" i="469"/>
  <c r="F22" i="469"/>
  <c r="E22" i="469"/>
  <c r="D22" i="469"/>
  <c r="J21" i="469"/>
  <c r="H21" i="469"/>
  <c r="G21" i="469"/>
  <c r="F21" i="469"/>
  <c r="D21" i="469"/>
  <c r="J20" i="469"/>
  <c r="I20" i="469"/>
  <c r="H20" i="469"/>
  <c r="F20" i="469"/>
  <c r="J19" i="469"/>
  <c r="I19" i="469"/>
  <c r="G19" i="469"/>
  <c r="D19" i="469"/>
  <c r="J18" i="469"/>
  <c r="I18" i="469"/>
  <c r="H18" i="469"/>
  <c r="G18" i="469"/>
  <c r="J16" i="469"/>
  <c r="I16" i="469"/>
  <c r="H16" i="469"/>
  <c r="G16" i="469"/>
  <c r="F16" i="469"/>
  <c r="E16" i="469"/>
  <c r="D16" i="469"/>
  <c r="J15" i="469"/>
  <c r="J14" i="469"/>
  <c r="J13" i="469"/>
  <c r="O8" i="469"/>
  <c r="N8" i="469"/>
  <c r="M8" i="469"/>
  <c r="L8" i="469"/>
  <c r="O7" i="469"/>
  <c r="N7" i="469"/>
  <c r="M7" i="469"/>
  <c r="L7" i="469"/>
  <c r="AE79" i="468"/>
  <c r="J21" i="467" s="1"/>
  <c r="AD79" i="468"/>
  <c r="J20" i="467" s="1"/>
  <c r="AA79" i="468"/>
  <c r="Z79" i="468"/>
  <c r="M79" i="468"/>
  <c r="K79" i="468"/>
  <c r="J79" i="468"/>
  <c r="P79" i="468" s="1"/>
  <c r="W78" i="468"/>
  <c r="H78" i="468"/>
  <c r="W77" i="468"/>
  <c r="H77" i="468"/>
  <c r="W76" i="468"/>
  <c r="H76" i="468"/>
  <c r="W75" i="468"/>
  <c r="H75" i="468"/>
  <c r="W74" i="468"/>
  <c r="W73" i="468"/>
  <c r="N73" i="468" s="1"/>
  <c r="O73" i="468" s="1"/>
  <c r="V73" i="468"/>
  <c r="P73" i="468"/>
  <c r="L73" i="468"/>
  <c r="H73" i="468"/>
  <c r="F73" i="468"/>
  <c r="W72" i="468"/>
  <c r="V72" i="468"/>
  <c r="R72" i="468"/>
  <c r="Q72" i="468"/>
  <c r="P72" i="468"/>
  <c r="O72" i="468"/>
  <c r="N72" i="468"/>
  <c r="L72" i="468"/>
  <c r="F72" i="468"/>
  <c r="H72" i="468" s="1"/>
  <c r="W71" i="468"/>
  <c r="N71" i="468" s="1"/>
  <c r="O71" i="468" s="1"/>
  <c r="V71" i="468"/>
  <c r="P71" i="468"/>
  <c r="L71" i="468"/>
  <c r="H71" i="468"/>
  <c r="F71" i="468"/>
  <c r="AG70" i="468"/>
  <c r="AF70" i="468"/>
  <c r="W70" i="468"/>
  <c r="P70" i="468"/>
  <c r="O70" i="468"/>
  <c r="N70" i="468"/>
  <c r="L70" i="468"/>
  <c r="K70" i="468"/>
  <c r="J70" i="468"/>
  <c r="H70" i="468"/>
  <c r="F70" i="468"/>
  <c r="AE69" i="468"/>
  <c r="I21" i="467" s="1"/>
  <c r="AD69" i="468"/>
  <c r="AA69" i="468"/>
  <c r="Z69" i="468"/>
  <c r="M69" i="468"/>
  <c r="P69" i="468" s="1"/>
  <c r="J69" i="468"/>
  <c r="W68" i="468"/>
  <c r="H68" i="468"/>
  <c r="W67" i="468"/>
  <c r="W66" i="468"/>
  <c r="W65" i="468"/>
  <c r="W64" i="468"/>
  <c r="W63" i="468"/>
  <c r="V63" i="468"/>
  <c r="P63" i="468"/>
  <c r="N63" i="468"/>
  <c r="O63" i="468" s="1"/>
  <c r="K63" i="468"/>
  <c r="L63" i="468" s="1"/>
  <c r="H63" i="468"/>
  <c r="F63" i="468"/>
  <c r="W62" i="468"/>
  <c r="N62" i="468" s="1"/>
  <c r="V62" i="468"/>
  <c r="P62" i="468"/>
  <c r="K62" i="468"/>
  <c r="L62" i="468" s="1"/>
  <c r="L69" i="468" s="1"/>
  <c r="H62" i="468"/>
  <c r="F62" i="468"/>
  <c r="AF61" i="468"/>
  <c r="W61" i="468"/>
  <c r="V61" i="468"/>
  <c r="P61" i="468"/>
  <c r="O61" i="468"/>
  <c r="N61" i="468"/>
  <c r="AG61" i="468" s="1"/>
  <c r="L61" i="468"/>
  <c r="K61" i="468"/>
  <c r="H61" i="468"/>
  <c r="F61" i="468"/>
  <c r="W60" i="468"/>
  <c r="N60" i="468" s="1"/>
  <c r="V60" i="468"/>
  <c r="P60" i="468"/>
  <c r="L60" i="468"/>
  <c r="K60" i="468"/>
  <c r="J60" i="468"/>
  <c r="H60" i="468"/>
  <c r="F60" i="468"/>
  <c r="W59" i="468"/>
  <c r="N59" i="468" s="1"/>
  <c r="O59" i="468" s="1"/>
  <c r="R59" i="468" s="1"/>
  <c r="P59" i="468"/>
  <c r="L59" i="468"/>
  <c r="K59" i="468"/>
  <c r="H59" i="468"/>
  <c r="F59" i="468"/>
  <c r="AE58" i="468"/>
  <c r="H21" i="467" s="1"/>
  <c r="AD58" i="468"/>
  <c r="AA58" i="468"/>
  <c r="Z58" i="468"/>
  <c r="M58" i="468"/>
  <c r="K58" i="468"/>
  <c r="W57" i="468"/>
  <c r="W56" i="468"/>
  <c r="W55" i="468"/>
  <c r="W54" i="468"/>
  <c r="AG53" i="468"/>
  <c r="AF53" i="468"/>
  <c r="W53" i="468"/>
  <c r="W52" i="468"/>
  <c r="V52" i="468"/>
  <c r="O52" i="468"/>
  <c r="N52" i="468"/>
  <c r="AF52" i="468" s="1"/>
  <c r="K52" i="468"/>
  <c r="J52" i="468"/>
  <c r="H52" i="468"/>
  <c r="F52" i="468"/>
  <c r="W51" i="468"/>
  <c r="V51" i="468"/>
  <c r="P51" i="468"/>
  <c r="N51" i="468"/>
  <c r="L51" i="468"/>
  <c r="K51" i="468"/>
  <c r="J51" i="468"/>
  <c r="F51" i="468"/>
  <c r="H51" i="468" s="1"/>
  <c r="AG50" i="468"/>
  <c r="W50" i="468"/>
  <c r="V50" i="468"/>
  <c r="P50" i="468"/>
  <c r="N50" i="468"/>
  <c r="L50" i="468"/>
  <c r="F50" i="468"/>
  <c r="H50" i="468" s="1"/>
  <c r="AG49" i="468"/>
  <c r="AF49" i="468"/>
  <c r="W49" i="468"/>
  <c r="N49" i="468" s="1"/>
  <c r="P49" i="468"/>
  <c r="O49" i="468"/>
  <c r="J49" i="468"/>
  <c r="L49" i="468" s="1"/>
  <c r="H49" i="468"/>
  <c r="F49" i="468"/>
  <c r="AE48" i="468"/>
  <c r="G21" i="467" s="1"/>
  <c r="AD48" i="468"/>
  <c r="AA48" i="468"/>
  <c r="Z48" i="468"/>
  <c r="W48" i="468"/>
  <c r="N48" i="468"/>
  <c r="M48" i="468"/>
  <c r="W47" i="468"/>
  <c r="H47" i="468"/>
  <c r="W46" i="468"/>
  <c r="W45" i="468"/>
  <c r="W44" i="468"/>
  <c r="W43" i="468"/>
  <c r="W42" i="468"/>
  <c r="AG41" i="468"/>
  <c r="AF41" i="468"/>
  <c r="W41" i="468"/>
  <c r="W40" i="468"/>
  <c r="V40" i="468"/>
  <c r="P40" i="468"/>
  <c r="N40" i="468"/>
  <c r="K40" i="468"/>
  <c r="H40" i="468"/>
  <c r="F40" i="468"/>
  <c r="AF39" i="468"/>
  <c r="W39" i="468"/>
  <c r="V39" i="468"/>
  <c r="P39" i="468"/>
  <c r="O39" i="468"/>
  <c r="N39" i="468"/>
  <c r="AG39" i="468" s="1"/>
  <c r="K39" i="468"/>
  <c r="H39" i="468"/>
  <c r="F39" i="468"/>
  <c r="AG38" i="468"/>
  <c r="AF38" i="468"/>
  <c r="W38" i="468"/>
  <c r="P38" i="468"/>
  <c r="O38" i="468"/>
  <c r="N38" i="468"/>
  <c r="K38" i="468"/>
  <c r="J38" i="468"/>
  <c r="H38" i="468"/>
  <c r="F38" i="468"/>
  <c r="AE37" i="468"/>
  <c r="AD37" i="468"/>
  <c r="AA37" i="468"/>
  <c r="Z37" i="468"/>
  <c r="F18" i="467" s="1"/>
  <c r="M37" i="468"/>
  <c r="W36" i="468"/>
  <c r="H36" i="468"/>
  <c r="W35" i="468"/>
  <c r="W34" i="468"/>
  <c r="W33" i="468"/>
  <c r="W32" i="468"/>
  <c r="AG31" i="468"/>
  <c r="AF31" i="468"/>
  <c r="W31" i="468"/>
  <c r="AG30" i="468"/>
  <c r="AF30" i="468"/>
  <c r="W30" i="468"/>
  <c r="AG29" i="468"/>
  <c r="AF29" i="468"/>
  <c r="W29" i="468"/>
  <c r="W28" i="468"/>
  <c r="V28" i="468"/>
  <c r="N28" i="468"/>
  <c r="O28" i="468" s="1"/>
  <c r="K28" i="468"/>
  <c r="J28" i="468"/>
  <c r="F28" i="468"/>
  <c r="H28" i="468" s="1"/>
  <c r="W27" i="468"/>
  <c r="N27" i="468" s="1"/>
  <c r="P27" i="468"/>
  <c r="K27" i="468"/>
  <c r="J27" i="468"/>
  <c r="H27" i="468"/>
  <c r="F27" i="468"/>
  <c r="AE26" i="468"/>
  <c r="AD26" i="468"/>
  <c r="E20" i="467" s="1"/>
  <c r="AA26" i="468"/>
  <c r="E19" i="467" s="1"/>
  <c r="Z26" i="468"/>
  <c r="E18" i="467" s="1"/>
  <c r="M26" i="468"/>
  <c r="P26" i="468" s="1"/>
  <c r="J26" i="468"/>
  <c r="W25" i="468"/>
  <c r="H25" i="468"/>
  <c r="W24" i="468"/>
  <c r="H24" i="468"/>
  <c r="W23" i="468"/>
  <c r="W21" i="468"/>
  <c r="W20" i="468"/>
  <c r="V20" i="468"/>
  <c r="R20" i="468"/>
  <c r="P20" i="468"/>
  <c r="N20" i="468"/>
  <c r="O20" i="468" s="1"/>
  <c r="Q20" i="468" s="1"/>
  <c r="L20" i="468"/>
  <c r="F20" i="468"/>
  <c r="H20" i="468" s="1"/>
  <c r="W19" i="468"/>
  <c r="V19" i="468"/>
  <c r="P19" i="468"/>
  <c r="N19" i="468"/>
  <c r="L19" i="468"/>
  <c r="K19" i="468"/>
  <c r="F19" i="468"/>
  <c r="H19" i="468" s="1"/>
  <c r="W18" i="468"/>
  <c r="N18" i="468" s="1"/>
  <c r="V18" i="468"/>
  <c r="P18" i="468"/>
  <c r="K18" i="468"/>
  <c r="L18" i="468" s="1"/>
  <c r="H18" i="468"/>
  <c r="F18" i="468"/>
  <c r="W17" i="468"/>
  <c r="N17" i="468" s="1"/>
  <c r="V17" i="468"/>
  <c r="P17" i="468"/>
  <c r="L17" i="468"/>
  <c r="H17" i="468"/>
  <c r="F17" i="468"/>
  <c r="AG16" i="468"/>
  <c r="AF16" i="468"/>
  <c r="W16" i="468"/>
  <c r="Q16" i="468"/>
  <c r="P16" i="468"/>
  <c r="O16" i="468"/>
  <c r="N16" i="468"/>
  <c r="L16" i="468"/>
  <c r="K16" i="468"/>
  <c r="F16" i="468"/>
  <c r="H16" i="468" s="1"/>
  <c r="AE15" i="468"/>
  <c r="AD15" i="468"/>
  <c r="D20" i="467" s="1"/>
  <c r="O6" i="467" s="1"/>
  <c r="AA15" i="468"/>
  <c r="Z15" i="468"/>
  <c r="M15" i="468"/>
  <c r="P15" i="468" s="1"/>
  <c r="L15" i="468"/>
  <c r="D13" i="467" s="1"/>
  <c r="K15" i="468"/>
  <c r="J15" i="468"/>
  <c r="W14" i="468"/>
  <c r="W13" i="468"/>
  <c r="W12" i="468"/>
  <c r="AG11" i="468"/>
  <c r="AF11" i="468"/>
  <c r="W11" i="468"/>
  <c r="AG10" i="468"/>
  <c r="AF10" i="468"/>
  <c r="W10" i="468"/>
  <c r="W9" i="468"/>
  <c r="V9" i="468"/>
  <c r="P9" i="468"/>
  <c r="N9" i="468"/>
  <c r="O9" i="468" s="1"/>
  <c r="L9" i="468"/>
  <c r="K9" i="468"/>
  <c r="F9" i="468"/>
  <c r="H9" i="468" s="1"/>
  <c r="W8" i="468"/>
  <c r="N8" i="468" s="1"/>
  <c r="V8" i="468"/>
  <c r="P8" i="468"/>
  <c r="L8" i="468"/>
  <c r="H8" i="468"/>
  <c r="F8" i="468"/>
  <c r="W7" i="468"/>
  <c r="V7" i="468"/>
  <c r="P7" i="468"/>
  <c r="N7" i="468"/>
  <c r="L7" i="468"/>
  <c r="H7" i="468"/>
  <c r="F7" i="468"/>
  <c r="W6" i="468"/>
  <c r="N6" i="468" s="1"/>
  <c r="V6" i="468"/>
  <c r="P6" i="468"/>
  <c r="K6" i="468"/>
  <c r="L6" i="468" s="1"/>
  <c r="F6" i="468"/>
  <c r="H6" i="468" s="1"/>
  <c r="W5" i="468"/>
  <c r="P5" i="468"/>
  <c r="N5" i="468"/>
  <c r="K5" i="468"/>
  <c r="L5" i="468" s="1"/>
  <c r="F5" i="468"/>
  <c r="H5" i="468" s="1"/>
  <c r="AD2" i="468"/>
  <c r="AA2" i="468"/>
  <c r="I2" i="468"/>
  <c r="I1" i="468"/>
  <c r="E1" i="468"/>
  <c r="J22" i="467"/>
  <c r="I22" i="467"/>
  <c r="H22" i="467"/>
  <c r="G22" i="467"/>
  <c r="F22" i="467"/>
  <c r="E22" i="467"/>
  <c r="D22" i="467"/>
  <c r="E21" i="467"/>
  <c r="D21" i="467"/>
  <c r="I20" i="467"/>
  <c r="H20" i="467"/>
  <c r="G20" i="467"/>
  <c r="F20" i="467"/>
  <c r="J19" i="467"/>
  <c r="I19" i="467"/>
  <c r="H19" i="467"/>
  <c r="G19" i="467"/>
  <c r="F19" i="467"/>
  <c r="D19" i="467"/>
  <c r="J18" i="467"/>
  <c r="I18" i="467"/>
  <c r="H18" i="467"/>
  <c r="G18" i="467"/>
  <c r="J16" i="467"/>
  <c r="I16" i="467"/>
  <c r="H16" i="467"/>
  <c r="G16" i="467"/>
  <c r="F16" i="467"/>
  <c r="E16" i="467"/>
  <c r="D16" i="467"/>
  <c r="I13" i="467"/>
  <c r="O8" i="467"/>
  <c r="N8" i="467"/>
  <c r="M8" i="467"/>
  <c r="L8" i="467"/>
  <c r="O7" i="467"/>
  <c r="N7" i="467"/>
  <c r="M7" i="467"/>
  <c r="L7" i="467"/>
  <c r="J6" i="467"/>
  <c r="G3" i="467"/>
  <c r="AE79" i="466"/>
  <c r="AD79" i="466"/>
  <c r="J20" i="465" s="1"/>
  <c r="O6" i="465" s="1"/>
  <c r="AA79" i="466"/>
  <c r="Z79" i="466"/>
  <c r="N79" i="466"/>
  <c r="M79" i="466"/>
  <c r="W78" i="466"/>
  <c r="H78" i="466"/>
  <c r="W77" i="466"/>
  <c r="H77" i="466"/>
  <c r="W76" i="466"/>
  <c r="W75" i="466"/>
  <c r="W74" i="466"/>
  <c r="W73" i="466"/>
  <c r="W72" i="466"/>
  <c r="W71" i="466"/>
  <c r="W70" i="466"/>
  <c r="N70" i="466"/>
  <c r="L70" i="466"/>
  <c r="L79" i="466" s="1"/>
  <c r="J13" i="465" s="1"/>
  <c r="K70" i="466"/>
  <c r="K79" i="466" s="1"/>
  <c r="J70" i="466"/>
  <c r="P70" i="466" s="1"/>
  <c r="F70" i="466"/>
  <c r="H70" i="466" s="1"/>
  <c r="AE69" i="466"/>
  <c r="AD69" i="466"/>
  <c r="AA69" i="466"/>
  <c r="Z69" i="466"/>
  <c r="P69" i="466"/>
  <c r="M69" i="466"/>
  <c r="W68" i="466"/>
  <c r="H68" i="466"/>
  <c r="W67" i="466"/>
  <c r="W66" i="466"/>
  <c r="W65" i="466"/>
  <c r="W64" i="466"/>
  <c r="W63" i="466"/>
  <c r="N63" i="466" s="1"/>
  <c r="O63" i="466" s="1"/>
  <c r="V63" i="466"/>
  <c r="P63" i="466"/>
  <c r="K63" i="466"/>
  <c r="L63" i="466" s="1"/>
  <c r="F63" i="466"/>
  <c r="H63" i="466" s="1"/>
  <c r="AG62" i="466"/>
  <c r="AF62" i="466"/>
  <c r="W62" i="466"/>
  <c r="N62" i="466" s="1"/>
  <c r="V62" i="466"/>
  <c r="P62" i="466"/>
  <c r="O62" i="466"/>
  <c r="K62" i="466"/>
  <c r="L62" i="466" s="1"/>
  <c r="F62" i="466"/>
  <c r="H62" i="466" s="1"/>
  <c r="AF61" i="466"/>
  <c r="W61" i="466"/>
  <c r="N61" i="466" s="1"/>
  <c r="V61" i="466"/>
  <c r="P61" i="466"/>
  <c r="K61" i="466"/>
  <c r="L61" i="466" s="1"/>
  <c r="F61" i="466"/>
  <c r="H61" i="466" s="1"/>
  <c r="AG60" i="466"/>
  <c r="AF60" i="466"/>
  <c r="W60" i="466"/>
  <c r="N60" i="466" s="1"/>
  <c r="O60" i="466" s="1"/>
  <c r="V60" i="466"/>
  <c r="P60" i="466"/>
  <c r="K60" i="466"/>
  <c r="J60" i="466"/>
  <c r="J69" i="466" s="1"/>
  <c r="F60" i="466"/>
  <c r="H60" i="466" s="1"/>
  <c r="W59" i="466"/>
  <c r="P59" i="466"/>
  <c r="N59" i="466"/>
  <c r="K59" i="466"/>
  <c r="L59" i="466" s="1"/>
  <c r="H59" i="466"/>
  <c r="F59" i="466"/>
  <c r="AE58" i="466"/>
  <c r="AD58" i="466"/>
  <c r="AA58" i="466"/>
  <c r="Z58" i="466"/>
  <c r="H18" i="465" s="1"/>
  <c r="M58" i="466"/>
  <c r="W57" i="466"/>
  <c r="W56" i="466"/>
  <c r="W55" i="466"/>
  <c r="W54" i="466"/>
  <c r="W53" i="466"/>
  <c r="V53" i="466"/>
  <c r="R53" i="466"/>
  <c r="P53" i="466"/>
  <c r="O53" i="466"/>
  <c r="Q53" i="466" s="1"/>
  <c r="N53" i="466"/>
  <c r="K53" i="466"/>
  <c r="L53" i="466" s="1"/>
  <c r="F53" i="466"/>
  <c r="H53" i="466" s="1"/>
  <c r="W52" i="466"/>
  <c r="V52" i="466"/>
  <c r="N52" i="466"/>
  <c r="K52" i="466"/>
  <c r="J52" i="466"/>
  <c r="H52" i="466"/>
  <c r="F52" i="466"/>
  <c r="W51" i="466"/>
  <c r="V51" i="466"/>
  <c r="P51" i="466"/>
  <c r="N51" i="466"/>
  <c r="K51" i="466"/>
  <c r="J51" i="466"/>
  <c r="F51" i="466"/>
  <c r="H51" i="466" s="1"/>
  <c r="W50" i="466"/>
  <c r="V50" i="466"/>
  <c r="P50" i="466"/>
  <c r="N50" i="466"/>
  <c r="AG50" i="466" s="1"/>
  <c r="L50" i="466"/>
  <c r="F50" i="466"/>
  <c r="H50" i="466" s="1"/>
  <c r="AF49" i="466"/>
  <c r="W49" i="466"/>
  <c r="N49" i="466" s="1"/>
  <c r="L49" i="466"/>
  <c r="J49" i="466"/>
  <c r="P49" i="466" s="1"/>
  <c r="F49" i="466"/>
  <c r="H49" i="466" s="1"/>
  <c r="AE48" i="466"/>
  <c r="AD48" i="466"/>
  <c r="AA48" i="466"/>
  <c r="Z48" i="466"/>
  <c r="W48" i="466"/>
  <c r="M48" i="466"/>
  <c r="W47" i="466"/>
  <c r="H47" i="466"/>
  <c r="W46" i="466"/>
  <c r="W45" i="466"/>
  <c r="W44" i="466"/>
  <c r="W43" i="466"/>
  <c r="W42" i="466"/>
  <c r="AG41" i="466"/>
  <c r="AF41" i="466"/>
  <c r="W41" i="466"/>
  <c r="AG40" i="466"/>
  <c r="AF40" i="466"/>
  <c r="W40" i="466"/>
  <c r="W39" i="466"/>
  <c r="V39" i="466"/>
  <c r="P39" i="466"/>
  <c r="N39" i="466"/>
  <c r="O39" i="466" s="1"/>
  <c r="K39" i="466"/>
  <c r="H39" i="466"/>
  <c r="F39" i="466"/>
  <c r="W38" i="466"/>
  <c r="N38" i="466" s="1"/>
  <c r="K38" i="466"/>
  <c r="J38" i="466"/>
  <c r="P38" i="466" s="1"/>
  <c r="H38" i="466"/>
  <c r="F38" i="466"/>
  <c r="AE37" i="466"/>
  <c r="F21" i="465" s="1"/>
  <c r="AD37" i="466"/>
  <c r="F20" i="465" s="1"/>
  <c r="AA37" i="466"/>
  <c r="Z37" i="466"/>
  <c r="M37" i="466"/>
  <c r="F22" i="465" s="1"/>
  <c r="W36" i="466"/>
  <c r="H36" i="466"/>
  <c r="W35" i="466"/>
  <c r="W34" i="466"/>
  <c r="W33" i="466"/>
  <c r="W32" i="466"/>
  <c r="AG31" i="466"/>
  <c r="AF31" i="466"/>
  <c r="W31" i="466"/>
  <c r="AG30" i="466"/>
  <c r="AF30" i="466"/>
  <c r="W30" i="466"/>
  <c r="W29" i="466"/>
  <c r="N29" i="466" s="1"/>
  <c r="V29" i="466"/>
  <c r="P29" i="466"/>
  <c r="L29" i="466"/>
  <c r="K29" i="466"/>
  <c r="J29" i="466"/>
  <c r="H29" i="466"/>
  <c r="F29" i="466"/>
  <c r="AG28" i="466"/>
  <c r="W28" i="466"/>
  <c r="N28" i="466" s="1"/>
  <c r="AF28" i="466" s="1"/>
  <c r="V28" i="466"/>
  <c r="O28" i="466"/>
  <c r="K28" i="466"/>
  <c r="J28" i="466"/>
  <c r="P28" i="466" s="1"/>
  <c r="H28" i="466"/>
  <c r="F28" i="466"/>
  <c r="W27" i="466"/>
  <c r="N27" i="466" s="1"/>
  <c r="K27" i="466"/>
  <c r="K37" i="466" s="1"/>
  <c r="J27" i="466"/>
  <c r="F27" i="466"/>
  <c r="H27" i="466" s="1"/>
  <c r="AE26" i="466"/>
  <c r="AD26" i="466"/>
  <c r="AA26" i="466"/>
  <c r="Z26" i="466"/>
  <c r="P26" i="466"/>
  <c r="M26" i="466"/>
  <c r="E22" i="465" s="1"/>
  <c r="J26" i="466"/>
  <c r="W25" i="466"/>
  <c r="H25" i="466"/>
  <c r="W24" i="466"/>
  <c r="H24" i="466"/>
  <c r="W23" i="466"/>
  <c r="W21" i="466"/>
  <c r="W20" i="466"/>
  <c r="N20" i="466" s="1"/>
  <c r="O20" i="466" s="1"/>
  <c r="V20" i="466"/>
  <c r="P20" i="466"/>
  <c r="L20" i="466"/>
  <c r="H20" i="466"/>
  <c r="F20" i="466"/>
  <c r="W19" i="466"/>
  <c r="N19" i="466" s="1"/>
  <c r="V19" i="466"/>
  <c r="P19" i="466"/>
  <c r="O19" i="466"/>
  <c r="K19" i="466"/>
  <c r="H19" i="466"/>
  <c r="F19" i="466"/>
  <c r="W18" i="466"/>
  <c r="N18" i="466" s="1"/>
  <c r="V18" i="466"/>
  <c r="P18" i="466"/>
  <c r="K18" i="466"/>
  <c r="L18" i="466" s="1"/>
  <c r="F18" i="466"/>
  <c r="H18" i="466" s="1"/>
  <c r="W17" i="466"/>
  <c r="V17" i="466"/>
  <c r="P17" i="466"/>
  <c r="O17" i="466"/>
  <c r="N17" i="466"/>
  <c r="L17" i="466"/>
  <c r="H17" i="466"/>
  <c r="F17" i="466"/>
  <c r="W16" i="466"/>
  <c r="N16" i="466" s="1"/>
  <c r="P16" i="466"/>
  <c r="K16" i="466"/>
  <c r="H16" i="466"/>
  <c r="F16" i="466"/>
  <c r="AE15" i="466"/>
  <c r="AD15" i="466"/>
  <c r="AA15" i="466"/>
  <c r="Z15" i="466"/>
  <c r="M15" i="466"/>
  <c r="J15" i="466"/>
  <c r="P15" i="466" s="1"/>
  <c r="W14" i="466"/>
  <c r="W13" i="466"/>
  <c r="W12" i="466"/>
  <c r="AG11" i="466"/>
  <c r="AF11" i="466"/>
  <c r="W11" i="466"/>
  <c r="AG10" i="466"/>
  <c r="AF10" i="466"/>
  <c r="W10" i="466"/>
  <c r="W9" i="466"/>
  <c r="V9" i="466"/>
  <c r="P9" i="466"/>
  <c r="N9" i="466"/>
  <c r="L9" i="466"/>
  <c r="K9" i="466"/>
  <c r="H9" i="466"/>
  <c r="F9" i="466"/>
  <c r="W8" i="466"/>
  <c r="V8" i="466"/>
  <c r="P8" i="466"/>
  <c r="N8" i="466"/>
  <c r="AF8" i="466" s="1"/>
  <c r="L8" i="466"/>
  <c r="H8" i="466"/>
  <c r="F8" i="466"/>
  <c r="AG7" i="466"/>
  <c r="W7" i="466"/>
  <c r="V7" i="466"/>
  <c r="P7" i="466"/>
  <c r="N7" i="466"/>
  <c r="O7" i="466" s="1"/>
  <c r="L7" i="466"/>
  <c r="H7" i="466"/>
  <c r="F7" i="466"/>
  <c r="W6" i="466"/>
  <c r="N6" i="466" s="1"/>
  <c r="V6" i="466"/>
  <c r="P6" i="466"/>
  <c r="L6" i="466"/>
  <c r="K6" i="466"/>
  <c r="K15" i="466" s="1"/>
  <c r="F6" i="466"/>
  <c r="H6" i="466" s="1"/>
  <c r="W5" i="466"/>
  <c r="P5" i="466"/>
  <c r="N5" i="466"/>
  <c r="AF5" i="466" s="1"/>
  <c r="L5" i="466"/>
  <c r="K5" i="466"/>
  <c r="H5" i="466"/>
  <c r="F5" i="466"/>
  <c r="I2" i="466"/>
  <c r="E1" i="466"/>
  <c r="G3" i="465" s="1"/>
  <c r="I22" i="465"/>
  <c r="G22" i="465"/>
  <c r="D22" i="465"/>
  <c r="J21" i="465"/>
  <c r="I21" i="465"/>
  <c r="H21" i="465"/>
  <c r="G21" i="465"/>
  <c r="E21" i="465"/>
  <c r="I20" i="465"/>
  <c r="H20" i="465"/>
  <c r="G20" i="465"/>
  <c r="E20" i="465"/>
  <c r="D20" i="465"/>
  <c r="J19" i="465"/>
  <c r="I19" i="465"/>
  <c r="H19" i="465"/>
  <c r="G19" i="465"/>
  <c r="F19" i="465"/>
  <c r="D19" i="465"/>
  <c r="J18" i="465"/>
  <c r="I18" i="465"/>
  <c r="G18" i="465"/>
  <c r="F18" i="465"/>
  <c r="D18" i="465"/>
  <c r="J16" i="465"/>
  <c r="I16" i="465"/>
  <c r="H16" i="465"/>
  <c r="G16" i="465"/>
  <c r="F16" i="465"/>
  <c r="E16" i="465"/>
  <c r="D16" i="465"/>
  <c r="O8" i="465"/>
  <c r="N8" i="465"/>
  <c r="M8" i="465"/>
  <c r="L8" i="465"/>
  <c r="O7" i="465"/>
  <c r="N7" i="465"/>
  <c r="M7" i="465"/>
  <c r="L7" i="465"/>
  <c r="AE79" i="464"/>
  <c r="AD79" i="464"/>
  <c r="AA79" i="464"/>
  <c r="Z79" i="464"/>
  <c r="P79" i="464"/>
  <c r="M79" i="464"/>
  <c r="J22" i="463" s="1"/>
  <c r="K79" i="464"/>
  <c r="J79" i="464"/>
  <c r="W78" i="464"/>
  <c r="H78" i="464"/>
  <c r="W77" i="464"/>
  <c r="H77" i="464"/>
  <c r="W76" i="464"/>
  <c r="H76" i="464"/>
  <c r="W75" i="464"/>
  <c r="W74" i="464"/>
  <c r="W73" i="464"/>
  <c r="W72" i="464"/>
  <c r="W71" i="464"/>
  <c r="W70" i="464"/>
  <c r="P70" i="464"/>
  <c r="N70" i="464"/>
  <c r="K70" i="464"/>
  <c r="L70" i="464" s="1"/>
  <c r="L79" i="464" s="1"/>
  <c r="J13" i="463" s="1"/>
  <c r="J70" i="464"/>
  <c r="H70" i="464"/>
  <c r="F70" i="464"/>
  <c r="AE69" i="464"/>
  <c r="I21" i="463" s="1"/>
  <c r="AD69" i="464"/>
  <c r="I20" i="463" s="1"/>
  <c r="AA69" i="464"/>
  <c r="I19" i="463" s="1"/>
  <c r="Z69" i="464"/>
  <c r="P69" i="464"/>
  <c r="N69" i="464"/>
  <c r="M69" i="464"/>
  <c r="I22" i="463" s="1"/>
  <c r="W68" i="464"/>
  <c r="H68" i="464"/>
  <c r="W67" i="464"/>
  <c r="W66" i="464"/>
  <c r="W65" i="464"/>
  <c r="W64" i="464"/>
  <c r="W63" i="464"/>
  <c r="N63" i="464" s="1"/>
  <c r="O63" i="464" s="1"/>
  <c r="V63" i="464"/>
  <c r="Q63" i="464"/>
  <c r="P63" i="464"/>
  <c r="K63" i="464"/>
  <c r="L63" i="464" s="1"/>
  <c r="R63" i="464" s="1"/>
  <c r="H63" i="464"/>
  <c r="F63" i="464"/>
  <c r="W62" i="464"/>
  <c r="N62" i="464" s="1"/>
  <c r="V62" i="464"/>
  <c r="P62" i="464"/>
  <c r="K62" i="464"/>
  <c r="L62" i="464" s="1"/>
  <c r="J62" i="464"/>
  <c r="H62" i="464"/>
  <c r="F62" i="464"/>
  <c r="AF61" i="464"/>
  <c r="W61" i="464"/>
  <c r="N61" i="464" s="1"/>
  <c r="V61" i="464"/>
  <c r="P61" i="464"/>
  <c r="K61" i="464"/>
  <c r="L61" i="464" s="1"/>
  <c r="F61" i="464"/>
  <c r="H61" i="464" s="1"/>
  <c r="W60" i="464"/>
  <c r="N60" i="464" s="1"/>
  <c r="V60" i="464"/>
  <c r="P60" i="464"/>
  <c r="O60" i="464"/>
  <c r="K60" i="464"/>
  <c r="J60" i="464"/>
  <c r="J69" i="464" s="1"/>
  <c r="F60" i="464"/>
  <c r="H60" i="464" s="1"/>
  <c r="W59" i="464"/>
  <c r="P59" i="464"/>
  <c r="O59" i="464"/>
  <c r="N59" i="464"/>
  <c r="K59" i="464"/>
  <c r="K69" i="464" s="1"/>
  <c r="F59" i="464"/>
  <c r="H59" i="464" s="1"/>
  <c r="AE58" i="464"/>
  <c r="AD58" i="464"/>
  <c r="AA58" i="464"/>
  <c r="Z58" i="464"/>
  <c r="M58" i="464"/>
  <c r="H22" i="463" s="1"/>
  <c r="W57" i="464"/>
  <c r="W56" i="464"/>
  <c r="W55" i="464"/>
  <c r="W54" i="464"/>
  <c r="AG53" i="464"/>
  <c r="AF53" i="464"/>
  <c r="W53" i="464"/>
  <c r="W52" i="464"/>
  <c r="N52" i="464" s="1"/>
  <c r="V52" i="464"/>
  <c r="L52" i="464"/>
  <c r="K52" i="464"/>
  <c r="J52" i="464"/>
  <c r="P52" i="464" s="1"/>
  <c r="F52" i="464"/>
  <c r="H52" i="464" s="1"/>
  <c r="W51" i="464"/>
  <c r="V51" i="464"/>
  <c r="N51" i="464"/>
  <c r="K51" i="464"/>
  <c r="J51" i="464"/>
  <c r="P51" i="464" s="1"/>
  <c r="H51" i="464"/>
  <c r="F51" i="464"/>
  <c r="W50" i="464"/>
  <c r="V50" i="464"/>
  <c r="P50" i="464"/>
  <c r="O50" i="464"/>
  <c r="N50" i="464"/>
  <c r="L50" i="464"/>
  <c r="H50" i="464"/>
  <c r="F50" i="464"/>
  <c r="W49" i="464"/>
  <c r="N49" i="464"/>
  <c r="L49" i="464"/>
  <c r="J49" i="464"/>
  <c r="F49" i="464"/>
  <c r="H49" i="464" s="1"/>
  <c r="AE48" i="464"/>
  <c r="AD48" i="464"/>
  <c r="AA48" i="464"/>
  <c r="G19" i="463" s="1"/>
  <c r="Z48" i="464"/>
  <c r="W48" i="464"/>
  <c r="M48" i="464"/>
  <c r="W47" i="464"/>
  <c r="H47" i="464"/>
  <c r="W46" i="464"/>
  <c r="W45" i="464"/>
  <c r="W44" i="464"/>
  <c r="W43" i="464"/>
  <c r="W42" i="464"/>
  <c r="AG41" i="464"/>
  <c r="AF41" i="464"/>
  <c r="W41" i="464"/>
  <c r="AG40" i="464"/>
  <c r="AF40" i="464"/>
  <c r="W40" i="464"/>
  <c r="W39" i="464"/>
  <c r="V39" i="464"/>
  <c r="P39" i="464"/>
  <c r="N39" i="464"/>
  <c r="L39" i="464"/>
  <c r="K39" i="464"/>
  <c r="H39" i="464"/>
  <c r="F39" i="464"/>
  <c r="W38" i="464"/>
  <c r="N38" i="464" s="1"/>
  <c r="K38" i="464"/>
  <c r="J38" i="464"/>
  <c r="P38" i="464" s="1"/>
  <c r="H38" i="464"/>
  <c r="F38" i="464"/>
  <c r="AE37" i="464"/>
  <c r="AD37" i="464"/>
  <c r="AA37" i="464"/>
  <c r="F19" i="463" s="1"/>
  <c r="Z37" i="464"/>
  <c r="M37" i="464"/>
  <c r="W36" i="464"/>
  <c r="H36" i="464"/>
  <c r="W35" i="464"/>
  <c r="W34" i="464"/>
  <c r="W33" i="464"/>
  <c r="W32" i="464"/>
  <c r="AG31" i="464"/>
  <c r="AF31" i="464"/>
  <c r="W31" i="464"/>
  <c r="AG30" i="464"/>
  <c r="AF30" i="464"/>
  <c r="W30" i="464"/>
  <c r="W29" i="464"/>
  <c r="V29" i="464"/>
  <c r="P29" i="464"/>
  <c r="N29" i="464"/>
  <c r="L29" i="464"/>
  <c r="K29" i="464"/>
  <c r="H29" i="464"/>
  <c r="F29" i="464"/>
  <c r="W28" i="464"/>
  <c r="V28" i="464"/>
  <c r="P28" i="464"/>
  <c r="N28" i="464"/>
  <c r="L28" i="464"/>
  <c r="K28" i="464"/>
  <c r="J28" i="464"/>
  <c r="H28" i="464"/>
  <c r="F28" i="464"/>
  <c r="W27" i="464"/>
  <c r="N27" i="464" s="1"/>
  <c r="O27" i="464"/>
  <c r="K27" i="464"/>
  <c r="J27" i="464"/>
  <c r="H27" i="464"/>
  <c r="F27" i="464"/>
  <c r="AE26" i="464"/>
  <c r="E21" i="463" s="1"/>
  <c r="AD26" i="464"/>
  <c r="AA26" i="464"/>
  <c r="AA2" i="464" s="1"/>
  <c r="Z26" i="464"/>
  <c r="P26" i="464"/>
  <c r="M26" i="464"/>
  <c r="I1" i="464" s="1"/>
  <c r="J26" i="464"/>
  <c r="W25" i="464"/>
  <c r="W24" i="464"/>
  <c r="W23" i="464"/>
  <c r="W21" i="464"/>
  <c r="W20" i="464"/>
  <c r="W19" i="464"/>
  <c r="V19" i="464"/>
  <c r="P19" i="464"/>
  <c r="O19" i="464"/>
  <c r="N19" i="464"/>
  <c r="L19" i="464"/>
  <c r="K19" i="464"/>
  <c r="H19" i="464"/>
  <c r="F19" i="464"/>
  <c r="AG18" i="464"/>
  <c r="W18" i="464"/>
  <c r="V18" i="464"/>
  <c r="P18" i="464"/>
  <c r="O18" i="464"/>
  <c r="R18" i="464" s="1"/>
  <c r="N18" i="464"/>
  <c r="AF18" i="464" s="1"/>
  <c r="K18" i="464"/>
  <c r="L18" i="464" s="1"/>
  <c r="F18" i="464"/>
  <c r="H18" i="464" s="1"/>
  <c r="W17" i="464"/>
  <c r="N17" i="464" s="1"/>
  <c r="V17" i="464"/>
  <c r="Q17" i="464"/>
  <c r="P17" i="464"/>
  <c r="O17" i="464"/>
  <c r="L17" i="464"/>
  <c r="K17" i="464"/>
  <c r="AF17" i="464" s="1"/>
  <c r="H17" i="464"/>
  <c r="F17" i="464"/>
  <c r="W16" i="464"/>
  <c r="P16" i="464"/>
  <c r="N16" i="464"/>
  <c r="L16" i="464"/>
  <c r="L26" i="464" s="1"/>
  <c r="E13" i="463" s="1"/>
  <c r="K16" i="464"/>
  <c r="F16" i="464"/>
  <c r="H16" i="464" s="1"/>
  <c r="AE15" i="464"/>
  <c r="D21" i="463" s="1"/>
  <c r="AD15" i="464"/>
  <c r="AA15" i="464"/>
  <c r="D19" i="463" s="1"/>
  <c r="Z15" i="464"/>
  <c r="P15" i="464"/>
  <c r="M15" i="464"/>
  <c r="J15" i="464"/>
  <c r="W14" i="464"/>
  <c r="W13" i="464"/>
  <c r="W12" i="464"/>
  <c r="AG11" i="464"/>
  <c r="AF11" i="464"/>
  <c r="W11" i="464"/>
  <c r="AG10" i="464"/>
  <c r="AF10" i="464"/>
  <c r="W10" i="464"/>
  <c r="W9" i="464"/>
  <c r="V9" i="464"/>
  <c r="P9" i="464"/>
  <c r="N9" i="464"/>
  <c r="K9" i="464"/>
  <c r="L9" i="464" s="1"/>
  <c r="H9" i="464"/>
  <c r="F9" i="464"/>
  <c r="W8" i="464"/>
  <c r="V8" i="464"/>
  <c r="P8" i="464"/>
  <c r="N8" i="464"/>
  <c r="L8" i="464"/>
  <c r="K8" i="464"/>
  <c r="AG8" i="464" s="1"/>
  <c r="F8" i="464"/>
  <c r="H8" i="464" s="1"/>
  <c r="AG7" i="464"/>
  <c r="W7" i="464"/>
  <c r="V7" i="464"/>
  <c r="P7" i="464"/>
  <c r="N7" i="464"/>
  <c r="K7" i="464"/>
  <c r="L7" i="464" s="1"/>
  <c r="F7" i="464"/>
  <c r="H7" i="464" s="1"/>
  <c r="W6" i="464"/>
  <c r="V6" i="464"/>
  <c r="P6" i="464"/>
  <c r="O6" i="464"/>
  <c r="N6" i="464"/>
  <c r="K6" i="464"/>
  <c r="L6" i="464" s="1"/>
  <c r="H6" i="464"/>
  <c r="F6" i="464"/>
  <c r="W5" i="464"/>
  <c r="N5" i="464" s="1"/>
  <c r="P5" i="464"/>
  <c r="O5" i="464"/>
  <c r="K5" i="464"/>
  <c r="H5" i="464"/>
  <c r="F5" i="464"/>
  <c r="AE2" i="464"/>
  <c r="AD2" i="464"/>
  <c r="I2" i="464"/>
  <c r="E1" i="464"/>
  <c r="G3" i="463" s="1"/>
  <c r="G22" i="463"/>
  <c r="F22" i="463"/>
  <c r="E22" i="463"/>
  <c r="D22" i="463"/>
  <c r="J21" i="463"/>
  <c r="H21" i="463"/>
  <c r="G21" i="463"/>
  <c r="F21" i="463"/>
  <c r="J20" i="463"/>
  <c r="H20" i="463"/>
  <c r="G20" i="463"/>
  <c r="F20" i="463"/>
  <c r="E20" i="463"/>
  <c r="D20" i="463"/>
  <c r="J19" i="463"/>
  <c r="H19" i="463"/>
  <c r="E19" i="463"/>
  <c r="M6" i="463" s="1"/>
  <c r="J18" i="463"/>
  <c r="I18" i="463"/>
  <c r="H18" i="463"/>
  <c r="G18" i="463"/>
  <c r="F18" i="463"/>
  <c r="E18" i="463"/>
  <c r="D18" i="463"/>
  <c r="J16" i="463"/>
  <c r="I16" i="463"/>
  <c r="H16" i="463"/>
  <c r="G16" i="463"/>
  <c r="F16" i="463"/>
  <c r="E16" i="463"/>
  <c r="D16" i="463"/>
  <c r="O8" i="463"/>
  <c r="N8" i="463"/>
  <c r="M8" i="463"/>
  <c r="L8" i="463"/>
  <c r="O7" i="463"/>
  <c r="N7" i="463"/>
  <c r="M7" i="463"/>
  <c r="L7" i="463"/>
  <c r="AE79" i="462"/>
  <c r="J21" i="461" s="1"/>
  <c r="AD79" i="462"/>
  <c r="AA79" i="462"/>
  <c r="Z79" i="462"/>
  <c r="M79" i="462"/>
  <c r="L79" i="462"/>
  <c r="J13" i="461" s="1"/>
  <c r="W78" i="462"/>
  <c r="H78" i="462"/>
  <c r="W77" i="462"/>
  <c r="H77" i="462"/>
  <c r="W76" i="462"/>
  <c r="H76" i="462"/>
  <c r="W75" i="462"/>
  <c r="H75" i="462"/>
  <c r="W74" i="462"/>
  <c r="W73" i="462"/>
  <c r="W72" i="462"/>
  <c r="W71" i="462"/>
  <c r="W70" i="462"/>
  <c r="N70" i="462" s="1"/>
  <c r="P70" i="462"/>
  <c r="K70" i="462"/>
  <c r="L70" i="462" s="1"/>
  <c r="J70" i="462"/>
  <c r="J79" i="462" s="1"/>
  <c r="P79" i="462" s="1"/>
  <c r="H70" i="462"/>
  <c r="F70" i="462"/>
  <c r="AE69" i="462"/>
  <c r="I21" i="461" s="1"/>
  <c r="AD69" i="462"/>
  <c r="AA69" i="462"/>
  <c r="Z69" i="462"/>
  <c r="N69" i="462"/>
  <c r="M69" i="462"/>
  <c r="K69" i="462"/>
  <c r="J69" i="462"/>
  <c r="P69" i="462" s="1"/>
  <c r="W68" i="462"/>
  <c r="H68" i="462"/>
  <c r="W67" i="462"/>
  <c r="W66" i="462"/>
  <c r="W65" i="462"/>
  <c r="W64" i="462"/>
  <c r="W63" i="462"/>
  <c r="AG62" i="462"/>
  <c r="W62" i="462"/>
  <c r="V62" i="462"/>
  <c r="P62" i="462"/>
  <c r="N62" i="462"/>
  <c r="L62" i="462"/>
  <c r="K62" i="462"/>
  <c r="H62" i="462"/>
  <c r="F62" i="462"/>
  <c r="AG61" i="462"/>
  <c r="W61" i="462"/>
  <c r="V61" i="462"/>
  <c r="R61" i="462"/>
  <c r="Q61" i="462"/>
  <c r="P61" i="462"/>
  <c r="O61" i="462"/>
  <c r="N61" i="462"/>
  <c r="L61" i="462"/>
  <c r="K61" i="462"/>
  <c r="H61" i="462"/>
  <c r="F61" i="462"/>
  <c r="W60" i="462"/>
  <c r="V60" i="462"/>
  <c r="R60" i="462"/>
  <c r="P60" i="462"/>
  <c r="O60" i="462"/>
  <c r="Q60" i="462" s="1"/>
  <c r="N60" i="462"/>
  <c r="L60" i="462"/>
  <c r="K60" i="462"/>
  <c r="J60" i="462"/>
  <c r="H60" i="462"/>
  <c r="F60" i="462"/>
  <c r="AG59" i="462"/>
  <c r="AF59" i="462"/>
  <c r="W59" i="462"/>
  <c r="R59" i="462"/>
  <c r="P59" i="462"/>
  <c r="O59" i="462"/>
  <c r="N59" i="462"/>
  <c r="L59" i="462"/>
  <c r="L69" i="462" s="1"/>
  <c r="I13" i="461" s="1"/>
  <c r="J6" i="461" s="1"/>
  <c r="K59" i="462"/>
  <c r="F59" i="462"/>
  <c r="H59" i="462" s="1"/>
  <c r="AE58" i="462"/>
  <c r="AD58" i="462"/>
  <c r="H20" i="461" s="1"/>
  <c r="N6" i="461" s="1"/>
  <c r="AA58" i="462"/>
  <c r="Z58" i="462"/>
  <c r="H18" i="461" s="1"/>
  <c r="M58" i="462"/>
  <c r="W57" i="462"/>
  <c r="W56" i="462"/>
  <c r="W55" i="462"/>
  <c r="W54" i="462"/>
  <c r="AG53" i="462"/>
  <c r="AF53" i="462"/>
  <c r="W53" i="462"/>
  <c r="W52" i="462"/>
  <c r="V52" i="462"/>
  <c r="N52" i="462"/>
  <c r="K52" i="462"/>
  <c r="J52" i="462"/>
  <c r="P52" i="462" s="1"/>
  <c r="H52" i="462"/>
  <c r="F52" i="462"/>
  <c r="W51" i="462"/>
  <c r="V51" i="462"/>
  <c r="N51" i="462"/>
  <c r="K51" i="462"/>
  <c r="J51" i="462"/>
  <c r="P51" i="462" s="1"/>
  <c r="H51" i="462"/>
  <c r="F51" i="462"/>
  <c r="W50" i="462"/>
  <c r="V50" i="462"/>
  <c r="P50" i="462"/>
  <c r="O50" i="462"/>
  <c r="N50" i="462"/>
  <c r="AG50" i="462" s="1"/>
  <c r="L50" i="462"/>
  <c r="H50" i="462"/>
  <c r="F50" i="462"/>
  <c r="W49" i="462"/>
  <c r="P49" i="462"/>
  <c r="N49" i="462"/>
  <c r="L49" i="462"/>
  <c r="J49" i="462"/>
  <c r="F49" i="462"/>
  <c r="H49" i="462" s="1"/>
  <c r="AE48" i="462"/>
  <c r="AD48" i="462"/>
  <c r="G20" i="461" s="1"/>
  <c r="AA48" i="462"/>
  <c r="Z48" i="462"/>
  <c r="G18" i="461" s="1"/>
  <c r="W48" i="462"/>
  <c r="M48" i="462"/>
  <c r="I1" i="462" s="1"/>
  <c r="W47" i="462"/>
  <c r="H47" i="462"/>
  <c r="W46" i="462"/>
  <c r="W45" i="462"/>
  <c r="W44" i="462"/>
  <c r="W43" i="462"/>
  <c r="W42" i="462"/>
  <c r="AG41" i="462"/>
  <c r="AF41" i="462"/>
  <c r="W41" i="462"/>
  <c r="AG40" i="462"/>
  <c r="W40" i="462"/>
  <c r="N40" i="462" s="1"/>
  <c r="V40" i="462"/>
  <c r="P40" i="462"/>
  <c r="K40" i="462"/>
  <c r="L40" i="462" s="1"/>
  <c r="J40" i="462"/>
  <c r="F40" i="462"/>
  <c r="H40" i="462" s="1"/>
  <c r="AF39" i="462"/>
  <c r="W39" i="462"/>
  <c r="N39" i="462" s="1"/>
  <c r="O39" i="462" s="1"/>
  <c r="V39" i="462"/>
  <c r="P39" i="462"/>
  <c r="K39" i="462"/>
  <c r="L39" i="462" s="1"/>
  <c r="R39" i="462" s="1"/>
  <c r="H39" i="462"/>
  <c r="F39" i="462"/>
  <c r="W38" i="462"/>
  <c r="N38" i="462" s="1"/>
  <c r="N48" i="462" s="1"/>
  <c r="K38" i="462"/>
  <c r="J38" i="462"/>
  <c r="F38" i="462"/>
  <c r="H38" i="462" s="1"/>
  <c r="AE37" i="462"/>
  <c r="F21" i="461" s="1"/>
  <c r="AD37" i="462"/>
  <c r="AA37" i="462"/>
  <c r="F19" i="461" s="1"/>
  <c r="Z37" i="462"/>
  <c r="M37" i="462"/>
  <c r="W36" i="462"/>
  <c r="H36" i="462"/>
  <c r="W35" i="462"/>
  <c r="W34" i="462"/>
  <c r="W33" i="462"/>
  <c r="W32" i="462"/>
  <c r="AG31" i="462"/>
  <c r="AF31" i="462"/>
  <c r="W31" i="462"/>
  <c r="AG30" i="462"/>
  <c r="AF30" i="462"/>
  <c r="W30" i="462"/>
  <c r="AG29" i="462"/>
  <c r="AF29" i="462"/>
  <c r="W29" i="462"/>
  <c r="W28" i="462"/>
  <c r="N28" i="462" s="1"/>
  <c r="V28" i="462"/>
  <c r="K28" i="462"/>
  <c r="L28" i="462" s="1"/>
  <c r="L37" i="462" s="1"/>
  <c r="F13" i="461" s="1"/>
  <c r="J28" i="462"/>
  <c r="P28" i="462" s="1"/>
  <c r="H28" i="462"/>
  <c r="F28" i="462"/>
  <c r="W27" i="462"/>
  <c r="P27" i="462"/>
  <c r="O27" i="462"/>
  <c r="N27" i="462"/>
  <c r="AG27" i="462" s="1"/>
  <c r="L27" i="462"/>
  <c r="K27" i="462"/>
  <c r="J27" i="462"/>
  <c r="F27" i="462"/>
  <c r="H27" i="462" s="1"/>
  <c r="AE26" i="462"/>
  <c r="AD26" i="462"/>
  <c r="E20" i="461" s="1"/>
  <c r="AA26" i="462"/>
  <c r="Z26" i="462"/>
  <c r="E18" i="461" s="1"/>
  <c r="P26" i="462"/>
  <c r="M26" i="462"/>
  <c r="E22" i="461" s="1"/>
  <c r="K26" i="462"/>
  <c r="J26" i="462"/>
  <c r="W25" i="462"/>
  <c r="H25" i="462"/>
  <c r="W24" i="462"/>
  <c r="H24" i="462"/>
  <c r="W23" i="462"/>
  <c r="W21" i="462"/>
  <c r="W20" i="462"/>
  <c r="AF19" i="462"/>
  <c r="W19" i="462"/>
  <c r="N19" i="462" s="1"/>
  <c r="AG19" i="462" s="1"/>
  <c r="V19" i="462"/>
  <c r="P19" i="462"/>
  <c r="O19" i="462"/>
  <c r="L19" i="462"/>
  <c r="K19" i="462"/>
  <c r="H19" i="462"/>
  <c r="F19" i="462"/>
  <c r="AF18" i="462"/>
  <c r="W18" i="462"/>
  <c r="N18" i="462" s="1"/>
  <c r="AG18" i="462" s="1"/>
  <c r="V18" i="462"/>
  <c r="P18" i="462"/>
  <c r="L18" i="462"/>
  <c r="L26" i="462" s="1"/>
  <c r="E13" i="461" s="1"/>
  <c r="K18" i="462"/>
  <c r="H18" i="462"/>
  <c r="F18" i="462"/>
  <c r="AG17" i="462"/>
  <c r="AF17" i="462"/>
  <c r="W17" i="462"/>
  <c r="V17" i="462"/>
  <c r="P17" i="462"/>
  <c r="N17" i="462"/>
  <c r="O17" i="462" s="1"/>
  <c r="Q17" i="462" s="1"/>
  <c r="L17" i="462"/>
  <c r="K17" i="462"/>
  <c r="F17" i="462"/>
  <c r="H17" i="462" s="1"/>
  <c r="W16" i="462"/>
  <c r="N16" i="462" s="1"/>
  <c r="P16" i="462"/>
  <c r="L16" i="462"/>
  <c r="K16" i="462"/>
  <c r="H16" i="462"/>
  <c r="F16" i="462"/>
  <c r="AE15" i="462"/>
  <c r="D21" i="461" s="1"/>
  <c r="AD15" i="462"/>
  <c r="D20" i="461" s="1"/>
  <c r="AA15" i="462"/>
  <c r="Z15" i="462"/>
  <c r="Z2" i="462" s="1"/>
  <c r="M15" i="462"/>
  <c r="J15" i="462"/>
  <c r="P15" i="462" s="1"/>
  <c r="W14" i="462"/>
  <c r="W13" i="462"/>
  <c r="W12" i="462"/>
  <c r="AG11" i="462"/>
  <c r="AF11" i="462"/>
  <c r="W11" i="462"/>
  <c r="AG10" i="462"/>
  <c r="AF10" i="462"/>
  <c r="W10" i="462"/>
  <c r="AG9" i="462"/>
  <c r="AF9" i="462"/>
  <c r="W9" i="462"/>
  <c r="AG8" i="462"/>
  <c r="AF8" i="462"/>
  <c r="W8" i="462"/>
  <c r="N8" i="462" s="1"/>
  <c r="V8" i="462"/>
  <c r="P8" i="462"/>
  <c r="O8" i="462"/>
  <c r="Q8" i="462" s="1"/>
  <c r="L8" i="462"/>
  <c r="K8" i="462"/>
  <c r="F8" i="462"/>
  <c r="H8" i="462" s="1"/>
  <c r="AG7" i="462"/>
  <c r="AF7" i="462"/>
  <c r="W7" i="462"/>
  <c r="N7" i="462" s="1"/>
  <c r="O7" i="462" s="1"/>
  <c r="V7" i="462"/>
  <c r="P7" i="462"/>
  <c r="L7" i="462"/>
  <c r="K7" i="462"/>
  <c r="F7" i="462"/>
  <c r="H7" i="462" s="1"/>
  <c r="AG6" i="462"/>
  <c r="AF6" i="462"/>
  <c r="W6" i="462"/>
  <c r="N6" i="462" s="1"/>
  <c r="V6" i="462"/>
  <c r="R6" i="462"/>
  <c r="P6" i="462"/>
  <c r="O6" i="462"/>
  <c r="Q6" i="462" s="1"/>
  <c r="L6" i="462"/>
  <c r="K6" i="462"/>
  <c r="F6" i="462"/>
  <c r="H6" i="462" s="1"/>
  <c r="AG5" i="462"/>
  <c r="W5" i="462"/>
  <c r="P5" i="462"/>
  <c r="N5" i="462"/>
  <c r="K5" i="462"/>
  <c r="L5" i="462" s="1"/>
  <c r="L15" i="462" s="1"/>
  <c r="D13" i="461" s="1"/>
  <c r="H5" i="462"/>
  <c r="F5" i="462"/>
  <c r="AD2" i="462"/>
  <c r="I2" i="462"/>
  <c r="E1" i="462"/>
  <c r="G3" i="461" s="1"/>
  <c r="J22" i="461"/>
  <c r="I22" i="461"/>
  <c r="H22" i="461"/>
  <c r="F22" i="461"/>
  <c r="D22" i="461"/>
  <c r="H21" i="461"/>
  <c r="G21" i="461"/>
  <c r="E21" i="461"/>
  <c r="J20" i="461"/>
  <c r="I20" i="461"/>
  <c r="F20" i="461"/>
  <c r="J19" i="461"/>
  <c r="I19" i="461"/>
  <c r="H19" i="461"/>
  <c r="G19" i="461"/>
  <c r="E19" i="461"/>
  <c r="D19" i="461"/>
  <c r="J18" i="461"/>
  <c r="I18" i="461"/>
  <c r="F18" i="461"/>
  <c r="J16" i="461"/>
  <c r="I16" i="461"/>
  <c r="H16" i="461"/>
  <c r="G16" i="461"/>
  <c r="F16" i="461"/>
  <c r="E16" i="461"/>
  <c r="D16" i="461"/>
  <c r="O8" i="461"/>
  <c r="N8" i="461"/>
  <c r="M8" i="461"/>
  <c r="L8" i="461"/>
  <c r="O7" i="461"/>
  <c r="N7" i="461"/>
  <c r="M7" i="461"/>
  <c r="L7" i="461"/>
  <c r="AE79" i="460"/>
  <c r="AD79" i="460"/>
  <c r="AA79" i="460"/>
  <c r="Z79" i="460"/>
  <c r="N79" i="460"/>
  <c r="M79" i="460"/>
  <c r="P79" i="460" s="1"/>
  <c r="J79" i="460"/>
  <c r="W78" i="460"/>
  <c r="H78" i="460"/>
  <c r="W77" i="460"/>
  <c r="H77" i="460"/>
  <c r="W76" i="460"/>
  <c r="H76" i="460"/>
  <c r="W75" i="460"/>
  <c r="H75" i="460"/>
  <c r="W74" i="460"/>
  <c r="W73" i="460"/>
  <c r="W72" i="460"/>
  <c r="W71" i="460"/>
  <c r="W70" i="460"/>
  <c r="P70" i="460"/>
  <c r="N70" i="460"/>
  <c r="K70" i="460"/>
  <c r="K79" i="460" s="1"/>
  <c r="J70" i="460"/>
  <c r="H70" i="460"/>
  <c r="F70" i="460"/>
  <c r="AE69" i="460"/>
  <c r="AD69" i="460"/>
  <c r="I20" i="459" s="1"/>
  <c r="AA69" i="460"/>
  <c r="Z69" i="460"/>
  <c r="I18" i="459" s="1"/>
  <c r="P69" i="460"/>
  <c r="M69" i="460"/>
  <c r="I22" i="459" s="1"/>
  <c r="J69" i="460"/>
  <c r="W68" i="460"/>
  <c r="H68" i="460"/>
  <c r="W67" i="460"/>
  <c r="W66" i="460"/>
  <c r="W65" i="460"/>
  <c r="W64" i="460"/>
  <c r="W63" i="460"/>
  <c r="W62" i="460"/>
  <c r="V62" i="460"/>
  <c r="P62" i="460"/>
  <c r="N62" i="460"/>
  <c r="K62" i="460"/>
  <c r="F62" i="460"/>
  <c r="H62" i="460" s="1"/>
  <c r="W61" i="460"/>
  <c r="N61" i="460" s="1"/>
  <c r="V61" i="460"/>
  <c r="P61" i="460"/>
  <c r="L61" i="460"/>
  <c r="K61" i="460"/>
  <c r="F61" i="460"/>
  <c r="H61" i="460" s="1"/>
  <c r="AG60" i="460"/>
  <c r="W60" i="460"/>
  <c r="V60" i="460"/>
  <c r="Q60" i="460"/>
  <c r="O60" i="460"/>
  <c r="R60" i="460" s="1"/>
  <c r="N60" i="460"/>
  <c r="AF60" i="460" s="1"/>
  <c r="K60" i="460"/>
  <c r="L60" i="460" s="1"/>
  <c r="J60" i="460"/>
  <c r="P60" i="460" s="1"/>
  <c r="F60" i="460"/>
  <c r="H60" i="460" s="1"/>
  <c r="AF59" i="460"/>
  <c r="W59" i="460"/>
  <c r="P59" i="460"/>
  <c r="O59" i="460"/>
  <c r="N59" i="460"/>
  <c r="L59" i="460"/>
  <c r="K59" i="460"/>
  <c r="F59" i="460"/>
  <c r="H59" i="460" s="1"/>
  <c r="AE58" i="460"/>
  <c r="AD58" i="460"/>
  <c r="AA58" i="460"/>
  <c r="H19" i="459" s="1"/>
  <c r="Z58" i="460"/>
  <c r="M58" i="460"/>
  <c r="H22" i="459" s="1"/>
  <c r="W57" i="460"/>
  <c r="W56" i="460"/>
  <c r="W55" i="460"/>
  <c r="W54" i="460"/>
  <c r="AF53" i="460"/>
  <c r="W53" i="460"/>
  <c r="N53" i="460" s="1"/>
  <c r="O53" i="460" s="1"/>
  <c r="V53" i="460"/>
  <c r="K53" i="460"/>
  <c r="J53" i="460"/>
  <c r="H53" i="460"/>
  <c r="F53" i="460"/>
  <c r="W52" i="460"/>
  <c r="N52" i="460" s="1"/>
  <c r="O52" i="460" s="1"/>
  <c r="V52" i="460"/>
  <c r="P52" i="460"/>
  <c r="L52" i="460"/>
  <c r="F52" i="460"/>
  <c r="H52" i="460" s="1"/>
  <c r="AG51" i="460"/>
  <c r="W51" i="460"/>
  <c r="N51" i="460" s="1"/>
  <c r="O51" i="460" s="1"/>
  <c r="Q51" i="460" s="1"/>
  <c r="V51" i="460"/>
  <c r="R51" i="460"/>
  <c r="P51" i="460"/>
  <c r="L51" i="460"/>
  <c r="H51" i="460"/>
  <c r="F51" i="460"/>
  <c r="W50" i="460"/>
  <c r="N50" i="460" s="1"/>
  <c r="V50" i="460"/>
  <c r="P50" i="460"/>
  <c r="K50" i="460"/>
  <c r="L50" i="460" s="1"/>
  <c r="J50" i="460"/>
  <c r="H50" i="460"/>
  <c r="F50" i="460"/>
  <c r="W49" i="460"/>
  <c r="N49" i="460" s="1"/>
  <c r="P49" i="460"/>
  <c r="L49" i="460"/>
  <c r="J49" i="460"/>
  <c r="H49" i="460"/>
  <c r="F49" i="460"/>
  <c r="AE48" i="460"/>
  <c r="G21" i="459" s="1"/>
  <c r="AD48" i="460"/>
  <c r="G20" i="459" s="1"/>
  <c r="AA48" i="460"/>
  <c r="Z48" i="460"/>
  <c r="G18" i="459" s="1"/>
  <c r="W48" i="460"/>
  <c r="N48" i="460"/>
  <c r="M48" i="460"/>
  <c r="P48" i="460" s="1"/>
  <c r="J48" i="460"/>
  <c r="W47" i="460"/>
  <c r="H47" i="460"/>
  <c r="W46" i="460"/>
  <c r="W45" i="460"/>
  <c r="W44" i="460"/>
  <c r="W43" i="460"/>
  <c r="W42" i="460"/>
  <c r="AG41" i="460"/>
  <c r="AF41" i="460"/>
  <c r="W41" i="460"/>
  <c r="W40" i="460"/>
  <c r="V40" i="460"/>
  <c r="P40" i="460"/>
  <c r="O40" i="460"/>
  <c r="N40" i="460"/>
  <c r="K40" i="460"/>
  <c r="AG40" i="460" s="1"/>
  <c r="H40" i="460"/>
  <c r="F40" i="460"/>
  <c r="W39" i="460"/>
  <c r="V39" i="460"/>
  <c r="P39" i="460"/>
  <c r="N39" i="460"/>
  <c r="K39" i="460"/>
  <c r="L39" i="460" s="1"/>
  <c r="H39" i="460"/>
  <c r="F39" i="460"/>
  <c r="W38" i="460"/>
  <c r="P38" i="460"/>
  <c r="N38" i="460"/>
  <c r="O38" i="460" s="1"/>
  <c r="K38" i="460"/>
  <c r="J38" i="460"/>
  <c r="F38" i="460"/>
  <c r="H38" i="460" s="1"/>
  <c r="AE37" i="460"/>
  <c r="F21" i="459" s="1"/>
  <c r="AD37" i="460"/>
  <c r="F20" i="459" s="1"/>
  <c r="AA37" i="460"/>
  <c r="Z37" i="460"/>
  <c r="M37" i="460"/>
  <c r="W36" i="460"/>
  <c r="H36" i="460"/>
  <c r="W35" i="460"/>
  <c r="W34" i="460"/>
  <c r="W33" i="460"/>
  <c r="W32" i="460"/>
  <c r="AG31" i="460"/>
  <c r="AF31" i="460"/>
  <c r="W31" i="460"/>
  <c r="AG30" i="460"/>
  <c r="AF30" i="460"/>
  <c r="W30" i="460"/>
  <c r="AG29" i="460"/>
  <c r="AF29" i="460"/>
  <c r="W29" i="460"/>
  <c r="AG28" i="460"/>
  <c r="W28" i="460"/>
  <c r="N28" i="460" s="1"/>
  <c r="V28" i="460"/>
  <c r="O28" i="460"/>
  <c r="L28" i="460"/>
  <c r="K28" i="460"/>
  <c r="AF28" i="460" s="1"/>
  <c r="J28" i="460"/>
  <c r="P28" i="460" s="1"/>
  <c r="H28" i="460"/>
  <c r="F28" i="460"/>
  <c r="W27" i="460"/>
  <c r="N27" i="460" s="1"/>
  <c r="K27" i="460"/>
  <c r="J27" i="460"/>
  <c r="F27" i="460"/>
  <c r="H27" i="460" s="1"/>
  <c r="AE26" i="460"/>
  <c r="AD26" i="460"/>
  <c r="AA26" i="460"/>
  <c r="AA2" i="460" s="1"/>
  <c r="Z26" i="460"/>
  <c r="M26" i="460"/>
  <c r="L26" i="460"/>
  <c r="E13" i="459" s="1"/>
  <c r="J26" i="460"/>
  <c r="W25" i="460"/>
  <c r="H25" i="460"/>
  <c r="W24" i="460"/>
  <c r="H24" i="460"/>
  <c r="W23" i="460"/>
  <c r="W21" i="460"/>
  <c r="W20" i="460"/>
  <c r="V20" i="460"/>
  <c r="R20" i="460"/>
  <c r="Q20" i="460"/>
  <c r="P20" i="460"/>
  <c r="N20" i="460"/>
  <c r="O20" i="460" s="1"/>
  <c r="K20" i="460"/>
  <c r="L20" i="460" s="1"/>
  <c r="F20" i="460"/>
  <c r="H20" i="460" s="1"/>
  <c r="W19" i="460"/>
  <c r="V19" i="460"/>
  <c r="P19" i="460"/>
  <c r="N19" i="460"/>
  <c r="O19" i="460" s="1"/>
  <c r="R19" i="460" s="1"/>
  <c r="L19" i="460"/>
  <c r="K19" i="460"/>
  <c r="F19" i="460"/>
  <c r="H19" i="460" s="1"/>
  <c r="W18" i="460"/>
  <c r="V18" i="460"/>
  <c r="P18" i="460"/>
  <c r="N18" i="460"/>
  <c r="L18" i="460"/>
  <c r="K18" i="460"/>
  <c r="H18" i="460"/>
  <c r="F18" i="460"/>
  <c r="W17" i="460"/>
  <c r="N17" i="460" s="1"/>
  <c r="V17" i="460"/>
  <c r="P17" i="460"/>
  <c r="L17" i="460"/>
  <c r="K17" i="460"/>
  <c r="H17" i="460"/>
  <c r="F17" i="460"/>
  <c r="AG16" i="460"/>
  <c r="AF16" i="460"/>
  <c r="W16" i="460"/>
  <c r="N16" i="460" s="1"/>
  <c r="P16" i="460"/>
  <c r="L16" i="460"/>
  <c r="K16" i="460"/>
  <c r="H16" i="460"/>
  <c r="F16" i="460"/>
  <c r="AE15" i="460"/>
  <c r="AE2" i="460" s="1"/>
  <c r="AD15" i="460"/>
  <c r="AD2" i="460" s="1"/>
  <c r="AA15" i="460"/>
  <c r="Z15" i="460"/>
  <c r="M15" i="460"/>
  <c r="J15" i="460"/>
  <c r="W14" i="460"/>
  <c r="W13" i="460"/>
  <c r="W12" i="460"/>
  <c r="AG11" i="460"/>
  <c r="AF11" i="460"/>
  <c r="W11" i="460"/>
  <c r="AG10" i="460"/>
  <c r="AF10" i="460"/>
  <c r="W10" i="460"/>
  <c r="AG9" i="460"/>
  <c r="AF9" i="460"/>
  <c r="W9" i="460"/>
  <c r="N9" i="460" s="1"/>
  <c r="O9" i="460" s="1"/>
  <c r="R9" i="460" s="1"/>
  <c r="V9" i="460"/>
  <c r="Q9" i="460"/>
  <c r="P9" i="460"/>
  <c r="K9" i="460"/>
  <c r="L9" i="460" s="1"/>
  <c r="F9" i="460"/>
  <c r="H9" i="460" s="1"/>
  <c r="W8" i="460"/>
  <c r="N8" i="460" s="1"/>
  <c r="AG8" i="460" s="1"/>
  <c r="V8" i="460"/>
  <c r="P8" i="460"/>
  <c r="K8" i="460"/>
  <c r="L8" i="460" s="1"/>
  <c r="H8" i="460"/>
  <c r="F8" i="460"/>
  <c r="W7" i="460"/>
  <c r="V7" i="460"/>
  <c r="R7" i="460"/>
  <c r="Q7" i="460"/>
  <c r="P7" i="460"/>
  <c r="N7" i="460"/>
  <c r="O7" i="460" s="1"/>
  <c r="K7" i="460"/>
  <c r="L7" i="460" s="1"/>
  <c r="F7" i="460"/>
  <c r="H7" i="460" s="1"/>
  <c r="AF6" i="460"/>
  <c r="W6" i="460"/>
  <c r="N6" i="460" s="1"/>
  <c r="AG6" i="460" s="1"/>
  <c r="V6" i="460"/>
  <c r="P6" i="460"/>
  <c r="O6" i="460"/>
  <c r="L6" i="460"/>
  <c r="K6" i="460"/>
  <c r="F6" i="460"/>
  <c r="H6" i="460" s="1"/>
  <c r="W5" i="460"/>
  <c r="N5" i="460" s="1"/>
  <c r="P5" i="460"/>
  <c r="K5" i="460"/>
  <c r="F5" i="460"/>
  <c r="H5" i="460" s="1"/>
  <c r="G1" i="460" s="1"/>
  <c r="I2" i="460"/>
  <c r="E1" i="460"/>
  <c r="G3" i="459" s="1"/>
  <c r="D22" i="459"/>
  <c r="J21" i="459"/>
  <c r="I21" i="459"/>
  <c r="H21" i="459"/>
  <c r="E21" i="459"/>
  <c r="J20" i="459"/>
  <c r="H20" i="459"/>
  <c r="E20" i="459"/>
  <c r="D20" i="459"/>
  <c r="J19" i="459"/>
  <c r="I19" i="459"/>
  <c r="G19" i="459"/>
  <c r="F19" i="459"/>
  <c r="E19" i="459"/>
  <c r="D19" i="459"/>
  <c r="J18" i="459"/>
  <c r="H18" i="459"/>
  <c r="F18" i="459"/>
  <c r="E18" i="459"/>
  <c r="D18" i="459"/>
  <c r="J16" i="459"/>
  <c r="I16" i="459"/>
  <c r="H16" i="459"/>
  <c r="G16" i="459"/>
  <c r="F16" i="459"/>
  <c r="E16" i="459"/>
  <c r="D16" i="459"/>
  <c r="O8" i="459"/>
  <c r="N8" i="459"/>
  <c r="M8" i="459"/>
  <c r="L8" i="459"/>
  <c r="O7" i="459"/>
  <c r="N7" i="459"/>
  <c r="M7" i="459"/>
  <c r="L7" i="459"/>
  <c r="M6" i="459"/>
  <c r="L6" i="459"/>
  <c r="AE79" i="458"/>
  <c r="J21" i="457" s="1"/>
  <c r="AD79" i="458"/>
  <c r="AA79" i="458"/>
  <c r="Z79" i="458"/>
  <c r="M79" i="458"/>
  <c r="W78" i="458"/>
  <c r="H78" i="458"/>
  <c r="W77" i="458"/>
  <c r="W76" i="458"/>
  <c r="W75" i="458"/>
  <c r="W74" i="458"/>
  <c r="W73" i="458"/>
  <c r="W72" i="458"/>
  <c r="N72" i="458" s="1"/>
  <c r="O72" i="458" s="1"/>
  <c r="V72" i="458"/>
  <c r="K72" i="458"/>
  <c r="J72" i="458"/>
  <c r="P72" i="458" s="1"/>
  <c r="H72" i="458"/>
  <c r="F72" i="458"/>
  <c r="W71" i="458"/>
  <c r="V71" i="458"/>
  <c r="P71" i="458"/>
  <c r="N71" i="458"/>
  <c r="O71" i="458" s="1"/>
  <c r="L71" i="458"/>
  <c r="F71" i="458"/>
  <c r="H71" i="458" s="1"/>
  <c r="AG70" i="458"/>
  <c r="AF70" i="458"/>
  <c r="W70" i="458"/>
  <c r="N70" i="458" s="1"/>
  <c r="K70" i="458"/>
  <c r="K79" i="458" s="1"/>
  <c r="J70" i="458"/>
  <c r="P70" i="458" s="1"/>
  <c r="F70" i="458"/>
  <c r="H70" i="458" s="1"/>
  <c r="AE69" i="458"/>
  <c r="I21" i="457" s="1"/>
  <c r="AD69" i="458"/>
  <c r="AA69" i="458"/>
  <c r="Z69" i="458"/>
  <c r="N69" i="458"/>
  <c r="M69" i="458"/>
  <c r="K69" i="458"/>
  <c r="W68" i="458"/>
  <c r="H68" i="458"/>
  <c r="W67" i="458"/>
  <c r="W66" i="458"/>
  <c r="W65" i="458"/>
  <c r="W64" i="458"/>
  <c r="W63" i="458"/>
  <c r="V63" i="458"/>
  <c r="P63" i="458"/>
  <c r="N63" i="458"/>
  <c r="O63" i="458" s="1"/>
  <c r="K63" i="458"/>
  <c r="L63" i="458" s="1"/>
  <c r="H63" i="458"/>
  <c r="F63" i="458"/>
  <c r="W62" i="458"/>
  <c r="N62" i="458" s="1"/>
  <c r="AF62" i="458" s="1"/>
  <c r="V62" i="458"/>
  <c r="R62" i="458"/>
  <c r="Q62" i="458"/>
  <c r="P62" i="458"/>
  <c r="O62" i="458"/>
  <c r="L62" i="458"/>
  <c r="K62" i="458"/>
  <c r="H62" i="458"/>
  <c r="F62" i="458"/>
  <c r="W61" i="458"/>
  <c r="V61" i="458"/>
  <c r="P61" i="458"/>
  <c r="N61" i="458"/>
  <c r="AF61" i="458" s="1"/>
  <c r="K61" i="458"/>
  <c r="L61" i="458" s="1"/>
  <c r="H61" i="458"/>
  <c r="F61" i="458"/>
  <c r="W60" i="458"/>
  <c r="N60" i="458" s="1"/>
  <c r="AF60" i="458" s="1"/>
  <c r="V60" i="458"/>
  <c r="O60" i="458"/>
  <c r="K60" i="458"/>
  <c r="AG60" i="458" s="1"/>
  <c r="J60" i="458"/>
  <c r="P60" i="458" s="1"/>
  <c r="F60" i="458"/>
  <c r="H60" i="458" s="1"/>
  <c r="W59" i="458"/>
  <c r="P59" i="458"/>
  <c r="N59" i="458"/>
  <c r="AG59" i="458" s="1"/>
  <c r="L59" i="458"/>
  <c r="K59" i="458"/>
  <c r="H59" i="458"/>
  <c r="F59" i="458"/>
  <c r="AE58" i="458"/>
  <c r="AD58" i="458"/>
  <c r="AA58" i="458"/>
  <c r="Z58" i="458"/>
  <c r="Z2" i="458" s="1"/>
  <c r="M58" i="458"/>
  <c r="W57" i="458"/>
  <c r="W56" i="458"/>
  <c r="W55" i="458"/>
  <c r="W54" i="458"/>
  <c r="AG53" i="458"/>
  <c r="AF53" i="458"/>
  <c r="W53" i="458"/>
  <c r="AG52" i="458"/>
  <c r="W52" i="458"/>
  <c r="V52" i="458"/>
  <c r="P52" i="458"/>
  <c r="O52" i="458"/>
  <c r="N52" i="458"/>
  <c r="AF52" i="458" s="1"/>
  <c r="L52" i="458"/>
  <c r="H52" i="458"/>
  <c r="F52" i="458"/>
  <c r="W51" i="458"/>
  <c r="V51" i="458"/>
  <c r="N51" i="458"/>
  <c r="L51" i="458"/>
  <c r="K51" i="458"/>
  <c r="J51" i="458"/>
  <c r="P51" i="458" s="1"/>
  <c r="F51" i="458"/>
  <c r="H51" i="458" s="1"/>
  <c r="AG50" i="458"/>
  <c r="W50" i="458"/>
  <c r="V50" i="458"/>
  <c r="P50" i="458"/>
  <c r="N50" i="458"/>
  <c r="L50" i="458"/>
  <c r="K50" i="458"/>
  <c r="K58" i="458" s="1"/>
  <c r="J50" i="458"/>
  <c r="F50" i="458"/>
  <c r="H50" i="458" s="1"/>
  <c r="AG49" i="458"/>
  <c r="W49" i="458"/>
  <c r="P49" i="458"/>
  <c r="O49" i="458"/>
  <c r="N49" i="458"/>
  <c r="AF49" i="458" s="1"/>
  <c r="J49" i="458"/>
  <c r="L49" i="458" s="1"/>
  <c r="L58" i="458" s="1"/>
  <c r="H13" i="457" s="1"/>
  <c r="F49" i="458"/>
  <c r="H49" i="458" s="1"/>
  <c r="AE48" i="458"/>
  <c r="AD48" i="458"/>
  <c r="AA48" i="458"/>
  <c r="Z48" i="458"/>
  <c r="W48" i="458"/>
  <c r="M48" i="458"/>
  <c r="W47" i="458"/>
  <c r="H47" i="458"/>
  <c r="W46" i="458"/>
  <c r="W45" i="458"/>
  <c r="W44" i="458"/>
  <c r="W43" i="458"/>
  <c r="W42" i="458"/>
  <c r="W41" i="458"/>
  <c r="N41" i="458" s="1"/>
  <c r="V41" i="458"/>
  <c r="P41" i="458"/>
  <c r="K41" i="458"/>
  <c r="L41" i="458" s="1"/>
  <c r="L48" i="458" s="1"/>
  <c r="G13" i="457" s="1"/>
  <c r="J41" i="458"/>
  <c r="H41" i="458"/>
  <c r="F41" i="458"/>
  <c r="AF40" i="458"/>
  <c r="W40" i="458"/>
  <c r="V40" i="458"/>
  <c r="P40" i="458"/>
  <c r="N40" i="458"/>
  <c r="K40" i="458"/>
  <c r="L40" i="458" s="1"/>
  <c r="F40" i="458"/>
  <c r="H40" i="458" s="1"/>
  <c r="W39" i="458"/>
  <c r="N39" i="458" s="1"/>
  <c r="V39" i="458"/>
  <c r="P39" i="458"/>
  <c r="L39" i="458"/>
  <c r="K39" i="458"/>
  <c r="F39" i="458"/>
  <c r="H39" i="458" s="1"/>
  <c r="AG38" i="458"/>
  <c r="W38" i="458"/>
  <c r="N38" i="458"/>
  <c r="L38" i="458"/>
  <c r="K38" i="458"/>
  <c r="J38" i="458"/>
  <c r="P38" i="458" s="1"/>
  <c r="F38" i="458"/>
  <c r="H38" i="458" s="1"/>
  <c r="AE37" i="458"/>
  <c r="AD37" i="458"/>
  <c r="AA37" i="458"/>
  <c r="F19" i="457" s="1"/>
  <c r="Z37" i="458"/>
  <c r="M37" i="458"/>
  <c r="W36" i="458"/>
  <c r="H36" i="458"/>
  <c r="W35" i="458"/>
  <c r="W34" i="458"/>
  <c r="W33" i="458"/>
  <c r="W32" i="458"/>
  <c r="AG31" i="458"/>
  <c r="AF31" i="458"/>
  <c r="W31" i="458"/>
  <c r="AG30" i="458"/>
  <c r="AF30" i="458"/>
  <c r="W30" i="458"/>
  <c r="AG29" i="458"/>
  <c r="AF29" i="458"/>
  <c r="W29" i="458"/>
  <c r="AG28" i="458"/>
  <c r="W28" i="458"/>
  <c r="N28" i="458" s="1"/>
  <c r="V28" i="458"/>
  <c r="P28" i="458"/>
  <c r="K28" i="458"/>
  <c r="L28" i="458" s="1"/>
  <c r="J28" i="458"/>
  <c r="H28" i="458"/>
  <c r="F28" i="458"/>
  <c r="W27" i="458"/>
  <c r="N27" i="458" s="1"/>
  <c r="K27" i="458"/>
  <c r="J27" i="458"/>
  <c r="F27" i="458"/>
  <c r="H27" i="458" s="1"/>
  <c r="AE26" i="458"/>
  <c r="AD26" i="458"/>
  <c r="AA26" i="458"/>
  <c r="Z26" i="458"/>
  <c r="N26" i="458"/>
  <c r="M26" i="458"/>
  <c r="P26" i="458" s="1"/>
  <c r="K26" i="458"/>
  <c r="J26" i="458"/>
  <c r="W25" i="458"/>
  <c r="H25" i="458"/>
  <c r="W24" i="458"/>
  <c r="H24" i="458"/>
  <c r="W23" i="458"/>
  <c r="W21" i="458"/>
  <c r="W20" i="458"/>
  <c r="N20" i="458" s="1"/>
  <c r="V20" i="458"/>
  <c r="P20" i="458"/>
  <c r="O20" i="458"/>
  <c r="L20" i="458"/>
  <c r="K20" i="458"/>
  <c r="F20" i="458"/>
  <c r="H20" i="458" s="1"/>
  <c r="W19" i="458"/>
  <c r="N19" i="458" s="1"/>
  <c r="V19" i="458"/>
  <c r="P19" i="458"/>
  <c r="L19" i="458"/>
  <c r="K19" i="458"/>
  <c r="F19" i="458"/>
  <c r="H19" i="458" s="1"/>
  <c r="AF18" i="458"/>
  <c r="W18" i="458"/>
  <c r="N18" i="458" s="1"/>
  <c r="V18" i="458"/>
  <c r="P18" i="458"/>
  <c r="K18" i="458"/>
  <c r="L18" i="458" s="1"/>
  <c r="F18" i="458"/>
  <c r="H18" i="458" s="1"/>
  <c r="AF17" i="458"/>
  <c r="W17" i="458"/>
  <c r="N17" i="458" s="1"/>
  <c r="V17" i="458"/>
  <c r="P17" i="458"/>
  <c r="L17" i="458"/>
  <c r="K17" i="458"/>
  <c r="F17" i="458"/>
  <c r="H17" i="458" s="1"/>
  <c r="AG16" i="458"/>
  <c r="W16" i="458"/>
  <c r="N16" i="458" s="1"/>
  <c r="O16" i="458" s="1"/>
  <c r="Q16" i="458"/>
  <c r="P16" i="458"/>
  <c r="K16" i="458"/>
  <c r="L16" i="458" s="1"/>
  <c r="L26" i="458" s="1"/>
  <c r="E13" i="457" s="1"/>
  <c r="F16" i="458"/>
  <c r="H16" i="458" s="1"/>
  <c r="AE15" i="458"/>
  <c r="D21" i="457" s="1"/>
  <c r="AD15" i="458"/>
  <c r="D20" i="457" s="1"/>
  <c r="AA15" i="458"/>
  <c r="Z15" i="458"/>
  <c r="M15" i="458"/>
  <c r="J15" i="458"/>
  <c r="W14" i="458"/>
  <c r="W13" i="458"/>
  <c r="W12" i="458"/>
  <c r="AG11" i="458"/>
  <c r="AF11" i="458"/>
  <c r="W11" i="458"/>
  <c r="AG10" i="458"/>
  <c r="AF10" i="458"/>
  <c r="W10" i="458"/>
  <c r="AG9" i="458"/>
  <c r="W9" i="458"/>
  <c r="N9" i="458" s="1"/>
  <c r="V9" i="458"/>
  <c r="P9" i="458"/>
  <c r="K9" i="458"/>
  <c r="L9" i="458" s="1"/>
  <c r="F9" i="458"/>
  <c r="H9" i="458" s="1"/>
  <c r="AG8" i="458"/>
  <c r="W8" i="458"/>
  <c r="N8" i="458" s="1"/>
  <c r="V8" i="458"/>
  <c r="P8" i="458"/>
  <c r="K8" i="458"/>
  <c r="L8" i="458" s="1"/>
  <c r="F8" i="458"/>
  <c r="H8" i="458" s="1"/>
  <c r="W7" i="458"/>
  <c r="N7" i="458" s="1"/>
  <c r="V7" i="458"/>
  <c r="P7" i="458"/>
  <c r="K7" i="458"/>
  <c r="L7" i="458" s="1"/>
  <c r="F7" i="458"/>
  <c r="H7" i="458" s="1"/>
  <c r="W6" i="458"/>
  <c r="V6" i="458"/>
  <c r="P6" i="458"/>
  <c r="N6" i="458"/>
  <c r="O6" i="458" s="1"/>
  <c r="K6" i="458"/>
  <c r="H6" i="458"/>
  <c r="F6" i="458"/>
  <c r="W5" i="458"/>
  <c r="N5" i="458" s="1"/>
  <c r="P5" i="458"/>
  <c r="L5" i="458"/>
  <c r="K5" i="458"/>
  <c r="H5" i="458"/>
  <c r="F5" i="458"/>
  <c r="AD2" i="458"/>
  <c r="I2" i="458"/>
  <c r="E1" i="458"/>
  <c r="G3" i="457" s="1"/>
  <c r="J22" i="457"/>
  <c r="H22" i="457"/>
  <c r="G22" i="457"/>
  <c r="F22" i="457"/>
  <c r="E22" i="457"/>
  <c r="H21" i="457"/>
  <c r="G21" i="457"/>
  <c r="F21" i="457"/>
  <c r="E21" i="457"/>
  <c r="J20" i="457"/>
  <c r="I20" i="457"/>
  <c r="H20" i="457"/>
  <c r="G20" i="457"/>
  <c r="N6" i="457" s="1"/>
  <c r="F20" i="457"/>
  <c r="E20" i="457"/>
  <c r="J19" i="457"/>
  <c r="I19" i="457"/>
  <c r="H19" i="457"/>
  <c r="G19" i="457"/>
  <c r="E19" i="457"/>
  <c r="J18" i="457"/>
  <c r="L6" i="457" s="1"/>
  <c r="I18" i="457"/>
  <c r="H18" i="457"/>
  <c r="G18" i="457"/>
  <c r="F18" i="457"/>
  <c r="E18" i="457"/>
  <c r="D18" i="457"/>
  <c r="J16" i="457"/>
  <c r="I16" i="457"/>
  <c r="H16" i="457"/>
  <c r="G16" i="457"/>
  <c r="F16" i="457"/>
  <c r="E16" i="457"/>
  <c r="D16" i="457"/>
  <c r="O8" i="457"/>
  <c r="N8" i="457"/>
  <c r="M8" i="457"/>
  <c r="L8" i="457"/>
  <c r="O7" i="457"/>
  <c r="N7" i="457"/>
  <c r="M7" i="457"/>
  <c r="L7" i="457"/>
  <c r="AE79" i="456"/>
  <c r="AD79" i="456"/>
  <c r="AA79" i="456"/>
  <c r="J18" i="455" s="1"/>
  <c r="Z79" i="456"/>
  <c r="M79" i="456"/>
  <c r="K79" i="456"/>
  <c r="J79" i="456"/>
  <c r="P79" i="456" s="1"/>
  <c r="W78" i="456"/>
  <c r="H78" i="456"/>
  <c r="W77" i="456"/>
  <c r="H77" i="456"/>
  <c r="W76" i="456"/>
  <c r="H76" i="456"/>
  <c r="W75" i="456"/>
  <c r="W74" i="456"/>
  <c r="W73" i="456"/>
  <c r="W72" i="456"/>
  <c r="W71" i="456"/>
  <c r="AG70" i="456"/>
  <c r="W70" i="456"/>
  <c r="N70" i="456" s="1"/>
  <c r="P70" i="456"/>
  <c r="K70" i="456"/>
  <c r="L70" i="456" s="1"/>
  <c r="L79" i="456" s="1"/>
  <c r="J70" i="456"/>
  <c r="F70" i="456"/>
  <c r="H70" i="456" s="1"/>
  <c r="AE69" i="456"/>
  <c r="AD69" i="456"/>
  <c r="I20" i="455" s="1"/>
  <c r="AA69" i="456"/>
  <c r="Z69" i="456"/>
  <c r="M69" i="456"/>
  <c r="W68" i="456"/>
  <c r="H68" i="456"/>
  <c r="W67" i="456"/>
  <c r="W66" i="456"/>
  <c r="W65" i="456"/>
  <c r="W64" i="456"/>
  <c r="W63" i="456"/>
  <c r="P63" i="456"/>
  <c r="N63" i="456"/>
  <c r="O63" i="456" s="1"/>
  <c r="R63" i="456" s="1"/>
  <c r="K63" i="456"/>
  <c r="L63" i="456" s="1"/>
  <c r="L69" i="456" s="1"/>
  <c r="I13" i="455" s="1"/>
  <c r="J6" i="455" s="1"/>
  <c r="J63" i="456"/>
  <c r="J69" i="456" s="1"/>
  <c r="F63" i="456"/>
  <c r="H63" i="456" s="1"/>
  <c r="W62" i="456"/>
  <c r="P62" i="456"/>
  <c r="N62" i="456"/>
  <c r="K62" i="456"/>
  <c r="L62" i="456" s="1"/>
  <c r="J62" i="456"/>
  <c r="H62" i="456"/>
  <c r="F62" i="456"/>
  <c r="W61" i="456"/>
  <c r="V61" i="456"/>
  <c r="P61" i="456"/>
  <c r="N61" i="456"/>
  <c r="K61" i="456"/>
  <c r="L61" i="456" s="1"/>
  <c r="J61" i="456"/>
  <c r="H61" i="456"/>
  <c r="F61" i="456"/>
  <c r="W60" i="456"/>
  <c r="V60" i="456"/>
  <c r="P60" i="456"/>
  <c r="N60" i="456"/>
  <c r="L60" i="456"/>
  <c r="K60" i="456"/>
  <c r="J60" i="456"/>
  <c r="F60" i="456"/>
  <c r="H60" i="456" s="1"/>
  <c r="AG59" i="456"/>
  <c r="AF59" i="456"/>
  <c r="W59" i="456"/>
  <c r="P59" i="456"/>
  <c r="O59" i="456"/>
  <c r="N59" i="456"/>
  <c r="K59" i="456"/>
  <c r="J59" i="456"/>
  <c r="L59" i="456" s="1"/>
  <c r="F59" i="456"/>
  <c r="H59" i="456" s="1"/>
  <c r="AE58" i="456"/>
  <c r="AD58" i="456"/>
  <c r="H20" i="455" s="1"/>
  <c r="O6" i="455" s="1"/>
  <c r="AA58" i="456"/>
  <c r="H19" i="455" s="1"/>
  <c r="Z58" i="456"/>
  <c r="H18" i="455" s="1"/>
  <c r="M58" i="456"/>
  <c r="W57" i="456"/>
  <c r="W56" i="456"/>
  <c r="W55" i="456"/>
  <c r="W54" i="456"/>
  <c r="AG53" i="456"/>
  <c r="AF53" i="456"/>
  <c r="W53" i="456"/>
  <c r="W52" i="456"/>
  <c r="N52" i="456" s="1"/>
  <c r="V52" i="456"/>
  <c r="P52" i="456"/>
  <c r="L52" i="456"/>
  <c r="K52" i="456"/>
  <c r="J52" i="456"/>
  <c r="F52" i="456"/>
  <c r="H52" i="456" s="1"/>
  <c r="W51" i="456"/>
  <c r="V51" i="456"/>
  <c r="P51" i="456"/>
  <c r="O51" i="456"/>
  <c r="N51" i="456"/>
  <c r="AG51" i="456" s="1"/>
  <c r="K51" i="456"/>
  <c r="J51" i="456"/>
  <c r="L51" i="456" s="1"/>
  <c r="F51" i="456"/>
  <c r="H51" i="456" s="1"/>
  <c r="AF50" i="456"/>
  <c r="W50" i="456"/>
  <c r="N50" i="456" s="1"/>
  <c r="AG50" i="456" s="1"/>
  <c r="V50" i="456"/>
  <c r="P50" i="456"/>
  <c r="K50" i="456"/>
  <c r="L50" i="456" s="1"/>
  <c r="J50" i="456"/>
  <c r="F50" i="456"/>
  <c r="H50" i="456" s="1"/>
  <c r="AG49" i="456"/>
  <c r="AF49" i="456"/>
  <c r="W49" i="456"/>
  <c r="N49" i="456"/>
  <c r="O49" i="456" s="1"/>
  <c r="J49" i="456"/>
  <c r="F49" i="456"/>
  <c r="H49" i="456" s="1"/>
  <c r="AE48" i="456"/>
  <c r="AD48" i="456"/>
  <c r="AA48" i="456"/>
  <c r="G19" i="455" s="1"/>
  <c r="Z48" i="456"/>
  <c r="W48" i="456"/>
  <c r="M48" i="456"/>
  <c r="W47" i="456"/>
  <c r="H47" i="456"/>
  <c r="W46" i="456"/>
  <c r="W45" i="456"/>
  <c r="W44" i="456"/>
  <c r="W43" i="456"/>
  <c r="W42" i="456"/>
  <c r="AG41" i="456"/>
  <c r="AF41" i="456"/>
  <c r="W41" i="456"/>
  <c r="W40" i="456"/>
  <c r="N40" i="456" s="1"/>
  <c r="V40" i="456"/>
  <c r="K40" i="456"/>
  <c r="J40" i="456"/>
  <c r="P40" i="456" s="1"/>
  <c r="F40" i="456"/>
  <c r="H40" i="456" s="1"/>
  <c r="W39" i="456"/>
  <c r="N39" i="456" s="1"/>
  <c r="V39" i="456"/>
  <c r="L39" i="456"/>
  <c r="K39" i="456"/>
  <c r="J39" i="456"/>
  <c r="P39" i="456" s="1"/>
  <c r="F39" i="456"/>
  <c r="H39" i="456" s="1"/>
  <c r="AG38" i="456"/>
  <c r="W38" i="456"/>
  <c r="N38" i="456"/>
  <c r="K38" i="456"/>
  <c r="L38" i="456" s="1"/>
  <c r="J38" i="456"/>
  <c r="J48" i="456" s="1"/>
  <c r="H38" i="456"/>
  <c r="F38" i="456"/>
  <c r="AE37" i="456"/>
  <c r="AD37" i="456"/>
  <c r="F20" i="455" s="1"/>
  <c r="AA37" i="456"/>
  <c r="F19" i="455" s="1"/>
  <c r="Z37" i="456"/>
  <c r="P37" i="456"/>
  <c r="M37" i="456"/>
  <c r="F22" i="455" s="1"/>
  <c r="K37" i="456"/>
  <c r="J37" i="456"/>
  <c r="W36" i="456"/>
  <c r="H36" i="456"/>
  <c r="W35" i="456"/>
  <c r="W34" i="456"/>
  <c r="W33" i="456"/>
  <c r="W32" i="456"/>
  <c r="AF31" i="456"/>
  <c r="W31" i="456"/>
  <c r="P31" i="456"/>
  <c r="O31" i="456"/>
  <c r="N31" i="456"/>
  <c r="AG31" i="456" s="1"/>
  <c r="L31" i="456"/>
  <c r="H31" i="456"/>
  <c r="F31" i="456"/>
  <c r="AG30" i="456"/>
  <c r="AF30" i="456"/>
  <c r="W30" i="456"/>
  <c r="V30" i="456"/>
  <c r="P30" i="456"/>
  <c r="O30" i="456"/>
  <c r="N30" i="456"/>
  <c r="L30" i="456"/>
  <c r="H30" i="456"/>
  <c r="F30" i="456"/>
  <c r="W29" i="456"/>
  <c r="N29" i="456" s="1"/>
  <c r="V29" i="456"/>
  <c r="P29" i="456"/>
  <c r="L29" i="456"/>
  <c r="H29" i="456"/>
  <c r="F29" i="456"/>
  <c r="W28" i="456"/>
  <c r="V28" i="456"/>
  <c r="P28" i="456"/>
  <c r="O28" i="456"/>
  <c r="N28" i="456"/>
  <c r="AF28" i="456" s="1"/>
  <c r="L28" i="456"/>
  <c r="H28" i="456"/>
  <c r="F28" i="456"/>
  <c r="AG27" i="456"/>
  <c r="AF27" i="456"/>
  <c r="W27" i="456"/>
  <c r="P27" i="456"/>
  <c r="O27" i="456"/>
  <c r="N27" i="456"/>
  <c r="L27" i="456"/>
  <c r="L37" i="456" s="1"/>
  <c r="F13" i="455" s="1"/>
  <c r="H27" i="456"/>
  <c r="F27" i="456"/>
  <c r="AE26" i="456"/>
  <c r="AD26" i="456"/>
  <c r="AA26" i="456"/>
  <c r="Z26" i="456"/>
  <c r="M26" i="456"/>
  <c r="W25" i="456"/>
  <c r="H25" i="456"/>
  <c r="W24" i="456"/>
  <c r="H24" i="456"/>
  <c r="W23" i="456"/>
  <c r="W21" i="456"/>
  <c r="W20" i="456"/>
  <c r="AG19" i="456"/>
  <c r="AF19" i="456"/>
  <c r="W19" i="456"/>
  <c r="V19" i="456"/>
  <c r="P19" i="456"/>
  <c r="N19" i="456"/>
  <c r="O19" i="456" s="1"/>
  <c r="L19" i="456"/>
  <c r="K19" i="456"/>
  <c r="H19" i="456"/>
  <c r="F19" i="456"/>
  <c r="W18" i="456"/>
  <c r="N18" i="456" s="1"/>
  <c r="V18" i="456"/>
  <c r="K18" i="456"/>
  <c r="L18" i="456" s="1"/>
  <c r="J18" i="456"/>
  <c r="P18" i="456" s="1"/>
  <c r="H18" i="456"/>
  <c r="F18" i="456"/>
  <c r="W17" i="456"/>
  <c r="V17" i="456"/>
  <c r="P17" i="456"/>
  <c r="O17" i="456"/>
  <c r="N17" i="456"/>
  <c r="K17" i="456"/>
  <c r="L17" i="456" s="1"/>
  <c r="Q17" i="456" s="1"/>
  <c r="H17" i="456"/>
  <c r="F17" i="456"/>
  <c r="W16" i="456"/>
  <c r="P16" i="456"/>
  <c r="O16" i="456"/>
  <c r="N16" i="456"/>
  <c r="K16" i="456"/>
  <c r="L16" i="456" s="1"/>
  <c r="J16" i="456"/>
  <c r="J26" i="456" s="1"/>
  <c r="F16" i="456"/>
  <c r="H16" i="456" s="1"/>
  <c r="AE15" i="456"/>
  <c r="AD15" i="456"/>
  <c r="AA15" i="456"/>
  <c r="Z15" i="456"/>
  <c r="D18" i="455" s="1"/>
  <c r="L6" i="455" s="1"/>
  <c r="M15" i="456"/>
  <c r="D22" i="455" s="1"/>
  <c r="J15" i="456"/>
  <c r="P15" i="456" s="1"/>
  <c r="W14" i="456"/>
  <c r="W13" i="456"/>
  <c r="W12" i="456"/>
  <c r="AG11" i="456"/>
  <c r="AF11" i="456"/>
  <c r="W11" i="456"/>
  <c r="AG10" i="456"/>
  <c r="AF10" i="456"/>
  <c r="W10" i="456"/>
  <c r="AG9" i="456"/>
  <c r="AF9" i="456"/>
  <c r="W9" i="456"/>
  <c r="W8" i="456"/>
  <c r="N8" i="456" s="1"/>
  <c r="O8" i="456" s="1"/>
  <c r="V8" i="456"/>
  <c r="P8" i="456"/>
  <c r="K8" i="456"/>
  <c r="H8" i="456"/>
  <c r="F8" i="456"/>
  <c r="W7" i="456"/>
  <c r="N7" i="456" s="1"/>
  <c r="O7" i="456" s="1"/>
  <c r="V7" i="456"/>
  <c r="P7" i="456"/>
  <c r="K7" i="456"/>
  <c r="H7" i="456"/>
  <c r="F7" i="456"/>
  <c r="W6" i="456"/>
  <c r="N6" i="456" s="1"/>
  <c r="V6" i="456"/>
  <c r="P6" i="456"/>
  <c r="L6" i="456"/>
  <c r="K6" i="456"/>
  <c r="F6" i="456"/>
  <c r="H6" i="456" s="1"/>
  <c r="AG5" i="456"/>
  <c r="AF5" i="456"/>
  <c r="W5" i="456"/>
  <c r="R5" i="456"/>
  <c r="P5" i="456"/>
  <c r="O5" i="456"/>
  <c r="N5" i="456"/>
  <c r="L5" i="456"/>
  <c r="K5" i="456"/>
  <c r="F5" i="456"/>
  <c r="H5" i="456" s="1"/>
  <c r="AE2" i="456"/>
  <c r="I2" i="456"/>
  <c r="I1" i="456"/>
  <c r="E1" i="456"/>
  <c r="J22" i="455"/>
  <c r="H22" i="455"/>
  <c r="E22" i="455"/>
  <c r="J21" i="455"/>
  <c r="I21" i="455"/>
  <c r="H21" i="455"/>
  <c r="G21" i="455"/>
  <c r="F21" i="455"/>
  <c r="E21" i="455"/>
  <c r="D21" i="455"/>
  <c r="J20" i="455"/>
  <c r="G20" i="455"/>
  <c r="E20" i="455"/>
  <c r="D20" i="455"/>
  <c r="J19" i="455"/>
  <c r="I19" i="455"/>
  <c r="E19" i="455"/>
  <c r="I18" i="455"/>
  <c r="G18" i="455"/>
  <c r="F18" i="455"/>
  <c r="E18" i="455"/>
  <c r="J16" i="455"/>
  <c r="I16" i="455"/>
  <c r="H16" i="455"/>
  <c r="G16" i="455"/>
  <c r="F16" i="455"/>
  <c r="E16" i="455"/>
  <c r="D16" i="455"/>
  <c r="J13" i="455"/>
  <c r="O8" i="455"/>
  <c r="N8" i="455"/>
  <c r="M8" i="455"/>
  <c r="L8" i="455"/>
  <c r="O7" i="455"/>
  <c r="N7" i="455"/>
  <c r="M7" i="455"/>
  <c r="L7" i="455"/>
  <c r="G3" i="455"/>
  <c r="AE79" i="454"/>
  <c r="AD79" i="454"/>
  <c r="AA79" i="454"/>
  <c r="Z79" i="454"/>
  <c r="M79" i="454"/>
  <c r="W78" i="454"/>
  <c r="H78" i="454"/>
  <c r="W77" i="454"/>
  <c r="W76" i="454"/>
  <c r="W75" i="454"/>
  <c r="W74" i="454"/>
  <c r="W73" i="454"/>
  <c r="W72" i="454"/>
  <c r="W71" i="454"/>
  <c r="W70" i="454"/>
  <c r="N70" i="454" s="1"/>
  <c r="K70" i="454"/>
  <c r="J70" i="454"/>
  <c r="H70" i="454"/>
  <c r="F70" i="454"/>
  <c r="AE69" i="454"/>
  <c r="I21" i="453" s="1"/>
  <c r="AD69" i="454"/>
  <c r="AA69" i="454"/>
  <c r="I19" i="453" s="1"/>
  <c r="Z69" i="454"/>
  <c r="I18" i="453" s="1"/>
  <c r="M69" i="454"/>
  <c r="W68" i="454"/>
  <c r="H68" i="454"/>
  <c r="W67" i="454"/>
  <c r="W66" i="454"/>
  <c r="W65" i="454"/>
  <c r="W64" i="454"/>
  <c r="W63" i="454"/>
  <c r="V63" i="454"/>
  <c r="O63" i="454"/>
  <c r="N63" i="454"/>
  <c r="K63" i="454"/>
  <c r="J63" i="454"/>
  <c r="P63" i="454" s="1"/>
  <c r="H63" i="454"/>
  <c r="F63" i="454"/>
  <c r="W62" i="454"/>
  <c r="V62" i="454"/>
  <c r="P62" i="454"/>
  <c r="O62" i="454"/>
  <c r="N62" i="454"/>
  <c r="AF62" i="454" s="1"/>
  <c r="K62" i="454"/>
  <c r="J62" i="454"/>
  <c r="L62" i="454" s="1"/>
  <c r="H62" i="454"/>
  <c r="F62" i="454"/>
  <c r="W61" i="454"/>
  <c r="V61" i="454"/>
  <c r="Q61" i="454"/>
  <c r="P61" i="454"/>
  <c r="O61" i="454"/>
  <c r="R61" i="454" s="1"/>
  <c r="N61" i="454"/>
  <c r="AF61" i="454" s="1"/>
  <c r="K61" i="454"/>
  <c r="L61" i="454" s="1"/>
  <c r="J61" i="454"/>
  <c r="F61" i="454"/>
  <c r="H61" i="454" s="1"/>
  <c r="W60" i="454"/>
  <c r="V60" i="454"/>
  <c r="Q60" i="454"/>
  <c r="P60" i="454"/>
  <c r="O60" i="454"/>
  <c r="R60" i="454" s="1"/>
  <c r="N60" i="454"/>
  <c r="AG60" i="454" s="1"/>
  <c r="K60" i="454"/>
  <c r="J60" i="454"/>
  <c r="L60" i="454" s="1"/>
  <c r="F60" i="454"/>
  <c r="H60" i="454" s="1"/>
  <c r="W59" i="454"/>
  <c r="N59" i="454"/>
  <c r="AG59" i="454" s="1"/>
  <c r="K59" i="454"/>
  <c r="J59" i="454"/>
  <c r="P59" i="454" s="1"/>
  <c r="H59" i="454"/>
  <c r="F59" i="454"/>
  <c r="AE58" i="454"/>
  <c r="AD58" i="454"/>
  <c r="AA58" i="454"/>
  <c r="Z58" i="454"/>
  <c r="M58" i="454"/>
  <c r="W57" i="454"/>
  <c r="W56" i="454"/>
  <c r="W55" i="454"/>
  <c r="W54" i="454"/>
  <c r="AG53" i="454"/>
  <c r="AF53" i="454"/>
  <c r="W53" i="454"/>
  <c r="W52" i="454"/>
  <c r="N52" i="454" s="1"/>
  <c r="V52" i="454"/>
  <c r="K52" i="454"/>
  <c r="J52" i="454"/>
  <c r="P52" i="454" s="1"/>
  <c r="H52" i="454"/>
  <c r="F52" i="454"/>
  <c r="W51" i="454"/>
  <c r="N51" i="454" s="1"/>
  <c r="V51" i="454"/>
  <c r="K51" i="454"/>
  <c r="J51" i="454"/>
  <c r="P51" i="454" s="1"/>
  <c r="H51" i="454"/>
  <c r="F51" i="454"/>
  <c r="W50" i="454"/>
  <c r="V50" i="454"/>
  <c r="N50" i="454"/>
  <c r="O50" i="454" s="1"/>
  <c r="L50" i="454"/>
  <c r="K50" i="454"/>
  <c r="J50" i="454"/>
  <c r="P50" i="454" s="1"/>
  <c r="H50" i="454"/>
  <c r="F50" i="454"/>
  <c r="W49" i="454"/>
  <c r="P49" i="454"/>
  <c r="N49" i="454"/>
  <c r="L49" i="454"/>
  <c r="K49" i="454"/>
  <c r="J49" i="454"/>
  <c r="F49" i="454"/>
  <c r="H49" i="454" s="1"/>
  <c r="AE48" i="454"/>
  <c r="AD48" i="454"/>
  <c r="G20" i="453" s="1"/>
  <c r="AA48" i="454"/>
  <c r="Z48" i="454"/>
  <c r="W48" i="454"/>
  <c r="M48" i="454"/>
  <c r="J48" i="454"/>
  <c r="W47" i="454"/>
  <c r="H47" i="454"/>
  <c r="W46" i="454"/>
  <c r="W45" i="454"/>
  <c r="W44" i="454"/>
  <c r="W43" i="454"/>
  <c r="W42" i="454"/>
  <c r="AG41" i="454"/>
  <c r="AF41" i="454"/>
  <c r="W41" i="454"/>
  <c r="W40" i="454"/>
  <c r="N40" i="454" s="1"/>
  <c r="O40" i="454" s="1"/>
  <c r="V40" i="454"/>
  <c r="K40" i="454"/>
  <c r="J40" i="454"/>
  <c r="P40" i="454" s="1"/>
  <c r="F40" i="454"/>
  <c r="H40" i="454" s="1"/>
  <c r="W39" i="454"/>
  <c r="N39" i="454" s="1"/>
  <c r="V39" i="454"/>
  <c r="L39" i="454"/>
  <c r="K39" i="454"/>
  <c r="J39" i="454"/>
  <c r="P39" i="454" s="1"/>
  <c r="F39" i="454"/>
  <c r="H39" i="454" s="1"/>
  <c r="W38" i="454"/>
  <c r="N38" i="454"/>
  <c r="L38" i="454"/>
  <c r="K38" i="454"/>
  <c r="J38" i="454"/>
  <c r="P38" i="454" s="1"/>
  <c r="H38" i="454"/>
  <c r="F38" i="454"/>
  <c r="AE37" i="454"/>
  <c r="AD37" i="454"/>
  <c r="F20" i="453" s="1"/>
  <c r="AA37" i="454"/>
  <c r="Z37" i="454"/>
  <c r="P37" i="454"/>
  <c r="M37" i="454"/>
  <c r="K37" i="454"/>
  <c r="J37" i="454"/>
  <c r="W36" i="454"/>
  <c r="H36" i="454"/>
  <c r="W35" i="454"/>
  <c r="W34" i="454"/>
  <c r="W33" i="454"/>
  <c r="W32" i="454"/>
  <c r="W31" i="454"/>
  <c r="N31" i="454" s="1"/>
  <c r="V31" i="454"/>
  <c r="P31" i="454"/>
  <c r="L31" i="454"/>
  <c r="F31" i="454"/>
  <c r="H31" i="454" s="1"/>
  <c r="AG30" i="454"/>
  <c r="AF30" i="454"/>
  <c r="W30" i="454"/>
  <c r="V30" i="454"/>
  <c r="P30" i="454"/>
  <c r="O30" i="454"/>
  <c r="R30" i="454" s="1"/>
  <c r="N30" i="454"/>
  <c r="L30" i="454"/>
  <c r="H30" i="454"/>
  <c r="F30" i="454"/>
  <c r="AF29" i="454"/>
  <c r="W29" i="454"/>
  <c r="N29" i="454" s="1"/>
  <c r="V29" i="454"/>
  <c r="P29" i="454"/>
  <c r="L29" i="454"/>
  <c r="H29" i="454"/>
  <c r="F29" i="454"/>
  <c r="W28" i="454"/>
  <c r="N28" i="454" s="1"/>
  <c r="V28" i="454"/>
  <c r="P28" i="454"/>
  <c r="L28" i="454"/>
  <c r="H28" i="454"/>
  <c r="F28" i="454"/>
  <c r="W27" i="454"/>
  <c r="P27" i="454"/>
  <c r="N27" i="454"/>
  <c r="AG27" i="454" s="1"/>
  <c r="L27" i="454"/>
  <c r="L37" i="454" s="1"/>
  <c r="F13" i="453" s="1"/>
  <c r="H27" i="454"/>
  <c r="F27" i="454"/>
  <c r="AE26" i="454"/>
  <c r="AD26" i="454"/>
  <c r="AA26" i="454"/>
  <c r="Z26" i="454"/>
  <c r="E18" i="453" s="1"/>
  <c r="P26" i="454"/>
  <c r="M26" i="454"/>
  <c r="E22" i="453" s="1"/>
  <c r="J26" i="454"/>
  <c r="W25" i="454"/>
  <c r="H25" i="454"/>
  <c r="W24" i="454"/>
  <c r="H24" i="454"/>
  <c r="W23" i="454"/>
  <c r="W21" i="454"/>
  <c r="W20" i="454"/>
  <c r="W19" i="454"/>
  <c r="V19" i="454"/>
  <c r="P19" i="454"/>
  <c r="O19" i="454"/>
  <c r="N19" i="454"/>
  <c r="L19" i="454"/>
  <c r="K19" i="454"/>
  <c r="F19" i="454"/>
  <c r="H19" i="454" s="1"/>
  <c r="W18" i="454"/>
  <c r="V18" i="454"/>
  <c r="P18" i="454"/>
  <c r="N18" i="454"/>
  <c r="L18" i="454"/>
  <c r="K18" i="454"/>
  <c r="F18" i="454"/>
  <c r="H18" i="454" s="1"/>
  <c r="AG17" i="454"/>
  <c r="AF17" i="454"/>
  <c r="W17" i="454"/>
  <c r="V17" i="454"/>
  <c r="P17" i="454"/>
  <c r="O17" i="454"/>
  <c r="N17" i="454"/>
  <c r="K17" i="454"/>
  <c r="L17" i="454" s="1"/>
  <c r="H17" i="454"/>
  <c r="F17" i="454"/>
  <c r="W16" i="454"/>
  <c r="P16" i="454"/>
  <c r="O16" i="454"/>
  <c r="N16" i="454"/>
  <c r="K16" i="454"/>
  <c r="K26" i="454" s="1"/>
  <c r="H16" i="454"/>
  <c r="F16" i="454"/>
  <c r="AE15" i="454"/>
  <c r="AD15" i="454"/>
  <c r="AA15" i="454"/>
  <c r="Z15" i="454"/>
  <c r="M15" i="454"/>
  <c r="K15" i="454"/>
  <c r="J15" i="454"/>
  <c r="P15" i="454" s="1"/>
  <c r="W14" i="454"/>
  <c r="W13" i="454"/>
  <c r="W12" i="454"/>
  <c r="AG11" i="454"/>
  <c r="AF11" i="454"/>
  <c r="W11" i="454"/>
  <c r="AG10" i="454"/>
  <c r="AF10" i="454"/>
  <c r="W10" i="454"/>
  <c r="AG9" i="454"/>
  <c r="AF9" i="454"/>
  <c r="W9" i="454"/>
  <c r="W8" i="454"/>
  <c r="N8" i="454" s="1"/>
  <c r="V8" i="454"/>
  <c r="R8" i="454"/>
  <c r="Q8" i="454"/>
  <c r="P8" i="454"/>
  <c r="O8" i="454"/>
  <c r="K8" i="454"/>
  <c r="L8" i="454" s="1"/>
  <c r="H8" i="454"/>
  <c r="F8" i="454"/>
  <c r="AG7" i="454"/>
  <c r="W7" i="454"/>
  <c r="N7" i="454" s="1"/>
  <c r="O7" i="454" s="1"/>
  <c r="V7" i="454"/>
  <c r="Q7" i="454"/>
  <c r="P7" i="454"/>
  <c r="L7" i="454"/>
  <c r="R7" i="454" s="1"/>
  <c r="K7" i="454"/>
  <c r="AF7" i="454" s="1"/>
  <c r="F7" i="454"/>
  <c r="H7" i="454" s="1"/>
  <c r="W6" i="454"/>
  <c r="V6" i="454"/>
  <c r="P6" i="454"/>
  <c r="N6" i="454"/>
  <c r="L6" i="454"/>
  <c r="K6" i="454"/>
  <c r="F6" i="454"/>
  <c r="H6" i="454" s="1"/>
  <c r="W5" i="454"/>
  <c r="P5" i="454"/>
  <c r="N5" i="454"/>
  <c r="L5" i="454"/>
  <c r="L15" i="454" s="1"/>
  <c r="D13" i="453" s="1"/>
  <c r="K5" i="454"/>
  <c r="F5" i="454"/>
  <c r="H5" i="454" s="1"/>
  <c r="AE2" i="454"/>
  <c r="AD2" i="454"/>
  <c r="I2" i="454"/>
  <c r="I1" i="454"/>
  <c r="E1" i="454"/>
  <c r="I22" i="453"/>
  <c r="H22" i="453"/>
  <c r="G22" i="453"/>
  <c r="F22" i="453"/>
  <c r="D22" i="453"/>
  <c r="J21" i="453"/>
  <c r="H21" i="453"/>
  <c r="G21" i="453"/>
  <c r="F21" i="453"/>
  <c r="E21" i="453"/>
  <c r="D21" i="453"/>
  <c r="J20" i="453"/>
  <c r="I20" i="453"/>
  <c r="H20" i="453"/>
  <c r="E20" i="453"/>
  <c r="D20" i="453"/>
  <c r="J19" i="453"/>
  <c r="H19" i="453"/>
  <c r="G19" i="453"/>
  <c r="F19" i="453"/>
  <c r="D19" i="453"/>
  <c r="J18" i="453"/>
  <c r="H18" i="453"/>
  <c r="G18" i="453"/>
  <c r="F18" i="453"/>
  <c r="J16" i="453"/>
  <c r="I16" i="453"/>
  <c r="H16" i="453"/>
  <c r="G16" i="453"/>
  <c r="F16" i="453"/>
  <c r="E16" i="453"/>
  <c r="D16" i="453"/>
  <c r="O8" i="453"/>
  <c r="N8" i="453"/>
  <c r="M8" i="453"/>
  <c r="L8" i="453"/>
  <c r="O7" i="453"/>
  <c r="N7" i="453"/>
  <c r="M7" i="453"/>
  <c r="L7" i="453"/>
  <c r="G3" i="453"/>
  <c r="AE79" i="452"/>
  <c r="AD79" i="452"/>
  <c r="AA79" i="452"/>
  <c r="Z79" i="452"/>
  <c r="N79" i="452"/>
  <c r="M79" i="452"/>
  <c r="J22" i="451" s="1"/>
  <c r="W78" i="452"/>
  <c r="H78" i="452"/>
  <c r="W77" i="452"/>
  <c r="H77" i="452"/>
  <c r="W76" i="452"/>
  <c r="H76" i="452"/>
  <c r="W75" i="452"/>
  <c r="W74" i="452"/>
  <c r="W73" i="452"/>
  <c r="W72" i="452"/>
  <c r="W71" i="452"/>
  <c r="W70" i="452"/>
  <c r="P70" i="452"/>
  <c r="N70" i="452"/>
  <c r="L70" i="452"/>
  <c r="L79" i="452" s="1"/>
  <c r="J13" i="451" s="1"/>
  <c r="K70" i="452"/>
  <c r="K79" i="452" s="1"/>
  <c r="J70" i="452"/>
  <c r="J79" i="452" s="1"/>
  <c r="F70" i="452"/>
  <c r="H70" i="452" s="1"/>
  <c r="AE69" i="452"/>
  <c r="I21" i="451" s="1"/>
  <c r="AD69" i="452"/>
  <c r="AD2" i="452" s="1"/>
  <c r="AA69" i="452"/>
  <c r="Z69" i="452"/>
  <c r="I18" i="451" s="1"/>
  <c r="M69" i="452"/>
  <c r="W68" i="452"/>
  <c r="H68" i="452"/>
  <c r="W67" i="452"/>
  <c r="W66" i="452"/>
  <c r="W65" i="452"/>
  <c r="W64" i="452"/>
  <c r="W63" i="452"/>
  <c r="W62" i="452"/>
  <c r="V62" i="452"/>
  <c r="N62" i="452"/>
  <c r="K62" i="452"/>
  <c r="J62" i="452"/>
  <c r="P62" i="452" s="1"/>
  <c r="F62" i="452"/>
  <c r="H62" i="452" s="1"/>
  <c r="AG61" i="452"/>
  <c r="AF61" i="452"/>
  <c r="W61" i="452"/>
  <c r="V61" i="452"/>
  <c r="P61" i="452"/>
  <c r="O61" i="452"/>
  <c r="N61" i="452"/>
  <c r="L61" i="452"/>
  <c r="K61" i="452"/>
  <c r="J61" i="452"/>
  <c r="H61" i="452"/>
  <c r="F61" i="452"/>
  <c r="W60" i="452"/>
  <c r="N60" i="452" s="1"/>
  <c r="V60" i="452"/>
  <c r="O60" i="452"/>
  <c r="K60" i="452"/>
  <c r="AG60" i="452" s="1"/>
  <c r="J60" i="452"/>
  <c r="P60" i="452" s="1"/>
  <c r="H60" i="452"/>
  <c r="F60" i="452"/>
  <c r="W59" i="452"/>
  <c r="O59" i="452"/>
  <c r="N59" i="452"/>
  <c r="K59" i="452"/>
  <c r="J59" i="452"/>
  <c r="H59" i="452"/>
  <c r="F59" i="452"/>
  <c r="AE58" i="452"/>
  <c r="AD58" i="452"/>
  <c r="AA58" i="452"/>
  <c r="Z58" i="452"/>
  <c r="M58" i="452"/>
  <c r="W57" i="452"/>
  <c r="W56" i="452"/>
  <c r="W55" i="452"/>
  <c r="W54" i="452"/>
  <c r="AG53" i="452"/>
  <c r="AF53" i="452"/>
  <c r="W53" i="452"/>
  <c r="W52" i="452"/>
  <c r="V52" i="452"/>
  <c r="N52" i="452"/>
  <c r="AF52" i="452" s="1"/>
  <c r="K52" i="452"/>
  <c r="L52" i="452" s="1"/>
  <c r="J52" i="452"/>
  <c r="P52" i="452" s="1"/>
  <c r="H52" i="452"/>
  <c r="F52" i="452"/>
  <c r="AG51" i="452"/>
  <c r="W51" i="452"/>
  <c r="V51" i="452"/>
  <c r="O51" i="452"/>
  <c r="N51" i="452"/>
  <c r="AF51" i="452" s="1"/>
  <c r="K51" i="452"/>
  <c r="J51" i="452"/>
  <c r="P51" i="452" s="1"/>
  <c r="F51" i="452"/>
  <c r="H51" i="452" s="1"/>
  <c r="W50" i="452"/>
  <c r="V50" i="452"/>
  <c r="N50" i="452"/>
  <c r="AG50" i="452" s="1"/>
  <c r="K50" i="452"/>
  <c r="J50" i="452"/>
  <c r="H50" i="452"/>
  <c r="F50" i="452"/>
  <c r="W49" i="452"/>
  <c r="P49" i="452"/>
  <c r="N49" i="452"/>
  <c r="L49" i="452"/>
  <c r="K49" i="452"/>
  <c r="J49" i="452"/>
  <c r="H49" i="452"/>
  <c r="F49" i="452"/>
  <c r="AE48" i="452"/>
  <c r="AD48" i="452"/>
  <c r="G20" i="451" s="1"/>
  <c r="AA48" i="452"/>
  <c r="Z48" i="452"/>
  <c r="W48" i="452"/>
  <c r="M48" i="452"/>
  <c r="J48" i="452"/>
  <c r="W47" i="452"/>
  <c r="H47" i="452"/>
  <c r="W46" i="452"/>
  <c r="W45" i="452"/>
  <c r="W44" i="452"/>
  <c r="W43" i="452"/>
  <c r="W42" i="452"/>
  <c r="AG41" i="452"/>
  <c r="AF41" i="452"/>
  <c r="W41" i="452"/>
  <c r="W40" i="452"/>
  <c r="N40" i="452" s="1"/>
  <c r="V40" i="452"/>
  <c r="K40" i="452"/>
  <c r="L40" i="452" s="1"/>
  <c r="J40" i="452"/>
  <c r="P40" i="452" s="1"/>
  <c r="H40" i="452"/>
  <c r="F40" i="452"/>
  <c r="W39" i="452"/>
  <c r="V39" i="452"/>
  <c r="P39" i="452"/>
  <c r="N39" i="452"/>
  <c r="K39" i="452"/>
  <c r="J39" i="452"/>
  <c r="H39" i="452"/>
  <c r="F39" i="452"/>
  <c r="AG38" i="452"/>
  <c r="W38" i="452"/>
  <c r="P38" i="452"/>
  <c r="O38" i="452"/>
  <c r="N38" i="452"/>
  <c r="L38" i="452"/>
  <c r="K38" i="452"/>
  <c r="J38" i="452"/>
  <c r="H38" i="452"/>
  <c r="F38" i="452"/>
  <c r="AE37" i="452"/>
  <c r="F21" i="451" s="1"/>
  <c r="AD37" i="452"/>
  <c r="AA37" i="452"/>
  <c r="F19" i="451" s="1"/>
  <c r="Z37" i="452"/>
  <c r="F18" i="451" s="1"/>
  <c r="M37" i="452"/>
  <c r="K37" i="452"/>
  <c r="J37" i="452"/>
  <c r="P37" i="452" s="1"/>
  <c r="W36" i="452"/>
  <c r="H36" i="452"/>
  <c r="W35" i="452"/>
  <c r="W34" i="452"/>
  <c r="W33" i="452"/>
  <c r="W32" i="452"/>
  <c r="W31" i="452"/>
  <c r="V31" i="452"/>
  <c r="P31" i="452"/>
  <c r="N31" i="452"/>
  <c r="AF31" i="452" s="1"/>
  <c r="L31" i="452"/>
  <c r="F31" i="452"/>
  <c r="H31" i="452" s="1"/>
  <c r="W30" i="452"/>
  <c r="V30" i="452"/>
  <c r="P30" i="452"/>
  <c r="N30" i="452"/>
  <c r="AF30" i="452" s="1"/>
  <c r="L30" i="452"/>
  <c r="H30" i="452"/>
  <c r="F30" i="452"/>
  <c r="W29" i="452"/>
  <c r="V29" i="452"/>
  <c r="P29" i="452"/>
  <c r="N29" i="452"/>
  <c r="AF29" i="452" s="1"/>
  <c r="L29" i="452"/>
  <c r="F29" i="452"/>
  <c r="H29" i="452" s="1"/>
  <c r="W28" i="452"/>
  <c r="V28" i="452"/>
  <c r="P28" i="452"/>
  <c r="N28" i="452"/>
  <c r="AF28" i="452" s="1"/>
  <c r="L28" i="452"/>
  <c r="F28" i="452"/>
  <c r="H28" i="452" s="1"/>
  <c r="W27" i="452"/>
  <c r="P27" i="452"/>
  <c r="N27" i="452"/>
  <c r="AF27" i="452" s="1"/>
  <c r="L27" i="452"/>
  <c r="F27" i="452"/>
  <c r="H27" i="452" s="1"/>
  <c r="AE26" i="452"/>
  <c r="AD26" i="452"/>
  <c r="AA26" i="452"/>
  <c r="E19" i="451" s="1"/>
  <c r="Z26" i="452"/>
  <c r="E18" i="451" s="1"/>
  <c r="M26" i="452"/>
  <c r="W25" i="452"/>
  <c r="H25" i="452"/>
  <c r="W24" i="452"/>
  <c r="W23" i="452"/>
  <c r="W21" i="452"/>
  <c r="W20" i="452"/>
  <c r="AG19" i="452"/>
  <c r="AF19" i="452"/>
  <c r="W19" i="452"/>
  <c r="W18" i="452"/>
  <c r="V18" i="452"/>
  <c r="N18" i="452"/>
  <c r="L18" i="452"/>
  <c r="K18" i="452"/>
  <c r="J18" i="452"/>
  <c r="J26" i="452" s="1"/>
  <c r="H18" i="452"/>
  <c r="F18" i="452"/>
  <c r="W17" i="452"/>
  <c r="N17" i="452" s="1"/>
  <c r="V17" i="452"/>
  <c r="P17" i="452"/>
  <c r="L17" i="452"/>
  <c r="K17" i="452"/>
  <c r="F17" i="452"/>
  <c r="H17" i="452" s="1"/>
  <c r="AG16" i="452"/>
  <c r="AF16" i="452"/>
  <c r="W16" i="452"/>
  <c r="P16" i="452"/>
  <c r="O16" i="452"/>
  <c r="N16" i="452"/>
  <c r="K16" i="452"/>
  <c r="F16" i="452"/>
  <c r="H16" i="452" s="1"/>
  <c r="AE15" i="452"/>
  <c r="D21" i="451" s="1"/>
  <c r="AD15" i="452"/>
  <c r="AA15" i="452"/>
  <c r="Z15" i="452"/>
  <c r="M15" i="452"/>
  <c r="J15" i="452"/>
  <c r="W14" i="452"/>
  <c r="W13" i="452"/>
  <c r="W12" i="452"/>
  <c r="AG11" i="452"/>
  <c r="AF11" i="452"/>
  <c r="W11" i="452"/>
  <c r="AG10" i="452"/>
  <c r="AF10" i="452"/>
  <c r="W10" i="452"/>
  <c r="W9" i="452"/>
  <c r="N9" i="452" s="1"/>
  <c r="V9" i="452"/>
  <c r="P9" i="452"/>
  <c r="K9" i="452"/>
  <c r="H9" i="452"/>
  <c r="F9" i="452"/>
  <c r="W8" i="452"/>
  <c r="N8" i="452" s="1"/>
  <c r="V8" i="452"/>
  <c r="P8" i="452"/>
  <c r="K8" i="452"/>
  <c r="L8" i="452" s="1"/>
  <c r="F8" i="452"/>
  <c r="H8" i="452" s="1"/>
  <c r="W7" i="452"/>
  <c r="N7" i="452" s="1"/>
  <c r="V7" i="452"/>
  <c r="P7" i="452"/>
  <c r="K7" i="452"/>
  <c r="L7" i="452" s="1"/>
  <c r="H7" i="452"/>
  <c r="F7" i="452"/>
  <c r="W6" i="452"/>
  <c r="N6" i="452" s="1"/>
  <c r="V6" i="452"/>
  <c r="P6" i="452"/>
  <c r="K6" i="452"/>
  <c r="L6" i="452" s="1"/>
  <c r="F6" i="452"/>
  <c r="H6" i="452" s="1"/>
  <c r="W5" i="452"/>
  <c r="N5" i="452" s="1"/>
  <c r="P5" i="452"/>
  <c r="K5" i="452"/>
  <c r="L5" i="452" s="1"/>
  <c r="F5" i="452"/>
  <c r="H5" i="452" s="1"/>
  <c r="I2" i="452"/>
  <c r="I1" i="452"/>
  <c r="E1" i="452"/>
  <c r="I22" i="451"/>
  <c r="H22" i="451"/>
  <c r="G22" i="451"/>
  <c r="F22" i="451"/>
  <c r="D22" i="451"/>
  <c r="J21" i="451"/>
  <c r="H21" i="451"/>
  <c r="E21" i="451"/>
  <c r="J20" i="451"/>
  <c r="H20" i="451"/>
  <c r="F20" i="451"/>
  <c r="E20" i="451"/>
  <c r="D20" i="451"/>
  <c r="J19" i="451"/>
  <c r="I19" i="451"/>
  <c r="H19" i="451"/>
  <c r="G19" i="451"/>
  <c r="D19" i="451"/>
  <c r="J18" i="451"/>
  <c r="H18" i="451"/>
  <c r="G18" i="451"/>
  <c r="D18" i="451"/>
  <c r="L6" i="451" s="1"/>
  <c r="J16" i="451"/>
  <c r="I16" i="451"/>
  <c r="H16" i="451"/>
  <c r="G16" i="451"/>
  <c r="F16" i="451"/>
  <c r="E16" i="451"/>
  <c r="D16" i="451"/>
  <c r="O8" i="451"/>
  <c r="N8" i="451"/>
  <c r="M8" i="451"/>
  <c r="L8" i="451"/>
  <c r="O7" i="451"/>
  <c r="N7" i="451"/>
  <c r="M7" i="451"/>
  <c r="L7" i="451"/>
  <c r="G3" i="451"/>
  <c r="AE79" i="450"/>
  <c r="AD79" i="450"/>
  <c r="AA79" i="450"/>
  <c r="J18" i="449" s="1"/>
  <c r="Z79" i="450"/>
  <c r="P79" i="450"/>
  <c r="O79" i="450"/>
  <c r="R79" i="450" s="1"/>
  <c r="S70" i="450" s="1"/>
  <c r="J15" i="449" s="1"/>
  <c r="M79" i="450"/>
  <c r="K79" i="450"/>
  <c r="W78" i="450"/>
  <c r="H78" i="450"/>
  <c r="W77" i="450"/>
  <c r="H77" i="450"/>
  <c r="W76" i="450"/>
  <c r="H76" i="450"/>
  <c r="W75" i="450"/>
  <c r="W74" i="450"/>
  <c r="W73" i="450"/>
  <c r="W72" i="450"/>
  <c r="W71" i="450"/>
  <c r="AF70" i="450"/>
  <c r="W70" i="450"/>
  <c r="P70" i="450"/>
  <c r="O70" i="450"/>
  <c r="N70" i="450"/>
  <c r="L70" i="450"/>
  <c r="L79" i="450" s="1"/>
  <c r="J13" i="449" s="1"/>
  <c r="K70" i="450"/>
  <c r="J70" i="450"/>
  <c r="J79" i="450" s="1"/>
  <c r="F70" i="450"/>
  <c r="H70" i="450" s="1"/>
  <c r="AE69" i="450"/>
  <c r="AD69" i="450"/>
  <c r="AA69" i="450"/>
  <c r="Z69" i="450"/>
  <c r="M69" i="450"/>
  <c r="K69" i="450"/>
  <c r="J69" i="450"/>
  <c r="P69" i="450" s="1"/>
  <c r="W68" i="450"/>
  <c r="H68" i="450"/>
  <c r="W67" i="450"/>
  <c r="W66" i="450"/>
  <c r="W65" i="450"/>
  <c r="W64" i="450"/>
  <c r="W63" i="450"/>
  <c r="W62" i="450"/>
  <c r="N62" i="450" s="1"/>
  <c r="V62" i="450"/>
  <c r="P62" i="450"/>
  <c r="K62" i="450"/>
  <c r="L62" i="450" s="1"/>
  <c r="J62" i="450"/>
  <c r="F62" i="450"/>
  <c r="H62" i="450" s="1"/>
  <c r="W61" i="450"/>
  <c r="N61" i="450" s="1"/>
  <c r="V61" i="450"/>
  <c r="K61" i="450"/>
  <c r="J61" i="450"/>
  <c r="P61" i="450" s="1"/>
  <c r="F61" i="450"/>
  <c r="H61" i="450" s="1"/>
  <c r="W60" i="450"/>
  <c r="N60" i="450" s="1"/>
  <c r="V60" i="450"/>
  <c r="K60" i="450"/>
  <c r="L60" i="450" s="1"/>
  <c r="J60" i="450"/>
  <c r="P60" i="450" s="1"/>
  <c r="F60" i="450"/>
  <c r="H60" i="450" s="1"/>
  <c r="W59" i="450"/>
  <c r="N59" i="450" s="1"/>
  <c r="K59" i="450"/>
  <c r="J59" i="450"/>
  <c r="P59" i="450" s="1"/>
  <c r="H59" i="450"/>
  <c r="F59" i="450"/>
  <c r="AE58" i="450"/>
  <c r="AD58" i="450"/>
  <c r="AA58" i="450"/>
  <c r="Z58" i="450"/>
  <c r="M58" i="450"/>
  <c r="H22" i="449" s="1"/>
  <c r="W57" i="450"/>
  <c r="W56" i="450"/>
  <c r="W55" i="450"/>
  <c r="W54" i="450"/>
  <c r="AG53" i="450"/>
  <c r="AF53" i="450"/>
  <c r="W53" i="450"/>
  <c r="W52" i="450"/>
  <c r="N52" i="450" s="1"/>
  <c r="V52" i="450"/>
  <c r="P52" i="450"/>
  <c r="L52" i="450"/>
  <c r="H52" i="450"/>
  <c r="F52" i="450"/>
  <c r="W51" i="450"/>
  <c r="V51" i="450"/>
  <c r="P51" i="450"/>
  <c r="N51" i="450"/>
  <c r="K51" i="450"/>
  <c r="J51" i="450"/>
  <c r="H51" i="450"/>
  <c r="F51" i="450"/>
  <c r="AF50" i="450"/>
  <c r="W50" i="450"/>
  <c r="V50" i="450"/>
  <c r="P50" i="450"/>
  <c r="O50" i="450"/>
  <c r="Q50" i="450" s="1"/>
  <c r="N50" i="450"/>
  <c r="AG50" i="450" s="1"/>
  <c r="L50" i="450"/>
  <c r="K50" i="450"/>
  <c r="J50" i="450"/>
  <c r="F50" i="450"/>
  <c r="H50" i="450" s="1"/>
  <c r="W49" i="450"/>
  <c r="N49" i="450" s="1"/>
  <c r="AG49" i="450" s="1"/>
  <c r="P49" i="450"/>
  <c r="O49" i="450"/>
  <c r="Q49" i="450" s="1"/>
  <c r="L49" i="450"/>
  <c r="K49" i="450"/>
  <c r="J49" i="450"/>
  <c r="F49" i="450"/>
  <c r="H49" i="450" s="1"/>
  <c r="AE48" i="450"/>
  <c r="AD48" i="450"/>
  <c r="G20" i="449" s="1"/>
  <c r="AA48" i="450"/>
  <c r="G19" i="449" s="1"/>
  <c r="Z48" i="450"/>
  <c r="W48" i="450"/>
  <c r="M48" i="450"/>
  <c r="K48" i="450"/>
  <c r="J48" i="450"/>
  <c r="W47" i="450"/>
  <c r="H47" i="450"/>
  <c r="W46" i="450"/>
  <c r="W45" i="450"/>
  <c r="W44" i="450"/>
  <c r="W43" i="450"/>
  <c r="W42" i="450"/>
  <c r="AG41" i="450"/>
  <c r="AF41" i="450"/>
  <c r="W41" i="450"/>
  <c r="AG40" i="450"/>
  <c r="AF40" i="450"/>
  <c r="W40" i="450"/>
  <c r="N40" i="450" s="1"/>
  <c r="O40" i="450" s="1"/>
  <c r="V40" i="450"/>
  <c r="R40" i="450"/>
  <c r="Q40" i="450"/>
  <c r="P40" i="450"/>
  <c r="L40" i="450"/>
  <c r="K40" i="450"/>
  <c r="J40" i="450"/>
  <c r="F40" i="450"/>
  <c r="H40" i="450" s="1"/>
  <c r="AF39" i="450"/>
  <c r="W39" i="450"/>
  <c r="V39" i="450"/>
  <c r="N39" i="450"/>
  <c r="AG39" i="450" s="1"/>
  <c r="L39" i="450"/>
  <c r="K39" i="450"/>
  <c r="J39" i="450"/>
  <c r="P39" i="450" s="1"/>
  <c r="F39" i="450"/>
  <c r="H39" i="450" s="1"/>
  <c r="AG38" i="450"/>
  <c r="AF38" i="450"/>
  <c r="W38" i="450"/>
  <c r="P38" i="450"/>
  <c r="O38" i="450"/>
  <c r="N38" i="450"/>
  <c r="N48" i="450" s="1"/>
  <c r="K38" i="450"/>
  <c r="L38" i="450" s="1"/>
  <c r="J38" i="450"/>
  <c r="F38" i="450"/>
  <c r="H38" i="450" s="1"/>
  <c r="AE37" i="450"/>
  <c r="AD37" i="450"/>
  <c r="F20" i="449" s="1"/>
  <c r="AA37" i="450"/>
  <c r="F19" i="449" s="1"/>
  <c r="Z37" i="450"/>
  <c r="M37" i="450"/>
  <c r="K37" i="450"/>
  <c r="J37" i="450"/>
  <c r="W36" i="450"/>
  <c r="H36" i="450"/>
  <c r="W35" i="450"/>
  <c r="W34" i="450"/>
  <c r="W33" i="450"/>
  <c r="W32" i="450"/>
  <c r="W31" i="450"/>
  <c r="V31" i="450"/>
  <c r="P31" i="450"/>
  <c r="N31" i="450"/>
  <c r="L31" i="450"/>
  <c r="F31" i="450"/>
  <c r="H31" i="450" s="1"/>
  <c r="W30" i="450"/>
  <c r="V30" i="450"/>
  <c r="P30" i="450"/>
  <c r="N30" i="450"/>
  <c r="L30" i="450"/>
  <c r="F30" i="450"/>
  <c r="H30" i="450" s="1"/>
  <c r="AG29" i="450"/>
  <c r="W29" i="450"/>
  <c r="V29" i="450"/>
  <c r="P29" i="450"/>
  <c r="N29" i="450"/>
  <c r="L29" i="450"/>
  <c r="F29" i="450"/>
  <c r="H29" i="450" s="1"/>
  <c r="W28" i="450"/>
  <c r="V28" i="450"/>
  <c r="P28" i="450"/>
  <c r="N28" i="450"/>
  <c r="L28" i="450"/>
  <c r="H28" i="450"/>
  <c r="F28" i="450"/>
  <c r="AG27" i="450"/>
  <c r="W27" i="450"/>
  <c r="P27" i="450"/>
  <c r="O27" i="450"/>
  <c r="N27" i="450"/>
  <c r="L27" i="450"/>
  <c r="H27" i="450"/>
  <c r="F27" i="450"/>
  <c r="AE26" i="450"/>
  <c r="AD26" i="450"/>
  <c r="AA26" i="450"/>
  <c r="Z26" i="450"/>
  <c r="E18" i="449" s="1"/>
  <c r="M26" i="450"/>
  <c r="L26" i="450"/>
  <c r="K26" i="450"/>
  <c r="J26" i="450"/>
  <c r="W25" i="450"/>
  <c r="H25" i="450"/>
  <c r="W24" i="450"/>
  <c r="H24" i="450"/>
  <c r="W23" i="450"/>
  <c r="W21" i="450"/>
  <c r="W20" i="450"/>
  <c r="AG19" i="450"/>
  <c r="AF19" i="450"/>
  <c r="W19" i="450"/>
  <c r="AG18" i="450"/>
  <c r="AF18" i="450"/>
  <c r="W18" i="450"/>
  <c r="W17" i="450"/>
  <c r="V17" i="450"/>
  <c r="P17" i="450"/>
  <c r="N17" i="450"/>
  <c r="L17" i="450"/>
  <c r="K17" i="450"/>
  <c r="F17" i="450"/>
  <c r="H17" i="450" s="1"/>
  <c r="W16" i="450"/>
  <c r="N16" i="450" s="1"/>
  <c r="O16" i="450" s="1"/>
  <c r="R16" i="450"/>
  <c r="P16" i="450"/>
  <c r="L16" i="450"/>
  <c r="K16" i="450"/>
  <c r="F16" i="450"/>
  <c r="H16" i="450" s="1"/>
  <c r="AE15" i="450"/>
  <c r="AD15" i="450"/>
  <c r="AA15" i="450"/>
  <c r="Z15" i="450"/>
  <c r="Z2" i="450" s="1"/>
  <c r="M15" i="450"/>
  <c r="J15" i="450"/>
  <c r="P15" i="450" s="1"/>
  <c r="W14" i="450"/>
  <c r="W13" i="450"/>
  <c r="W12" i="450"/>
  <c r="AG11" i="450"/>
  <c r="AF11" i="450"/>
  <c r="W11" i="450"/>
  <c r="AG10" i="450"/>
  <c r="AF10" i="450"/>
  <c r="W10" i="450"/>
  <c r="AG9" i="450"/>
  <c r="AF9" i="450"/>
  <c r="W9" i="450"/>
  <c r="W8" i="450"/>
  <c r="N8" i="450" s="1"/>
  <c r="O8" i="450" s="1"/>
  <c r="V8" i="450"/>
  <c r="P8" i="450"/>
  <c r="K8" i="450"/>
  <c r="AF8" i="450" s="1"/>
  <c r="F8" i="450"/>
  <c r="H8" i="450" s="1"/>
  <c r="W7" i="450"/>
  <c r="N7" i="450" s="1"/>
  <c r="V7" i="450"/>
  <c r="P7" i="450"/>
  <c r="K7" i="450"/>
  <c r="L7" i="450" s="1"/>
  <c r="F7" i="450"/>
  <c r="H7" i="450" s="1"/>
  <c r="W6" i="450"/>
  <c r="N6" i="450" s="1"/>
  <c r="V6" i="450"/>
  <c r="P6" i="450"/>
  <c r="K6" i="450"/>
  <c r="L6" i="450" s="1"/>
  <c r="F6" i="450"/>
  <c r="H6" i="450" s="1"/>
  <c r="W5" i="450"/>
  <c r="P5" i="450"/>
  <c r="O5" i="450"/>
  <c r="N5" i="450"/>
  <c r="K5" i="450"/>
  <c r="L5" i="450" s="1"/>
  <c r="F5" i="450"/>
  <c r="H5" i="450" s="1"/>
  <c r="I2" i="450"/>
  <c r="E1" i="450"/>
  <c r="J22" i="449"/>
  <c r="I22" i="449"/>
  <c r="D22" i="449"/>
  <c r="J21" i="449"/>
  <c r="I21" i="449"/>
  <c r="H21" i="449"/>
  <c r="G21" i="449"/>
  <c r="F21" i="449"/>
  <c r="E21" i="449"/>
  <c r="J20" i="449"/>
  <c r="I20" i="449"/>
  <c r="H20" i="449"/>
  <c r="E20" i="449"/>
  <c r="J19" i="449"/>
  <c r="I19" i="449"/>
  <c r="H19" i="449"/>
  <c r="E19" i="449"/>
  <c r="I18" i="449"/>
  <c r="H18" i="449"/>
  <c r="G18" i="449"/>
  <c r="F18" i="449"/>
  <c r="J16" i="449"/>
  <c r="I16" i="449"/>
  <c r="H16" i="449"/>
  <c r="G16" i="449"/>
  <c r="F16" i="449"/>
  <c r="E16" i="449"/>
  <c r="D16" i="449"/>
  <c r="E13" i="449"/>
  <c r="O8" i="449"/>
  <c r="N8" i="449"/>
  <c r="M8" i="449"/>
  <c r="L8" i="449"/>
  <c r="O7" i="449"/>
  <c r="N7" i="449"/>
  <c r="M7" i="449"/>
  <c r="L7" i="449"/>
  <c r="G3" i="449"/>
  <c r="AE79" i="448"/>
  <c r="AD79" i="448"/>
  <c r="J20" i="447" s="1"/>
  <c r="AA79" i="448"/>
  <c r="J18" i="447" s="1"/>
  <c r="Z79" i="448"/>
  <c r="M79" i="448"/>
  <c r="K79" i="448"/>
  <c r="W78" i="448"/>
  <c r="H78" i="448"/>
  <c r="W77" i="448"/>
  <c r="H77" i="448"/>
  <c r="W76" i="448"/>
  <c r="H76" i="448"/>
  <c r="W75" i="448"/>
  <c r="H75" i="448"/>
  <c r="W74" i="448"/>
  <c r="W73" i="448"/>
  <c r="W72" i="448"/>
  <c r="W71" i="448"/>
  <c r="W70" i="448"/>
  <c r="N70" i="448" s="1"/>
  <c r="AF70" i="448" s="1"/>
  <c r="P70" i="448"/>
  <c r="O70" i="448"/>
  <c r="K70" i="448"/>
  <c r="J70" i="448"/>
  <c r="F70" i="448"/>
  <c r="H70" i="448" s="1"/>
  <c r="AE69" i="448"/>
  <c r="AD69" i="448"/>
  <c r="AA69" i="448"/>
  <c r="Z69" i="448"/>
  <c r="M69" i="448"/>
  <c r="W68" i="448"/>
  <c r="H68" i="448"/>
  <c r="W67" i="448"/>
  <c r="W66" i="448"/>
  <c r="W65" i="448"/>
  <c r="W64" i="448"/>
  <c r="W63" i="448"/>
  <c r="AF62" i="448"/>
  <c r="W62" i="448"/>
  <c r="P62" i="448"/>
  <c r="N62" i="448"/>
  <c r="AG62" i="448" s="1"/>
  <c r="L62" i="448"/>
  <c r="K62" i="448"/>
  <c r="J62" i="448"/>
  <c r="F62" i="448"/>
  <c r="H62" i="448" s="1"/>
  <c r="W61" i="448"/>
  <c r="N61" i="448" s="1"/>
  <c r="V61" i="448"/>
  <c r="K61" i="448"/>
  <c r="J61" i="448"/>
  <c r="P61" i="448" s="1"/>
  <c r="F61" i="448"/>
  <c r="H61" i="448" s="1"/>
  <c r="W60" i="448"/>
  <c r="N60" i="448" s="1"/>
  <c r="V60" i="448"/>
  <c r="K60" i="448"/>
  <c r="J60" i="448"/>
  <c r="F60" i="448"/>
  <c r="H60" i="448" s="1"/>
  <c r="W59" i="448"/>
  <c r="P59" i="448"/>
  <c r="N59" i="448"/>
  <c r="L59" i="448"/>
  <c r="K59" i="448"/>
  <c r="AF59" i="448" s="1"/>
  <c r="J59" i="448"/>
  <c r="F59" i="448"/>
  <c r="H59" i="448" s="1"/>
  <c r="AE58" i="448"/>
  <c r="AD58" i="448"/>
  <c r="AA58" i="448"/>
  <c r="Z58" i="448"/>
  <c r="M58" i="448"/>
  <c r="H22" i="447" s="1"/>
  <c r="W57" i="448"/>
  <c r="W56" i="448"/>
  <c r="W55" i="448"/>
  <c r="W54" i="448"/>
  <c r="AG53" i="448"/>
  <c r="AF53" i="448"/>
  <c r="W53" i="448"/>
  <c r="AG52" i="448"/>
  <c r="AF52" i="448"/>
  <c r="W52" i="448"/>
  <c r="V52" i="448"/>
  <c r="Q52" i="448"/>
  <c r="P52" i="448"/>
  <c r="O52" i="448"/>
  <c r="R52" i="448" s="1"/>
  <c r="N52" i="448"/>
  <c r="L52" i="448"/>
  <c r="F52" i="448"/>
  <c r="H52" i="448" s="1"/>
  <c r="W51" i="448"/>
  <c r="V51" i="448"/>
  <c r="P51" i="448"/>
  <c r="N51" i="448"/>
  <c r="K51" i="448"/>
  <c r="J51" i="448"/>
  <c r="L51" i="448" s="1"/>
  <c r="L58" i="448" s="1"/>
  <c r="H13" i="447" s="1"/>
  <c r="F51" i="448"/>
  <c r="H51" i="448" s="1"/>
  <c r="AG50" i="448"/>
  <c r="W50" i="448"/>
  <c r="V50" i="448"/>
  <c r="Q50" i="448"/>
  <c r="O50" i="448"/>
  <c r="N50" i="448"/>
  <c r="K50" i="448"/>
  <c r="L50" i="448" s="1"/>
  <c r="J50" i="448"/>
  <c r="P50" i="448" s="1"/>
  <c r="H50" i="448"/>
  <c r="F50" i="448"/>
  <c r="W49" i="448"/>
  <c r="N49" i="448" s="1"/>
  <c r="P49" i="448"/>
  <c r="L49" i="448"/>
  <c r="K49" i="448"/>
  <c r="K58" i="448" s="1"/>
  <c r="J49" i="448"/>
  <c r="J58" i="448" s="1"/>
  <c r="P58" i="448" s="1"/>
  <c r="H49" i="448"/>
  <c r="F49" i="448"/>
  <c r="AE48" i="448"/>
  <c r="AD48" i="448"/>
  <c r="G20" i="447" s="1"/>
  <c r="AA48" i="448"/>
  <c r="Z48" i="448"/>
  <c r="W48" i="448"/>
  <c r="N48" i="448"/>
  <c r="M48" i="448"/>
  <c r="W47" i="448"/>
  <c r="H47" i="448"/>
  <c r="W46" i="448"/>
  <c r="W45" i="448"/>
  <c r="W44" i="448"/>
  <c r="W43" i="448"/>
  <c r="W42" i="448"/>
  <c r="AG41" i="448"/>
  <c r="AF41" i="448"/>
  <c r="W41" i="448"/>
  <c r="V41" i="448"/>
  <c r="R41" i="448"/>
  <c r="P41" i="448"/>
  <c r="O41" i="448"/>
  <c r="Q41" i="448" s="1"/>
  <c r="N41" i="448"/>
  <c r="K41" i="448"/>
  <c r="J41" i="448"/>
  <c r="L41" i="448" s="1"/>
  <c r="F41" i="448"/>
  <c r="H41" i="448" s="1"/>
  <c r="AG40" i="448"/>
  <c r="W40" i="448"/>
  <c r="N40" i="448" s="1"/>
  <c r="O40" i="448" s="1"/>
  <c r="V40" i="448"/>
  <c r="K40" i="448"/>
  <c r="L40" i="448" s="1"/>
  <c r="Q40" i="448" s="1"/>
  <c r="J40" i="448"/>
  <c r="P40" i="448" s="1"/>
  <c r="F40" i="448"/>
  <c r="H40" i="448" s="1"/>
  <c r="AG39" i="448"/>
  <c r="W39" i="448"/>
  <c r="N39" i="448" s="1"/>
  <c r="AF39" i="448" s="1"/>
  <c r="V39" i="448"/>
  <c r="O39" i="448"/>
  <c r="K39" i="448"/>
  <c r="L39" i="448" s="1"/>
  <c r="J39" i="448"/>
  <c r="P39" i="448" s="1"/>
  <c r="F39" i="448"/>
  <c r="H39" i="448" s="1"/>
  <c r="W38" i="448"/>
  <c r="N38" i="448"/>
  <c r="AG38" i="448" s="1"/>
  <c r="L38" i="448"/>
  <c r="K38" i="448"/>
  <c r="K48" i="448" s="1"/>
  <c r="J38" i="448"/>
  <c r="P38" i="448" s="1"/>
  <c r="H38" i="448"/>
  <c r="F38" i="448"/>
  <c r="AE37" i="448"/>
  <c r="AD37" i="448"/>
  <c r="F20" i="447" s="1"/>
  <c r="AA37" i="448"/>
  <c r="F19" i="447" s="1"/>
  <c r="Z37" i="448"/>
  <c r="F18" i="447" s="1"/>
  <c r="M37" i="448"/>
  <c r="K37" i="448"/>
  <c r="J37" i="448"/>
  <c r="W36" i="448"/>
  <c r="H36" i="448"/>
  <c r="W35" i="448"/>
  <c r="W34" i="448"/>
  <c r="W33" i="448"/>
  <c r="W32" i="448"/>
  <c r="AF31" i="448"/>
  <c r="W31" i="448"/>
  <c r="V31" i="448"/>
  <c r="P31" i="448"/>
  <c r="N31" i="448"/>
  <c r="L31" i="448"/>
  <c r="H31" i="448"/>
  <c r="F31" i="448"/>
  <c r="W30" i="448"/>
  <c r="N30" i="448" s="1"/>
  <c r="V30" i="448"/>
  <c r="P30" i="448"/>
  <c r="L30" i="448"/>
  <c r="F30" i="448"/>
  <c r="H30" i="448" s="1"/>
  <c r="W29" i="448"/>
  <c r="N29" i="448" s="1"/>
  <c r="V29" i="448"/>
  <c r="P29" i="448"/>
  <c r="L29" i="448"/>
  <c r="H29" i="448"/>
  <c r="F29" i="448"/>
  <c r="AG28" i="448"/>
  <c r="W28" i="448"/>
  <c r="V28" i="448"/>
  <c r="P28" i="448"/>
  <c r="O28" i="448"/>
  <c r="N28" i="448"/>
  <c r="AF28" i="448" s="1"/>
  <c r="L28" i="448"/>
  <c r="F28" i="448"/>
  <c r="H28" i="448" s="1"/>
  <c r="W27" i="448"/>
  <c r="P27" i="448"/>
  <c r="O27" i="448"/>
  <c r="R27" i="448" s="1"/>
  <c r="N27" i="448"/>
  <c r="L27" i="448"/>
  <c r="F27" i="448"/>
  <c r="H27" i="448" s="1"/>
  <c r="AE26" i="448"/>
  <c r="AD26" i="448"/>
  <c r="AA26" i="448"/>
  <c r="E19" i="447" s="1"/>
  <c r="Z26" i="448"/>
  <c r="M26" i="448"/>
  <c r="I1" i="448" s="1"/>
  <c r="K26" i="448"/>
  <c r="J26" i="448"/>
  <c r="W25" i="448"/>
  <c r="H25" i="448"/>
  <c r="W24" i="448"/>
  <c r="H24" i="448"/>
  <c r="W23" i="448"/>
  <c r="W21" i="448"/>
  <c r="W20" i="448"/>
  <c r="AG19" i="448"/>
  <c r="AF19" i="448"/>
  <c r="W19" i="448"/>
  <c r="AG18" i="448"/>
  <c r="W18" i="448"/>
  <c r="V18" i="448"/>
  <c r="P18" i="448"/>
  <c r="N18" i="448"/>
  <c r="AF18" i="448" s="1"/>
  <c r="K18" i="448"/>
  <c r="L18" i="448" s="1"/>
  <c r="H18" i="448"/>
  <c r="F18" i="448"/>
  <c r="W17" i="448"/>
  <c r="V17" i="448"/>
  <c r="P17" i="448"/>
  <c r="N17" i="448"/>
  <c r="L17" i="448"/>
  <c r="K17" i="448"/>
  <c r="H17" i="448"/>
  <c r="F17" i="448"/>
  <c r="W16" i="448"/>
  <c r="P16" i="448"/>
  <c r="O16" i="448"/>
  <c r="N16" i="448"/>
  <c r="L16" i="448"/>
  <c r="K16" i="448"/>
  <c r="F16" i="448"/>
  <c r="H16" i="448" s="1"/>
  <c r="AE15" i="448"/>
  <c r="AD15" i="448"/>
  <c r="AA15" i="448"/>
  <c r="Z15" i="448"/>
  <c r="D18" i="447" s="1"/>
  <c r="P15" i="448"/>
  <c r="M15" i="448"/>
  <c r="K15" i="448"/>
  <c r="J15" i="448"/>
  <c r="W14" i="448"/>
  <c r="W13" i="448"/>
  <c r="W12" i="448"/>
  <c r="AG11" i="448"/>
  <c r="AF11" i="448"/>
  <c r="W11" i="448"/>
  <c r="AG10" i="448"/>
  <c r="AF10" i="448"/>
  <c r="W10" i="448"/>
  <c r="AG9" i="448"/>
  <c r="AF9" i="448"/>
  <c r="W9" i="448"/>
  <c r="AG8" i="448"/>
  <c r="AF8" i="448"/>
  <c r="W8" i="448"/>
  <c r="W7" i="448"/>
  <c r="V7" i="448"/>
  <c r="P7" i="448"/>
  <c r="N7" i="448"/>
  <c r="K7" i="448"/>
  <c r="L7" i="448" s="1"/>
  <c r="H7" i="448"/>
  <c r="F7" i="448"/>
  <c r="AG6" i="448"/>
  <c r="AF6" i="448"/>
  <c r="W6" i="448"/>
  <c r="V6" i="448"/>
  <c r="P6" i="448"/>
  <c r="O6" i="448"/>
  <c r="N6" i="448"/>
  <c r="L6" i="448"/>
  <c r="K6" i="448"/>
  <c r="F6" i="448"/>
  <c r="H6" i="448" s="1"/>
  <c r="W5" i="448"/>
  <c r="N5" i="448" s="1"/>
  <c r="P5" i="448"/>
  <c r="L5" i="448"/>
  <c r="K5" i="448"/>
  <c r="H5" i="448"/>
  <c r="F5" i="448"/>
  <c r="AA2" i="448"/>
  <c r="Z2" i="448"/>
  <c r="I2" i="448"/>
  <c r="E1" i="448"/>
  <c r="G3" i="447" s="1"/>
  <c r="J22" i="447"/>
  <c r="D22" i="447"/>
  <c r="J21" i="447"/>
  <c r="I21" i="447"/>
  <c r="H21" i="447"/>
  <c r="G21" i="447"/>
  <c r="F21" i="447"/>
  <c r="E21" i="447"/>
  <c r="I20" i="447"/>
  <c r="H20" i="447"/>
  <c r="E20" i="447"/>
  <c r="D20" i="447"/>
  <c r="J19" i="447"/>
  <c r="I19" i="447"/>
  <c r="H19" i="447"/>
  <c r="G19" i="447"/>
  <c r="D19" i="447"/>
  <c r="M6" i="447" s="1"/>
  <c r="I18" i="447"/>
  <c r="H18" i="447"/>
  <c r="G18" i="447"/>
  <c r="E18" i="447"/>
  <c r="J16" i="447"/>
  <c r="I16" i="447"/>
  <c r="H16" i="447"/>
  <c r="G16" i="447"/>
  <c r="F16" i="447"/>
  <c r="E16" i="447"/>
  <c r="D16" i="447"/>
  <c r="O8" i="447"/>
  <c r="N8" i="447"/>
  <c r="M8" i="447"/>
  <c r="L8" i="447"/>
  <c r="O7" i="447"/>
  <c r="N7" i="447"/>
  <c r="M7" i="447"/>
  <c r="L7" i="447"/>
  <c r="AE79" i="446"/>
  <c r="J21" i="445" s="1"/>
  <c r="AD79" i="446"/>
  <c r="AA79" i="446"/>
  <c r="J18" i="445" s="1"/>
  <c r="Z79" i="446"/>
  <c r="P79" i="446"/>
  <c r="M79" i="446"/>
  <c r="K79" i="446"/>
  <c r="J79" i="446"/>
  <c r="W78" i="446"/>
  <c r="H78" i="446"/>
  <c r="W77" i="446"/>
  <c r="H77" i="446"/>
  <c r="W76" i="446"/>
  <c r="W75" i="446"/>
  <c r="W74" i="446"/>
  <c r="W73" i="446"/>
  <c r="W72" i="446"/>
  <c r="W71" i="446"/>
  <c r="W70" i="446"/>
  <c r="N70" i="446" s="1"/>
  <c r="N79" i="446" s="1"/>
  <c r="R70" i="446"/>
  <c r="P70" i="446"/>
  <c r="O70" i="446"/>
  <c r="K70" i="446"/>
  <c r="J70" i="446"/>
  <c r="L70" i="446" s="1"/>
  <c r="L79" i="446" s="1"/>
  <c r="F70" i="446"/>
  <c r="H70" i="446" s="1"/>
  <c r="AE69" i="446"/>
  <c r="I21" i="445" s="1"/>
  <c r="AD69" i="446"/>
  <c r="AA69" i="446"/>
  <c r="I19" i="445" s="1"/>
  <c r="Z69" i="446"/>
  <c r="I18" i="445" s="1"/>
  <c r="M69" i="446"/>
  <c r="J69" i="446"/>
  <c r="W68" i="446"/>
  <c r="H68" i="446"/>
  <c r="W67" i="446"/>
  <c r="W66" i="446"/>
  <c r="W65" i="446"/>
  <c r="W64" i="446"/>
  <c r="W63" i="446"/>
  <c r="V63" i="446"/>
  <c r="P63" i="446"/>
  <c r="N63" i="446"/>
  <c r="O63" i="446" s="1"/>
  <c r="K63" i="446"/>
  <c r="J63" i="446"/>
  <c r="H63" i="446"/>
  <c r="F63" i="446"/>
  <c r="W62" i="446"/>
  <c r="V62" i="446"/>
  <c r="P62" i="446"/>
  <c r="N62" i="446"/>
  <c r="AG62" i="446" s="1"/>
  <c r="L62" i="446"/>
  <c r="K62" i="446"/>
  <c r="J62" i="446"/>
  <c r="F62" i="446"/>
  <c r="H62" i="446" s="1"/>
  <c r="W61" i="446"/>
  <c r="N61" i="446" s="1"/>
  <c r="V61" i="446"/>
  <c r="K61" i="446"/>
  <c r="J61" i="446"/>
  <c r="P61" i="446" s="1"/>
  <c r="F61" i="446"/>
  <c r="H61" i="446" s="1"/>
  <c r="W60" i="446"/>
  <c r="N60" i="446" s="1"/>
  <c r="V60" i="446"/>
  <c r="K60" i="446"/>
  <c r="J60" i="446"/>
  <c r="P60" i="446" s="1"/>
  <c r="F60" i="446"/>
  <c r="H60" i="446" s="1"/>
  <c r="AF59" i="446"/>
  <c r="W59" i="446"/>
  <c r="N59" i="446" s="1"/>
  <c r="AG59" i="446" s="1"/>
  <c r="P59" i="446"/>
  <c r="O59" i="446"/>
  <c r="K59" i="446"/>
  <c r="L59" i="446" s="1"/>
  <c r="J59" i="446"/>
  <c r="H59" i="446"/>
  <c r="F59" i="446"/>
  <c r="AE58" i="446"/>
  <c r="AD58" i="446"/>
  <c r="H20" i="445" s="1"/>
  <c r="AA58" i="446"/>
  <c r="H19" i="445" s="1"/>
  <c r="Z58" i="446"/>
  <c r="M58" i="446"/>
  <c r="W57" i="446"/>
  <c r="W56" i="446"/>
  <c r="W55" i="446"/>
  <c r="W54" i="446"/>
  <c r="W53" i="446"/>
  <c r="V53" i="446"/>
  <c r="N53" i="446"/>
  <c r="O53" i="446" s="1"/>
  <c r="K53" i="446"/>
  <c r="J53" i="446"/>
  <c r="F53" i="446"/>
  <c r="H53" i="446" s="1"/>
  <c r="AF52" i="446"/>
  <c r="W52" i="446"/>
  <c r="V52" i="446"/>
  <c r="P52" i="446"/>
  <c r="N52" i="446"/>
  <c r="O52" i="446" s="1"/>
  <c r="L52" i="446"/>
  <c r="F52" i="446"/>
  <c r="H52" i="446" s="1"/>
  <c r="AG51" i="446"/>
  <c r="W51" i="446"/>
  <c r="V51" i="446"/>
  <c r="N51" i="446"/>
  <c r="AF51" i="446" s="1"/>
  <c r="K51" i="446"/>
  <c r="L51" i="446" s="1"/>
  <c r="J51" i="446"/>
  <c r="P51" i="446" s="1"/>
  <c r="F51" i="446"/>
  <c r="H51" i="446" s="1"/>
  <c r="AG50" i="446"/>
  <c r="AF50" i="446"/>
  <c r="W50" i="446"/>
  <c r="V50" i="446"/>
  <c r="N50" i="446"/>
  <c r="O50" i="446" s="1"/>
  <c r="K50" i="446"/>
  <c r="J50" i="446"/>
  <c r="L50" i="446" s="1"/>
  <c r="F50" i="446"/>
  <c r="H50" i="446" s="1"/>
  <c r="AF49" i="446"/>
  <c r="W49" i="446"/>
  <c r="N49" i="446" s="1"/>
  <c r="O49" i="446"/>
  <c r="J49" i="446"/>
  <c r="H49" i="446"/>
  <c r="F49" i="446"/>
  <c r="AE48" i="446"/>
  <c r="AD48" i="446"/>
  <c r="G20" i="445" s="1"/>
  <c r="AA48" i="446"/>
  <c r="G19" i="445" s="1"/>
  <c r="Z48" i="446"/>
  <c r="W48" i="446"/>
  <c r="M48" i="446"/>
  <c r="K48" i="446"/>
  <c r="W47" i="446"/>
  <c r="H47" i="446"/>
  <c r="W46" i="446"/>
  <c r="W45" i="446"/>
  <c r="W44" i="446"/>
  <c r="W43" i="446"/>
  <c r="W42" i="446"/>
  <c r="AG41" i="446"/>
  <c r="AF41" i="446"/>
  <c r="W41" i="446"/>
  <c r="AG40" i="446"/>
  <c r="AF40" i="446"/>
  <c r="W40" i="446"/>
  <c r="O40" i="446"/>
  <c r="N40" i="446"/>
  <c r="K40" i="446"/>
  <c r="J40" i="446"/>
  <c r="F40" i="446"/>
  <c r="H40" i="446" s="1"/>
  <c r="AG39" i="446"/>
  <c r="AF39" i="446"/>
  <c r="W39" i="446"/>
  <c r="N39" i="446" s="1"/>
  <c r="O39" i="446" s="1"/>
  <c r="V39" i="446"/>
  <c r="K39" i="446"/>
  <c r="J39" i="446"/>
  <c r="L39" i="446" s="1"/>
  <c r="R39" i="446" s="1"/>
  <c r="F39" i="446"/>
  <c r="H39" i="446" s="1"/>
  <c r="AG38" i="446"/>
  <c r="W38" i="446"/>
  <c r="N38" i="446" s="1"/>
  <c r="O38" i="446"/>
  <c r="K38" i="446"/>
  <c r="J38" i="446"/>
  <c r="P38" i="446" s="1"/>
  <c r="F38" i="446"/>
  <c r="H38" i="446" s="1"/>
  <c r="AE37" i="446"/>
  <c r="AD37" i="446"/>
  <c r="AA37" i="446"/>
  <c r="Z37" i="446"/>
  <c r="F18" i="445" s="1"/>
  <c r="M37" i="446"/>
  <c r="F22" i="445" s="1"/>
  <c r="L37" i="446"/>
  <c r="K37" i="446"/>
  <c r="J37" i="446"/>
  <c r="W36" i="446"/>
  <c r="H36" i="446"/>
  <c r="W35" i="446"/>
  <c r="W34" i="446"/>
  <c r="W33" i="446"/>
  <c r="W32" i="446"/>
  <c r="W31" i="446"/>
  <c r="P31" i="446"/>
  <c r="N31" i="446"/>
  <c r="O31" i="446" s="1"/>
  <c r="Q31" i="446" s="1"/>
  <c r="L31" i="446"/>
  <c r="H31" i="446"/>
  <c r="F31" i="446"/>
  <c r="W30" i="446"/>
  <c r="N30" i="446" s="1"/>
  <c r="V30" i="446"/>
  <c r="P30" i="446"/>
  <c r="L30" i="446"/>
  <c r="F30" i="446"/>
  <c r="H30" i="446" s="1"/>
  <c r="AG29" i="446"/>
  <c r="W29" i="446"/>
  <c r="N29" i="446" s="1"/>
  <c r="V29" i="446"/>
  <c r="P29" i="446"/>
  <c r="L29" i="446"/>
  <c r="H29" i="446"/>
  <c r="F29" i="446"/>
  <c r="W28" i="446"/>
  <c r="V28" i="446"/>
  <c r="P28" i="446"/>
  <c r="N28" i="446"/>
  <c r="L28" i="446"/>
  <c r="F28" i="446"/>
  <c r="H28" i="446" s="1"/>
  <c r="W27" i="446"/>
  <c r="P27" i="446"/>
  <c r="N27" i="446"/>
  <c r="L27" i="446"/>
  <c r="F27" i="446"/>
  <c r="H27" i="446" s="1"/>
  <c r="AE26" i="446"/>
  <c r="AD26" i="446"/>
  <c r="E20" i="445" s="1"/>
  <c r="AA26" i="446"/>
  <c r="Z26" i="446"/>
  <c r="M26" i="446"/>
  <c r="E22" i="445" s="1"/>
  <c r="W25" i="446"/>
  <c r="H25" i="446"/>
  <c r="W24" i="446"/>
  <c r="H24" i="446"/>
  <c r="W23" i="446"/>
  <c r="W21" i="446"/>
  <c r="W20" i="446"/>
  <c r="W19" i="446"/>
  <c r="N19" i="446" s="1"/>
  <c r="V19" i="446"/>
  <c r="K19" i="446"/>
  <c r="L19" i="446" s="1"/>
  <c r="J19" i="446"/>
  <c r="P19" i="446" s="1"/>
  <c r="F19" i="446"/>
  <c r="H19" i="446" s="1"/>
  <c r="W18" i="446"/>
  <c r="V18" i="446"/>
  <c r="P18" i="446"/>
  <c r="N18" i="446"/>
  <c r="K18" i="446"/>
  <c r="L18" i="446" s="1"/>
  <c r="H18" i="446"/>
  <c r="F18" i="446"/>
  <c r="W17" i="446"/>
  <c r="N17" i="446" s="1"/>
  <c r="O17" i="446" s="1"/>
  <c r="V17" i="446"/>
  <c r="P17" i="446"/>
  <c r="K17" i="446"/>
  <c r="L17" i="446" s="1"/>
  <c r="H17" i="446"/>
  <c r="F17" i="446"/>
  <c r="W16" i="446"/>
  <c r="N16" i="446"/>
  <c r="K16" i="446"/>
  <c r="J16" i="446"/>
  <c r="J26" i="446" s="1"/>
  <c r="H16" i="446"/>
  <c r="F16" i="446"/>
  <c r="AE15" i="446"/>
  <c r="AD15" i="446"/>
  <c r="AA15" i="446"/>
  <c r="Z15" i="446"/>
  <c r="M15" i="446"/>
  <c r="J15" i="446"/>
  <c r="P15" i="446" s="1"/>
  <c r="W14" i="446"/>
  <c r="W13" i="446"/>
  <c r="W12" i="446"/>
  <c r="AG11" i="446"/>
  <c r="AF11" i="446"/>
  <c r="W11" i="446"/>
  <c r="AG10" i="446"/>
  <c r="AF10" i="446"/>
  <c r="W10" i="446"/>
  <c r="AG9" i="446"/>
  <c r="AF9" i="446"/>
  <c r="W9" i="446"/>
  <c r="W8" i="446"/>
  <c r="N8" i="446" s="1"/>
  <c r="V8" i="446"/>
  <c r="K8" i="446"/>
  <c r="J8" i="446"/>
  <c r="H8" i="446"/>
  <c r="F8" i="446"/>
  <c r="AG7" i="446"/>
  <c r="AF7" i="446"/>
  <c r="W7" i="446"/>
  <c r="N7" i="446" s="1"/>
  <c r="O7" i="446" s="1"/>
  <c r="V7" i="446"/>
  <c r="P7" i="446"/>
  <c r="K7" i="446"/>
  <c r="L7" i="446" s="1"/>
  <c r="F7" i="446"/>
  <c r="H7" i="446" s="1"/>
  <c r="W6" i="446"/>
  <c r="N6" i="446" s="1"/>
  <c r="V6" i="446"/>
  <c r="P6" i="446"/>
  <c r="L6" i="446"/>
  <c r="K6" i="446"/>
  <c r="F6" i="446"/>
  <c r="H6" i="446" s="1"/>
  <c r="W5" i="446"/>
  <c r="P5" i="446"/>
  <c r="N5" i="446"/>
  <c r="K5" i="446"/>
  <c r="J5" i="446"/>
  <c r="H5" i="446"/>
  <c r="F5" i="446"/>
  <c r="AD2" i="446"/>
  <c r="I2" i="446"/>
  <c r="E1" i="446"/>
  <c r="G3" i="445" s="1"/>
  <c r="J22" i="445"/>
  <c r="I22" i="445"/>
  <c r="H22" i="445"/>
  <c r="H21" i="445"/>
  <c r="G21" i="445"/>
  <c r="F21" i="445"/>
  <c r="E21" i="445"/>
  <c r="D21" i="445"/>
  <c r="J20" i="445"/>
  <c r="I20" i="445"/>
  <c r="F20" i="445"/>
  <c r="D20" i="445"/>
  <c r="J19" i="445"/>
  <c r="F19" i="445"/>
  <c r="E19" i="445"/>
  <c r="D19" i="445"/>
  <c r="H18" i="445"/>
  <c r="G18" i="445"/>
  <c r="E18" i="445"/>
  <c r="J16" i="445"/>
  <c r="I16" i="445"/>
  <c r="H16" i="445"/>
  <c r="G16" i="445"/>
  <c r="F16" i="445"/>
  <c r="E16" i="445"/>
  <c r="D16" i="445"/>
  <c r="J13" i="445"/>
  <c r="F13" i="445"/>
  <c r="O8" i="445"/>
  <c r="N8" i="445"/>
  <c r="M8" i="445"/>
  <c r="L8" i="445"/>
  <c r="O7" i="445"/>
  <c r="N7" i="445"/>
  <c r="M7" i="445"/>
  <c r="L7" i="445"/>
  <c r="N6" i="445"/>
  <c r="AE79" i="444"/>
  <c r="AD79" i="444"/>
  <c r="AA79" i="444"/>
  <c r="J18" i="443" s="1"/>
  <c r="Z79" i="444"/>
  <c r="P79" i="444"/>
  <c r="M79" i="444"/>
  <c r="L79" i="444"/>
  <c r="J13" i="443" s="1"/>
  <c r="K79" i="444"/>
  <c r="J79" i="444"/>
  <c r="W78" i="444"/>
  <c r="H78" i="444"/>
  <c r="W77" i="444"/>
  <c r="H77" i="444"/>
  <c r="W76" i="444"/>
  <c r="H76" i="444"/>
  <c r="W75" i="444"/>
  <c r="H75" i="444"/>
  <c r="W74" i="444"/>
  <c r="W73" i="444"/>
  <c r="W72" i="444"/>
  <c r="W71" i="444"/>
  <c r="W70" i="444"/>
  <c r="N70" i="444" s="1"/>
  <c r="N79" i="444" s="1"/>
  <c r="P70" i="444"/>
  <c r="L70" i="444"/>
  <c r="K70" i="444"/>
  <c r="J70" i="444"/>
  <c r="F70" i="444"/>
  <c r="H70" i="444" s="1"/>
  <c r="AE69" i="444"/>
  <c r="AD69" i="444"/>
  <c r="I20" i="443" s="1"/>
  <c r="AA69" i="444"/>
  <c r="I19" i="443" s="1"/>
  <c r="Z69" i="444"/>
  <c r="M69" i="444"/>
  <c r="W68" i="444"/>
  <c r="H68" i="444"/>
  <c r="W67" i="444"/>
  <c r="W66" i="444"/>
  <c r="W65" i="444"/>
  <c r="W64" i="444"/>
  <c r="W63" i="444"/>
  <c r="V63" i="444"/>
  <c r="N63" i="444"/>
  <c r="O63" i="444" s="1"/>
  <c r="K63" i="444"/>
  <c r="L63" i="444" s="1"/>
  <c r="J63" i="444"/>
  <c r="P63" i="444" s="1"/>
  <c r="H63" i="444"/>
  <c r="F63" i="444"/>
  <c r="W62" i="444"/>
  <c r="N62" i="444" s="1"/>
  <c r="V62" i="444"/>
  <c r="P62" i="444"/>
  <c r="K62" i="444"/>
  <c r="K69" i="444" s="1"/>
  <c r="J62" i="444"/>
  <c r="F62" i="444"/>
  <c r="H62" i="444" s="1"/>
  <c r="AG61" i="444"/>
  <c r="AF61" i="444"/>
  <c r="W61" i="444"/>
  <c r="V61" i="444"/>
  <c r="O61" i="444"/>
  <c r="N61" i="444"/>
  <c r="K61" i="444"/>
  <c r="J61" i="444"/>
  <c r="L61" i="444" s="1"/>
  <c r="F61" i="444"/>
  <c r="H61" i="444" s="1"/>
  <c r="W60" i="444"/>
  <c r="N60" i="444" s="1"/>
  <c r="V60" i="444"/>
  <c r="K60" i="444"/>
  <c r="J60" i="444"/>
  <c r="F60" i="444"/>
  <c r="H60" i="444" s="1"/>
  <c r="AF59" i="444"/>
  <c r="W59" i="444"/>
  <c r="P59" i="444"/>
  <c r="N59" i="444"/>
  <c r="K59" i="444"/>
  <c r="L59" i="444" s="1"/>
  <c r="J59" i="444"/>
  <c r="F59" i="444"/>
  <c r="H59" i="444" s="1"/>
  <c r="AE58" i="444"/>
  <c r="AD58" i="444"/>
  <c r="AA58" i="444"/>
  <c r="Z58" i="444"/>
  <c r="H18" i="443" s="1"/>
  <c r="M58" i="444"/>
  <c r="W57" i="444"/>
  <c r="W56" i="444"/>
  <c r="W55" i="444"/>
  <c r="W54" i="444"/>
  <c r="AG53" i="444"/>
  <c r="AF53" i="444"/>
  <c r="W53" i="444"/>
  <c r="AF52" i="444"/>
  <c r="W52" i="444"/>
  <c r="V52" i="444"/>
  <c r="P52" i="444"/>
  <c r="N52" i="444"/>
  <c r="AG52" i="444" s="1"/>
  <c r="L52" i="444"/>
  <c r="F52" i="444"/>
  <c r="H52" i="444" s="1"/>
  <c r="AG51" i="444"/>
  <c r="AF51" i="444"/>
  <c r="W51" i="444"/>
  <c r="V51" i="444"/>
  <c r="N51" i="444"/>
  <c r="O51" i="444" s="1"/>
  <c r="K51" i="444"/>
  <c r="J51" i="444"/>
  <c r="P51" i="444" s="1"/>
  <c r="F51" i="444"/>
  <c r="H51" i="444" s="1"/>
  <c r="AG50" i="444"/>
  <c r="W50" i="444"/>
  <c r="V50" i="444"/>
  <c r="N50" i="444"/>
  <c r="O50" i="444" s="1"/>
  <c r="K50" i="444"/>
  <c r="K58" i="444" s="1"/>
  <c r="J50" i="444"/>
  <c r="P50" i="444" s="1"/>
  <c r="F50" i="444"/>
  <c r="H50" i="444" s="1"/>
  <c r="W49" i="444"/>
  <c r="N49" i="444" s="1"/>
  <c r="P49" i="444"/>
  <c r="L49" i="444"/>
  <c r="J49" i="444"/>
  <c r="H49" i="444"/>
  <c r="F49" i="444"/>
  <c r="AE48" i="444"/>
  <c r="AD48" i="444"/>
  <c r="AA48" i="444"/>
  <c r="G19" i="443" s="1"/>
  <c r="Z48" i="444"/>
  <c r="G18" i="443" s="1"/>
  <c r="W48" i="444"/>
  <c r="M48" i="444"/>
  <c r="W47" i="444"/>
  <c r="H47" i="444"/>
  <c r="W46" i="444"/>
  <c r="W45" i="444"/>
  <c r="W44" i="444"/>
  <c r="W43" i="444"/>
  <c r="W42" i="444"/>
  <c r="W41" i="444"/>
  <c r="V41" i="444"/>
  <c r="P41" i="444"/>
  <c r="N41" i="444"/>
  <c r="L41" i="444"/>
  <c r="K41" i="444"/>
  <c r="J41" i="444"/>
  <c r="F41" i="444"/>
  <c r="H41" i="444" s="1"/>
  <c r="AG40" i="444"/>
  <c r="W40" i="444"/>
  <c r="V40" i="444"/>
  <c r="P40" i="444"/>
  <c r="N40" i="444"/>
  <c r="L40" i="444"/>
  <c r="J40" i="444"/>
  <c r="H40" i="444"/>
  <c r="F40" i="444"/>
  <c r="AG39" i="444"/>
  <c r="AF39" i="444"/>
  <c r="W39" i="444"/>
  <c r="N39" i="444" s="1"/>
  <c r="V39" i="444"/>
  <c r="O39" i="444"/>
  <c r="J39" i="444"/>
  <c r="F39" i="444"/>
  <c r="H39" i="444" s="1"/>
  <c r="AG38" i="444"/>
  <c r="W38" i="444"/>
  <c r="N38" i="444"/>
  <c r="K38" i="444"/>
  <c r="K48" i="444" s="1"/>
  <c r="J38" i="444"/>
  <c r="F38" i="444"/>
  <c r="H38" i="444" s="1"/>
  <c r="AE37" i="444"/>
  <c r="AD37" i="444"/>
  <c r="F20" i="443" s="1"/>
  <c r="AA37" i="444"/>
  <c r="Z37" i="444"/>
  <c r="M37" i="444"/>
  <c r="L37" i="444"/>
  <c r="F13" i="443" s="1"/>
  <c r="K37" i="444"/>
  <c r="J37" i="444"/>
  <c r="W36" i="444"/>
  <c r="H36" i="444"/>
  <c r="W35" i="444"/>
  <c r="W34" i="444"/>
  <c r="W33" i="444"/>
  <c r="W32" i="444"/>
  <c r="W31" i="444"/>
  <c r="N31" i="444" s="1"/>
  <c r="V31" i="444"/>
  <c r="P31" i="444"/>
  <c r="L31" i="444"/>
  <c r="F31" i="444"/>
  <c r="H31" i="444" s="1"/>
  <c r="AF30" i="444"/>
  <c r="W30" i="444"/>
  <c r="N30" i="444" s="1"/>
  <c r="O30" i="444" s="1"/>
  <c r="Q30" i="444" s="1"/>
  <c r="V30" i="444"/>
  <c r="R30" i="444"/>
  <c r="P30" i="444"/>
  <c r="L30" i="444"/>
  <c r="H30" i="444"/>
  <c r="F30" i="444"/>
  <c r="W29" i="444"/>
  <c r="N29" i="444" s="1"/>
  <c r="V29" i="444"/>
  <c r="P29" i="444"/>
  <c r="L29" i="444"/>
  <c r="H29" i="444"/>
  <c r="F29" i="444"/>
  <c r="AG28" i="444"/>
  <c r="AF28" i="444"/>
  <c r="W28" i="444"/>
  <c r="N28" i="444" s="1"/>
  <c r="O28" i="444" s="1"/>
  <c r="V28" i="444"/>
  <c r="P28" i="444"/>
  <c r="L28" i="444"/>
  <c r="R28" i="444" s="1"/>
  <c r="F28" i="444"/>
  <c r="H28" i="444" s="1"/>
  <c r="AF27" i="444"/>
  <c r="W27" i="444"/>
  <c r="N27" i="444" s="1"/>
  <c r="P27" i="444"/>
  <c r="L27" i="444"/>
  <c r="H27" i="444"/>
  <c r="F27" i="444"/>
  <c r="AE26" i="444"/>
  <c r="E21" i="443" s="1"/>
  <c r="AD26" i="444"/>
  <c r="AA26" i="444"/>
  <c r="Z26" i="444"/>
  <c r="Z2" i="444" s="1"/>
  <c r="M26" i="444"/>
  <c r="W25" i="444"/>
  <c r="H25" i="444"/>
  <c r="W24" i="444"/>
  <c r="H24" i="444"/>
  <c r="W23" i="444"/>
  <c r="W21" i="444"/>
  <c r="W20" i="444"/>
  <c r="AG19" i="444"/>
  <c r="AF19" i="444"/>
  <c r="W19" i="444"/>
  <c r="N19" i="444" s="1"/>
  <c r="V19" i="444"/>
  <c r="O19" i="444"/>
  <c r="K19" i="444"/>
  <c r="J19" i="444"/>
  <c r="P19" i="444" s="1"/>
  <c r="F19" i="444"/>
  <c r="H19" i="444" s="1"/>
  <c r="W18" i="444"/>
  <c r="V18" i="444"/>
  <c r="P18" i="444"/>
  <c r="N18" i="444"/>
  <c r="O18" i="444" s="1"/>
  <c r="K18" i="444"/>
  <c r="L18" i="444" s="1"/>
  <c r="F18" i="444"/>
  <c r="H18" i="444" s="1"/>
  <c r="AG17" i="444"/>
  <c r="AF17" i="444"/>
  <c r="W17" i="444"/>
  <c r="V17" i="444"/>
  <c r="P17" i="444"/>
  <c r="O17" i="444"/>
  <c r="N17" i="444"/>
  <c r="N26" i="444" s="1"/>
  <c r="K17" i="444"/>
  <c r="L17" i="444" s="1"/>
  <c r="H17" i="444"/>
  <c r="F17" i="444"/>
  <c r="AG16" i="444"/>
  <c r="AF16" i="444"/>
  <c r="W16" i="444"/>
  <c r="O16" i="444"/>
  <c r="N16" i="444"/>
  <c r="K16" i="444"/>
  <c r="L16" i="444" s="1"/>
  <c r="J16" i="444"/>
  <c r="P16" i="444" s="1"/>
  <c r="F16" i="444"/>
  <c r="H16" i="444" s="1"/>
  <c r="AE15" i="444"/>
  <c r="AD15" i="444"/>
  <c r="D20" i="443" s="1"/>
  <c r="AA15" i="444"/>
  <c r="Z15" i="444"/>
  <c r="M15" i="444"/>
  <c r="K15" i="444"/>
  <c r="W14" i="444"/>
  <c r="W13" i="444"/>
  <c r="W12" i="444"/>
  <c r="AG11" i="444"/>
  <c r="AF11" i="444"/>
  <c r="W11" i="444"/>
  <c r="AG10" i="444"/>
  <c r="AF10" i="444"/>
  <c r="W10" i="444"/>
  <c r="AG9" i="444"/>
  <c r="AF9" i="444"/>
  <c r="W9" i="444"/>
  <c r="AF8" i="444"/>
  <c r="W8" i="444"/>
  <c r="N8" i="444" s="1"/>
  <c r="V8" i="444"/>
  <c r="P8" i="444"/>
  <c r="K8" i="444"/>
  <c r="L8" i="444" s="1"/>
  <c r="J8" i="444"/>
  <c r="F8" i="444"/>
  <c r="H8" i="444" s="1"/>
  <c r="W7" i="444"/>
  <c r="N7" i="444" s="1"/>
  <c r="V7" i="444"/>
  <c r="P7" i="444"/>
  <c r="K7" i="444"/>
  <c r="L7" i="444" s="1"/>
  <c r="H7" i="444"/>
  <c r="F7" i="444"/>
  <c r="W6" i="444"/>
  <c r="N6" i="444" s="1"/>
  <c r="V6" i="444"/>
  <c r="P6" i="444"/>
  <c r="L6" i="444"/>
  <c r="K6" i="444"/>
  <c r="F6" i="444"/>
  <c r="H6" i="444" s="1"/>
  <c r="W5" i="444"/>
  <c r="N5" i="444" s="1"/>
  <c r="K5" i="444"/>
  <c r="L5" i="444" s="1"/>
  <c r="L15" i="444" s="1"/>
  <c r="D13" i="443" s="1"/>
  <c r="J5" i="444"/>
  <c r="H5" i="444"/>
  <c r="F5" i="444"/>
  <c r="AE2" i="444"/>
  <c r="AD2" i="444"/>
  <c r="I2" i="444"/>
  <c r="E1" i="444"/>
  <c r="G3" i="443" s="1"/>
  <c r="J22" i="443"/>
  <c r="I22" i="443"/>
  <c r="H22" i="443"/>
  <c r="G22" i="443"/>
  <c r="E22" i="443"/>
  <c r="J21" i="443"/>
  <c r="I21" i="443"/>
  <c r="H21" i="443"/>
  <c r="G21" i="443"/>
  <c r="F21" i="443"/>
  <c r="D21" i="443"/>
  <c r="J20" i="443"/>
  <c r="H20" i="443"/>
  <c r="G20" i="443"/>
  <c r="E20" i="443"/>
  <c r="J19" i="443"/>
  <c r="H19" i="443"/>
  <c r="F19" i="443"/>
  <c r="E19" i="443"/>
  <c r="I18" i="443"/>
  <c r="F18" i="443"/>
  <c r="E18" i="443"/>
  <c r="D18" i="443"/>
  <c r="L6" i="443" s="1"/>
  <c r="J16" i="443"/>
  <c r="I16" i="443"/>
  <c r="H16" i="443"/>
  <c r="G16" i="443"/>
  <c r="F16" i="443"/>
  <c r="E16" i="443"/>
  <c r="D16" i="443"/>
  <c r="O8" i="443"/>
  <c r="N8" i="443"/>
  <c r="M8" i="443"/>
  <c r="L8" i="443"/>
  <c r="O7" i="443"/>
  <c r="N7" i="443"/>
  <c r="M7" i="443"/>
  <c r="L7" i="443"/>
  <c r="AG79" i="442"/>
  <c r="AH70" i="442" s="1"/>
  <c r="AF79" i="442"/>
  <c r="AE79" i="442"/>
  <c r="AD79" i="442"/>
  <c r="AA79" i="442"/>
  <c r="Z79" i="442"/>
  <c r="W78" i="442"/>
  <c r="H78" i="442"/>
  <c r="W77" i="442"/>
  <c r="H77" i="442"/>
  <c r="W76" i="442"/>
  <c r="H76" i="442"/>
  <c r="W75" i="442"/>
  <c r="W74" i="442"/>
  <c r="W73" i="442"/>
  <c r="W72" i="442"/>
  <c r="W71" i="442"/>
  <c r="AG70" i="442"/>
  <c r="AF70" i="442"/>
  <c r="W70" i="442"/>
  <c r="S70" i="442"/>
  <c r="J15" i="441" s="1"/>
  <c r="AE69" i="442"/>
  <c r="I21" i="441" s="1"/>
  <c r="AD69" i="442"/>
  <c r="AA69" i="442"/>
  <c r="Z69" i="442"/>
  <c r="M69" i="442"/>
  <c r="W68" i="442"/>
  <c r="H68" i="442"/>
  <c r="W67" i="442"/>
  <c r="W66" i="442"/>
  <c r="W65" i="442"/>
  <c r="W64" i="442"/>
  <c r="W63" i="442"/>
  <c r="P63" i="442"/>
  <c r="O63" i="442"/>
  <c r="N63" i="442"/>
  <c r="L63" i="442"/>
  <c r="K63" i="442"/>
  <c r="J63" i="442"/>
  <c r="F63" i="442"/>
  <c r="H63" i="442" s="1"/>
  <c r="W62" i="442"/>
  <c r="N62" i="442" s="1"/>
  <c r="P62" i="442"/>
  <c r="K62" i="442"/>
  <c r="L62" i="442" s="1"/>
  <c r="J62" i="442"/>
  <c r="F62" i="442"/>
  <c r="H62" i="442" s="1"/>
  <c r="W61" i="442"/>
  <c r="V61" i="442"/>
  <c r="N61" i="442"/>
  <c r="K61" i="442"/>
  <c r="J61" i="442"/>
  <c r="P61" i="442" s="1"/>
  <c r="H61" i="442"/>
  <c r="F61" i="442"/>
  <c r="W60" i="442"/>
  <c r="V60" i="442"/>
  <c r="P60" i="442"/>
  <c r="N60" i="442"/>
  <c r="K60" i="442"/>
  <c r="L60" i="442" s="1"/>
  <c r="J60" i="442"/>
  <c r="F60" i="442"/>
  <c r="H60" i="442" s="1"/>
  <c r="W59" i="442"/>
  <c r="P59" i="442"/>
  <c r="N59" i="442"/>
  <c r="L59" i="442"/>
  <c r="K59" i="442"/>
  <c r="J59" i="442"/>
  <c r="H59" i="442"/>
  <c r="F59" i="442"/>
  <c r="AE58" i="442"/>
  <c r="AD58" i="442"/>
  <c r="H20" i="441" s="1"/>
  <c r="AA58" i="442"/>
  <c r="H19" i="441" s="1"/>
  <c r="Z58" i="442"/>
  <c r="H18" i="441" s="1"/>
  <c r="M58" i="442"/>
  <c r="W57" i="442"/>
  <c r="W56" i="442"/>
  <c r="W55" i="442"/>
  <c r="W54" i="442"/>
  <c r="AG53" i="442"/>
  <c r="AF53" i="442"/>
  <c r="W53" i="442"/>
  <c r="W52" i="442"/>
  <c r="V52" i="442"/>
  <c r="P52" i="442"/>
  <c r="N52" i="442"/>
  <c r="L52" i="442"/>
  <c r="F52" i="442"/>
  <c r="H52" i="442" s="1"/>
  <c r="AF51" i="442"/>
  <c r="W51" i="442"/>
  <c r="N51" i="442" s="1"/>
  <c r="V51" i="442"/>
  <c r="P51" i="442"/>
  <c r="L51" i="442"/>
  <c r="F51" i="442"/>
  <c r="H51" i="442" s="1"/>
  <c r="W50" i="442"/>
  <c r="N50" i="442" s="1"/>
  <c r="V50" i="442"/>
  <c r="P50" i="442"/>
  <c r="K50" i="442"/>
  <c r="K58" i="442" s="1"/>
  <c r="J50" i="442"/>
  <c r="J58" i="442" s="1"/>
  <c r="P58" i="442" s="1"/>
  <c r="F50" i="442"/>
  <c r="H50" i="442" s="1"/>
  <c r="W49" i="442"/>
  <c r="N49" i="442" s="1"/>
  <c r="P49" i="442"/>
  <c r="L49" i="442"/>
  <c r="F49" i="442"/>
  <c r="H49" i="442" s="1"/>
  <c r="AE48" i="442"/>
  <c r="AE2" i="442" s="1"/>
  <c r="AD48" i="442"/>
  <c r="G20" i="441" s="1"/>
  <c r="AA48" i="442"/>
  <c r="Z48" i="442"/>
  <c r="Z2" i="442" s="1"/>
  <c r="W48" i="442"/>
  <c r="M48" i="442"/>
  <c r="J48" i="442"/>
  <c r="W47" i="442"/>
  <c r="H47" i="442"/>
  <c r="W46" i="442"/>
  <c r="W45" i="442"/>
  <c r="W44" i="442"/>
  <c r="W43" i="442"/>
  <c r="W42" i="442"/>
  <c r="W41" i="442"/>
  <c r="V41" i="442"/>
  <c r="N41" i="442"/>
  <c r="L41" i="442"/>
  <c r="K41" i="442"/>
  <c r="J41" i="442"/>
  <c r="P41" i="442" s="1"/>
  <c r="F41" i="442"/>
  <c r="H41" i="442" s="1"/>
  <c r="W40" i="442"/>
  <c r="V40" i="442"/>
  <c r="P40" i="442"/>
  <c r="N40" i="442"/>
  <c r="K40" i="442"/>
  <c r="K48" i="442" s="1"/>
  <c r="J40" i="442"/>
  <c r="F40" i="442"/>
  <c r="H40" i="442" s="1"/>
  <c r="W39" i="442"/>
  <c r="V39" i="442"/>
  <c r="P39" i="442"/>
  <c r="N39" i="442"/>
  <c r="L39" i="442"/>
  <c r="K39" i="442"/>
  <c r="J39" i="442"/>
  <c r="F39" i="442"/>
  <c r="H39" i="442" s="1"/>
  <c r="W38" i="442"/>
  <c r="P38" i="442"/>
  <c r="N38" i="442"/>
  <c r="L38" i="442"/>
  <c r="K38" i="442"/>
  <c r="J38" i="442"/>
  <c r="H38" i="442"/>
  <c r="F38" i="442"/>
  <c r="AE37" i="442"/>
  <c r="F21" i="441" s="1"/>
  <c r="AD37" i="442"/>
  <c r="F20" i="441" s="1"/>
  <c r="AA37" i="442"/>
  <c r="F19" i="441" s="1"/>
  <c r="Z37" i="442"/>
  <c r="P37" i="442"/>
  <c r="M37" i="442"/>
  <c r="F22" i="441" s="1"/>
  <c r="J37" i="442"/>
  <c r="W36" i="442"/>
  <c r="H36" i="442"/>
  <c r="W35" i="442"/>
  <c r="W34" i="442"/>
  <c r="W33" i="442"/>
  <c r="W32" i="442"/>
  <c r="AG31" i="442"/>
  <c r="AF31" i="442"/>
  <c r="W31" i="442"/>
  <c r="AG30" i="442"/>
  <c r="AF30" i="442"/>
  <c r="W30" i="442"/>
  <c r="AG29" i="442"/>
  <c r="AF29" i="442"/>
  <c r="W29" i="442"/>
  <c r="V29" i="442"/>
  <c r="P29" i="442"/>
  <c r="N29" i="442"/>
  <c r="O29" i="442" s="1"/>
  <c r="K29" i="442"/>
  <c r="L29" i="442" s="1"/>
  <c r="J29" i="442"/>
  <c r="F29" i="442"/>
  <c r="H29" i="442" s="1"/>
  <c r="W28" i="442"/>
  <c r="N28" i="442" s="1"/>
  <c r="V28" i="442"/>
  <c r="P28" i="442"/>
  <c r="K28" i="442"/>
  <c r="L28" i="442" s="1"/>
  <c r="J28" i="442"/>
  <c r="F28" i="442"/>
  <c r="H28" i="442" s="1"/>
  <c r="AG27" i="442"/>
  <c r="AF27" i="442"/>
  <c r="W27" i="442"/>
  <c r="N27" i="442"/>
  <c r="O27" i="442" s="1"/>
  <c r="K27" i="442"/>
  <c r="L27" i="442" s="1"/>
  <c r="J27" i="442"/>
  <c r="P27" i="442" s="1"/>
  <c r="F27" i="442"/>
  <c r="H27" i="442" s="1"/>
  <c r="AE26" i="442"/>
  <c r="AD26" i="442"/>
  <c r="AA26" i="442"/>
  <c r="Z26" i="442"/>
  <c r="M26" i="442"/>
  <c r="P26" i="442" s="1"/>
  <c r="K26" i="442"/>
  <c r="J26" i="442"/>
  <c r="W25" i="442"/>
  <c r="H25" i="442"/>
  <c r="W24" i="442"/>
  <c r="H24" i="442"/>
  <c r="W23" i="442"/>
  <c r="W21" i="442"/>
  <c r="W20" i="442"/>
  <c r="AG19" i="442"/>
  <c r="AF19" i="442"/>
  <c r="W19" i="442"/>
  <c r="AG18" i="442"/>
  <c r="AF18" i="442"/>
  <c r="W18" i="442"/>
  <c r="V18" i="442"/>
  <c r="R18" i="442"/>
  <c r="P18" i="442"/>
  <c r="N18" i="442"/>
  <c r="O18" i="442" s="1"/>
  <c r="Q18" i="442" s="1"/>
  <c r="L18" i="442"/>
  <c r="K18" i="442"/>
  <c r="F18" i="442"/>
  <c r="H18" i="442" s="1"/>
  <c r="W17" i="442"/>
  <c r="N17" i="442" s="1"/>
  <c r="V17" i="442"/>
  <c r="P17" i="442"/>
  <c r="K17" i="442"/>
  <c r="L17" i="442" s="1"/>
  <c r="L26" i="442" s="1"/>
  <c r="E13" i="441" s="1"/>
  <c r="F17" i="442"/>
  <c r="H17" i="442" s="1"/>
  <c r="W16" i="442"/>
  <c r="N16" i="442" s="1"/>
  <c r="P16" i="442"/>
  <c r="O16" i="442"/>
  <c r="K16" i="442"/>
  <c r="L16" i="442" s="1"/>
  <c r="F16" i="442"/>
  <c r="H16" i="442" s="1"/>
  <c r="AE15" i="442"/>
  <c r="AD15" i="442"/>
  <c r="AA15" i="442"/>
  <c r="Z15" i="442"/>
  <c r="M15" i="442"/>
  <c r="D22" i="441" s="1"/>
  <c r="L15" i="442"/>
  <c r="D13" i="441" s="1"/>
  <c r="K15" i="442"/>
  <c r="J15" i="442"/>
  <c r="W14" i="442"/>
  <c r="W13" i="442"/>
  <c r="W12" i="442"/>
  <c r="AG11" i="442"/>
  <c r="AF11" i="442"/>
  <c r="W11" i="442"/>
  <c r="AG10" i="442"/>
  <c r="AF10" i="442"/>
  <c r="W10" i="442"/>
  <c r="AG9" i="442"/>
  <c r="AF9" i="442"/>
  <c r="W9" i="442"/>
  <c r="AG8" i="442"/>
  <c r="AF8" i="442"/>
  <c r="W8" i="442"/>
  <c r="AG7" i="442"/>
  <c r="W7" i="442"/>
  <c r="N7" i="442" s="1"/>
  <c r="AF7" i="442" s="1"/>
  <c r="V7" i="442"/>
  <c r="P7" i="442"/>
  <c r="O7" i="442"/>
  <c r="L7" i="442"/>
  <c r="K7" i="442"/>
  <c r="H7" i="442"/>
  <c r="F7" i="442"/>
  <c r="AG6" i="442"/>
  <c r="W6" i="442"/>
  <c r="V6" i="442"/>
  <c r="P6" i="442"/>
  <c r="N6" i="442"/>
  <c r="L6" i="442"/>
  <c r="K6" i="442"/>
  <c r="H6" i="442"/>
  <c r="F6" i="442"/>
  <c r="W5" i="442"/>
  <c r="P5" i="442"/>
  <c r="N5" i="442"/>
  <c r="K5" i="442"/>
  <c r="L5" i="442" s="1"/>
  <c r="F5" i="442"/>
  <c r="H5" i="442" s="1"/>
  <c r="I2" i="442"/>
  <c r="I1" i="442"/>
  <c r="E1" i="442"/>
  <c r="G3" i="441" s="1"/>
  <c r="J22" i="441"/>
  <c r="I22" i="441"/>
  <c r="H22" i="441"/>
  <c r="G22" i="441"/>
  <c r="J21" i="441"/>
  <c r="H21" i="441"/>
  <c r="E21" i="441"/>
  <c r="D21" i="441"/>
  <c r="J20" i="441"/>
  <c r="I20" i="441"/>
  <c r="D20" i="441"/>
  <c r="J19" i="441"/>
  <c r="I19" i="441"/>
  <c r="G19" i="441"/>
  <c r="E19" i="441"/>
  <c r="J18" i="441"/>
  <c r="I18" i="441"/>
  <c r="G18" i="441"/>
  <c r="L6" i="441" s="1"/>
  <c r="F18" i="441"/>
  <c r="E18" i="441"/>
  <c r="D18" i="441"/>
  <c r="J16" i="441"/>
  <c r="I16" i="441"/>
  <c r="H16" i="441"/>
  <c r="G16" i="441"/>
  <c r="F16" i="441"/>
  <c r="E16" i="441"/>
  <c r="D16" i="441"/>
  <c r="J14" i="441"/>
  <c r="J13" i="441"/>
  <c r="O8" i="441"/>
  <c r="N8" i="441"/>
  <c r="M8" i="441"/>
  <c r="L8" i="441"/>
  <c r="O7" i="441"/>
  <c r="N7" i="441"/>
  <c r="M7" i="441"/>
  <c r="L7" i="441"/>
  <c r="AG79" i="440"/>
  <c r="AF79" i="440"/>
  <c r="AE79" i="440"/>
  <c r="AD79" i="440"/>
  <c r="AA79" i="440"/>
  <c r="Z79" i="440"/>
  <c r="W78" i="440"/>
  <c r="H78" i="440"/>
  <c r="W77" i="440"/>
  <c r="H77" i="440"/>
  <c r="W76" i="440"/>
  <c r="H76" i="440"/>
  <c r="W75" i="440"/>
  <c r="W74" i="440"/>
  <c r="W73" i="440"/>
  <c r="W72" i="440"/>
  <c r="W71" i="440"/>
  <c r="AH70" i="440"/>
  <c r="AG70" i="440"/>
  <c r="AF70" i="440"/>
  <c r="W70" i="440"/>
  <c r="S70" i="440"/>
  <c r="J15" i="439" s="1"/>
  <c r="AE69" i="440"/>
  <c r="AD69" i="440"/>
  <c r="AA69" i="440"/>
  <c r="Z69" i="440"/>
  <c r="I18" i="439" s="1"/>
  <c r="M69" i="440"/>
  <c r="K69" i="440"/>
  <c r="W68" i="440"/>
  <c r="H68" i="440"/>
  <c r="W67" i="440"/>
  <c r="W66" i="440"/>
  <c r="W65" i="440"/>
  <c r="W64" i="440"/>
  <c r="W63" i="440"/>
  <c r="N63" i="440" s="1"/>
  <c r="O63" i="440" s="1"/>
  <c r="V63" i="440"/>
  <c r="P63" i="440"/>
  <c r="L63" i="440"/>
  <c r="R63" i="440" s="1"/>
  <c r="K63" i="440"/>
  <c r="J63" i="440"/>
  <c r="F63" i="440"/>
  <c r="H63" i="440" s="1"/>
  <c r="W62" i="440"/>
  <c r="N62" i="440" s="1"/>
  <c r="V62" i="440"/>
  <c r="K62" i="440"/>
  <c r="J62" i="440"/>
  <c r="P62" i="440" s="1"/>
  <c r="F62" i="440"/>
  <c r="H62" i="440" s="1"/>
  <c r="AG61" i="440"/>
  <c r="W61" i="440"/>
  <c r="N61" i="440" s="1"/>
  <c r="V61" i="440"/>
  <c r="L61" i="440"/>
  <c r="K61" i="440"/>
  <c r="J61" i="440"/>
  <c r="P61" i="440" s="1"/>
  <c r="F61" i="440"/>
  <c r="H61" i="440" s="1"/>
  <c r="AG60" i="440"/>
  <c r="W60" i="440"/>
  <c r="N60" i="440" s="1"/>
  <c r="V60" i="440"/>
  <c r="K60" i="440"/>
  <c r="J60" i="440"/>
  <c r="H60" i="440"/>
  <c r="F60" i="440"/>
  <c r="AF59" i="440"/>
  <c r="W59" i="440"/>
  <c r="O59" i="440"/>
  <c r="N59" i="440"/>
  <c r="K59" i="440"/>
  <c r="AG59" i="440" s="1"/>
  <c r="J59" i="440"/>
  <c r="H59" i="440"/>
  <c r="F59" i="440"/>
  <c r="AE58" i="440"/>
  <c r="H21" i="439" s="1"/>
  <c r="AD58" i="440"/>
  <c r="AA58" i="440"/>
  <c r="Z58" i="440"/>
  <c r="M58" i="440"/>
  <c r="J58" i="440"/>
  <c r="P58" i="440" s="1"/>
  <c r="W57" i="440"/>
  <c r="W56" i="440"/>
  <c r="W55" i="440"/>
  <c r="W54" i="440"/>
  <c r="AG53" i="440"/>
  <c r="AF53" i="440"/>
  <c r="W53" i="440"/>
  <c r="AG52" i="440"/>
  <c r="AF52" i="440"/>
  <c r="W52" i="440"/>
  <c r="W51" i="440"/>
  <c r="N51" i="440" s="1"/>
  <c r="V51" i="440"/>
  <c r="P51" i="440"/>
  <c r="K51" i="440"/>
  <c r="L51" i="440" s="1"/>
  <c r="J51" i="440"/>
  <c r="F51" i="440"/>
  <c r="H51" i="440" s="1"/>
  <c r="W50" i="440"/>
  <c r="V50" i="440"/>
  <c r="N50" i="440"/>
  <c r="AF50" i="440" s="1"/>
  <c r="K50" i="440"/>
  <c r="J50" i="440"/>
  <c r="P50" i="440" s="1"/>
  <c r="F50" i="440"/>
  <c r="H50" i="440" s="1"/>
  <c r="W49" i="440"/>
  <c r="P49" i="440"/>
  <c r="N49" i="440"/>
  <c r="L49" i="440"/>
  <c r="H49" i="440"/>
  <c r="F49" i="440"/>
  <c r="AE48" i="440"/>
  <c r="AD48" i="440"/>
  <c r="AA48" i="440"/>
  <c r="G19" i="439" s="1"/>
  <c r="Z48" i="440"/>
  <c r="W48" i="440"/>
  <c r="M48" i="440"/>
  <c r="K48" i="440"/>
  <c r="W47" i="440"/>
  <c r="H47" i="440"/>
  <c r="W46" i="440"/>
  <c r="W45" i="440"/>
  <c r="W44" i="440"/>
  <c r="W43" i="440"/>
  <c r="W42" i="440"/>
  <c r="AG41" i="440"/>
  <c r="AF41" i="440"/>
  <c r="W41" i="440"/>
  <c r="W40" i="440"/>
  <c r="V40" i="440"/>
  <c r="O40" i="440"/>
  <c r="N40" i="440"/>
  <c r="AF40" i="440" s="1"/>
  <c r="K40" i="440"/>
  <c r="J40" i="440"/>
  <c r="H40" i="440"/>
  <c r="F40" i="440"/>
  <c r="W39" i="440"/>
  <c r="V39" i="440"/>
  <c r="O39" i="440"/>
  <c r="N39" i="440"/>
  <c r="K39" i="440"/>
  <c r="J39" i="440"/>
  <c r="F39" i="440"/>
  <c r="H39" i="440" s="1"/>
  <c r="W38" i="440"/>
  <c r="N38" i="440" s="1"/>
  <c r="P38" i="440"/>
  <c r="O38" i="440"/>
  <c r="L38" i="440"/>
  <c r="K38" i="440"/>
  <c r="J38" i="440"/>
  <c r="H38" i="440"/>
  <c r="F38" i="440"/>
  <c r="AE37" i="440"/>
  <c r="F21" i="439" s="1"/>
  <c r="AD37" i="440"/>
  <c r="F20" i="439" s="1"/>
  <c r="AA37" i="440"/>
  <c r="Z37" i="440"/>
  <c r="F18" i="439" s="1"/>
  <c r="M37" i="440"/>
  <c r="K37" i="440"/>
  <c r="W36" i="440"/>
  <c r="H36" i="440"/>
  <c r="W35" i="440"/>
  <c r="W34" i="440"/>
  <c r="W33" i="440"/>
  <c r="W32" i="440"/>
  <c r="AG31" i="440"/>
  <c r="AF31" i="440"/>
  <c r="W31" i="440"/>
  <c r="AF30" i="440"/>
  <c r="W30" i="440"/>
  <c r="N30" i="440" s="1"/>
  <c r="V30" i="440"/>
  <c r="P30" i="440"/>
  <c r="L30" i="440"/>
  <c r="F30" i="440"/>
  <c r="H30" i="440" s="1"/>
  <c r="W29" i="440"/>
  <c r="V29" i="440"/>
  <c r="P29" i="440"/>
  <c r="N29" i="440"/>
  <c r="AF29" i="440" s="1"/>
  <c r="K29" i="440"/>
  <c r="J29" i="440"/>
  <c r="F29" i="440"/>
  <c r="H29" i="440" s="1"/>
  <c r="W28" i="440"/>
  <c r="V28" i="440"/>
  <c r="P28" i="440"/>
  <c r="N28" i="440"/>
  <c r="L28" i="440"/>
  <c r="K28" i="440"/>
  <c r="J28" i="440"/>
  <c r="F28" i="440"/>
  <c r="H28" i="440" s="1"/>
  <c r="W27" i="440"/>
  <c r="N27" i="440"/>
  <c r="L27" i="440"/>
  <c r="K27" i="440"/>
  <c r="J27" i="440"/>
  <c r="P27" i="440" s="1"/>
  <c r="H27" i="440"/>
  <c r="F27" i="440"/>
  <c r="AE26" i="440"/>
  <c r="AD26" i="440"/>
  <c r="E20" i="439" s="1"/>
  <c r="AA26" i="440"/>
  <c r="E19" i="439" s="1"/>
  <c r="Z26" i="440"/>
  <c r="E18" i="439" s="1"/>
  <c r="M26" i="440"/>
  <c r="W25" i="440"/>
  <c r="H25" i="440"/>
  <c r="W24" i="440"/>
  <c r="H24" i="440"/>
  <c r="W23" i="440"/>
  <c r="W21" i="440"/>
  <c r="W20" i="440"/>
  <c r="W19" i="440"/>
  <c r="N19" i="440" s="1"/>
  <c r="V19" i="440"/>
  <c r="K19" i="440"/>
  <c r="L19" i="440" s="1"/>
  <c r="J19" i="440"/>
  <c r="P19" i="440" s="1"/>
  <c r="F19" i="440"/>
  <c r="H19" i="440" s="1"/>
  <c r="W18" i="440"/>
  <c r="V18" i="440"/>
  <c r="P18" i="440"/>
  <c r="N18" i="440"/>
  <c r="K18" i="440"/>
  <c r="L18" i="440" s="1"/>
  <c r="J18" i="440"/>
  <c r="H18" i="440"/>
  <c r="F18" i="440"/>
  <c r="W17" i="440"/>
  <c r="V17" i="440"/>
  <c r="O17" i="440"/>
  <c r="N17" i="440"/>
  <c r="K17" i="440"/>
  <c r="L17" i="440" s="1"/>
  <c r="R17" i="440" s="1"/>
  <c r="J17" i="440"/>
  <c r="P17" i="440" s="1"/>
  <c r="F17" i="440"/>
  <c r="H17" i="440" s="1"/>
  <c r="W16" i="440"/>
  <c r="N16" i="440"/>
  <c r="K16" i="440"/>
  <c r="J16" i="440"/>
  <c r="H16" i="440"/>
  <c r="F16" i="440"/>
  <c r="AE15" i="440"/>
  <c r="D21" i="439" s="1"/>
  <c r="AD15" i="440"/>
  <c r="AA15" i="440"/>
  <c r="D19" i="439" s="1"/>
  <c r="Z15" i="440"/>
  <c r="D18" i="439" s="1"/>
  <c r="M15" i="440"/>
  <c r="W14" i="440"/>
  <c r="W13" i="440"/>
  <c r="W12" i="440"/>
  <c r="AG11" i="440"/>
  <c r="AF11" i="440"/>
  <c r="W11" i="440"/>
  <c r="AG10" i="440"/>
  <c r="AF10" i="440"/>
  <c r="W10" i="440"/>
  <c r="AG9" i="440"/>
  <c r="AF9" i="440"/>
  <c r="W9" i="440"/>
  <c r="W8" i="440"/>
  <c r="N8" i="440" s="1"/>
  <c r="V8" i="440"/>
  <c r="K8" i="440"/>
  <c r="J8" i="440"/>
  <c r="J15" i="440" s="1"/>
  <c r="P15" i="440" s="1"/>
  <c r="H8" i="440"/>
  <c r="F8" i="440"/>
  <c r="W7" i="440"/>
  <c r="V7" i="440"/>
  <c r="P7" i="440"/>
  <c r="O7" i="440"/>
  <c r="N7" i="440"/>
  <c r="K7" i="440"/>
  <c r="J7" i="440"/>
  <c r="F7" i="440"/>
  <c r="H7" i="440" s="1"/>
  <c r="AF6" i="440"/>
  <c r="W6" i="440"/>
  <c r="N6" i="440" s="1"/>
  <c r="V6" i="440"/>
  <c r="P6" i="440"/>
  <c r="L6" i="440"/>
  <c r="K6" i="440"/>
  <c r="J6" i="440"/>
  <c r="F6" i="440"/>
  <c r="H6" i="440" s="1"/>
  <c r="W5" i="440"/>
  <c r="N5" i="440" s="1"/>
  <c r="P5" i="440"/>
  <c r="K5" i="440"/>
  <c r="L5" i="440" s="1"/>
  <c r="J5" i="440"/>
  <c r="H5" i="440"/>
  <c r="F5" i="440"/>
  <c r="Z2" i="440"/>
  <c r="I2" i="440"/>
  <c r="E1" i="440"/>
  <c r="G3" i="439" s="1"/>
  <c r="J22" i="439"/>
  <c r="I22" i="439"/>
  <c r="H22" i="439"/>
  <c r="G22" i="439"/>
  <c r="E22" i="439"/>
  <c r="D22" i="439"/>
  <c r="J21" i="439"/>
  <c r="I21" i="439"/>
  <c r="G21" i="439"/>
  <c r="E21" i="439"/>
  <c r="J20" i="439"/>
  <c r="I20" i="439"/>
  <c r="H20" i="439"/>
  <c r="G20" i="439"/>
  <c r="J19" i="439"/>
  <c r="I19" i="439"/>
  <c r="H19" i="439"/>
  <c r="F19" i="439"/>
  <c r="J18" i="439"/>
  <c r="H18" i="439"/>
  <c r="G18" i="439"/>
  <c r="J16" i="439"/>
  <c r="I16" i="439"/>
  <c r="H16" i="439"/>
  <c r="G16" i="439"/>
  <c r="F16" i="439"/>
  <c r="E16" i="439"/>
  <c r="D16" i="439"/>
  <c r="J14" i="439"/>
  <c r="J13" i="439"/>
  <c r="O8" i="439"/>
  <c r="N8" i="439"/>
  <c r="M8" i="439"/>
  <c r="L8" i="439"/>
  <c r="O7" i="439"/>
  <c r="N7" i="439"/>
  <c r="M7" i="439"/>
  <c r="L7" i="439"/>
  <c r="AG79" i="438"/>
  <c r="AF79" i="438"/>
  <c r="AE79" i="438"/>
  <c r="AD79" i="438"/>
  <c r="J20" i="437" s="1"/>
  <c r="AA79" i="438"/>
  <c r="AA2" i="438" s="1"/>
  <c r="Z79" i="438"/>
  <c r="W78" i="438"/>
  <c r="H78" i="438"/>
  <c r="W77" i="438"/>
  <c r="H77" i="438"/>
  <c r="W76" i="438"/>
  <c r="H76" i="438"/>
  <c r="W75" i="438"/>
  <c r="W74" i="438"/>
  <c r="W73" i="438"/>
  <c r="W72" i="438"/>
  <c r="W71" i="438"/>
  <c r="AH70" i="438"/>
  <c r="AG70" i="438"/>
  <c r="AF70" i="438"/>
  <c r="W70" i="438"/>
  <c r="S70" i="438"/>
  <c r="AE69" i="438"/>
  <c r="I21" i="437" s="1"/>
  <c r="AD69" i="438"/>
  <c r="AA69" i="438"/>
  <c r="Z69" i="438"/>
  <c r="M69" i="438"/>
  <c r="W68" i="438"/>
  <c r="H68" i="438"/>
  <c r="W67" i="438"/>
  <c r="W66" i="438"/>
  <c r="W65" i="438"/>
  <c r="W64" i="438"/>
  <c r="W63" i="438"/>
  <c r="W62" i="438"/>
  <c r="N62" i="438" s="1"/>
  <c r="O62" i="438"/>
  <c r="K62" i="438"/>
  <c r="J62" i="438"/>
  <c r="P62" i="438" s="1"/>
  <c r="F62" i="438"/>
  <c r="H62" i="438" s="1"/>
  <c r="W61" i="438"/>
  <c r="V61" i="438"/>
  <c r="N61" i="438"/>
  <c r="K61" i="438"/>
  <c r="J61" i="438"/>
  <c r="P61" i="438" s="1"/>
  <c r="F61" i="438"/>
  <c r="H61" i="438" s="1"/>
  <c r="AG60" i="438"/>
  <c r="W60" i="438"/>
  <c r="N60" i="438" s="1"/>
  <c r="V60" i="438"/>
  <c r="P60" i="438"/>
  <c r="O60" i="438"/>
  <c r="L60" i="438"/>
  <c r="Q60" i="438" s="1"/>
  <c r="K60" i="438"/>
  <c r="AF60" i="438" s="1"/>
  <c r="J60" i="438"/>
  <c r="F60" i="438"/>
  <c r="H60" i="438" s="1"/>
  <c r="W59" i="438"/>
  <c r="N59" i="438"/>
  <c r="K59" i="438"/>
  <c r="J59" i="438"/>
  <c r="P59" i="438" s="1"/>
  <c r="H59" i="438"/>
  <c r="F59" i="438"/>
  <c r="AE58" i="438"/>
  <c r="AD58" i="438"/>
  <c r="AA58" i="438"/>
  <c r="H19" i="437" s="1"/>
  <c r="Z58" i="438"/>
  <c r="H18" i="437" s="1"/>
  <c r="P58" i="438"/>
  <c r="M58" i="438"/>
  <c r="L58" i="438"/>
  <c r="K58" i="438"/>
  <c r="W57" i="438"/>
  <c r="W56" i="438"/>
  <c r="W55" i="438"/>
  <c r="W54" i="438"/>
  <c r="AG53" i="438"/>
  <c r="AF53" i="438"/>
  <c r="W53" i="438"/>
  <c r="AG52" i="438"/>
  <c r="AF52" i="438"/>
  <c r="W52" i="438"/>
  <c r="AG51" i="438"/>
  <c r="W51" i="438"/>
  <c r="V51" i="438"/>
  <c r="P51" i="438"/>
  <c r="O51" i="438"/>
  <c r="N51" i="438"/>
  <c r="AF51" i="438" s="1"/>
  <c r="L51" i="438"/>
  <c r="K51" i="438"/>
  <c r="J51" i="438"/>
  <c r="H51" i="438"/>
  <c r="F51" i="438"/>
  <c r="AF50" i="438"/>
  <c r="W50" i="438"/>
  <c r="V50" i="438"/>
  <c r="P50" i="438"/>
  <c r="N50" i="438"/>
  <c r="K50" i="438"/>
  <c r="L50" i="438" s="1"/>
  <c r="J50" i="438"/>
  <c r="J58" i="438" s="1"/>
  <c r="F50" i="438"/>
  <c r="H50" i="438" s="1"/>
  <c r="W49" i="438"/>
  <c r="P49" i="438"/>
  <c r="N49" i="438"/>
  <c r="K49" i="438"/>
  <c r="L49" i="438" s="1"/>
  <c r="F49" i="438"/>
  <c r="H49" i="438" s="1"/>
  <c r="AE48" i="438"/>
  <c r="G21" i="437" s="1"/>
  <c r="AD48" i="438"/>
  <c r="G20" i="437" s="1"/>
  <c r="AA48" i="438"/>
  <c r="Z48" i="438"/>
  <c r="W48" i="438"/>
  <c r="M48" i="438"/>
  <c r="W47" i="438"/>
  <c r="H47" i="438"/>
  <c r="W46" i="438"/>
  <c r="W45" i="438"/>
  <c r="W44" i="438"/>
  <c r="W43" i="438"/>
  <c r="W42" i="438"/>
  <c r="AG41" i="438"/>
  <c r="AF41" i="438"/>
  <c r="W41" i="438"/>
  <c r="AG40" i="438"/>
  <c r="AF40" i="438"/>
  <c r="W40" i="438"/>
  <c r="W39" i="438"/>
  <c r="V39" i="438"/>
  <c r="N39" i="438"/>
  <c r="K39" i="438"/>
  <c r="J39" i="438"/>
  <c r="P39" i="438" s="1"/>
  <c r="H39" i="438"/>
  <c r="F39" i="438"/>
  <c r="W38" i="438"/>
  <c r="P38" i="438"/>
  <c r="N38" i="438"/>
  <c r="K38" i="438"/>
  <c r="K48" i="438" s="1"/>
  <c r="J38" i="438"/>
  <c r="L38" i="438" s="1"/>
  <c r="F38" i="438"/>
  <c r="H38" i="438" s="1"/>
  <c r="AE37" i="438"/>
  <c r="F21" i="437" s="1"/>
  <c r="AD37" i="438"/>
  <c r="AA37" i="438"/>
  <c r="Z37" i="438"/>
  <c r="M37" i="438"/>
  <c r="J37" i="438"/>
  <c r="P37" i="438" s="1"/>
  <c r="W36" i="438"/>
  <c r="H36" i="438"/>
  <c r="W35" i="438"/>
  <c r="W34" i="438"/>
  <c r="W33" i="438"/>
  <c r="W32" i="438"/>
  <c r="AG31" i="438"/>
  <c r="AF31" i="438"/>
  <c r="W31" i="438"/>
  <c r="AG30" i="438"/>
  <c r="AF30" i="438"/>
  <c r="W30" i="438"/>
  <c r="AG29" i="438"/>
  <c r="AF29" i="438"/>
  <c r="W29" i="438"/>
  <c r="W28" i="438"/>
  <c r="N28" i="438" s="1"/>
  <c r="V28" i="438"/>
  <c r="P28" i="438"/>
  <c r="K28" i="438"/>
  <c r="L28" i="438" s="1"/>
  <c r="J28" i="438"/>
  <c r="F28" i="438"/>
  <c r="H28" i="438" s="1"/>
  <c r="W27" i="438"/>
  <c r="N27" i="438" s="1"/>
  <c r="K27" i="438"/>
  <c r="J27" i="438"/>
  <c r="P27" i="438" s="1"/>
  <c r="H27" i="438"/>
  <c r="F27" i="438"/>
  <c r="AE26" i="438"/>
  <c r="E21" i="437" s="1"/>
  <c r="AD26" i="438"/>
  <c r="AD2" i="438" s="1"/>
  <c r="AA26" i="438"/>
  <c r="Z26" i="438"/>
  <c r="M26" i="438"/>
  <c r="J26" i="438"/>
  <c r="P26" i="438" s="1"/>
  <c r="W25" i="438"/>
  <c r="H25" i="438"/>
  <c r="W24" i="438"/>
  <c r="H24" i="438"/>
  <c r="W23" i="438"/>
  <c r="W21" i="438"/>
  <c r="W20" i="438"/>
  <c r="AG19" i="438"/>
  <c r="AF19" i="438"/>
  <c r="W19" i="438"/>
  <c r="W18" i="438"/>
  <c r="N18" i="438" s="1"/>
  <c r="V18" i="438"/>
  <c r="K18" i="438"/>
  <c r="L18" i="438" s="1"/>
  <c r="J18" i="438"/>
  <c r="P18" i="438" s="1"/>
  <c r="H18" i="438"/>
  <c r="F18" i="438"/>
  <c r="W17" i="438"/>
  <c r="N17" i="438" s="1"/>
  <c r="V17" i="438"/>
  <c r="K17" i="438"/>
  <c r="K26" i="438" s="1"/>
  <c r="J17" i="438"/>
  <c r="P17" i="438" s="1"/>
  <c r="H17" i="438"/>
  <c r="F17" i="438"/>
  <c r="W16" i="438"/>
  <c r="P16" i="438"/>
  <c r="N16" i="438"/>
  <c r="AF16" i="438" s="1"/>
  <c r="L16" i="438"/>
  <c r="K16" i="438"/>
  <c r="J16" i="438"/>
  <c r="H16" i="438"/>
  <c r="F16" i="438"/>
  <c r="AE15" i="438"/>
  <c r="AD15" i="438"/>
  <c r="AA15" i="438"/>
  <c r="Z15" i="438"/>
  <c r="M15" i="438"/>
  <c r="J15" i="438"/>
  <c r="W14" i="438"/>
  <c r="W13" i="438"/>
  <c r="W12" i="438"/>
  <c r="AG11" i="438"/>
  <c r="AF11" i="438"/>
  <c r="W11" i="438"/>
  <c r="AG10" i="438"/>
  <c r="AF10" i="438"/>
  <c r="W10" i="438"/>
  <c r="AG9" i="438"/>
  <c r="W9" i="438"/>
  <c r="N9" i="438" s="1"/>
  <c r="AF9" i="438" s="1"/>
  <c r="V9" i="438"/>
  <c r="P9" i="438"/>
  <c r="O9" i="438"/>
  <c r="K9" i="438"/>
  <c r="L9" i="438" s="1"/>
  <c r="J9" i="438"/>
  <c r="F9" i="438"/>
  <c r="H9" i="438" s="1"/>
  <c r="AG8" i="438"/>
  <c r="AF8" i="438"/>
  <c r="W8" i="438"/>
  <c r="V8" i="438"/>
  <c r="Q8" i="438"/>
  <c r="O8" i="438"/>
  <c r="R8" i="438" s="1"/>
  <c r="N8" i="438"/>
  <c r="K8" i="438"/>
  <c r="L8" i="438" s="1"/>
  <c r="J8" i="438"/>
  <c r="P8" i="438" s="1"/>
  <c r="F8" i="438"/>
  <c r="H8" i="438" s="1"/>
  <c r="W7" i="438"/>
  <c r="V7" i="438"/>
  <c r="P7" i="438"/>
  <c r="N7" i="438"/>
  <c r="K7" i="438"/>
  <c r="L7" i="438" s="1"/>
  <c r="J7" i="438"/>
  <c r="F7" i="438"/>
  <c r="H7" i="438" s="1"/>
  <c r="AG6" i="438"/>
  <c r="AF6" i="438"/>
  <c r="W6" i="438"/>
  <c r="V6" i="438"/>
  <c r="P6" i="438"/>
  <c r="O6" i="438"/>
  <c r="N6" i="438"/>
  <c r="K6" i="438"/>
  <c r="J6" i="438"/>
  <c r="L6" i="438" s="1"/>
  <c r="H6" i="438"/>
  <c r="F6" i="438"/>
  <c r="AG5" i="438"/>
  <c r="W5" i="438"/>
  <c r="P5" i="438"/>
  <c r="O5" i="438"/>
  <c r="N5" i="438"/>
  <c r="K5" i="438"/>
  <c r="J5" i="438"/>
  <c r="H5" i="438"/>
  <c r="G1" i="438" s="1"/>
  <c r="F5" i="438"/>
  <c r="I2" i="438"/>
  <c r="E1" i="438"/>
  <c r="J22" i="437"/>
  <c r="I22" i="437"/>
  <c r="H22" i="437"/>
  <c r="F22" i="437"/>
  <c r="E22" i="437"/>
  <c r="D22" i="437"/>
  <c r="J21" i="437"/>
  <c r="H21" i="437"/>
  <c r="D21" i="437"/>
  <c r="I20" i="437"/>
  <c r="H20" i="437"/>
  <c r="F20" i="437"/>
  <c r="E20" i="437"/>
  <c r="D20" i="437"/>
  <c r="J19" i="437"/>
  <c r="I19" i="437"/>
  <c r="G19" i="437"/>
  <c r="F19" i="437"/>
  <c r="E19" i="437"/>
  <c r="D19" i="437"/>
  <c r="J18" i="437"/>
  <c r="I18" i="437"/>
  <c r="G18" i="437"/>
  <c r="F18" i="437"/>
  <c r="E18" i="437"/>
  <c r="J16" i="437"/>
  <c r="I16" i="437"/>
  <c r="H16" i="437"/>
  <c r="G16" i="437"/>
  <c r="F16" i="437"/>
  <c r="E16" i="437"/>
  <c r="D16" i="437"/>
  <c r="J15" i="437"/>
  <c r="J14" i="437"/>
  <c r="J13" i="437"/>
  <c r="H13" i="437"/>
  <c r="O8" i="437"/>
  <c r="N8" i="437"/>
  <c r="M8" i="437"/>
  <c r="L8" i="437"/>
  <c r="O7" i="437"/>
  <c r="N7" i="437"/>
  <c r="M7" i="437"/>
  <c r="L7" i="437"/>
  <c r="N6" i="437"/>
  <c r="M6" i="437"/>
  <c r="G3" i="437"/>
  <c r="AG79" i="436"/>
  <c r="AF79" i="436"/>
  <c r="AE79" i="436"/>
  <c r="AD79" i="436"/>
  <c r="AA79" i="436"/>
  <c r="J18" i="435" s="1"/>
  <c r="Z79" i="436"/>
  <c r="W78" i="436"/>
  <c r="H78" i="436"/>
  <c r="W77" i="436"/>
  <c r="H77" i="436"/>
  <c r="W76" i="436"/>
  <c r="H76" i="436"/>
  <c r="W75" i="436"/>
  <c r="W74" i="436"/>
  <c r="W73" i="436"/>
  <c r="W72" i="436"/>
  <c r="W71" i="436"/>
  <c r="AH70" i="436"/>
  <c r="W70" i="436"/>
  <c r="S70" i="436"/>
  <c r="J15" i="435" s="1"/>
  <c r="AE69" i="436"/>
  <c r="I21" i="435" s="1"/>
  <c r="AD69" i="436"/>
  <c r="AA69" i="436"/>
  <c r="Z69" i="436"/>
  <c r="I18" i="435" s="1"/>
  <c r="M69" i="436"/>
  <c r="W68" i="436"/>
  <c r="H68" i="436"/>
  <c r="W67" i="436"/>
  <c r="W66" i="436"/>
  <c r="W65" i="436"/>
  <c r="W64" i="436"/>
  <c r="W63" i="436"/>
  <c r="W62" i="436"/>
  <c r="N62" i="436" s="1"/>
  <c r="K62" i="436"/>
  <c r="J62" i="436"/>
  <c r="P62" i="436" s="1"/>
  <c r="H62" i="436"/>
  <c r="F62" i="436"/>
  <c r="W61" i="436"/>
  <c r="V61" i="436"/>
  <c r="P61" i="436"/>
  <c r="O61" i="436"/>
  <c r="N61" i="436"/>
  <c r="L61" i="436"/>
  <c r="R61" i="436" s="1"/>
  <c r="K61" i="436"/>
  <c r="J61" i="436"/>
  <c r="J69" i="436" s="1"/>
  <c r="F61" i="436"/>
  <c r="H61" i="436" s="1"/>
  <c r="W60" i="436"/>
  <c r="N60" i="436" s="1"/>
  <c r="V60" i="436"/>
  <c r="K60" i="436"/>
  <c r="L60" i="436" s="1"/>
  <c r="J60" i="436"/>
  <c r="P60" i="436" s="1"/>
  <c r="F60" i="436"/>
  <c r="H60" i="436" s="1"/>
  <c r="W59" i="436"/>
  <c r="O59" i="436"/>
  <c r="N59" i="436"/>
  <c r="K59" i="436"/>
  <c r="J59" i="436"/>
  <c r="P59" i="436" s="1"/>
  <c r="F59" i="436"/>
  <c r="H59" i="436" s="1"/>
  <c r="AE58" i="436"/>
  <c r="AE2" i="436" s="1"/>
  <c r="AD58" i="436"/>
  <c r="H20" i="435" s="1"/>
  <c r="AA58" i="436"/>
  <c r="Z58" i="436"/>
  <c r="M58" i="436"/>
  <c r="K58" i="436"/>
  <c r="J58" i="436"/>
  <c r="W57" i="436"/>
  <c r="W56" i="436"/>
  <c r="W55" i="436"/>
  <c r="W54" i="436"/>
  <c r="W53" i="436"/>
  <c r="W52" i="436"/>
  <c r="W51" i="436"/>
  <c r="V51" i="436"/>
  <c r="P51" i="436"/>
  <c r="N51" i="436"/>
  <c r="AF51" i="436" s="1"/>
  <c r="L51" i="436"/>
  <c r="K51" i="436"/>
  <c r="J51" i="436"/>
  <c r="H51" i="436"/>
  <c r="F51" i="436"/>
  <c r="AG50" i="436"/>
  <c r="AF50" i="436"/>
  <c r="W50" i="436"/>
  <c r="N50" i="436" s="1"/>
  <c r="V50" i="436"/>
  <c r="Q50" i="436"/>
  <c r="P50" i="436"/>
  <c r="O50" i="436"/>
  <c r="R50" i="436" s="1"/>
  <c r="L50" i="436"/>
  <c r="L58" i="436" s="1"/>
  <c r="H13" i="435" s="1"/>
  <c r="K50" i="436"/>
  <c r="J50" i="436"/>
  <c r="F50" i="436"/>
  <c r="H50" i="436" s="1"/>
  <c r="AG49" i="436"/>
  <c r="AF49" i="436"/>
  <c r="W49" i="436"/>
  <c r="N49" i="436" s="1"/>
  <c r="R49" i="436"/>
  <c r="P49" i="436"/>
  <c r="O49" i="436"/>
  <c r="Q49" i="436" s="1"/>
  <c r="L49" i="436"/>
  <c r="K49" i="436"/>
  <c r="F49" i="436"/>
  <c r="H49" i="436" s="1"/>
  <c r="AE48" i="436"/>
  <c r="AD48" i="436"/>
  <c r="AA48" i="436"/>
  <c r="Z48" i="436"/>
  <c r="G18" i="435" s="1"/>
  <c r="W48" i="436"/>
  <c r="M48" i="436"/>
  <c r="W47" i="436"/>
  <c r="H47" i="436"/>
  <c r="W46" i="436"/>
  <c r="W45" i="436"/>
  <c r="W44" i="436"/>
  <c r="W43" i="436"/>
  <c r="W42" i="436"/>
  <c r="W41" i="436"/>
  <c r="W40" i="436"/>
  <c r="AG39" i="436"/>
  <c r="W39" i="436"/>
  <c r="V39" i="436"/>
  <c r="N39" i="436"/>
  <c r="AF39" i="436" s="1"/>
  <c r="K39" i="436"/>
  <c r="J39" i="436"/>
  <c r="H39" i="436"/>
  <c r="F39" i="436"/>
  <c r="W38" i="436"/>
  <c r="N38" i="436" s="1"/>
  <c r="N48" i="436" s="1"/>
  <c r="P38" i="436"/>
  <c r="O38" i="436"/>
  <c r="K38" i="436"/>
  <c r="J38" i="436"/>
  <c r="F38" i="436"/>
  <c r="H38" i="436" s="1"/>
  <c r="AE37" i="436"/>
  <c r="AD37" i="436"/>
  <c r="AA37" i="436"/>
  <c r="F19" i="435" s="1"/>
  <c r="Z37" i="436"/>
  <c r="M37" i="436"/>
  <c r="W36" i="436"/>
  <c r="H36" i="436"/>
  <c r="W35" i="436"/>
  <c r="W34" i="436"/>
  <c r="W33" i="436"/>
  <c r="W32" i="436"/>
  <c r="AF31" i="436"/>
  <c r="W31" i="436"/>
  <c r="AF30" i="436"/>
  <c r="W30" i="436"/>
  <c r="V30" i="436"/>
  <c r="P30" i="436"/>
  <c r="O30" i="436"/>
  <c r="N30" i="436"/>
  <c r="K30" i="436"/>
  <c r="L30" i="436" s="1"/>
  <c r="J30" i="436"/>
  <c r="F30" i="436"/>
  <c r="H30" i="436" s="1"/>
  <c r="AG29" i="436"/>
  <c r="AF29" i="436"/>
  <c r="W29" i="436"/>
  <c r="V29" i="436"/>
  <c r="P29" i="436"/>
  <c r="O29" i="436"/>
  <c r="R29" i="436" s="1"/>
  <c r="N29" i="436"/>
  <c r="K29" i="436"/>
  <c r="L29" i="436" s="1"/>
  <c r="J29" i="436"/>
  <c r="F29" i="436"/>
  <c r="H29" i="436" s="1"/>
  <c r="W28" i="436"/>
  <c r="V28" i="436"/>
  <c r="P28" i="436"/>
  <c r="N28" i="436"/>
  <c r="K28" i="436"/>
  <c r="J28" i="436"/>
  <c r="L28" i="436" s="1"/>
  <c r="F28" i="436"/>
  <c r="H28" i="436" s="1"/>
  <c r="W27" i="436"/>
  <c r="N27" i="436" s="1"/>
  <c r="K27" i="436"/>
  <c r="K37" i="436" s="1"/>
  <c r="J27" i="436"/>
  <c r="P27" i="436" s="1"/>
  <c r="F27" i="436"/>
  <c r="H27" i="436" s="1"/>
  <c r="AE26" i="436"/>
  <c r="AD26" i="436"/>
  <c r="AA26" i="436"/>
  <c r="E19" i="435" s="1"/>
  <c r="M6" i="435" s="1"/>
  <c r="Z26" i="436"/>
  <c r="P26" i="436"/>
  <c r="M26" i="436"/>
  <c r="W25" i="436"/>
  <c r="H25" i="436"/>
  <c r="W24" i="436"/>
  <c r="H24" i="436"/>
  <c r="W23" i="436"/>
  <c r="W21" i="436"/>
  <c r="W20" i="436"/>
  <c r="W19" i="436"/>
  <c r="V19" i="436"/>
  <c r="P19" i="436"/>
  <c r="N19" i="436"/>
  <c r="AF19" i="436" s="1"/>
  <c r="K19" i="436"/>
  <c r="J19" i="436"/>
  <c r="L19" i="436" s="1"/>
  <c r="F19" i="436"/>
  <c r="H19" i="436" s="1"/>
  <c r="W18" i="436"/>
  <c r="V18" i="436"/>
  <c r="P18" i="436"/>
  <c r="O18" i="436"/>
  <c r="N18" i="436"/>
  <c r="L18" i="436"/>
  <c r="R18" i="436" s="1"/>
  <c r="K18" i="436"/>
  <c r="J18" i="436"/>
  <c r="F18" i="436"/>
  <c r="H18" i="436" s="1"/>
  <c r="W17" i="436"/>
  <c r="N17" i="436" s="1"/>
  <c r="V17" i="436"/>
  <c r="K17" i="436"/>
  <c r="L17" i="436" s="1"/>
  <c r="J17" i="436"/>
  <c r="P17" i="436" s="1"/>
  <c r="F17" i="436"/>
  <c r="H17" i="436" s="1"/>
  <c r="W16" i="436"/>
  <c r="P16" i="436"/>
  <c r="O16" i="436"/>
  <c r="N16" i="436"/>
  <c r="K16" i="436"/>
  <c r="J16" i="436"/>
  <c r="J26" i="436" s="1"/>
  <c r="F16" i="436"/>
  <c r="H16" i="436" s="1"/>
  <c r="AE15" i="436"/>
  <c r="AD15" i="436"/>
  <c r="AA15" i="436"/>
  <c r="Z15" i="436"/>
  <c r="M15" i="436"/>
  <c r="W14" i="436"/>
  <c r="W13" i="436"/>
  <c r="W12" i="436"/>
  <c r="W11" i="436"/>
  <c r="W10" i="436"/>
  <c r="AG9" i="436"/>
  <c r="W9" i="436"/>
  <c r="N9" i="436"/>
  <c r="AF9" i="436" s="1"/>
  <c r="K9" i="436"/>
  <c r="J9" i="436"/>
  <c r="L9" i="436" s="1"/>
  <c r="F9" i="436"/>
  <c r="H9" i="436" s="1"/>
  <c r="W8" i="436"/>
  <c r="Q8" i="436"/>
  <c r="P8" i="436"/>
  <c r="O8" i="436"/>
  <c r="R8" i="436" s="1"/>
  <c r="N8" i="436"/>
  <c r="AF8" i="436" s="1"/>
  <c r="L8" i="436"/>
  <c r="K8" i="436"/>
  <c r="J8" i="436"/>
  <c r="F8" i="436"/>
  <c r="H8" i="436" s="1"/>
  <c r="W7" i="436"/>
  <c r="N7" i="436" s="1"/>
  <c r="V7" i="436"/>
  <c r="P7" i="436"/>
  <c r="K7" i="436"/>
  <c r="L7" i="436" s="1"/>
  <c r="J7" i="436"/>
  <c r="H7" i="436"/>
  <c r="F7" i="436"/>
  <c r="W6" i="436"/>
  <c r="N6" i="436" s="1"/>
  <c r="V6" i="436"/>
  <c r="L6" i="436"/>
  <c r="K6" i="436"/>
  <c r="K15" i="436" s="1"/>
  <c r="J6" i="436"/>
  <c r="P6" i="436" s="1"/>
  <c r="F6" i="436"/>
  <c r="H6" i="436" s="1"/>
  <c r="W5" i="436"/>
  <c r="N5" i="436" s="1"/>
  <c r="K5" i="436"/>
  <c r="J5" i="436"/>
  <c r="F5" i="436"/>
  <c r="H5" i="436" s="1"/>
  <c r="I2" i="436"/>
  <c r="E1" i="436"/>
  <c r="J22" i="435"/>
  <c r="G22" i="435"/>
  <c r="E22" i="435"/>
  <c r="D22" i="435"/>
  <c r="J21" i="435"/>
  <c r="G21" i="435"/>
  <c r="F21" i="435"/>
  <c r="E21" i="435"/>
  <c r="D21" i="435"/>
  <c r="J20" i="435"/>
  <c r="I20" i="435"/>
  <c r="G20" i="435"/>
  <c r="F20" i="435"/>
  <c r="E20" i="435"/>
  <c r="D20" i="435"/>
  <c r="J19" i="435"/>
  <c r="I19" i="435"/>
  <c r="H19" i="435"/>
  <c r="G19" i="435"/>
  <c r="D19" i="435"/>
  <c r="H18" i="435"/>
  <c r="F18" i="435"/>
  <c r="E18" i="435"/>
  <c r="J16" i="435"/>
  <c r="I16" i="435"/>
  <c r="H16" i="435"/>
  <c r="G16" i="435"/>
  <c r="F16" i="435"/>
  <c r="E16" i="435"/>
  <c r="D16" i="435"/>
  <c r="J14" i="435"/>
  <c r="J13" i="435"/>
  <c r="O8" i="435"/>
  <c r="N8" i="435"/>
  <c r="M8" i="435"/>
  <c r="L8" i="435"/>
  <c r="O7" i="435"/>
  <c r="N7" i="435"/>
  <c r="M7" i="435"/>
  <c r="L7" i="435"/>
  <c r="G3" i="435"/>
  <c r="AG79" i="434"/>
  <c r="AF79" i="434"/>
  <c r="AE79" i="434"/>
  <c r="AD79" i="434"/>
  <c r="J20" i="433" s="1"/>
  <c r="AA79" i="434"/>
  <c r="Z79" i="434"/>
  <c r="W78" i="434"/>
  <c r="H78" i="434"/>
  <c r="W77" i="434"/>
  <c r="H77" i="434"/>
  <c r="W76" i="434"/>
  <c r="H76" i="434"/>
  <c r="W75" i="434"/>
  <c r="H75" i="434"/>
  <c r="W74" i="434"/>
  <c r="W73" i="434"/>
  <c r="W72" i="434"/>
  <c r="W71" i="434"/>
  <c r="AH70" i="434"/>
  <c r="AG70" i="434"/>
  <c r="AF70" i="434"/>
  <c r="W70" i="434"/>
  <c r="S70" i="434"/>
  <c r="AE69" i="434"/>
  <c r="I21" i="433" s="1"/>
  <c r="AD69" i="434"/>
  <c r="AA69" i="434"/>
  <c r="Z69" i="434"/>
  <c r="M69" i="434"/>
  <c r="W68" i="434"/>
  <c r="H68" i="434"/>
  <c r="W67" i="434"/>
  <c r="W66" i="434"/>
  <c r="W65" i="434"/>
  <c r="W64" i="434"/>
  <c r="W63" i="434"/>
  <c r="W62" i="434"/>
  <c r="N62" i="434" s="1"/>
  <c r="K62" i="434"/>
  <c r="J62" i="434"/>
  <c r="P62" i="434" s="1"/>
  <c r="F62" i="434"/>
  <c r="H62" i="434" s="1"/>
  <c r="W61" i="434"/>
  <c r="N61" i="434" s="1"/>
  <c r="V61" i="434"/>
  <c r="O61" i="434"/>
  <c r="L61" i="434"/>
  <c r="K61" i="434"/>
  <c r="J61" i="434"/>
  <c r="P61" i="434" s="1"/>
  <c r="H61" i="434"/>
  <c r="F61" i="434"/>
  <c r="W60" i="434"/>
  <c r="V60" i="434"/>
  <c r="P60" i="434"/>
  <c r="N60" i="434"/>
  <c r="L60" i="434"/>
  <c r="K60" i="434"/>
  <c r="K69" i="434" s="1"/>
  <c r="J60" i="434"/>
  <c r="F60" i="434"/>
  <c r="H60" i="434" s="1"/>
  <c r="W59" i="434"/>
  <c r="P59" i="434"/>
  <c r="N59" i="434"/>
  <c r="L59" i="434"/>
  <c r="K59" i="434"/>
  <c r="J59" i="434"/>
  <c r="H59" i="434"/>
  <c r="F59" i="434"/>
  <c r="AE58" i="434"/>
  <c r="AD58" i="434"/>
  <c r="AA58" i="434"/>
  <c r="Z58" i="434"/>
  <c r="M58" i="434"/>
  <c r="W57" i="434"/>
  <c r="W56" i="434"/>
  <c r="W55" i="434"/>
  <c r="W54" i="434"/>
  <c r="AG53" i="434"/>
  <c r="AF53" i="434"/>
  <c r="W53" i="434"/>
  <c r="AG52" i="434"/>
  <c r="AF52" i="434"/>
  <c r="W52" i="434"/>
  <c r="AG51" i="434"/>
  <c r="AF51" i="434"/>
  <c r="W51" i="434"/>
  <c r="W50" i="434"/>
  <c r="N50" i="434" s="1"/>
  <c r="V50" i="434"/>
  <c r="K50" i="434"/>
  <c r="J50" i="434"/>
  <c r="F50" i="434"/>
  <c r="H50" i="434" s="1"/>
  <c r="W49" i="434"/>
  <c r="P49" i="434"/>
  <c r="N49" i="434"/>
  <c r="O49" i="434" s="1"/>
  <c r="K49" i="434"/>
  <c r="H49" i="434"/>
  <c r="F49" i="434"/>
  <c r="AE48" i="434"/>
  <c r="AD48" i="434"/>
  <c r="AA48" i="434"/>
  <c r="G19" i="433" s="1"/>
  <c r="Z48" i="434"/>
  <c r="W48" i="434"/>
  <c r="N48" i="434"/>
  <c r="M48" i="434"/>
  <c r="W47" i="434"/>
  <c r="H47" i="434"/>
  <c r="W46" i="434"/>
  <c r="W45" i="434"/>
  <c r="W44" i="434"/>
  <c r="W43" i="434"/>
  <c r="W42" i="434"/>
  <c r="W41" i="434"/>
  <c r="V41" i="434"/>
  <c r="P41" i="434"/>
  <c r="O41" i="434"/>
  <c r="N41" i="434"/>
  <c r="AG41" i="434" s="1"/>
  <c r="K41" i="434"/>
  <c r="K48" i="434" s="1"/>
  <c r="J41" i="434"/>
  <c r="H41" i="434"/>
  <c r="F41" i="434"/>
  <c r="W40" i="434"/>
  <c r="V40" i="434"/>
  <c r="O40" i="434"/>
  <c r="N40" i="434"/>
  <c r="AG40" i="434" s="1"/>
  <c r="K40" i="434"/>
  <c r="J40" i="434"/>
  <c r="P40" i="434" s="1"/>
  <c r="F40" i="434"/>
  <c r="H40" i="434" s="1"/>
  <c r="W39" i="434"/>
  <c r="V39" i="434"/>
  <c r="R39" i="434"/>
  <c r="O39" i="434"/>
  <c r="N39" i="434"/>
  <c r="AG39" i="434" s="1"/>
  <c r="K39" i="434"/>
  <c r="J39" i="434"/>
  <c r="L39" i="434" s="1"/>
  <c r="Q39" i="434" s="1"/>
  <c r="H39" i="434"/>
  <c r="F39" i="434"/>
  <c r="W38" i="434"/>
  <c r="N38" i="434"/>
  <c r="K38" i="434"/>
  <c r="J38" i="434"/>
  <c r="H38" i="434"/>
  <c r="F38" i="434"/>
  <c r="AE37" i="434"/>
  <c r="AD37" i="434"/>
  <c r="AA37" i="434"/>
  <c r="F19" i="433" s="1"/>
  <c r="Z37" i="434"/>
  <c r="M37" i="434"/>
  <c r="L37" i="434"/>
  <c r="F13" i="433" s="1"/>
  <c r="W36" i="434"/>
  <c r="H36" i="434"/>
  <c r="W35" i="434"/>
  <c r="W34" i="434"/>
  <c r="W33" i="434"/>
  <c r="W32" i="434"/>
  <c r="AG31" i="434"/>
  <c r="AF31" i="434"/>
  <c r="W31" i="434"/>
  <c r="AG30" i="434"/>
  <c r="W30" i="434"/>
  <c r="V30" i="434"/>
  <c r="R30" i="434"/>
  <c r="P30" i="434"/>
  <c r="O30" i="434"/>
  <c r="Q30" i="434" s="1"/>
  <c r="N30" i="434"/>
  <c r="AF30" i="434" s="1"/>
  <c r="L30" i="434"/>
  <c r="K30" i="434"/>
  <c r="J30" i="434"/>
  <c r="F30" i="434"/>
  <c r="H30" i="434" s="1"/>
  <c r="AG29" i="434"/>
  <c r="W29" i="434"/>
  <c r="V29" i="434"/>
  <c r="Q29" i="434"/>
  <c r="P29" i="434"/>
  <c r="O29" i="434"/>
  <c r="R29" i="434" s="1"/>
  <c r="N29" i="434"/>
  <c r="AF29" i="434" s="1"/>
  <c r="K29" i="434"/>
  <c r="J29" i="434"/>
  <c r="L29" i="434" s="1"/>
  <c r="H29" i="434"/>
  <c r="F29" i="434"/>
  <c r="AG28" i="434"/>
  <c r="W28" i="434"/>
  <c r="N28" i="434" s="1"/>
  <c r="V28" i="434"/>
  <c r="Q28" i="434"/>
  <c r="P28" i="434"/>
  <c r="O28" i="434"/>
  <c r="R28" i="434" s="1"/>
  <c r="K28" i="434"/>
  <c r="L28" i="434" s="1"/>
  <c r="J28" i="434"/>
  <c r="H28" i="434"/>
  <c r="F28" i="434"/>
  <c r="AF27" i="434"/>
  <c r="W27" i="434"/>
  <c r="O27" i="434"/>
  <c r="N27" i="434"/>
  <c r="L27" i="434"/>
  <c r="K27" i="434"/>
  <c r="J27" i="434"/>
  <c r="P27" i="434" s="1"/>
  <c r="F27" i="434"/>
  <c r="H27" i="434" s="1"/>
  <c r="AE26" i="434"/>
  <c r="E21" i="433" s="1"/>
  <c r="AD26" i="434"/>
  <c r="AA26" i="434"/>
  <c r="Z26" i="434"/>
  <c r="E18" i="433" s="1"/>
  <c r="M26" i="434"/>
  <c r="K26" i="434"/>
  <c r="J26" i="434"/>
  <c r="W25" i="434"/>
  <c r="H25" i="434"/>
  <c r="W24" i="434"/>
  <c r="H24" i="434"/>
  <c r="W23" i="434"/>
  <c r="W21" i="434"/>
  <c r="W20" i="434"/>
  <c r="AG19" i="434"/>
  <c r="AF19" i="434"/>
  <c r="W19" i="434"/>
  <c r="W18" i="434"/>
  <c r="V18" i="434"/>
  <c r="N18" i="434"/>
  <c r="L18" i="434"/>
  <c r="K18" i="434"/>
  <c r="J18" i="434"/>
  <c r="P18" i="434" s="1"/>
  <c r="H18" i="434"/>
  <c r="F18" i="434"/>
  <c r="W17" i="434"/>
  <c r="V17" i="434"/>
  <c r="O17" i="434"/>
  <c r="N17" i="434"/>
  <c r="L17" i="434"/>
  <c r="K17" i="434"/>
  <c r="J17" i="434"/>
  <c r="P17" i="434" s="1"/>
  <c r="F17" i="434"/>
  <c r="H17" i="434" s="1"/>
  <c r="W16" i="434"/>
  <c r="P16" i="434"/>
  <c r="O16" i="434"/>
  <c r="N16" i="434"/>
  <c r="L16" i="434"/>
  <c r="K16" i="434"/>
  <c r="J16" i="434"/>
  <c r="H16" i="434"/>
  <c r="F16" i="434"/>
  <c r="AE15" i="434"/>
  <c r="AD15" i="434"/>
  <c r="AA15" i="434"/>
  <c r="D19" i="433" s="1"/>
  <c r="Z15" i="434"/>
  <c r="M15" i="434"/>
  <c r="K15" i="434"/>
  <c r="W14" i="434"/>
  <c r="W13" i="434"/>
  <c r="W12" i="434"/>
  <c r="AG11" i="434"/>
  <c r="AF11" i="434"/>
  <c r="W11" i="434"/>
  <c r="AG10" i="434"/>
  <c r="AF10" i="434"/>
  <c r="W10" i="434"/>
  <c r="AF9" i="434"/>
  <c r="W9" i="434"/>
  <c r="V9" i="434"/>
  <c r="P9" i="434"/>
  <c r="O9" i="434"/>
  <c r="N9" i="434"/>
  <c r="AG9" i="434" s="1"/>
  <c r="L9" i="434"/>
  <c r="K9" i="434"/>
  <c r="J9" i="434"/>
  <c r="F9" i="434"/>
  <c r="H9" i="434" s="1"/>
  <c r="AG8" i="434"/>
  <c r="W8" i="434"/>
  <c r="N8" i="434" s="1"/>
  <c r="AF8" i="434" s="1"/>
  <c r="V8" i="434"/>
  <c r="P8" i="434"/>
  <c r="O8" i="434"/>
  <c r="K8" i="434"/>
  <c r="J8" i="434"/>
  <c r="L8" i="434" s="1"/>
  <c r="F8" i="434"/>
  <c r="H8" i="434" s="1"/>
  <c r="AG7" i="434"/>
  <c r="AF7" i="434"/>
  <c r="W7" i="434"/>
  <c r="N7" i="434" s="1"/>
  <c r="O7" i="434" s="1"/>
  <c r="V7" i="434"/>
  <c r="Q7" i="434"/>
  <c r="P7" i="434"/>
  <c r="L7" i="434"/>
  <c r="R7" i="434" s="1"/>
  <c r="K7" i="434"/>
  <c r="J7" i="434"/>
  <c r="F7" i="434"/>
  <c r="H7" i="434" s="1"/>
  <c r="W6" i="434"/>
  <c r="V6" i="434"/>
  <c r="N6" i="434"/>
  <c r="L6" i="434"/>
  <c r="K6" i="434"/>
  <c r="J6" i="434"/>
  <c r="P6" i="434" s="1"/>
  <c r="F6" i="434"/>
  <c r="H6" i="434" s="1"/>
  <c r="AG5" i="434"/>
  <c r="W5" i="434"/>
  <c r="O5" i="434"/>
  <c r="N5" i="434"/>
  <c r="AF5" i="434" s="1"/>
  <c r="K5" i="434"/>
  <c r="J5" i="434"/>
  <c r="F5" i="434"/>
  <c r="H5" i="434" s="1"/>
  <c r="I2" i="434"/>
  <c r="E1" i="434"/>
  <c r="G3" i="433" s="1"/>
  <c r="J22" i="433"/>
  <c r="I22" i="433"/>
  <c r="F22" i="433"/>
  <c r="E22" i="433"/>
  <c r="D22" i="433"/>
  <c r="J21" i="433"/>
  <c r="H21" i="433"/>
  <c r="G21" i="433"/>
  <c r="F21" i="433"/>
  <c r="D21" i="433"/>
  <c r="I20" i="433"/>
  <c r="H20" i="433"/>
  <c r="G20" i="433"/>
  <c r="F20" i="433"/>
  <c r="N6" i="433" s="1"/>
  <c r="E20" i="433"/>
  <c r="D20" i="433"/>
  <c r="J19" i="433"/>
  <c r="I19" i="433"/>
  <c r="H19" i="433"/>
  <c r="E19" i="433"/>
  <c r="J18" i="433"/>
  <c r="I18" i="433"/>
  <c r="H18" i="433"/>
  <c r="G18" i="433"/>
  <c r="F18" i="433"/>
  <c r="J16" i="433"/>
  <c r="I16" i="433"/>
  <c r="H16" i="433"/>
  <c r="G16" i="433"/>
  <c r="F16" i="433"/>
  <c r="E16" i="433"/>
  <c r="D16" i="433"/>
  <c r="J15" i="433"/>
  <c r="J14" i="433"/>
  <c r="J13" i="433"/>
  <c r="O8" i="433"/>
  <c r="N8" i="433"/>
  <c r="M8" i="433"/>
  <c r="L8" i="433"/>
  <c r="O7" i="433"/>
  <c r="N7" i="433"/>
  <c r="M7" i="433"/>
  <c r="L7" i="433"/>
  <c r="O6" i="433"/>
  <c r="AG79" i="432"/>
  <c r="AF79" i="432"/>
  <c r="AE79" i="432"/>
  <c r="J21" i="431" s="1"/>
  <c r="AD79" i="432"/>
  <c r="J20" i="431" s="1"/>
  <c r="AA79" i="432"/>
  <c r="J18" i="431" s="1"/>
  <c r="Z79" i="432"/>
  <c r="W78" i="432"/>
  <c r="H78" i="432"/>
  <c r="W77" i="432"/>
  <c r="H77" i="432"/>
  <c r="W76" i="432"/>
  <c r="H76" i="432"/>
  <c r="W75" i="432"/>
  <c r="H75" i="432"/>
  <c r="W74" i="432"/>
  <c r="W73" i="432"/>
  <c r="W72" i="432"/>
  <c r="W71" i="432"/>
  <c r="AH70" i="432"/>
  <c r="AG70" i="432"/>
  <c r="AF70" i="432"/>
  <c r="W70" i="432"/>
  <c r="S70" i="432"/>
  <c r="J15" i="431" s="1"/>
  <c r="AE69" i="432"/>
  <c r="AD69" i="432"/>
  <c r="AA69" i="432"/>
  <c r="I19" i="431" s="1"/>
  <c r="Z69" i="432"/>
  <c r="M69" i="432"/>
  <c r="W68" i="432"/>
  <c r="H68" i="432"/>
  <c r="W67" i="432"/>
  <c r="W66" i="432"/>
  <c r="W65" i="432"/>
  <c r="W64" i="432"/>
  <c r="N64" i="432" s="1"/>
  <c r="O64" i="432" s="1"/>
  <c r="R64" i="432" s="1"/>
  <c r="V64" i="432"/>
  <c r="P64" i="432"/>
  <c r="L64" i="432"/>
  <c r="K64" i="432"/>
  <c r="J64" i="432"/>
  <c r="F64" i="432"/>
  <c r="H64" i="432" s="1"/>
  <c r="W63" i="432"/>
  <c r="N63" i="432" s="1"/>
  <c r="O63" i="432" s="1"/>
  <c r="V63" i="432"/>
  <c r="K63" i="432"/>
  <c r="J63" i="432"/>
  <c r="P63" i="432" s="1"/>
  <c r="H63" i="432"/>
  <c r="F63" i="432"/>
  <c r="W62" i="432"/>
  <c r="N62" i="432" s="1"/>
  <c r="V62" i="432"/>
  <c r="K62" i="432"/>
  <c r="L62" i="432" s="1"/>
  <c r="J62" i="432"/>
  <c r="P62" i="432" s="1"/>
  <c r="H62" i="432"/>
  <c r="F62" i="432"/>
  <c r="W61" i="432"/>
  <c r="N61" i="432" s="1"/>
  <c r="V61" i="432"/>
  <c r="K61" i="432"/>
  <c r="L61" i="432" s="1"/>
  <c r="J61" i="432"/>
  <c r="P61" i="432" s="1"/>
  <c r="F61" i="432"/>
  <c r="H61" i="432" s="1"/>
  <c r="W60" i="432"/>
  <c r="V60" i="432"/>
  <c r="P60" i="432"/>
  <c r="N60" i="432"/>
  <c r="L60" i="432"/>
  <c r="K60" i="432"/>
  <c r="J60" i="432"/>
  <c r="H60" i="432"/>
  <c r="F60" i="432"/>
  <c r="AG59" i="432"/>
  <c r="AF59" i="432"/>
  <c r="W59" i="432"/>
  <c r="P59" i="432"/>
  <c r="O59" i="432"/>
  <c r="N59" i="432"/>
  <c r="L59" i="432"/>
  <c r="K59" i="432"/>
  <c r="J59" i="432"/>
  <c r="H59" i="432"/>
  <c r="F59" i="432"/>
  <c r="AE58" i="432"/>
  <c r="AD58" i="432"/>
  <c r="H20" i="431" s="1"/>
  <c r="AA58" i="432"/>
  <c r="Z58" i="432"/>
  <c r="H18" i="431" s="1"/>
  <c r="M58" i="432"/>
  <c r="W57" i="432"/>
  <c r="W56" i="432"/>
  <c r="W55" i="432"/>
  <c r="W54" i="432"/>
  <c r="AG53" i="432"/>
  <c r="AF53" i="432"/>
  <c r="W53" i="432"/>
  <c r="AG52" i="432"/>
  <c r="AF52" i="432"/>
  <c r="W52" i="432"/>
  <c r="AG51" i="432"/>
  <c r="AF51" i="432"/>
  <c r="W51" i="432"/>
  <c r="W50" i="432"/>
  <c r="N50" i="432" s="1"/>
  <c r="V50" i="432"/>
  <c r="K50" i="432"/>
  <c r="J50" i="432"/>
  <c r="J58" i="432" s="1"/>
  <c r="H50" i="432"/>
  <c r="F50" i="432"/>
  <c r="W49" i="432"/>
  <c r="P49" i="432"/>
  <c r="N49" i="432"/>
  <c r="L49" i="432"/>
  <c r="H49" i="432"/>
  <c r="F49" i="432"/>
  <c r="AE48" i="432"/>
  <c r="AD48" i="432"/>
  <c r="AA48" i="432"/>
  <c r="G19" i="431" s="1"/>
  <c r="Z48" i="432"/>
  <c r="W48" i="432"/>
  <c r="M48" i="432"/>
  <c r="W47" i="432"/>
  <c r="H47" i="432"/>
  <c r="W46" i="432"/>
  <c r="W45" i="432"/>
  <c r="W44" i="432"/>
  <c r="W43" i="432"/>
  <c r="W42" i="432"/>
  <c r="AG41" i="432"/>
  <c r="AF41" i="432"/>
  <c r="W41" i="432"/>
  <c r="V41" i="432"/>
  <c r="P41" i="432"/>
  <c r="O41" i="432"/>
  <c r="N41" i="432"/>
  <c r="K41" i="432"/>
  <c r="L41" i="432" s="1"/>
  <c r="J41" i="432"/>
  <c r="F41" i="432"/>
  <c r="H41" i="432" s="1"/>
  <c r="W40" i="432"/>
  <c r="V40" i="432"/>
  <c r="P40" i="432"/>
  <c r="O40" i="432"/>
  <c r="N40" i="432"/>
  <c r="K40" i="432"/>
  <c r="L40" i="432" s="1"/>
  <c r="J40" i="432"/>
  <c r="H40" i="432"/>
  <c r="F40" i="432"/>
  <c r="W39" i="432"/>
  <c r="N39" i="432" s="1"/>
  <c r="V39" i="432"/>
  <c r="P39" i="432"/>
  <c r="L39" i="432"/>
  <c r="K39" i="432"/>
  <c r="J39" i="432"/>
  <c r="H39" i="432"/>
  <c r="F39" i="432"/>
  <c r="W38" i="432"/>
  <c r="N38" i="432" s="1"/>
  <c r="K38" i="432"/>
  <c r="K48" i="432" s="1"/>
  <c r="J38" i="432"/>
  <c r="P38" i="432" s="1"/>
  <c r="H38" i="432"/>
  <c r="F38" i="432"/>
  <c r="AE37" i="432"/>
  <c r="AE2" i="432" s="1"/>
  <c r="AD37" i="432"/>
  <c r="AA37" i="432"/>
  <c r="Z37" i="432"/>
  <c r="M37" i="432"/>
  <c r="F22" i="431" s="1"/>
  <c r="W36" i="432"/>
  <c r="H36" i="432"/>
  <c r="W35" i="432"/>
  <c r="W34" i="432"/>
  <c r="W33" i="432"/>
  <c r="W32" i="432"/>
  <c r="AG31" i="432"/>
  <c r="AF31" i="432"/>
  <c r="W31" i="432"/>
  <c r="W30" i="432"/>
  <c r="N30" i="432" s="1"/>
  <c r="V30" i="432"/>
  <c r="K30" i="432"/>
  <c r="L30" i="432" s="1"/>
  <c r="J30" i="432"/>
  <c r="P30" i="432" s="1"/>
  <c r="H30" i="432"/>
  <c r="F30" i="432"/>
  <c r="W29" i="432"/>
  <c r="N29" i="432" s="1"/>
  <c r="V29" i="432"/>
  <c r="K29" i="432"/>
  <c r="L29" i="432" s="1"/>
  <c r="J29" i="432"/>
  <c r="P29" i="432" s="1"/>
  <c r="H29" i="432"/>
  <c r="F29" i="432"/>
  <c r="W28" i="432"/>
  <c r="V28" i="432"/>
  <c r="N28" i="432"/>
  <c r="K28" i="432"/>
  <c r="J28" i="432"/>
  <c r="P28" i="432" s="1"/>
  <c r="H28" i="432"/>
  <c r="F28" i="432"/>
  <c r="W27" i="432"/>
  <c r="P27" i="432"/>
  <c r="N27" i="432"/>
  <c r="L27" i="432"/>
  <c r="K27" i="432"/>
  <c r="J27" i="432"/>
  <c r="H27" i="432"/>
  <c r="F27" i="432"/>
  <c r="AE26" i="432"/>
  <c r="AD26" i="432"/>
  <c r="E20" i="431" s="1"/>
  <c r="AA26" i="432"/>
  <c r="E19" i="431" s="1"/>
  <c r="Z26" i="432"/>
  <c r="E18" i="431" s="1"/>
  <c r="M26" i="432"/>
  <c r="W25" i="432"/>
  <c r="H25" i="432"/>
  <c r="W24" i="432"/>
  <c r="H24" i="432"/>
  <c r="W23" i="432"/>
  <c r="W21" i="432"/>
  <c r="W20" i="432"/>
  <c r="W19" i="432"/>
  <c r="N19" i="432" s="1"/>
  <c r="V19" i="432"/>
  <c r="P19" i="432"/>
  <c r="K19" i="432"/>
  <c r="L19" i="432" s="1"/>
  <c r="J19" i="432"/>
  <c r="F19" i="432"/>
  <c r="H19" i="432" s="1"/>
  <c r="W18" i="432"/>
  <c r="V18" i="432"/>
  <c r="P18" i="432"/>
  <c r="N18" i="432"/>
  <c r="O18" i="432" s="1"/>
  <c r="R18" i="432" s="1"/>
  <c r="K18" i="432"/>
  <c r="L18" i="432" s="1"/>
  <c r="J18" i="432"/>
  <c r="H18" i="432"/>
  <c r="F18" i="432"/>
  <c r="AG17" i="432"/>
  <c r="W17" i="432"/>
  <c r="V17" i="432"/>
  <c r="P17" i="432"/>
  <c r="N17" i="432"/>
  <c r="K17" i="432"/>
  <c r="J17" i="432"/>
  <c r="L17" i="432" s="1"/>
  <c r="H17" i="432"/>
  <c r="F17" i="432"/>
  <c r="W16" i="432"/>
  <c r="N16" i="432" s="1"/>
  <c r="P16" i="432"/>
  <c r="L16" i="432"/>
  <c r="L26" i="432" s="1"/>
  <c r="E13" i="431" s="1"/>
  <c r="K16" i="432"/>
  <c r="K26" i="432" s="1"/>
  <c r="J16" i="432"/>
  <c r="J26" i="432" s="1"/>
  <c r="F16" i="432"/>
  <c r="H16" i="432" s="1"/>
  <c r="AE15" i="432"/>
  <c r="AD15" i="432"/>
  <c r="AA15" i="432"/>
  <c r="Z15" i="432"/>
  <c r="M15" i="432"/>
  <c r="D22" i="431" s="1"/>
  <c r="W14" i="432"/>
  <c r="W13" i="432"/>
  <c r="W12" i="432"/>
  <c r="AG11" i="432"/>
  <c r="AF11" i="432"/>
  <c r="W11" i="432"/>
  <c r="AG10" i="432"/>
  <c r="AF10" i="432"/>
  <c r="W10" i="432"/>
  <c r="AG9" i="432"/>
  <c r="AF9" i="432"/>
  <c r="W9" i="432"/>
  <c r="W8" i="432"/>
  <c r="N8" i="432" s="1"/>
  <c r="AG8" i="432" s="1"/>
  <c r="V8" i="432"/>
  <c r="P8" i="432"/>
  <c r="K8" i="432"/>
  <c r="L8" i="432" s="1"/>
  <c r="J8" i="432"/>
  <c r="F8" i="432"/>
  <c r="H8" i="432" s="1"/>
  <c r="W7" i="432"/>
  <c r="N7" i="432" s="1"/>
  <c r="V7" i="432"/>
  <c r="K7" i="432"/>
  <c r="L7" i="432" s="1"/>
  <c r="J7" i="432"/>
  <c r="P7" i="432" s="1"/>
  <c r="F7" i="432"/>
  <c r="H7" i="432" s="1"/>
  <c r="W6" i="432"/>
  <c r="N6" i="432" s="1"/>
  <c r="V6" i="432"/>
  <c r="L6" i="432"/>
  <c r="K6" i="432"/>
  <c r="J6" i="432"/>
  <c r="P6" i="432" s="1"/>
  <c r="H6" i="432"/>
  <c r="F6" i="432"/>
  <c r="W5" i="432"/>
  <c r="N5" i="432"/>
  <c r="K5" i="432"/>
  <c r="L5" i="432" s="1"/>
  <c r="J5" i="432"/>
  <c r="F5" i="432"/>
  <c r="H5" i="432" s="1"/>
  <c r="I2" i="432"/>
  <c r="E1" i="432"/>
  <c r="J22" i="431"/>
  <c r="H22" i="431"/>
  <c r="G22" i="431"/>
  <c r="I21" i="431"/>
  <c r="H21" i="431"/>
  <c r="G21" i="431"/>
  <c r="E21" i="431"/>
  <c r="D21" i="431"/>
  <c r="I20" i="431"/>
  <c r="G20" i="431"/>
  <c r="F20" i="431"/>
  <c r="J19" i="431"/>
  <c r="H19" i="431"/>
  <c r="F19" i="431"/>
  <c r="I18" i="431"/>
  <c r="G18" i="431"/>
  <c r="F18" i="431"/>
  <c r="J16" i="431"/>
  <c r="I16" i="431"/>
  <c r="H16" i="431"/>
  <c r="G16" i="431"/>
  <c r="F16" i="431"/>
  <c r="E16" i="431"/>
  <c r="D16" i="431"/>
  <c r="J14" i="431"/>
  <c r="J13" i="431"/>
  <c r="O8" i="431"/>
  <c r="N8" i="431"/>
  <c r="M8" i="431"/>
  <c r="L8" i="431"/>
  <c r="O7" i="431"/>
  <c r="N7" i="431"/>
  <c r="M7" i="431"/>
  <c r="L7" i="431"/>
  <c r="G3" i="431"/>
  <c r="AG79" i="430"/>
  <c r="AF79" i="430"/>
  <c r="AE79" i="430"/>
  <c r="AD79" i="430"/>
  <c r="AA79" i="430"/>
  <c r="Z79" i="430"/>
  <c r="W78" i="430"/>
  <c r="H78" i="430"/>
  <c r="W77" i="430"/>
  <c r="H77" i="430"/>
  <c r="W76" i="430"/>
  <c r="H76" i="430"/>
  <c r="W75" i="430"/>
  <c r="H75" i="430"/>
  <c r="W74" i="430"/>
  <c r="W73" i="430"/>
  <c r="W72" i="430"/>
  <c r="W71" i="430"/>
  <c r="AH70" i="430"/>
  <c r="AG70" i="430"/>
  <c r="AF70" i="430"/>
  <c r="W70" i="430"/>
  <c r="S70" i="430"/>
  <c r="J15" i="429" s="1"/>
  <c r="AE69" i="430"/>
  <c r="AD69" i="430"/>
  <c r="AA69" i="430"/>
  <c r="Z69" i="430"/>
  <c r="I18" i="429" s="1"/>
  <c r="M69" i="430"/>
  <c r="W68" i="430"/>
  <c r="H68" i="430"/>
  <c r="W67" i="430"/>
  <c r="W66" i="430"/>
  <c r="W65" i="430"/>
  <c r="W64" i="430"/>
  <c r="W63" i="430"/>
  <c r="N63" i="430" s="1"/>
  <c r="V63" i="430"/>
  <c r="P63" i="430"/>
  <c r="O63" i="430"/>
  <c r="L63" i="430"/>
  <c r="K63" i="430"/>
  <c r="J63" i="430"/>
  <c r="F63" i="430"/>
  <c r="H63" i="430" s="1"/>
  <c r="AG62" i="430"/>
  <c r="W62" i="430"/>
  <c r="V62" i="430"/>
  <c r="O62" i="430"/>
  <c r="N62" i="430"/>
  <c r="AF62" i="430" s="1"/>
  <c r="L62" i="430"/>
  <c r="K62" i="430"/>
  <c r="J62" i="430"/>
  <c r="P62" i="430" s="1"/>
  <c r="F62" i="430"/>
  <c r="H62" i="430" s="1"/>
  <c r="W61" i="430"/>
  <c r="V61" i="430"/>
  <c r="N61" i="430"/>
  <c r="K61" i="430"/>
  <c r="J61" i="430"/>
  <c r="P61" i="430" s="1"/>
  <c r="H61" i="430"/>
  <c r="F61" i="430"/>
  <c r="W60" i="430"/>
  <c r="V60" i="430"/>
  <c r="P60" i="430"/>
  <c r="N60" i="430"/>
  <c r="K60" i="430"/>
  <c r="L60" i="430" s="1"/>
  <c r="J60" i="430"/>
  <c r="F60" i="430"/>
  <c r="H60" i="430" s="1"/>
  <c r="W59" i="430"/>
  <c r="N59" i="430" s="1"/>
  <c r="O59" i="430" s="1"/>
  <c r="P59" i="430"/>
  <c r="K59" i="430"/>
  <c r="L59" i="430" s="1"/>
  <c r="J59" i="430"/>
  <c r="F59" i="430"/>
  <c r="H59" i="430" s="1"/>
  <c r="AE58" i="430"/>
  <c r="AD58" i="430"/>
  <c r="H20" i="429" s="1"/>
  <c r="AA58" i="430"/>
  <c r="H19" i="429" s="1"/>
  <c r="Z58" i="430"/>
  <c r="H18" i="429" s="1"/>
  <c r="M58" i="430"/>
  <c r="H22" i="429" s="1"/>
  <c r="W57" i="430"/>
  <c r="W56" i="430"/>
  <c r="W55" i="430"/>
  <c r="W54" i="430"/>
  <c r="AG53" i="430"/>
  <c r="W53" i="430"/>
  <c r="Q53" i="430"/>
  <c r="P53" i="430"/>
  <c r="O53" i="430"/>
  <c r="N53" i="430"/>
  <c r="AF53" i="430" s="1"/>
  <c r="L53" i="430"/>
  <c r="F53" i="430"/>
  <c r="H53" i="430" s="1"/>
  <c r="AG52" i="430"/>
  <c r="W52" i="430"/>
  <c r="V52" i="430"/>
  <c r="N52" i="430"/>
  <c r="AF52" i="430" s="1"/>
  <c r="K52" i="430"/>
  <c r="J52" i="430"/>
  <c r="L52" i="430" s="1"/>
  <c r="F52" i="430"/>
  <c r="H52" i="430" s="1"/>
  <c r="W51" i="430"/>
  <c r="V51" i="430"/>
  <c r="P51" i="430"/>
  <c r="N51" i="430"/>
  <c r="K51" i="430"/>
  <c r="L51" i="430" s="1"/>
  <c r="J51" i="430"/>
  <c r="H51" i="430"/>
  <c r="F51" i="430"/>
  <c r="W50" i="430"/>
  <c r="N50" i="430" s="1"/>
  <c r="V50" i="430"/>
  <c r="P50" i="430"/>
  <c r="K50" i="430"/>
  <c r="K58" i="430" s="1"/>
  <c r="J50" i="430"/>
  <c r="F50" i="430"/>
  <c r="H50" i="430" s="1"/>
  <c r="AF49" i="430"/>
  <c r="W49" i="430"/>
  <c r="N49" i="430" s="1"/>
  <c r="P49" i="430"/>
  <c r="O49" i="430"/>
  <c r="L49" i="430"/>
  <c r="F49" i="430"/>
  <c r="H49" i="430" s="1"/>
  <c r="AE48" i="430"/>
  <c r="AD48" i="430"/>
  <c r="G20" i="429" s="1"/>
  <c r="AA48" i="430"/>
  <c r="G19" i="429" s="1"/>
  <c r="Z48" i="430"/>
  <c r="W48" i="430"/>
  <c r="M48" i="430"/>
  <c r="G22" i="429" s="1"/>
  <c r="W47" i="430"/>
  <c r="H47" i="430"/>
  <c r="W46" i="430"/>
  <c r="W45" i="430"/>
  <c r="W44" i="430"/>
  <c r="W43" i="430"/>
  <c r="W42" i="430"/>
  <c r="AG41" i="430"/>
  <c r="AF41" i="430"/>
  <c r="W41" i="430"/>
  <c r="AG40" i="430"/>
  <c r="W40" i="430"/>
  <c r="V40" i="430"/>
  <c r="O40" i="430"/>
  <c r="N40" i="430"/>
  <c r="AF40" i="430" s="1"/>
  <c r="K40" i="430"/>
  <c r="L40" i="430" s="1"/>
  <c r="J40" i="430"/>
  <c r="P40" i="430" s="1"/>
  <c r="H40" i="430"/>
  <c r="F40" i="430"/>
  <c r="AG39" i="430"/>
  <c r="AF39" i="430"/>
  <c r="W39" i="430"/>
  <c r="N39" i="430" s="1"/>
  <c r="V39" i="430"/>
  <c r="O39" i="430"/>
  <c r="K39" i="430"/>
  <c r="J39" i="430"/>
  <c r="P39" i="430" s="1"/>
  <c r="F39" i="430"/>
  <c r="H39" i="430" s="1"/>
  <c r="W38" i="430"/>
  <c r="N38" i="430" s="1"/>
  <c r="K38" i="430"/>
  <c r="J38" i="430"/>
  <c r="P38" i="430" s="1"/>
  <c r="H38" i="430"/>
  <c r="F38" i="430"/>
  <c r="AE37" i="430"/>
  <c r="F21" i="429" s="1"/>
  <c r="AD37" i="430"/>
  <c r="F20" i="429" s="1"/>
  <c r="AA37" i="430"/>
  <c r="Z37" i="430"/>
  <c r="N37" i="430"/>
  <c r="M37" i="430"/>
  <c r="W36" i="430"/>
  <c r="H36" i="430"/>
  <c r="W35" i="430"/>
  <c r="W34" i="430"/>
  <c r="W33" i="430"/>
  <c r="W32" i="430"/>
  <c r="W31" i="430"/>
  <c r="V31" i="430"/>
  <c r="N31" i="430"/>
  <c r="O31" i="430" s="1"/>
  <c r="K31" i="430"/>
  <c r="J31" i="430"/>
  <c r="P31" i="430" s="1"/>
  <c r="H31" i="430"/>
  <c r="F31" i="430"/>
  <c r="W30" i="430"/>
  <c r="N30" i="430" s="1"/>
  <c r="V30" i="430"/>
  <c r="K30" i="430"/>
  <c r="J30" i="430"/>
  <c r="P30" i="430" s="1"/>
  <c r="F30" i="430"/>
  <c r="H30" i="430" s="1"/>
  <c r="AG29" i="430"/>
  <c r="W29" i="430"/>
  <c r="N29" i="430" s="1"/>
  <c r="V29" i="430"/>
  <c r="L29" i="430"/>
  <c r="K29" i="430"/>
  <c r="J29" i="430"/>
  <c r="P29" i="430" s="1"/>
  <c r="F29" i="430"/>
  <c r="H29" i="430" s="1"/>
  <c r="W28" i="430"/>
  <c r="N28" i="430" s="1"/>
  <c r="O28" i="430" s="1"/>
  <c r="V28" i="430"/>
  <c r="K28" i="430"/>
  <c r="L28" i="430" s="1"/>
  <c r="J28" i="430"/>
  <c r="P28" i="430" s="1"/>
  <c r="H28" i="430"/>
  <c r="F28" i="430"/>
  <c r="AG27" i="430"/>
  <c r="W27" i="430"/>
  <c r="N27" i="430"/>
  <c r="K27" i="430"/>
  <c r="J27" i="430"/>
  <c r="P27" i="430" s="1"/>
  <c r="F27" i="430"/>
  <c r="H27" i="430" s="1"/>
  <c r="AE26" i="430"/>
  <c r="AD26" i="430"/>
  <c r="AA26" i="430"/>
  <c r="E19" i="429" s="1"/>
  <c r="Z26" i="430"/>
  <c r="E18" i="429" s="1"/>
  <c r="M26" i="430"/>
  <c r="E22" i="429" s="1"/>
  <c r="W25" i="430"/>
  <c r="H25" i="430"/>
  <c r="W24" i="430"/>
  <c r="H24" i="430"/>
  <c r="W23" i="430"/>
  <c r="W21" i="430"/>
  <c r="W20" i="430"/>
  <c r="W19" i="430"/>
  <c r="V19" i="430"/>
  <c r="N19" i="430"/>
  <c r="K19" i="430"/>
  <c r="AF19" i="430" s="1"/>
  <c r="J19" i="430"/>
  <c r="P19" i="430" s="1"/>
  <c r="H19" i="430"/>
  <c r="F19" i="430"/>
  <c r="W18" i="430"/>
  <c r="V18" i="430"/>
  <c r="N18" i="430"/>
  <c r="L18" i="430"/>
  <c r="K18" i="430"/>
  <c r="J18" i="430"/>
  <c r="P18" i="430" s="1"/>
  <c r="H18" i="430"/>
  <c r="F18" i="430"/>
  <c r="W17" i="430"/>
  <c r="V17" i="430"/>
  <c r="N17" i="430"/>
  <c r="K17" i="430"/>
  <c r="J17" i="430"/>
  <c r="P17" i="430" s="1"/>
  <c r="H17" i="430"/>
  <c r="F17" i="430"/>
  <c r="W16" i="430"/>
  <c r="P16" i="430"/>
  <c r="N16" i="430"/>
  <c r="K16" i="430"/>
  <c r="J16" i="430"/>
  <c r="L16" i="430" s="1"/>
  <c r="F16" i="430"/>
  <c r="H16" i="430" s="1"/>
  <c r="AE15" i="430"/>
  <c r="AD15" i="430"/>
  <c r="AA15" i="430"/>
  <c r="Z15" i="430"/>
  <c r="M15" i="430"/>
  <c r="W14" i="430"/>
  <c r="W13" i="430"/>
  <c r="W12" i="430"/>
  <c r="AG11" i="430"/>
  <c r="AF11" i="430"/>
  <c r="W11" i="430"/>
  <c r="AG10" i="430"/>
  <c r="AF10" i="430"/>
  <c r="W10" i="430"/>
  <c r="AG9" i="430"/>
  <c r="AF9" i="430"/>
  <c r="W9" i="430"/>
  <c r="N9" i="430" s="1"/>
  <c r="V9" i="430"/>
  <c r="Q9" i="430"/>
  <c r="P9" i="430"/>
  <c r="O9" i="430"/>
  <c r="R9" i="430" s="1"/>
  <c r="K9" i="430"/>
  <c r="L9" i="430" s="1"/>
  <c r="J9" i="430"/>
  <c r="H9" i="430"/>
  <c r="F9" i="430"/>
  <c r="AG8" i="430"/>
  <c r="AF8" i="430"/>
  <c r="W8" i="430"/>
  <c r="N8" i="430" s="1"/>
  <c r="V8" i="430"/>
  <c r="O8" i="430"/>
  <c r="K8" i="430"/>
  <c r="J8" i="430"/>
  <c r="P8" i="430" s="1"/>
  <c r="H8" i="430"/>
  <c r="F8" i="430"/>
  <c r="AG7" i="430"/>
  <c r="W7" i="430"/>
  <c r="N7" i="430" s="1"/>
  <c r="O7" i="430" s="1"/>
  <c r="V7" i="430"/>
  <c r="K7" i="430"/>
  <c r="L7" i="430" s="1"/>
  <c r="Q7" i="430" s="1"/>
  <c r="J7" i="430"/>
  <c r="P7" i="430" s="1"/>
  <c r="F7" i="430"/>
  <c r="H7" i="430" s="1"/>
  <c r="AG6" i="430"/>
  <c r="AF6" i="430"/>
  <c r="W6" i="430"/>
  <c r="V6" i="430"/>
  <c r="N6" i="430"/>
  <c r="O6" i="430" s="1"/>
  <c r="L6" i="430"/>
  <c r="R6" i="430" s="1"/>
  <c r="K6" i="430"/>
  <c r="J6" i="430"/>
  <c r="H6" i="430"/>
  <c r="F6" i="430"/>
  <c r="W5" i="430"/>
  <c r="N5" i="430" s="1"/>
  <c r="P5" i="430"/>
  <c r="K5" i="430"/>
  <c r="J5" i="430"/>
  <c r="H5" i="430"/>
  <c r="F5" i="430"/>
  <c r="I2" i="430"/>
  <c r="I1" i="430"/>
  <c r="E1" i="430"/>
  <c r="J22" i="429"/>
  <c r="I22" i="429"/>
  <c r="F22" i="429"/>
  <c r="J21" i="429"/>
  <c r="I21" i="429"/>
  <c r="H21" i="429"/>
  <c r="G21" i="429"/>
  <c r="E21" i="429"/>
  <c r="D21" i="429"/>
  <c r="J20" i="429"/>
  <c r="I20" i="429"/>
  <c r="E20" i="429"/>
  <c r="J19" i="429"/>
  <c r="I19" i="429"/>
  <c r="F19" i="429"/>
  <c r="D19" i="429"/>
  <c r="J18" i="429"/>
  <c r="G18" i="429"/>
  <c r="F18" i="429"/>
  <c r="D18" i="429"/>
  <c r="L6" i="429" s="1"/>
  <c r="J16" i="429"/>
  <c r="I16" i="429"/>
  <c r="H16" i="429"/>
  <c r="G16" i="429"/>
  <c r="F16" i="429"/>
  <c r="E16" i="429"/>
  <c r="D16" i="429"/>
  <c r="J14" i="429"/>
  <c r="J13" i="429"/>
  <c r="O8" i="429"/>
  <c r="N8" i="429"/>
  <c r="M8" i="429"/>
  <c r="L8" i="429"/>
  <c r="O7" i="429"/>
  <c r="N7" i="429"/>
  <c r="M7" i="429"/>
  <c r="L7" i="429"/>
  <c r="G3" i="429"/>
  <c r="AG79" i="428"/>
  <c r="AH70" i="428" s="1"/>
  <c r="AF79" i="428"/>
  <c r="AE79" i="428"/>
  <c r="J21" i="427" s="1"/>
  <c r="AD79" i="428"/>
  <c r="J20" i="427" s="1"/>
  <c r="AA79" i="428"/>
  <c r="Z79" i="428"/>
  <c r="W78" i="428"/>
  <c r="H78" i="428"/>
  <c r="W77" i="428"/>
  <c r="H77" i="428"/>
  <c r="W76" i="428"/>
  <c r="H76" i="428"/>
  <c r="W75" i="428"/>
  <c r="H75" i="428"/>
  <c r="W74" i="428"/>
  <c r="W73" i="428"/>
  <c r="W72" i="428"/>
  <c r="W71" i="428"/>
  <c r="AG70" i="428"/>
  <c r="AF70" i="428"/>
  <c r="W70" i="428"/>
  <c r="S70" i="428"/>
  <c r="J15" i="427" s="1"/>
  <c r="AE69" i="428"/>
  <c r="I21" i="427" s="1"/>
  <c r="AD69" i="428"/>
  <c r="AA69" i="428"/>
  <c r="Z69" i="428"/>
  <c r="I18" i="427" s="1"/>
  <c r="M69" i="428"/>
  <c r="K69" i="428"/>
  <c r="W68" i="428"/>
  <c r="H68" i="428"/>
  <c r="W67" i="428"/>
  <c r="W66" i="428"/>
  <c r="W65" i="428"/>
  <c r="W64" i="428"/>
  <c r="W63" i="428"/>
  <c r="V63" i="428"/>
  <c r="P63" i="428"/>
  <c r="O63" i="428"/>
  <c r="N63" i="428"/>
  <c r="K63" i="428"/>
  <c r="L63" i="428" s="1"/>
  <c r="R63" i="428" s="1"/>
  <c r="J63" i="428"/>
  <c r="H63" i="428"/>
  <c r="F63" i="428"/>
  <c r="W62" i="428"/>
  <c r="V62" i="428"/>
  <c r="O62" i="428"/>
  <c r="N62" i="428"/>
  <c r="K62" i="428"/>
  <c r="J62" i="428"/>
  <c r="P62" i="428" s="1"/>
  <c r="H62" i="428"/>
  <c r="F62" i="428"/>
  <c r="W61" i="428"/>
  <c r="V61" i="428"/>
  <c r="P61" i="428"/>
  <c r="N61" i="428"/>
  <c r="L61" i="428"/>
  <c r="K61" i="428"/>
  <c r="J61" i="428"/>
  <c r="H61" i="428"/>
  <c r="F61" i="428"/>
  <c r="AG60" i="428"/>
  <c r="W60" i="428"/>
  <c r="N60" i="428" s="1"/>
  <c r="AF60" i="428" s="1"/>
  <c r="V60" i="428"/>
  <c r="O60" i="428"/>
  <c r="K60" i="428"/>
  <c r="J60" i="428"/>
  <c r="P60" i="428" s="1"/>
  <c r="H60" i="428"/>
  <c r="F60" i="428"/>
  <c r="W59" i="428"/>
  <c r="N59" i="428" s="1"/>
  <c r="K59" i="428"/>
  <c r="AF59" i="428" s="1"/>
  <c r="J59" i="428"/>
  <c r="H59" i="428"/>
  <c r="F59" i="428"/>
  <c r="AE58" i="428"/>
  <c r="H21" i="427" s="1"/>
  <c r="AD58" i="428"/>
  <c r="H20" i="427" s="1"/>
  <c r="AA58" i="428"/>
  <c r="Z58" i="428"/>
  <c r="M58" i="428"/>
  <c r="K58" i="428"/>
  <c r="W57" i="428"/>
  <c r="W56" i="428"/>
  <c r="W55" i="428"/>
  <c r="W54" i="428"/>
  <c r="AG53" i="428"/>
  <c r="AF53" i="428"/>
  <c r="W53" i="428"/>
  <c r="AG52" i="428"/>
  <c r="W52" i="428"/>
  <c r="N52" i="428" s="1"/>
  <c r="V52" i="428"/>
  <c r="O52" i="428"/>
  <c r="K52" i="428"/>
  <c r="J52" i="428"/>
  <c r="P52" i="428" s="1"/>
  <c r="F52" i="428"/>
  <c r="H52" i="428" s="1"/>
  <c r="AG51" i="428"/>
  <c r="AF51" i="428"/>
  <c r="W51" i="428"/>
  <c r="N51" i="428" s="1"/>
  <c r="O51" i="428" s="1"/>
  <c r="V51" i="428"/>
  <c r="L51" i="428"/>
  <c r="Q51" i="428" s="1"/>
  <c r="K51" i="428"/>
  <c r="J51" i="428"/>
  <c r="P51" i="428" s="1"/>
  <c r="F51" i="428"/>
  <c r="H51" i="428" s="1"/>
  <c r="W50" i="428"/>
  <c r="V50" i="428"/>
  <c r="P50" i="428"/>
  <c r="N50" i="428"/>
  <c r="L50" i="428"/>
  <c r="F50" i="428"/>
  <c r="H50" i="428" s="1"/>
  <c r="W49" i="428"/>
  <c r="N49" i="428"/>
  <c r="K49" i="428"/>
  <c r="L49" i="428" s="1"/>
  <c r="J49" i="428"/>
  <c r="P49" i="428" s="1"/>
  <c r="H49" i="428"/>
  <c r="F49" i="428"/>
  <c r="AE48" i="428"/>
  <c r="G21" i="427" s="1"/>
  <c r="AD48" i="428"/>
  <c r="AA48" i="428"/>
  <c r="Z48" i="428"/>
  <c r="W48" i="428"/>
  <c r="M48" i="428"/>
  <c r="G22" i="427" s="1"/>
  <c r="K48" i="428"/>
  <c r="J48" i="428"/>
  <c r="P48" i="428" s="1"/>
  <c r="W47" i="428"/>
  <c r="H47" i="428"/>
  <c r="W46" i="428"/>
  <c r="W45" i="428"/>
  <c r="W44" i="428"/>
  <c r="W43" i="428"/>
  <c r="W42" i="428"/>
  <c r="AG41" i="428"/>
  <c r="AF41" i="428"/>
  <c r="W41" i="428"/>
  <c r="AG40" i="428"/>
  <c r="AF40" i="428"/>
  <c r="W40" i="428"/>
  <c r="V40" i="428"/>
  <c r="O40" i="428"/>
  <c r="N40" i="428"/>
  <c r="K40" i="428"/>
  <c r="J40" i="428"/>
  <c r="P40" i="428" s="1"/>
  <c r="H40" i="428"/>
  <c r="F40" i="428"/>
  <c r="W39" i="428"/>
  <c r="V39" i="428"/>
  <c r="N39" i="428"/>
  <c r="K39" i="428"/>
  <c r="J39" i="428"/>
  <c r="P39" i="428" s="1"/>
  <c r="F39" i="428"/>
  <c r="H39" i="428" s="1"/>
  <c r="W38" i="428"/>
  <c r="N38" i="428" s="1"/>
  <c r="P38" i="428"/>
  <c r="K38" i="428"/>
  <c r="J38" i="428"/>
  <c r="L38" i="428" s="1"/>
  <c r="F38" i="428"/>
  <c r="H38" i="428" s="1"/>
  <c r="AE37" i="428"/>
  <c r="AD37" i="428"/>
  <c r="AA37" i="428"/>
  <c r="Z37" i="428"/>
  <c r="Z2" i="428" s="1"/>
  <c r="M37" i="428"/>
  <c r="W36" i="428"/>
  <c r="H36" i="428"/>
  <c r="W35" i="428"/>
  <c r="W34" i="428"/>
  <c r="W33" i="428"/>
  <c r="W32" i="428"/>
  <c r="AG31" i="428"/>
  <c r="AF31" i="428"/>
  <c r="W31" i="428"/>
  <c r="W30" i="428"/>
  <c r="V30" i="428"/>
  <c r="P30" i="428"/>
  <c r="N30" i="428"/>
  <c r="K30" i="428"/>
  <c r="L30" i="428" s="1"/>
  <c r="J30" i="428"/>
  <c r="F30" i="428"/>
  <c r="H30" i="428" s="1"/>
  <c r="W29" i="428"/>
  <c r="N29" i="428" s="1"/>
  <c r="V29" i="428"/>
  <c r="P29" i="428"/>
  <c r="L29" i="428"/>
  <c r="K29" i="428"/>
  <c r="J29" i="428"/>
  <c r="F29" i="428"/>
  <c r="H29" i="428" s="1"/>
  <c r="W28" i="428"/>
  <c r="N28" i="428" s="1"/>
  <c r="AG28" i="428" s="1"/>
  <c r="V28" i="428"/>
  <c r="O28" i="428"/>
  <c r="K28" i="428"/>
  <c r="J28" i="428"/>
  <c r="L28" i="428" s="1"/>
  <c r="F28" i="428"/>
  <c r="H28" i="428" s="1"/>
  <c r="AG27" i="428"/>
  <c r="W27" i="428"/>
  <c r="N27" i="428" s="1"/>
  <c r="K27" i="428"/>
  <c r="L27" i="428" s="1"/>
  <c r="L37" i="428" s="1"/>
  <c r="F13" i="427" s="1"/>
  <c r="J27" i="428"/>
  <c r="F27" i="428"/>
  <c r="H27" i="428" s="1"/>
  <c r="AE26" i="428"/>
  <c r="AD26" i="428"/>
  <c r="AA26" i="428"/>
  <c r="Z26" i="428"/>
  <c r="M26" i="428"/>
  <c r="J26" i="428"/>
  <c r="W25" i="428"/>
  <c r="H25" i="428"/>
  <c r="W24" i="428"/>
  <c r="H24" i="428"/>
  <c r="W23" i="428"/>
  <c r="W21" i="428"/>
  <c r="W20" i="428"/>
  <c r="AG19" i="428"/>
  <c r="AF19" i="428"/>
  <c r="W19" i="428"/>
  <c r="W18" i="428"/>
  <c r="N18" i="428" s="1"/>
  <c r="V18" i="428"/>
  <c r="L18" i="428"/>
  <c r="K18" i="428"/>
  <c r="J18" i="428"/>
  <c r="P18" i="428" s="1"/>
  <c r="H18" i="428"/>
  <c r="F18" i="428"/>
  <c r="W17" i="428"/>
  <c r="V17" i="428"/>
  <c r="N17" i="428"/>
  <c r="K17" i="428"/>
  <c r="L17" i="428" s="1"/>
  <c r="J17" i="428"/>
  <c r="P17" i="428" s="1"/>
  <c r="F17" i="428"/>
  <c r="H17" i="428" s="1"/>
  <c r="W16" i="428"/>
  <c r="P16" i="428"/>
  <c r="O16" i="428"/>
  <c r="N16" i="428"/>
  <c r="K16" i="428"/>
  <c r="J16" i="428"/>
  <c r="H16" i="428"/>
  <c r="F16" i="428"/>
  <c r="AE15" i="428"/>
  <c r="AE2" i="428" s="1"/>
  <c r="AD15" i="428"/>
  <c r="AA15" i="428"/>
  <c r="Z15" i="428"/>
  <c r="D18" i="427" s="1"/>
  <c r="N15" i="428"/>
  <c r="M15" i="428"/>
  <c r="D22" i="427" s="1"/>
  <c r="W14" i="428"/>
  <c r="W13" i="428"/>
  <c r="W12" i="428"/>
  <c r="AG11" i="428"/>
  <c r="AF11" i="428"/>
  <c r="W11" i="428"/>
  <c r="AG10" i="428"/>
  <c r="AF10" i="428"/>
  <c r="W10" i="428"/>
  <c r="AG9" i="428"/>
  <c r="AF9" i="428"/>
  <c r="W9" i="428"/>
  <c r="AG8" i="428"/>
  <c r="AF8" i="428"/>
  <c r="W8" i="428"/>
  <c r="AG7" i="428"/>
  <c r="W7" i="428"/>
  <c r="V7" i="428"/>
  <c r="N7" i="428"/>
  <c r="K7" i="428"/>
  <c r="L7" i="428" s="1"/>
  <c r="J7" i="428"/>
  <c r="P7" i="428" s="1"/>
  <c r="H7" i="428"/>
  <c r="F7" i="428"/>
  <c r="W6" i="428"/>
  <c r="V6" i="428"/>
  <c r="N6" i="428"/>
  <c r="K6" i="428"/>
  <c r="J6" i="428"/>
  <c r="P6" i="428" s="1"/>
  <c r="H6" i="428"/>
  <c r="F6" i="428"/>
  <c r="W5" i="428"/>
  <c r="O5" i="428"/>
  <c r="N5" i="428"/>
  <c r="AF5" i="428" s="1"/>
  <c r="K5" i="428"/>
  <c r="J5" i="428"/>
  <c r="J15" i="428" s="1"/>
  <c r="P15" i="428" s="1"/>
  <c r="H5" i="428"/>
  <c r="F5" i="428"/>
  <c r="I2" i="428"/>
  <c r="I1" i="428"/>
  <c r="E1" i="428"/>
  <c r="G3" i="427" s="1"/>
  <c r="J22" i="427"/>
  <c r="I22" i="427"/>
  <c r="H22" i="427"/>
  <c r="F22" i="427"/>
  <c r="E22" i="427"/>
  <c r="F21" i="427"/>
  <c r="E21" i="427"/>
  <c r="D21" i="427"/>
  <c r="I20" i="427"/>
  <c r="G20" i="427"/>
  <c r="F20" i="427"/>
  <c r="E20" i="427"/>
  <c r="J19" i="427"/>
  <c r="H19" i="427"/>
  <c r="G19" i="427"/>
  <c r="F19" i="427"/>
  <c r="E19" i="427"/>
  <c r="D19" i="427"/>
  <c r="J18" i="427"/>
  <c r="H18" i="427"/>
  <c r="G18" i="427"/>
  <c r="E18" i="427"/>
  <c r="J16" i="427"/>
  <c r="I16" i="427"/>
  <c r="H16" i="427"/>
  <c r="G16" i="427"/>
  <c r="F16" i="427"/>
  <c r="E16" i="427"/>
  <c r="D16" i="427"/>
  <c r="J14" i="427"/>
  <c r="J13" i="427"/>
  <c r="O8" i="427"/>
  <c r="N8" i="427"/>
  <c r="M8" i="427"/>
  <c r="L8" i="427"/>
  <c r="O7" i="427"/>
  <c r="N7" i="427"/>
  <c r="M7" i="427"/>
  <c r="L7" i="427"/>
  <c r="AG79" i="426"/>
  <c r="AF79" i="426"/>
  <c r="AE79" i="426"/>
  <c r="J21" i="425" s="1"/>
  <c r="AD79" i="426"/>
  <c r="AA79" i="426"/>
  <c r="Z79" i="426"/>
  <c r="W78" i="426"/>
  <c r="H78" i="426"/>
  <c r="W77" i="426"/>
  <c r="H77" i="426"/>
  <c r="W76" i="426"/>
  <c r="H76" i="426"/>
  <c r="W75" i="426"/>
  <c r="H75" i="426"/>
  <c r="W74" i="426"/>
  <c r="W73" i="426"/>
  <c r="W72" i="426"/>
  <c r="W71" i="426"/>
  <c r="AH70" i="426"/>
  <c r="AG70" i="426"/>
  <c r="AF70" i="426"/>
  <c r="W70" i="426"/>
  <c r="S70" i="426"/>
  <c r="AE69" i="426"/>
  <c r="I21" i="425" s="1"/>
  <c r="AD69" i="426"/>
  <c r="I20" i="425" s="1"/>
  <c r="AA69" i="426"/>
  <c r="Z69" i="426"/>
  <c r="I18" i="425" s="1"/>
  <c r="M69" i="426"/>
  <c r="I22" i="425" s="1"/>
  <c r="K69" i="426"/>
  <c r="W68" i="426"/>
  <c r="H68" i="426"/>
  <c r="W67" i="426"/>
  <c r="W66" i="426"/>
  <c r="W65" i="426"/>
  <c r="W64" i="426"/>
  <c r="W63" i="426"/>
  <c r="W62" i="426"/>
  <c r="N62" i="426"/>
  <c r="AG62" i="426" s="1"/>
  <c r="L62" i="426"/>
  <c r="K62" i="426"/>
  <c r="J62" i="426"/>
  <c r="P62" i="426" s="1"/>
  <c r="F62" i="426"/>
  <c r="H62" i="426" s="1"/>
  <c r="W61" i="426"/>
  <c r="N61" i="426" s="1"/>
  <c r="V61" i="426"/>
  <c r="P61" i="426"/>
  <c r="L61" i="426"/>
  <c r="K61" i="426"/>
  <c r="J61" i="426"/>
  <c r="F61" i="426"/>
  <c r="H61" i="426" s="1"/>
  <c r="AG60" i="426"/>
  <c r="AF60" i="426"/>
  <c r="W60" i="426"/>
  <c r="N60" i="426" s="1"/>
  <c r="V60" i="426"/>
  <c r="P60" i="426"/>
  <c r="O60" i="426"/>
  <c r="L60" i="426"/>
  <c r="K60" i="426"/>
  <c r="J60" i="426"/>
  <c r="F60" i="426"/>
  <c r="H60" i="426" s="1"/>
  <c r="W59" i="426"/>
  <c r="N59" i="426" s="1"/>
  <c r="O59" i="426"/>
  <c r="K59" i="426"/>
  <c r="J59" i="426"/>
  <c r="J69" i="426" s="1"/>
  <c r="F59" i="426"/>
  <c r="H59" i="426" s="1"/>
  <c r="AE58" i="426"/>
  <c r="AD58" i="426"/>
  <c r="AA58" i="426"/>
  <c r="Z58" i="426"/>
  <c r="M58" i="426"/>
  <c r="H22" i="425" s="1"/>
  <c r="W57" i="426"/>
  <c r="W56" i="426"/>
  <c r="W55" i="426"/>
  <c r="W54" i="426"/>
  <c r="AG53" i="426"/>
  <c r="AF53" i="426"/>
  <c r="W53" i="426"/>
  <c r="AG52" i="426"/>
  <c r="AF52" i="426"/>
  <c r="W52" i="426"/>
  <c r="W51" i="426"/>
  <c r="V51" i="426"/>
  <c r="N51" i="426"/>
  <c r="O51" i="426" s="1"/>
  <c r="K51" i="426"/>
  <c r="J51" i="426"/>
  <c r="P51" i="426" s="1"/>
  <c r="F51" i="426"/>
  <c r="H51" i="426" s="1"/>
  <c r="W50" i="426"/>
  <c r="N50" i="426" s="1"/>
  <c r="AG50" i="426" s="1"/>
  <c r="V50" i="426"/>
  <c r="O50" i="426"/>
  <c r="K50" i="426"/>
  <c r="L50" i="426" s="1"/>
  <c r="J50" i="426"/>
  <c r="P50" i="426" s="1"/>
  <c r="F50" i="426"/>
  <c r="H50" i="426" s="1"/>
  <c r="W49" i="426"/>
  <c r="N49" i="426"/>
  <c r="O49" i="426" s="1"/>
  <c r="K49" i="426"/>
  <c r="J49" i="426"/>
  <c r="F49" i="426"/>
  <c r="H49" i="426" s="1"/>
  <c r="AE48" i="426"/>
  <c r="AD48" i="426"/>
  <c r="G20" i="425" s="1"/>
  <c r="AA48" i="426"/>
  <c r="Z48" i="426"/>
  <c r="G18" i="425" s="1"/>
  <c r="W48" i="426"/>
  <c r="M48" i="426"/>
  <c r="W47" i="426"/>
  <c r="H47" i="426"/>
  <c r="W46" i="426"/>
  <c r="W45" i="426"/>
  <c r="W44" i="426"/>
  <c r="W43" i="426"/>
  <c r="W42" i="426"/>
  <c r="AG41" i="426"/>
  <c r="AF41" i="426"/>
  <c r="W41" i="426"/>
  <c r="W40" i="426"/>
  <c r="N40" i="426" s="1"/>
  <c r="V40" i="426"/>
  <c r="P40" i="426"/>
  <c r="K40" i="426"/>
  <c r="L40" i="426" s="1"/>
  <c r="J40" i="426"/>
  <c r="H40" i="426"/>
  <c r="F40" i="426"/>
  <c r="W39" i="426"/>
  <c r="N39" i="426" s="1"/>
  <c r="V39" i="426"/>
  <c r="P39" i="426"/>
  <c r="L39" i="426"/>
  <c r="K39" i="426"/>
  <c r="J39" i="426"/>
  <c r="F39" i="426"/>
  <c r="H39" i="426" s="1"/>
  <c r="W38" i="426"/>
  <c r="N38" i="426" s="1"/>
  <c r="K38" i="426"/>
  <c r="J38" i="426"/>
  <c r="F38" i="426"/>
  <c r="H38" i="426" s="1"/>
  <c r="AE37" i="426"/>
  <c r="AD37" i="426"/>
  <c r="F20" i="425" s="1"/>
  <c r="AA37" i="426"/>
  <c r="F19" i="425" s="1"/>
  <c r="Z37" i="426"/>
  <c r="F18" i="425" s="1"/>
  <c r="M37" i="426"/>
  <c r="W36" i="426"/>
  <c r="H36" i="426"/>
  <c r="W35" i="426"/>
  <c r="W34" i="426"/>
  <c r="W33" i="426"/>
  <c r="W32" i="426"/>
  <c r="W31" i="426"/>
  <c r="V31" i="426"/>
  <c r="P31" i="426"/>
  <c r="O31" i="426"/>
  <c r="N31" i="426"/>
  <c r="K31" i="426"/>
  <c r="L31" i="426" s="1"/>
  <c r="J31" i="426"/>
  <c r="F31" i="426"/>
  <c r="H31" i="426" s="1"/>
  <c r="W30" i="426"/>
  <c r="V30" i="426"/>
  <c r="P30" i="426"/>
  <c r="N30" i="426"/>
  <c r="L30" i="426"/>
  <c r="K30" i="426"/>
  <c r="J30" i="426"/>
  <c r="H30" i="426"/>
  <c r="F30" i="426"/>
  <c r="AF29" i="426"/>
  <c r="W29" i="426"/>
  <c r="N29" i="426" s="1"/>
  <c r="AG29" i="426" s="1"/>
  <c r="V29" i="426"/>
  <c r="P29" i="426"/>
  <c r="O29" i="426"/>
  <c r="K29" i="426"/>
  <c r="J29" i="426"/>
  <c r="H29" i="426"/>
  <c r="F29" i="426"/>
  <c r="AF28" i="426"/>
  <c r="W28" i="426"/>
  <c r="V28" i="426"/>
  <c r="N28" i="426"/>
  <c r="K28" i="426"/>
  <c r="L28" i="426" s="1"/>
  <c r="J28" i="426"/>
  <c r="P28" i="426" s="1"/>
  <c r="H28" i="426"/>
  <c r="F28" i="426"/>
  <c r="W27" i="426"/>
  <c r="N27" i="426" s="1"/>
  <c r="K27" i="426"/>
  <c r="J27" i="426"/>
  <c r="H27" i="426"/>
  <c r="F27" i="426"/>
  <c r="AE26" i="426"/>
  <c r="AD26" i="426"/>
  <c r="AA26" i="426"/>
  <c r="E19" i="425" s="1"/>
  <c r="Z26" i="426"/>
  <c r="N26" i="426"/>
  <c r="M26" i="426"/>
  <c r="W25" i="426"/>
  <c r="H25" i="426"/>
  <c r="W24" i="426"/>
  <c r="H24" i="426"/>
  <c r="W23" i="426"/>
  <c r="W21" i="426"/>
  <c r="W20" i="426"/>
  <c r="W19" i="426"/>
  <c r="N19" i="426" s="1"/>
  <c r="V19" i="426"/>
  <c r="K19" i="426"/>
  <c r="J19" i="426"/>
  <c r="H19" i="426"/>
  <c r="F19" i="426"/>
  <c r="W18" i="426"/>
  <c r="V18" i="426"/>
  <c r="O18" i="426"/>
  <c r="N18" i="426"/>
  <c r="K18" i="426"/>
  <c r="L18" i="426" s="1"/>
  <c r="J18" i="426"/>
  <c r="P18" i="426" s="1"/>
  <c r="H18" i="426"/>
  <c r="F18" i="426"/>
  <c r="W17" i="426"/>
  <c r="V17" i="426"/>
  <c r="P17" i="426"/>
  <c r="O17" i="426"/>
  <c r="N17" i="426"/>
  <c r="K17" i="426"/>
  <c r="L17" i="426" s="1"/>
  <c r="J17" i="426"/>
  <c r="F17" i="426"/>
  <c r="H17" i="426" s="1"/>
  <c r="W16" i="426"/>
  <c r="N16" i="426" s="1"/>
  <c r="P16" i="426"/>
  <c r="O16" i="426"/>
  <c r="K16" i="426"/>
  <c r="J16" i="426"/>
  <c r="F16" i="426"/>
  <c r="H16" i="426" s="1"/>
  <c r="AE15" i="426"/>
  <c r="D21" i="425" s="1"/>
  <c r="AD15" i="426"/>
  <c r="D20" i="425" s="1"/>
  <c r="AA15" i="426"/>
  <c r="D19" i="425" s="1"/>
  <c r="Z15" i="426"/>
  <c r="M15" i="426"/>
  <c r="P15" i="426" s="1"/>
  <c r="L15" i="426"/>
  <c r="D13" i="425" s="1"/>
  <c r="J15" i="426"/>
  <c r="W14" i="426"/>
  <c r="W13" i="426"/>
  <c r="W12" i="426"/>
  <c r="AG11" i="426"/>
  <c r="AF11" i="426"/>
  <c r="W11" i="426"/>
  <c r="AG10" i="426"/>
  <c r="AF10" i="426"/>
  <c r="W10" i="426"/>
  <c r="AG9" i="426"/>
  <c r="AF9" i="426"/>
  <c r="W9" i="426"/>
  <c r="AG8" i="426"/>
  <c r="AF8" i="426"/>
  <c r="W8" i="426"/>
  <c r="W7" i="426"/>
  <c r="V7" i="426"/>
  <c r="P7" i="426"/>
  <c r="N7" i="426"/>
  <c r="L7" i="426"/>
  <c r="K7" i="426"/>
  <c r="J7" i="426"/>
  <c r="F7" i="426"/>
  <c r="H7" i="426" s="1"/>
  <c r="AF6" i="426"/>
  <c r="W6" i="426"/>
  <c r="V6" i="426"/>
  <c r="P6" i="426"/>
  <c r="N6" i="426"/>
  <c r="L6" i="426"/>
  <c r="K6" i="426"/>
  <c r="J6" i="426"/>
  <c r="F6" i="426"/>
  <c r="H6" i="426" s="1"/>
  <c r="AG5" i="426"/>
  <c r="W5" i="426"/>
  <c r="N5" i="426" s="1"/>
  <c r="O5" i="426" s="1"/>
  <c r="R5" i="426"/>
  <c r="Q5" i="426"/>
  <c r="P5" i="426"/>
  <c r="K5" i="426"/>
  <c r="L5" i="426" s="1"/>
  <c r="J5" i="426"/>
  <c r="H5" i="426"/>
  <c r="F5" i="426"/>
  <c r="AE2" i="426"/>
  <c r="I2" i="426"/>
  <c r="E1" i="426"/>
  <c r="J22" i="425"/>
  <c r="E22" i="425"/>
  <c r="D22" i="425"/>
  <c r="H21" i="425"/>
  <c r="G21" i="425"/>
  <c r="F21" i="425"/>
  <c r="E21" i="425"/>
  <c r="J20" i="425"/>
  <c r="H20" i="425"/>
  <c r="J19" i="425"/>
  <c r="I19" i="425"/>
  <c r="H19" i="425"/>
  <c r="G19" i="425"/>
  <c r="J18" i="425"/>
  <c r="H18" i="425"/>
  <c r="E18" i="425"/>
  <c r="D18" i="425"/>
  <c r="L6" i="425" s="1"/>
  <c r="J16" i="425"/>
  <c r="I16" i="425"/>
  <c r="H16" i="425"/>
  <c r="G16" i="425"/>
  <c r="F16" i="425"/>
  <c r="E16" i="425"/>
  <c r="D16" i="425"/>
  <c r="J15" i="425"/>
  <c r="J14" i="425"/>
  <c r="J13" i="425"/>
  <c r="O8" i="425"/>
  <c r="N8" i="425"/>
  <c r="M8" i="425"/>
  <c r="L8" i="425"/>
  <c r="O7" i="425"/>
  <c r="N7" i="425"/>
  <c r="M7" i="425"/>
  <c r="L7" i="425"/>
  <c r="G3" i="425"/>
  <c r="AG79" i="424"/>
  <c r="AH70" i="424" s="1"/>
  <c r="AF79" i="424"/>
  <c r="AE79" i="424"/>
  <c r="AD79" i="424"/>
  <c r="J20" i="423" s="1"/>
  <c r="AA79" i="424"/>
  <c r="Z79" i="424"/>
  <c r="W78" i="424"/>
  <c r="H78" i="424"/>
  <c r="W77" i="424"/>
  <c r="H77" i="424"/>
  <c r="W76" i="424"/>
  <c r="H76" i="424"/>
  <c r="W75" i="424"/>
  <c r="H75" i="424"/>
  <c r="W74" i="424"/>
  <c r="W73" i="424"/>
  <c r="W72" i="424"/>
  <c r="W71" i="424"/>
  <c r="AG70" i="424"/>
  <c r="AF70" i="424"/>
  <c r="W70" i="424"/>
  <c r="S70" i="424"/>
  <c r="J15" i="423" s="1"/>
  <c r="AE69" i="424"/>
  <c r="AD69" i="424"/>
  <c r="I20" i="423" s="1"/>
  <c r="AA69" i="424"/>
  <c r="Z69" i="424"/>
  <c r="M69" i="424"/>
  <c r="I22" i="423" s="1"/>
  <c r="K69" i="424"/>
  <c r="W68" i="424"/>
  <c r="H68" i="424"/>
  <c r="W67" i="424"/>
  <c r="W66" i="424"/>
  <c r="W65" i="424"/>
  <c r="W64" i="424"/>
  <c r="W63" i="424"/>
  <c r="AG62" i="424"/>
  <c r="AF62" i="424"/>
  <c r="W62" i="424"/>
  <c r="W61" i="424"/>
  <c r="N61" i="424" s="1"/>
  <c r="V61" i="424"/>
  <c r="K61" i="424"/>
  <c r="J61" i="424"/>
  <c r="H61" i="424"/>
  <c r="F61" i="424"/>
  <c r="W60" i="424"/>
  <c r="N60" i="424" s="1"/>
  <c r="V60" i="424"/>
  <c r="K60" i="424"/>
  <c r="J60" i="424"/>
  <c r="L60" i="424" s="1"/>
  <c r="H60" i="424"/>
  <c r="F60" i="424"/>
  <c r="W59" i="424"/>
  <c r="N59" i="424" s="1"/>
  <c r="P59" i="424"/>
  <c r="O59" i="424"/>
  <c r="K59" i="424"/>
  <c r="L59" i="424" s="1"/>
  <c r="J59" i="424"/>
  <c r="F59" i="424"/>
  <c r="H59" i="424" s="1"/>
  <c r="AE58" i="424"/>
  <c r="AD58" i="424"/>
  <c r="H20" i="423" s="1"/>
  <c r="AA58" i="424"/>
  <c r="H19" i="423" s="1"/>
  <c r="Z58" i="424"/>
  <c r="H18" i="423" s="1"/>
  <c r="M58" i="424"/>
  <c r="H22" i="423" s="1"/>
  <c r="W57" i="424"/>
  <c r="W56" i="424"/>
  <c r="W55" i="424"/>
  <c r="W54" i="424"/>
  <c r="AG53" i="424"/>
  <c r="AF53" i="424"/>
  <c r="W53" i="424"/>
  <c r="AG52" i="424"/>
  <c r="AF52" i="424"/>
  <c r="W52" i="424"/>
  <c r="W51" i="424"/>
  <c r="V51" i="424"/>
  <c r="P51" i="424"/>
  <c r="N51" i="424"/>
  <c r="AG51" i="424" s="1"/>
  <c r="K51" i="424"/>
  <c r="L51" i="424" s="1"/>
  <c r="J51" i="424"/>
  <c r="H51" i="424"/>
  <c r="F51" i="424"/>
  <c r="W50" i="424"/>
  <c r="N50" i="424" s="1"/>
  <c r="V50" i="424"/>
  <c r="K50" i="424"/>
  <c r="L50" i="424" s="1"/>
  <c r="J50" i="424"/>
  <c r="P50" i="424" s="1"/>
  <c r="H50" i="424"/>
  <c r="F50" i="424"/>
  <c r="W49" i="424"/>
  <c r="N49" i="424" s="1"/>
  <c r="K49" i="424"/>
  <c r="K58" i="424" s="1"/>
  <c r="J49" i="424"/>
  <c r="P49" i="424" s="1"/>
  <c r="F49" i="424"/>
  <c r="H49" i="424" s="1"/>
  <c r="AE48" i="424"/>
  <c r="AD48" i="424"/>
  <c r="AA48" i="424"/>
  <c r="Z48" i="424"/>
  <c r="W48" i="424"/>
  <c r="M48" i="424"/>
  <c r="G22" i="423" s="1"/>
  <c r="W47" i="424"/>
  <c r="H47" i="424"/>
  <c r="W46" i="424"/>
  <c r="W45" i="424"/>
  <c r="W44" i="424"/>
  <c r="W43" i="424"/>
  <c r="W42" i="424"/>
  <c r="AG41" i="424"/>
  <c r="AF41" i="424"/>
  <c r="W41" i="424"/>
  <c r="AG40" i="424"/>
  <c r="AF40" i="424"/>
  <c r="W40" i="424"/>
  <c r="W39" i="424"/>
  <c r="N39" i="424" s="1"/>
  <c r="V39" i="424"/>
  <c r="K39" i="424"/>
  <c r="J39" i="424"/>
  <c r="P39" i="424" s="1"/>
  <c r="F39" i="424"/>
  <c r="H39" i="424" s="1"/>
  <c r="AF38" i="424"/>
  <c r="W38" i="424"/>
  <c r="N38" i="424"/>
  <c r="O38" i="424" s="1"/>
  <c r="K38" i="424"/>
  <c r="J38" i="424"/>
  <c r="H38" i="424"/>
  <c r="F38" i="424"/>
  <c r="AE37" i="424"/>
  <c r="AD37" i="424"/>
  <c r="F20" i="423" s="1"/>
  <c r="AA37" i="424"/>
  <c r="Z37" i="424"/>
  <c r="M37" i="424"/>
  <c r="K37" i="424"/>
  <c r="J37" i="424"/>
  <c r="W36" i="424"/>
  <c r="H36" i="424"/>
  <c r="W35" i="424"/>
  <c r="W34" i="424"/>
  <c r="W33" i="424"/>
  <c r="W32" i="424"/>
  <c r="W31" i="424"/>
  <c r="N31" i="424" s="1"/>
  <c r="V31" i="424"/>
  <c r="L31" i="424"/>
  <c r="K31" i="424"/>
  <c r="J31" i="424"/>
  <c r="P31" i="424" s="1"/>
  <c r="F31" i="424"/>
  <c r="H31" i="424" s="1"/>
  <c r="W30" i="424"/>
  <c r="N30" i="424" s="1"/>
  <c r="V30" i="424"/>
  <c r="K30" i="424"/>
  <c r="J30" i="424"/>
  <c r="P30" i="424" s="1"/>
  <c r="F30" i="424"/>
  <c r="H30" i="424" s="1"/>
  <c r="W29" i="424"/>
  <c r="N29" i="424" s="1"/>
  <c r="V29" i="424"/>
  <c r="P29" i="424"/>
  <c r="K29" i="424"/>
  <c r="L29" i="424" s="1"/>
  <c r="J29" i="424"/>
  <c r="H29" i="424"/>
  <c r="F29" i="424"/>
  <c r="AG28" i="424"/>
  <c r="W28" i="424"/>
  <c r="V28" i="424"/>
  <c r="O28" i="424"/>
  <c r="N28" i="424"/>
  <c r="K28" i="424"/>
  <c r="J28" i="424"/>
  <c r="P28" i="424" s="1"/>
  <c r="H28" i="424"/>
  <c r="F28" i="424"/>
  <c r="W27" i="424"/>
  <c r="N27" i="424" s="1"/>
  <c r="O27" i="424" s="1"/>
  <c r="P27" i="424"/>
  <c r="L27" i="424"/>
  <c r="K27" i="424"/>
  <c r="J27" i="424"/>
  <c r="F27" i="424"/>
  <c r="H27" i="424" s="1"/>
  <c r="AE26" i="424"/>
  <c r="AE2" i="424" s="1"/>
  <c r="AD26" i="424"/>
  <c r="AA26" i="424"/>
  <c r="E19" i="423" s="1"/>
  <c r="Z26" i="424"/>
  <c r="E18" i="423" s="1"/>
  <c r="N26" i="424"/>
  <c r="M26" i="424"/>
  <c r="W25" i="424"/>
  <c r="H25" i="424"/>
  <c r="W24" i="424"/>
  <c r="H24" i="424"/>
  <c r="W23" i="424"/>
  <c r="W21" i="424"/>
  <c r="W20" i="424"/>
  <c r="AG19" i="424"/>
  <c r="AF19" i="424"/>
  <c r="W19" i="424"/>
  <c r="N19" i="424" s="1"/>
  <c r="V19" i="424"/>
  <c r="P19" i="424"/>
  <c r="O19" i="424"/>
  <c r="L19" i="424"/>
  <c r="K19" i="424"/>
  <c r="J19" i="424"/>
  <c r="F19" i="424"/>
  <c r="H19" i="424" s="1"/>
  <c r="AG18" i="424"/>
  <c r="AF18" i="424"/>
  <c r="W18" i="424"/>
  <c r="N18" i="424" s="1"/>
  <c r="V18" i="424"/>
  <c r="O18" i="424"/>
  <c r="K18" i="424"/>
  <c r="J18" i="424"/>
  <c r="P18" i="424" s="1"/>
  <c r="H18" i="424"/>
  <c r="F18" i="424"/>
  <c r="AG17" i="424"/>
  <c r="W17" i="424"/>
  <c r="N17" i="424" s="1"/>
  <c r="O17" i="424" s="1"/>
  <c r="R17" i="424" s="1"/>
  <c r="P17" i="424"/>
  <c r="K17" i="424"/>
  <c r="L17" i="424" s="1"/>
  <c r="Q17" i="424" s="1"/>
  <c r="J17" i="424"/>
  <c r="F17" i="424"/>
  <c r="H17" i="424" s="1"/>
  <c r="AF16" i="424"/>
  <c r="W16" i="424"/>
  <c r="N16" i="424" s="1"/>
  <c r="AG16" i="424" s="1"/>
  <c r="O16" i="424"/>
  <c r="K16" i="424"/>
  <c r="J16" i="424"/>
  <c r="F16" i="424"/>
  <c r="H16" i="424" s="1"/>
  <c r="AE15" i="424"/>
  <c r="AD15" i="424"/>
  <c r="AA15" i="424"/>
  <c r="D19" i="423" s="1"/>
  <c r="Z15" i="424"/>
  <c r="M15" i="424"/>
  <c r="K15" i="424"/>
  <c r="W14" i="424"/>
  <c r="W13" i="424"/>
  <c r="W12" i="424"/>
  <c r="AG11" i="424"/>
  <c r="AF11" i="424"/>
  <c r="W11" i="424"/>
  <c r="AG10" i="424"/>
  <c r="AF10" i="424"/>
  <c r="W10" i="424"/>
  <c r="AG9" i="424"/>
  <c r="AF9" i="424"/>
  <c r="W9" i="424"/>
  <c r="AG8" i="424"/>
  <c r="AF8" i="424"/>
  <c r="W8" i="424"/>
  <c r="AG7" i="424"/>
  <c r="AF7" i="424"/>
  <c r="W7" i="424"/>
  <c r="W6" i="424"/>
  <c r="N6" i="424" s="1"/>
  <c r="V6" i="424"/>
  <c r="K6" i="424"/>
  <c r="J6" i="424"/>
  <c r="F6" i="424"/>
  <c r="H6" i="424" s="1"/>
  <c r="AG5" i="424"/>
  <c r="AF5" i="424"/>
  <c r="W5" i="424"/>
  <c r="N5" i="424"/>
  <c r="O5" i="424" s="1"/>
  <c r="K5" i="424"/>
  <c r="J5" i="424"/>
  <c r="F5" i="424"/>
  <c r="H5" i="424" s="1"/>
  <c r="I2" i="424"/>
  <c r="E1" i="424"/>
  <c r="G3" i="423" s="1"/>
  <c r="J22" i="423"/>
  <c r="E22" i="423"/>
  <c r="J21" i="423"/>
  <c r="I21" i="423"/>
  <c r="H21" i="423"/>
  <c r="G21" i="423"/>
  <c r="F21" i="423"/>
  <c r="E21" i="423"/>
  <c r="D21" i="423"/>
  <c r="G20" i="423"/>
  <c r="E20" i="423"/>
  <c r="D20" i="423"/>
  <c r="J19" i="423"/>
  <c r="I19" i="423"/>
  <c r="F19" i="423"/>
  <c r="J18" i="423"/>
  <c r="I18" i="423"/>
  <c r="G18" i="423"/>
  <c r="F18" i="423"/>
  <c r="D18" i="423"/>
  <c r="L6" i="423" s="1"/>
  <c r="J16" i="423"/>
  <c r="I16" i="423"/>
  <c r="H16" i="423"/>
  <c r="G16" i="423"/>
  <c r="F16" i="423"/>
  <c r="E16" i="423"/>
  <c r="D16" i="423"/>
  <c r="J14" i="423"/>
  <c r="J13" i="423"/>
  <c r="O8" i="423"/>
  <c r="N8" i="423"/>
  <c r="M8" i="423"/>
  <c r="L8" i="423"/>
  <c r="O7" i="423"/>
  <c r="N7" i="423"/>
  <c r="M7" i="423"/>
  <c r="L7" i="423"/>
  <c r="AG79" i="422"/>
  <c r="AF79" i="422"/>
  <c r="AE79" i="422"/>
  <c r="J21" i="421" s="1"/>
  <c r="AD79" i="422"/>
  <c r="J20" i="421" s="1"/>
  <c r="AA79" i="422"/>
  <c r="J18" i="421" s="1"/>
  <c r="Z79" i="422"/>
  <c r="W78" i="422"/>
  <c r="H78" i="422"/>
  <c r="W77" i="422"/>
  <c r="H77" i="422"/>
  <c r="W76" i="422"/>
  <c r="H76" i="422"/>
  <c r="W75" i="422"/>
  <c r="H75" i="422"/>
  <c r="W74" i="422"/>
  <c r="W73" i="422"/>
  <c r="W72" i="422"/>
  <c r="W71" i="422"/>
  <c r="AH70" i="422"/>
  <c r="AG70" i="422"/>
  <c r="AF70" i="422"/>
  <c r="W70" i="422"/>
  <c r="S70" i="422"/>
  <c r="AE69" i="422"/>
  <c r="AD69" i="422"/>
  <c r="AA69" i="422"/>
  <c r="I19" i="421" s="1"/>
  <c r="Z69" i="422"/>
  <c r="I18" i="421" s="1"/>
  <c r="M69" i="422"/>
  <c r="W68" i="422"/>
  <c r="H68" i="422"/>
  <c r="W67" i="422"/>
  <c r="W66" i="422"/>
  <c r="W65" i="422"/>
  <c r="W64" i="422"/>
  <c r="W63" i="422"/>
  <c r="W62" i="422"/>
  <c r="N62" i="422" s="1"/>
  <c r="AG62" i="422" s="1"/>
  <c r="L62" i="422"/>
  <c r="K62" i="422"/>
  <c r="J62" i="422"/>
  <c r="P62" i="422" s="1"/>
  <c r="F62" i="422"/>
  <c r="H62" i="422" s="1"/>
  <c r="AG61" i="422"/>
  <c r="AF61" i="422"/>
  <c r="W61" i="422"/>
  <c r="V61" i="422"/>
  <c r="O61" i="422"/>
  <c r="N61" i="422"/>
  <c r="L61" i="422"/>
  <c r="K61" i="422"/>
  <c r="J61" i="422"/>
  <c r="P61" i="422" s="1"/>
  <c r="F61" i="422"/>
  <c r="H61" i="422" s="1"/>
  <c r="W60" i="422"/>
  <c r="N60" i="422" s="1"/>
  <c r="V60" i="422"/>
  <c r="K60" i="422"/>
  <c r="J60" i="422"/>
  <c r="F60" i="422"/>
  <c r="H60" i="422" s="1"/>
  <c r="AF59" i="422"/>
  <c r="W59" i="422"/>
  <c r="N59" i="422"/>
  <c r="O59" i="422" s="1"/>
  <c r="K59" i="422"/>
  <c r="J59" i="422"/>
  <c r="H59" i="422"/>
  <c r="F59" i="422"/>
  <c r="AE58" i="422"/>
  <c r="H21" i="421" s="1"/>
  <c r="AD58" i="422"/>
  <c r="AA58" i="422"/>
  <c r="H19" i="421" s="1"/>
  <c r="Z58" i="422"/>
  <c r="H18" i="421" s="1"/>
  <c r="L6" i="421" s="1"/>
  <c r="M58" i="422"/>
  <c r="K58" i="422"/>
  <c r="W57" i="422"/>
  <c r="W56" i="422"/>
  <c r="W55" i="422"/>
  <c r="W54" i="422"/>
  <c r="AG53" i="422"/>
  <c r="AF53" i="422"/>
  <c r="W53" i="422"/>
  <c r="AG52" i="422"/>
  <c r="AF52" i="422"/>
  <c r="W52" i="422"/>
  <c r="V52" i="422"/>
  <c r="W51" i="422"/>
  <c r="V51" i="422"/>
  <c r="N51" i="422"/>
  <c r="K51" i="422"/>
  <c r="L51" i="422" s="1"/>
  <c r="J51" i="422"/>
  <c r="P51" i="422" s="1"/>
  <c r="F51" i="422"/>
  <c r="H51" i="422" s="1"/>
  <c r="W50" i="422"/>
  <c r="V50" i="422"/>
  <c r="P50" i="422"/>
  <c r="N50" i="422"/>
  <c r="K50" i="422"/>
  <c r="L50" i="422" s="1"/>
  <c r="J50" i="422"/>
  <c r="J58" i="422" s="1"/>
  <c r="F50" i="422"/>
  <c r="H50" i="422" s="1"/>
  <c r="W49" i="422"/>
  <c r="P49" i="422"/>
  <c r="N49" i="422"/>
  <c r="L49" i="422"/>
  <c r="L58" i="422" s="1"/>
  <c r="H13" i="421" s="1"/>
  <c r="K49" i="422"/>
  <c r="J49" i="422"/>
  <c r="F49" i="422"/>
  <c r="H49" i="422" s="1"/>
  <c r="AE48" i="422"/>
  <c r="G21" i="421" s="1"/>
  <c r="AD48" i="422"/>
  <c r="AA48" i="422"/>
  <c r="G19" i="421" s="1"/>
  <c r="Z48" i="422"/>
  <c r="W48" i="422"/>
  <c r="P48" i="422"/>
  <c r="M48" i="422"/>
  <c r="J48" i="422"/>
  <c r="W47" i="422"/>
  <c r="H47" i="422"/>
  <c r="W46" i="422"/>
  <c r="W45" i="422"/>
  <c r="W44" i="422"/>
  <c r="W43" i="422"/>
  <c r="W42" i="422"/>
  <c r="AG41" i="422"/>
  <c r="AF41" i="422"/>
  <c r="W41" i="422"/>
  <c r="AG40" i="422"/>
  <c r="AF40" i="422"/>
  <c r="W40" i="422"/>
  <c r="AG39" i="422"/>
  <c r="W39" i="422"/>
  <c r="V39" i="422"/>
  <c r="N39" i="422"/>
  <c r="AF39" i="422" s="1"/>
  <c r="L39" i="422"/>
  <c r="K39" i="422"/>
  <c r="J39" i="422"/>
  <c r="P39" i="422" s="1"/>
  <c r="H39" i="422"/>
  <c r="F39" i="422"/>
  <c r="AG38" i="422"/>
  <c r="AF38" i="422"/>
  <c r="W38" i="422"/>
  <c r="P38" i="422"/>
  <c r="O38" i="422"/>
  <c r="N38" i="422"/>
  <c r="K38" i="422"/>
  <c r="J38" i="422"/>
  <c r="F38" i="422"/>
  <c r="H38" i="422" s="1"/>
  <c r="AE37" i="422"/>
  <c r="F21" i="421" s="1"/>
  <c r="AD37" i="422"/>
  <c r="AA37" i="422"/>
  <c r="Z37" i="422"/>
  <c r="Z2" i="422" s="1"/>
  <c r="M37" i="422"/>
  <c r="W36" i="422"/>
  <c r="H36" i="422"/>
  <c r="W35" i="422"/>
  <c r="W34" i="422"/>
  <c r="W33" i="422"/>
  <c r="W32" i="422"/>
  <c r="AG31" i="422"/>
  <c r="AF31" i="422"/>
  <c r="W31" i="422"/>
  <c r="V31" i="422"/>
  <c r="O31" i="422"/>
  <c r="N31" i="422"/>
  <c r="L31" i="422"/>
  <c r="K31" i="422"/>
  <c r="J31" i="422"/>
  <c r="P31" i="422" s="1"/>
  <c r="F31" i="422"/>
  <c r="H31" i="422" s="1"/>
  <c r="AG30" i="422"/>
  <c r="W30" i="422"/>
  <c r="V30" i="422"/>
  <c r="O30" i="422"/>
  <c r="N30" i="422"/>
  <c r="L30" i="422"/>
  <c r="K30" i="422"/>
  <c r="J30" i="422"/>
  <c r="P30" i="422" s="1"/>
  <c r="H30" i="422"/>
  <c r="F30" i="422"/>
  <c r="W29" i="422"/>
  <c r="N29" i="422" s="1"/>
  <c r="V29" i="422"/>
  <c r="P29" i="422"/>
  <c r="L29" i="422"/>
  <c r="K29" i="422"/>
  <c r="J29" i="422"/>
  <c r="F29" i="422"/>
  <c r="H29" i="422" s="1"/>
  <c r="AF28" i="422"/>
  <c r="W28" i="422"/>
  <c r="V28" i="422"/>
  <c r="R28" i="422"/>
  <c r="O28" i="422"/>
  <c r="Q28" i="422" s="1"/>
  <c r="N28" i="422"/>
  <c r="AG28" i="422" s="1"/>
  <c r="K28" i="422"/>
  <c r="L28" i="422" s="1"/>
  <c r="J28" i="422"/>
  <c r="P28" i="422" s="1"/>
  <c r="H28" i="422"/>
  <c r="F28" i="422"/>
  <c r="W27" i="422"/>
  <c r="N27" i="422" s="1"/>
  <c r="K27" i="422"/>
  <c r="J27" i="422"/>
  <c r="P27" i="422" s="1"/>
  <c r="F27" i="422"/>
  <c r="H27" i="422" s="1"/>
  <c r="AE26" i="422"/>
  <c r="AE2" i="422" s="1"/>
  <c r="AD26" i="422"/>
  <c r="AD2" i="422" s="1"/>
  <c r="AA26" i="422"/>
  <c r="Z26" i="422"/>
  <c r="E18" i="421" s="1"/>
  <c r="M26" i="422"/>
  <c r="W25" i="422"/>
  <c r="H25" i="422"/>
  <c r="W24" i="422"/>
  <c r="H24" i="422"/>
  <c r="W23" i="422"/>
  <c r="W21" i="422"/>
  <c r="W20" i="422"/>
  <c r="W19" i="422"/>
  <c r="V19" i="422"/>
  <c r="N19" i="422"/>
  <c r="K19" i="422"/>
  <c r="AF19" i="422" s="1"/>
  <c r="J19" i="422"/>
  <c r="P19" i="422" s="1"/>
  <c r="H19" i="422"/>
  <c r="F19" i="422"/>
  <c r="W18" i="422"/>
  <c r="V18" i="422"/>
  <c r="P18" i="422"/>
  <c r="O18" i="422"/>
  <c r="N18" i="422"/>
  <c r="K18" i="422"/>
  <c r="L18" i="422" s="1"/>
  <c r="J18" i="422"/>
  <c r="F18" i="422"/>
  <c r="H18" i="422" s="1"/>
  <c r="W17" i="422"/>
  <c r="V17" i="422"/>
  <c r="O17" i="422"/>
  <c r="N17" i="422"/>
  <c r="K17" i="422"/>
  <c r="J17" i="422"/>
  <c r="P17" i="422" s="1"/>
  <c r="F17" i="422"/>
  <c r="H17" i="422" s="1"/>
  <c r="W16" i="422"/>
  <c r="P16" i="422"/>
  <c r="O16" i="422"/>
  <c r="N16" i="422"/>
  <c r="K16" i="422"/>
  <c r="K26" i="422" s="1"/>
  <c r="J16" i="422"/>
  <c r="F16" i="422"/>
  <c r="H16" i="422" s="1"/>
  <c r="AF15" i="422"/>
  <c r="AE15" i="422"/>
  <c r="AD15" i="422"/>
  <c r="D20" i="421" s="1"/>
  <c r="AA15" i="422"/>
  <c r="Z15" i="422"/>
  <c r="D18" i="421" s="1"/>
  <c r="M15" i="422"/>
  <c r="K15" i="422"/>
  <c r="W14" i="422"/>
  <c r="W13" i="422"/>
  <c r="W12" i="422"/>
  <c r="AG11" i="422"/>
  <c r="AF11" i="422"/>
  <c r="W11" i="422"/>
  <c r="AG10" i="422"/>
  <c r="AF10" i="422"/>
  <c r="W10" i="422"/>
  <c r="AG9" i="422"/>
  <c r="AF9" i="422"/>
  <c r="W9" i="422"/>
  <c r="AG8" i="422"/>
  <c r="AF8" i="422"/>
  <c r="W8" i="422"/>
  <c r="AG7" i="422"/>
  <c r="AF7" i="422"/>
  <c r="W7" i="422"/>
  <c r="W6" i="422"/>
  <c r="V6" i="422"/>
  <c r="N6" i="422"/>
  <c r="K6" i="422"/>
  <c r="J6" i="422"/>
  <c r="P6" i="422" s="1"/>
  <c r="F6" i="422"/>
  <c r="H6" i="422" s="1"/>
  <c r="AF5" i="422"/>
  <c r="W5" i="422"/>
  <c r="R5" i="422"/>
  <c r="O5" i="422"/>
  <c r="N5" i="422"/>
  <c r="N15" i="422" s="1"/>
  <c r="K5" i="422"/>
  <c r="L5" i="422" s="1"/>
  <c r="J5" i="422"/>
  <c r="F5" i="422"/>
  <c r="H5" i="422" s="1"/>
  <c r="I2" i="422"/>
  <c r="E1" i="422"/>
  <c r="J22" i="421"/>
  <c r="I22" i="421"/>
  <c r="H22" i="421"/>
  <c r="G22" i="421"/>
  <c r="F22" i="421"/>
  <c r="I21" i="421"/>
  <c r="E21" i="421"/>
  <c r="D21" i="421"/>
  <c r="I20" i="421"/>
  <c r="H20" i="421"/>
  <c r="G20" i="421"/>
  <c r="F20" i="421"/>
  <c r="E20" i="421"/>
  <c r="O6" i="421" s="1"/>
  <c r="J19" i="421"/>
  <c r="F19" i="421"/>
  <c r="E19" i="421"/>
  <c r="D19" i="421"/>
  <c r="M6" i="421" s="1"/>
  <c r="G18" i="421"/>
  <c r="F18" i="421"/>
  <c r="J16" i="421"/>
  <c r="I16" i="421"/>
  <c r="H16" i="421"/>
  <c r="G16" i="421"/>
  <c r="F16" i="421"/>
  <c r="E16" i="421"/>
  <c r="D16" i="421"/>
  <c r="J15" i="421"/>
  <c r="J14" i="421"/>
  <c r="J13" i="421"/>
  <c r="O8" i="421"/>
  <c r="N8" i="421"/>
  <c r="M8" i="421"/>
  <c r="L8" i="421"/>
  <c r="O7" i="421"/>
  <c r="N7" i="421"/>
  <c r="M7" i="421"/>
  <c r="L7" i="421"/>
  <c r="G3" i="421"/>
  <c r="AG79" i="420"/>
  <c r="AH70" i="420" s="1"/>
  <c r="AF79" i="420"/>
  <c r="AE79" i="420"/>
  <c r="AD79" i="420"/>
  <c r="J20" i="419" s="1"/>
  <c r="AA79" i="420"/>
  <c r="Z79" i="420"/>
  <c r="W78" i="420"/>
  <c r="H78" i="420"/>
  <c r="W77" i="420"/>
  <c r="H77" i="420"/>
  <c r="W76" i="420"/>
  <c r="H76" i="420"/>
  <c r="W75" i="420"/>
  <c r="H75" i="420"/>
  <c r="W74" i="420"/>
  <c r="W73" i="420"/>
  <c r="W72" i="420"/>
  <c r="W71" i="420"/>
  <c r="AG70" i="420"/>
  <c r="AF70" i="420"/>
  <c r="W70" i="420"/>
  <c r="S70" i="420"/>
  <c r="J15" i="419" s="1"/>
  <c r="AE69" i="420"/>
  <c r="AD69" i="420"/>
  <c r="I20" i="419" s="1"/>
  <c r="AA69" i="420"/>
  <c r="I19" i="419" s="1"/>
  <c r="Z69" i="420"/>
  <c r="I18" i="419" s="1"/>
  <c r="M69" i="420"/>
  <c r="W68" i="420"/>
  <c r="H68" i="420"/>
  <c r="W67" i="420"/>
  <c r="W66" i="420"/>
  <c r="W65" i="420"/>
  <c r="W64" i="420"/>
  <c r="W63" i="420"/>
  <c r="W62" i="420"/>
  <c r="V62" i="420"/>
  <c r="P62" i="420"/>
  <c r="N62" i="420"/>
  <c r="L62" i="420"/>
  <c r="K62" i="420"/>
  <c r="J62" i="420"/>
  <c r="F62" i="420"/>
  <c r="H62" i="420" s="1"/>
  <c r="AG61" i="420"/>
  <c r="AF61" i="420"/>
  <c r="W61" i="420"/>
  <c r="N61" i="420" s="1"/>
  <c r="O61" i="420" s="1"/>
  <c r="V61" i="420"/>
  <c r="P61" i="420"/>
  <c r="K61" i="420"/>
  <c r="L61" i="420" s="1"/>
  <c r="R61" i="420" s="1"/>
  <c r="J61" i="420"/>
  <c r="F61" i="420"/>
  <c r="H61" i="420" s="1"/>
  <c r="W60" i="420"/>
  <c r="N60" i="420" s="1"/>
  <c r="V60" i="420"/>
  <c r="K60" i="420"/>
  <c r="L60" i="420" s="1"/>
  <c r="J60" i="420"/>
  <c r="P60" i="420" s="1"/>
  <c r="H60" i="420"/>
  <c r="F60" i="420"/>
  <c r="W59" i="420"/>
  <c r="N59" i="420" s="1"/>
  <c r="K59" i="420"/>
  <c r="J59" i="420"/>
  <c r="J69" i="420" s="1"/>
  <c r="H59" i="420"/>
  <c r="F59" i="420"/>
  <c r="AE58" i="420"/>
  <c r="AD58" i="420"/>
  <c r="AA58" i="420"/>
  <c r="H19" i="419" s="1"/>
  <c r="Z58" i="420"/>
  <c r="H18" i="419" s="1"/>
  <c r="M58" i="420"/>
  <c r="W57" i="420"/>
  <c r="W56" i="420"/>
  <c r="W55" i="420"/>
  <c r="W54" i="420"/>
  <c r="AG53" i="420"/>
  <c r="AF53" i="420"/>
  <c r="W53" i="420"/>
  <c r="AG52" i="420"/>
  <c r="AF52" i="420"/>
  <c r="W52" i="420"/>
  <c r="W51" i="420"/>
  <c r="N51" i="420" s="1"/>
  <c r="V51" i="420"/>
  <c r="P51" i="420"/>
  <c r="L51" i="420"/>
  <c r="K51" i="420"/>
  <c r="J51" i="420"/>
  <c r="F51" i="420"/>
  <c r="H51" i="420" s="1"/>
  <c r="AF50" i="420"/>
  <c r="W50" i="420"/>
  <c r="V50" i="420"/>
  <c r="P50" i="420"/>
  <c r="N50" i="420"/>
  <c r="L50" i="420"/>
  <c r="K50" i="420"/>
  <c r="J50" i="420"/>
  <c r="F50" i="420"/>
  <c r="H50" i="420" s="1"/>
  <c r="W49" i="420"/>
  <c r="N49" i="420" s="1"/>
  <c r="O49" i="420" s="1"/>
  <c r="K49" i="420"/>
  <c r="K58" i="420" s="1"/>
  <c r="J49" i="420"/>
  <c r="F49" i="420"/>
  <c r="H49" i="420" s="1"/>
  <c r="AE48" i="420"/>
  <c r="AD48" i="420"/>
  <c r="G20" i="419" s="1"/>
  <c r="AA48" i="420"/>
  <c r="Z48" i="420"/>
  <c r="W48" i="420"/>
  <c r="M48" i="420"/>
  <c r="K48" i="420"/>
  <c r="W47" i="420"/>
  <c r="H47" i="420"/>
  <c r="W46" i="420"/>
  <c r="W45" i="420"/>
  <c r="W44" i="420"/>
  <c r="W43" i="420"/>
  <c r="W42" i="420"/>
  <c r="AG41" i="420"/>
  <c r="AF41" i="420"/>
  <c r="W41" i="420"/>
  <c r="W40" i="420"/>
  <c r="V40" i="420"/>
  <c r="P40" i="420"/>
  <c r="N40" i="420"/>
  <c r="K40" i="420"/>
  <c r="L40" i="420" s="1"/>
  <c r="J40" i="420"/>
  <c r="J48" i="420" s="1"/>
  <c r="F40" i="420"/>
  <c r="H40" i="420" s="1"/>
  <c r="W39" i="420"/>
  <c r="V39" i="420"/>
  <c r="N39" i="420"/>
  <c r="AF39" i="420" s="1"/>
  <c r="L39" i="420"/>
  <c r="L48" i="420" s="1"/>
  <c r="K39" i="420"/>
  <c r="J39" i="420"/>
  <c r="P39" i="420" s="1"/>
  <c r="H39" i="420"/>
  <c r="F39" i="420"/>
  <c r="W38" i="420"/>
  <c r="P38" i="420"/>
  <c r="N38" i="420"/>
  <c r="L38" i="420"/>
  <c r="K38" i="420"/>
  <c r="J38" i="420"/>
  <c r="F38" i="420"/>
  <c r="H38" i="420" s="1"/>
  <c r="AE37" i="420"/>
  <c r="AD37" i="420"/>
  <c r="F20" i="419" s="1"/>
  <c r="AA37" i="420"/>
  <c r="AA2" i="420" s="1"/>
  <c r="Z37" i="420"/>
  <c r="M37" i="420"/>
  <c r="F22" i="419" s="1"/>
  <c r="W36" i="420"/>
  <c r="H36" i="420"/>
  <c r="W35" i="420"/>
  <c r="W34" i="420"/>
  <c r="W33" i="420"/>
  <c r="W32" i="420"/>
  <c r="W31" i="420"/>
  <c r="N31" i="420" s="1"/>
  <c r="V31" i="420"/>
  <c r="P31" i="420"/>
  <c r="L31" i="420"/>
  <c r="K31" i="420"/>
  <c r="J31" i="420"/>
  <c r="F31" i="420"/>
  <c r="H31" i="420" s="1"/>
  <c r="W30" i="420"/>
  <c r="N30" i="420" s="1"/>
  <c r="V30" i="420"/>
  <c r="K30" i="420"/>
  <c r="L30" i="420" s="1"/>
  <c r="J30" i="420"/>
  <c r="P30" i="420" s="1"/>
  <c r="H30" i="420"/>
  <c r="F30" i="420"/>
  <c r="AG29" i="420"/>
  <c r="W29" i="420"/>
  <c r="N29" i="420" s="1"/>
  <c r="O29" i="420" s="1"/>
  <c r="V29" i="420"/>
  <c r="K29" i="420"/>
  <c r="L29" i="420" s="1"/>
  <c r="J29" i="420"/>
  <c r="P29" i="420" s="1"/>
  <c r="H29" i="420"/>
  <c r="F29" i="420"/>
  <c r="W28" i="420"/>
  <c r="N28" i="420" s="1"/>
  <c r="AG28" i="420" s="1"/>
  <c r="V28" i="420"/>
  <c r="L28" i="420"/>
  <c r="K28" i="420"/>
  <c r="J28" i="420"/>
  <c r="P28" i="420" s="1"/>
  <c r="H28" i="420"/>
  <c r="F28" i="420"/>
  <c r="W27" i="420"/>
  <c r="N27" i="420"/>
  <c r="N37" i="420" s="1"/>
  <c r="L27" i="420"/>
  <c r="L37" i="420" s="1"/>
  <c r="F13" i="419" s="1"/>
  <c r="K27" i="420"/>
  <c r="J27" i="420"/>
  <c r="H27" i="420"/>
  <c r="F27" i="420"/>
  <c r="AE26" i="420"/>
  <c r="E21" i="419" s="1"/>
  <c r="AD26" i="420"/>
  <c r="E20" i="419" s="1"/>
  <c r="AA26" i="420"/>
  <c r="Z26" i="420"/>
  <c r="M26" i="420"/>
  <c r="E22" i="419" s="1"/>
  <c r="W25" i="420"/>
  <c r="H25" i="420"/>
  <c r="W24" i="420"/>
  <c r="H24" i="420"/>
  <c r="W23" i="420"/>
  <c r="W21" i="420"/>
  <c r="W20" i="420"/>
  <c r="AG19" i="420"/>
  <c r="AF19" i="420"/>
  <c r="W19" i="420"/>
  <c r="V19" i="420"/>
  <c r="O19" i="420"/>
  <c r="N19" i="420"/>
  <c r="K19" i="420"/>
  <c r="J19" i="420"/>
  <c r="P19" i="420" s="1"/>
  <c r="F19" i="420"/>
  <c r="H19" i="420" s="1"/>
  <c r="W18" i="420"/>
  <c r="N18" i="420" s="1"/>
  <c r="O18" i="420" s="1"/>
  <c r="V18" i="420"/>
  <c r="L18" i="420"/>
  <c r="K18" i="420"/>
  <c r="J18" i="420"/>
  <c r="P18" i="420" s="1"/>
  <c r="F18" i="420"/>
  <c r="H18" i="420" s="1"/>
  <c r="W17" i="420"/>
  <c r="V17" i="420"/>
  <c r="P17" i="420"/>
  <c r="N17" i="420"/>
  <c r="L17" i="420"/>
  <c r="K17" i="420"/>
  <c r="J17" i="420"/>
  <c r="H17" i="420"/>
  <c r="F17" i="420"/>
  <c r="AG16" i="420"/>
  <c r="W16" i="420"/>
  <c r="N16" i="420" s="1"/>
  <c r="O16" i="420" s="1"/>
  <c r="Q16" i="420" s="1"/>
  <c r="L16" i="420"/>
  <c r="K16" i="420"/>
  <c r="K26" i="420" s="1"/>
  <c r="J16" i="420"/>
  <c r="P16" i="420" s="1"/>
  <c r="F16" i="420"/>
  <c r="H16" i="420" s="1"/>
  <c r="AE15" i="420"/>
  <c r="AD15" i="420"/>
  <c r="AA15" i="420"/>
  <c r="Z15" i="420"/>
  <c r="M15" i="420"/>
  <c r="D22" i="419" s="1"/>
  <c r="K15" i="420"/>
  <c r="J15" i="420"/>
  <c r="W14" i="420"/>
  <c r="W13" i="420"/>
  <c r="W12" i="420"/>
  <c r="AG11" i="420"/>
  <c r="AF11" i="420"/>
  <c r="W11" i="420"/>
  <c r="AG10" i="420"/>
  <c r="AF10" i="420"/>
  <c r="W10" i="420"/>
  <c r="AG9" i="420"/>
  <c r="AF9" i="420"/>
  <c r="W9" i="420"/>
  <c r="AG8" i="420"/>
  <c r="AF8" i="420"/>
  <c r="W8" i="420"/>
  <c r="AG7" i="420"/>
  <c r="AF7" i="420"/>
  <c r="W7" i="420"/>
  <c r="AG6" i="420"/>
  <c r="AF6" i="420"/>
  <c r="W6" i="420"/>
  <c r="N6" i="420" s="1"/>
  <c r="V6" i="420"/>
  <c r="P6" i="420"/>
  <c r="O6" i="420"/>
  <c r="K6" i="420"/>
  <c r="J6" i="420"/>
  <c r="F6" i="420"/>
  <c r="H6" i="420" s="1"/>
  <c r="AG5" i="420"/>
  <c r="W5" i="420"/>
  <c r="N5" i="420"/>
  <c r="N15" i="420" s="1"/>
  <c r="K5" i="420"/>
  <c r="L5" i="420" s="1"/>
  <c r="J5" i="420"/>
  <c r="P5" i="420" s="1"/>
  <c r="F5" i="420"/>
  <c r="H5" i="420" s="1"/>
  <c r="AD2" i="420"/>
  <c r="I2" i="420"/>
  <c r="E1" i="420"/>
  <c r="J22" i="419"/>
  <c r="J21" i="419"/>
  <c r="I21" i="419"/>
  <c r="H21" i="419"/>
  <c r="G21" i="419"/>
  <c r="F21" i="419"/>
  <c r="H20" i="419"/>
  <c r="D20" i="419"/>
  <c r="J19" i="419"/>
  <c r="G19" i="419"/>
  <c r="E19" i="419"/>
  <c r="D19" i="419"/>
  <c r="J18" i="419"/>
  <c r="G18" i="419"/>
  <c r="F18" i="419"/>
  <c r="D18" i="419"/>
  <c r="J16" i="419"/>
  <c r="I16" i="419"/>
  <c r="H16" i="419"/>
  <c r="G16" i="419"/>
  <c r="F16" i="419"/>
  <c r="E16" i="419"/>
  <c r="D16" i="419"/>
  <c r="J14" i="419"/>
  <c r="J13" i="419"/>
  <c r="G13" i="419"/>
  <c r="O8" i="419"/>
  <c r="N8" i="419"/>
  <c r="M8" i="419"/>
  <c r="L8" i="419"/>
  <c r="O7" i="419"/>
  <c r="N7" i="419"/>
  <c r="M7" i="419"/>
  <c r="L7" i="419"/>
  <c r="G3" i="419"/>
  <c r="AG79" i="418"/>
  <c r="AF79" i="418"/>
  <c r="AE79" i="418"/>
  <c r="AD79" i="418"/>
  <c r="AA79" i="418"/>
  <c r="Z79" i="418"/>
  <c r="Z2" i="418" s="1"/>
  <c r="W78" i="418"/>
  <c r="H78" i="418"/>
  <c r="W77" i="418"/>
  <c r="H77" i="418"/>
  <c r="W76" i="418"/>
  <c r="H76" i="418"/>
  <c r="W75" i="418"/>
  <c r="H75" i="418"/>
  <c r="W74" i="418"/>
  <c r="W73" i="418"/>
  <c r="W72" i="418"/>
  <c r="W71" i="418"/>
  <c r="AH70" i="418"/>
  <c r="AG70" i="418"/>
  <c r="AF70" i="418"/>
  <c r="W70" i="418"/>
  <c r="S70" i="418"/>
  <c r="AE69" i="418"/>
  <c r="I21" i="417" s="1"/>
  <c r="AD69" i="418"/>
  <c r="AA69" i="418"/>
  <c r="Z69" i="418"/>
  <c r="M69" i="418"/>
  <c r="J69" i="418"/>
  <c r="W68" i="418"/>
  <c r="H68" i="418"/>
  <c r="W67" i="418"/>
  <c r="W66" i="418"/>
  <c r="W65" i="418"/>
  <c r="W64" i="418"/>
  <c r="W63" i="418"/>
  <c r="W62" i="418"/>
  <c r="N62" i="418" s="1"/>
  <c r="P62" i="418"/>
  <c r="L62" i="418"/>
  <c r="K62" i="418"/>
  <c r="J62" i="418"/>
  <c r="H62" i="418"/>
  <c r="F62" i="418"/>
  <c r="W61" i="418"/>
  <c r="N61" i="418" s="1"/>
  <c r="V61" i="418"/>
  <c r="L61" i="418"/>
  <c r="K61" i="418"/>
  <c r="J61" i="418"/>
  <c r="P61" i="418" s="1"/>
  <c r="H61" i="418"/>
  <c r="F61" i="418"/>
  <c r="W60" i="418"/>
  <c r="V60" i="418"/>
  <c r="P60" i="418"/>
  <c r="N60" i="418"/>
  <c r="L60" i="418"/>
  <c r="K60" i="418"/>
  <c r="J60" i="418"/>
  <c r="H60" i="418"/>
  <c r="F60" i="418"/>
  <c r="AF59" i="418"/>
  <c r="W59" i="418"/>
  <c r="P59" i="418"/>
  <c r="O59" i="418"/>
  <c r="N59" i="418"/>
  <c r="K59" i="418"/>
  <c r="L59" i="418" s="1"/>
  <c r="L69" i="418" s="1"/>
  <c r="I13" i="417" s="1"/>
  <c r="J6" i="417" s="1"/>
  <c r="J59" i="418"/>
  <c r="F59" i="418"/>
  <c r="H59" i="418" s="1"/>
  <c r="AE58" i="418"/>
  <c r="AD58" i="418"/>
  <c r="H20" i="417" s="1"/>
  <c r="AA58" i="418"/>
  <c r="Z58" i="418"/>
  <c r="M58" i="418"/>
  <c r="H22" i="417" s="1"/>
  <c r="K58" i="418"/>
  <c r="J58" i="418"/>
  <c r="W57" i="418"/>
  <c r="W56" i="418"/>
  <c r="W55" i="418"/>
  <c r="W54" i="418"/>
  <c r="AG53" i="418"/>
  <c r="AF53" i="418"/>
  <c r="W53" i="418"/>
  <c r="AG52" i="418"/>
  <c r="AF52" i="418"/>
  <c r="W52" i="418"/>
  <c r="W51" i="418"/>
  <c r="N51" i="418" s="1"/>
  <c r="AG51" i="418" s="1"/>
  <c r="V51" i="418"/>
  <c r="P51" i="418"/>
  <c r="K51" i="418"/>
  <c r="L51" i="418" s="1"/>
  <c r="J51" i="418"/>
  <c r="F51" i="418"/>
  <c r="H51" i="418" s="1"/>
  <c r="AG50" i="418"/>
  <c r="AF50" i="418"/>
  <c r="W50" i="418"/>
  <c r="N50" i="418" s="1"/>
  <c r="O50" i="418" s="1"/>
  <c r="V50" i="418"/>
  <c r="L50" i="418"/>
  <c r="K50" i="418"/>
  <c r="J50" i="418"/>
  <c r="P50" i="418" s="1"/>
  <c r="F50" i="418"/>
  <c r="H50" i="418" s="1"/>
  <c r="AG49" i="418"/>
  <c r="AF49" i="418"/>
  <c r="W49" i="418"/>
  <c r="N49" i="418" s="1"/>
  <c r="O49" i="418"/>
  <c r="L49" i="418"/>
  <c r="Q49" i="418" s="1"/>
  <c r="K49" i="418"/>
  <c r="J49" i="418"/>
  <c r="P49" i="418" s="1"/>
  <c r="F49" i="418"/>
  <c r="H49" i="418" s="1"/>
  <c r="AE48" i="418"/>
  <c r="AD48" i="418"/>
  <c r="AA48" i="418"/>
  <c r="Z48" i="418"/>
  <c r="W48" i="418"/>
  <c r="M48" i="418"/>
  <c r="J48" i="418"/>
  <c r="W47" i="418"/>
  <c r="H47" i="418"/>
  <c r="W46" i="418"/>
  <c r="W45" i="418"/>
  <c r="W44" i="418"/>
  <c r="W43" i="418"/>
  <c r="W42" i="418"/>
  <c r="AG41" i="418"/>
  <c r="AF41" i="418"/>
  <c r="W41" i="418"/>
  <c r="W40" i="418"/>
  <c r="N40" i="418" s="1"/>
  <c r="V40" i="418"/>
  <c r="L40" i="418"/>
  <c r="K40" i="418"/>
  <c r="J40" i="418"/>
  <c r="P40" i="418" s="1"/>
  <c r="F40" i="418"/>
  <c r="H40" i="418" s="1"/>
  <c r="W39" i="418"/>
  <c r="N39" i="418" s="1"/>
  <c r="O39" i="418" s="1"/>
  <c r="V39" i="418"/>
  <c r="L39" i="418"/>
  <c r="K39" i="418"/>
  <c r="J39" i="418"/>
  <c r="P39" i="418" s="1"/>
  <c r="F39" i="418"/>
  <c r="H39" i="418" s="1"/>
  <c r="W38" i="418"/>
  <c r="N38" i="418"/>
  <c r="K38" i="418"/>
  <c r="J38" i="418"/>
  <c r="P38" i="418" s="1"/>
  <c r="H38" i="418"/>
  <c r="F38" i="418"/>
  <c r="AE37" i="418"/>
  <c r="AD37" i="418"/>
  <c r="AA37" i="418"/>
  <c r="Z37" i="418"/>
  <c r="M37" i="418"/>
  <c r="J37" i="418"/>
  <c r="P37" i="418" s="1"/>
  <c r="W36" i="418"/>
  <c r="H36" i="418"/>
  <c r="W35" i="418"/>
  <c r="W34" i="418"/>
  <c r="W33" i="418"/>
  <c r="W32" i="418"/>
  <c r="AG31" i="418"/>
  <c r="AF31" i="418"/>
  <c r="W31" i="418"/>
  <c r="W30" i="418"/>
  <c r="N30" i="418" s="1"/>
  <c r="V30" i="418"/>
  <c r="K30" i="418"/>
  <c r="J30" i="418"/>
  <c r="P30" i="418" s="1"/>
  <c r="F30" i="418"/>
  <c r="H30" i="418" s="1"/>
  <c r="W29" i="418"/>
  <c r="N29" i="418" s="1"/>
  <c r="V29" i="418"/>
  <c r="K29" i="418"/>
  <c r="J29" i="418"/>
  <c r="H29" i="418"/>
  <c r="F29" i="418"/>
  <c r="W28" i="418"/>
  <c r="N28" i="418" s="1"/>
  <c r="V28" i="418"/>
  <c r="K28" i="418"/>
  <c r="J28" i="418"/>
  <c r="P28" i="418" s="1"/>
  <c r="H28" i="418"/>
  <c r="F28" i="418"/>
  <c r="W27" i="418"/>
  <c r="N27" i="418" s="1"/>
  <c r="L27" i="418"/>
  <c r="K27" i="418"/>
  <c r="J27" i="418"/>
  <c r="P27" i="418" s="1"/>
  <c r="H27" i="418"/>
  <c r="F27" i="418"/>
  <c r="AE26" i="418"/>
  <c r="AD26" i="418"/>
  <c r="AA26" i="418"/>
  <c r="E19" i="417" s="1"/>
  <c r="Z26" i="418"/>
  <c r="E18" i="417" s="1"/>
  <c r="M26" i="418"/>
  <c r="W25" i="418"/>
  <c r="H25" i="418"/>
  <c r="W24" i="418"/>
  <c r="H24" i="418"/>
  <c r="W23" i="418"/>
  <c r="W21" i="418"/>
  <c r="W20" i="418"/>
  <c r="W19" i="418"/>
  <c r="N19" i="418" s="1"/>
  <c r="V19" i="418"/>
  <c r="K19" i="418"/>
  <c r="J19" i="418"/>
  <c r="H19" i="418"/>
  <c r="F19" i="418"/>
  <c r="AG18" i="418"/>
  <c r="AF18" i="418"/>
  <c r="W18" i="418"/>
  <c r="N18" i="418" s="1"/>
  <c r="O18" i="418" s="1"/>
  <c r="V18" i="418"/>
  <c r="K18" i="418"/>
  <c r="J18" i="418"/>
  <c r="P18" i="418" s="1"/>
  <c r="H18" i="418"/>
  <c r="F18" i="418"/>
  <c r="W17" i="418"/>
  <c r="N17" i="418" s="1"/>
  <c r="O17" i="418" s="1"/>
  <c r="V17" i="418"/>
  <c r="K17" i="418"/>
  <c r="J17" i="418"/>
  <c r="P17" i="418" s="1"/>
  <c r="H17" i="418"/>
  <c r="F17" i="418"/>
  <c r="AG16" i="418"/>
  <c r="AF16" i="418"/>
  <c r="W16" i="418"/>
  <c r="N16" i="418"/>
  <c r="K16" i="418"/>
  <c r="K26" i="418" s="1"/>
  <c r="J16" i="418"/>
  <c r="P16" i="418" s="1"/>
  <c r="F16" i="418"/>
  <c r="H16" i="418" s="1"/>
  <c r="G1" i="418" s="1"/>
  <c r="AE15" i="418"/>
  <c r="AD15" i="418"/>
  <c r="D20" i="417" s="1"/>
  <c r="AA15" i="418"/>
  <c r="D19" i="417" s="1"/>
  <c r="M6" i="417" s="1"/>
  <c r="Z15" i="418"/>
  <c r="M15" i="418"/>
  <c r="D22" i="417" s="1"/>
  <c r="J15" i="418"/>
  <c r="W14" i="418"/>
  <c r="W13" i="418"/>
  <c r="W12" i="418"/>
  <c r="AG11" i="418"/>
  <c r="AF11" i="418"/>
  <c r="W11" i="418"/>
  <c r="AG10" i="418"/>
  <c r="AF10" i="418"/>
  <c r="W10" i="418"/>
  <c r="AG9" i="418"/>
  <c r="AF9" i="418"/>
  <c r="W9" i="418"/>
  <c r="AG8" i="418"/>
  <c r="AF8" i="418"/>
  <c r="W8" i="418"/>
  <c r="W7" i="418"/>
  <c r="V7" i="418"/>
  <c r="P7" i="418"/>
  <c r="N7" i="418"/>
  <c r="L7" i="418"/>
  <c r="K7" i="418"/>
  <c r="J7" i="418"/>
  <c r="F7" i="418"/>
  <c r="H7" i="418" s="1"/>
  <c r="W6" i="418"/>
  <c r="V6" i="418"/>
  <c r="P6" i="418"/>
  <c r="N6" i="418"/>
  <c r="AG6" i="418" s="1"/>
  <c r="K6" i="418"/>
  <c r="L6" i="418" s="1"/>
  <c r="J6" i="418"/>
  <c r="F6" i="418"/>
  <c r="H6" i="418" s="1"/>
  <c r="AG5" i="418"/>
  <c r="AF5" i="418"/>
  <c r="W5" i="418"/>
  <c r="N5" i="418"/>
  <c r="K5" i="418"/>
  <c r="J5" i="418"/>
  <c r="P5" i="418" s="1"/>
  <c r="F5" i="418"/>
  <c r="H5" i="418" s="1"/>
  <c r="AD2" i="418"/>
  <c r="AA2" i="418"/>
  <c r="I2" i="418"/>
  <c r="E1" i="418"/>
  <c r="J22" i="417"/>
  <c r="I22" i="417"/>
  <c r="F22" i="417"/>
  <c r="E22" i="417"/>
  <c r="J21" i="417"/>
  <c r="H21" i="417"/>
  <c r="G21" i="417"/>
  <c r="F21" i="417"/>
  <c r="E21" i="417"/>
  <c r="D21" i="417"/>
  <c r="J20" i="417"/>
  <c r="I20" i="417"/>
  <c r="G20" i="417"/>
  <c r="F20" i="417"/>
  <c r="E20" i="417"/>
  <c r="O6" i="417" s="1"/>
  <c r="J19" i="417"/>
  <c r="I19" i="417"/>
  <c r="H19" i="417"/>
  <c r="G19" i="417"/>
  <c r="F19" i="417"/>
  <c r="J18" i="417"/>
  <c r="I18" i="417"/>
  <c r="H18" i="417"/>
  <c r="G18" i="417"/>
  <c r="F18" i="417"/>
  <c r="D18" i="417"/>
  <c r="L6" i="417" s="1"/>
  <c r="J16" i="417"/>
  <c r="I16" i="417"/>
  <c r="H16" i="417"/>
  <c r="G16" i="417"/>
  <c r="F16" i="417"/>
  <c r="E16" i="417"/>
  <c r="D16" i="417"/>
  <c r="J15" i="417"/>
  <c r="J14" i="417"/>
  <c r="J13" i="417"/>
  <c r="O8" i="417"/>
  <c r="N8" i="417"/>
  <c r="M8" i="417"/>
  <c r="L8" i="417"/>
  <c r="O7" i="417"/>
  <c r="N7" i="417"/>
  <c r="M7" i="417"/>
  <c r="L7" i="417"/>
  <c r="G3" i="417"/>
  <c r="AE79" i="3"/>
  <c r="AD79" i="3"/>
  <c r="AA79" i="3"/>
  <c r="Z79" i="3"/>
  <c r="M79" i="3"/>
  <c r="J79" i="3"/>
  <c r="P79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K70" i="3"/>
  <c r="L70" i="3" s="1"/>
  <c r="L79" i="3" s="1"/>
  <c r="J70" i="3"/>
  <c r="P70" i="3" s="1"/>
  <c r="H70" i="3"/>
  <c r="F70" i="3"/>
  <c r="B70" i="3"/>
  <c r="AE69" i="3"/>
  <c r="AD69" i="3"/>
  <c r="AA69" i="3"/>
  <c r="Z69" i="3"/>
  <c r="M69" i="3"/>
  <c r="J69" i="3"/>
  <c r="W68" i="3"/>
  <c r="H68" i="3"/>
  <c r="W67" i="3"/>
  <c r="W66" i="3"/>
  <c r="W65" i="3"/>
  <c r="W64" i="3"/>
  <c r="W63" i="3"/>
  <c r="AG62" i="3"/>
  <c r="AF62" i="3"/>
  <c r="W62" i="3"/>
  <c r="AF61" i="3"/>
  <c r="W61" i="3"/>
  <c r="N61" i="3" s="1"/>
  <c r="V61" i="3"/>
  <c r="K61" i="3"/>
  <c r="J61" i="3"/>
  <c r="H61" i="3"/>
  <c r="F61" i="3"/>
  <c r="B61" i="3"/>
  <c r="W60" i="3"/>
  <c r="N60" i="3" s="1"/>
  <c r="AG60" i="3" s="1"/>
  <c r="V60" i="3"/>
  <c r="K60" i="3"/>
  <c r="J60" i="3"/>
  <c r="P60" i="3" s="1"/>
  <c r="H60" i="3"/>
  <c r="F60" i="3"/>
  <c r="B60" i="3"/>
  <c r="W59" i="3"/>
  <c r="N59" i="3"/>
  <c r="AG59" i="3" s="1"/>
  <c r="K59" i="3"/>
  <c r="J59" i="3"/>
  <c r="P59" i="3" s="1"/>
  <c r="H59" i="3"/>
  <c r="F59" i="3"/>
  <c r="B59" i="3"/>
  <c r="AE58" i="3"/>
  <c r="AD58" i="3"/>
  <c r="AA58" i="3"/>
  <c r="Z58" i="3"/>
  <c r="P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O51" i="3"/>
  <c r="N51" i="3"/>
  <c r="AG51" i="3" s="1"/>
  <c r="K51" i="3"/>
  <c r="J51" i="3"/>
  <c r="L51" i="3" s="1"/>
  <c r="Q51" i="3" s="1"/>
  <c r="H51" i="3"/>
  <c r="F51" i="3"/>
  <c r="B51" i="3"/>
  <c r="W50" i="3"/>
  <c r="N50" i="3" s="1"/>
  <c r="V50" i="3"/>
  <c r="O50" i="3"/>
  <c r="K50" i="3"/>
  <c r="AG50" i="3" s="1"/>
  <c r="J50" i="3"/>
  <c r="P50" i="3" s="1"/>
  <c r="H50" i="3"/>
  <c r="F50" i="3"/>
  <c r="B50" i="3"/>
  <c r="W49" i="3"/>
  <c r="N49" i="3" s="1"/>
  <c r="P49" i="3"/>
  <c r="K49" i="3"/>
  <c r="J49" i="3"/>
  <c r="J58" i="3" s="1"/>
  <c r="H49" i="3"/>
  <c r="F49" i="3"/>
  <c r="B49" i="3"/>
  <c r="AE48" i="3"/>
  <c r="AD48" i="3"/>
  <c r="AA48" i="3"/>
  <c r="AA2" i="3" s="1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W40" i="3"/>
  <c r="N40" i="3" s="1"/>
  <c r="AG40" i="3" s="1"/>
  <c r="V40" i="3"/>
  <c r="P40" i="3"/>
  <c r="K40" i="3"/>
  <c r="L40" i="3" s="1"/>
  <c r="J40" i="3"/>
  <c r="H40" i="3"/>
  <c r="F40" i="3"/>
  <c r="B40" i="3"/>
  <c r="W39" i="3"/>
  <c r="N39" i="3" s="1"/>
  <c r="V39" i="3"/>
  <c r="P39" i="3"/>
  <c r="K39" i="3"/>
  <c r="L39" i="3" s="1"/>
  <c r="J39" i="3"/>
  <c r="H39" i="3"/>
  <c r="F39" i="3"/>
  <c r="B39" i="3"/>
  <c r="W38" i="3"/>
  <c r="P38" i="3"/>
  <c r="N38" i="3"/>
  <c r="O38" i="3" s="1"/>
  <c r="K38" i="3"/>
  <c r="J38" i="3"/>
  <c r="J48" i="3" s="1"/>
  <c r="H38" i="3"/>
  <c r="F38" i="3"/>
  <c r="B38" i="3"/>
  <c r="AE37" i="3"/>
  <c r="AD37" i="3"/>
  <c r="AA37" i="3"/>
  <c r="Z37" i="3"/>
  <c r="M37" i="3"/>
  <c r="L37" i="3"/>
  <c r="K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P29" i="3"/>
  <c r="O29" i="3"/>
  <c r="R29" i="3" s="1"/>
  <c r="N29" i="3"/>
  <c r="L29" i="3"/>
  <c r="K29" i="3"/>
  <c r="J29" i="3"/>
  <c r="H29" i="3"/>
  <c r="F29" i="3"/>
  <c r="B29" i="3"/>
  <c r="AG28" i="3"/>
  <c r="W28" i="3"/>
  <c r="N28" i="3" s="1"/>
  <c r="O28" i="3" s="1"/>
  <c r="V28" i="3"/>
  <c r="R28" i="3"/>
  <c r="Q28" i="3"/>
  <c r="P28" i="3"/>
  <c r="L28" i="3"/>
  <c r="K28" i="3"/>
  <c r="J28" i="3"/>
  <c r="F28" i="3"/>
  <c r="H28" i="3" s="1"/>
  <c r="B28" i="3"/>
  <c r="W27" i="3"/>
  <c r="N27" i="3" s="1"/>
  <c r="O27" i="3" s="1"/>
  <c r="L27" i="3"/>
  <c r="K27" i="3"/>
  <c r="J27" i="3"/>
  <c r="H27" i="3"/>
  <c r="F27" i="3"/>
  <c r="B27" i="3"/>
  <c r="AE26" i="3"/>
  <c r="AD26" i="3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R18" i="3"/>
  <c r="Q18" i="3"/>
  <c r="P18" i="3"/>
  <c r="O18" i="3"/>
  <c r="N18" i="3"/>
  <c r="L18" i="3"/>
  <c r="K18" i="3"/>
  <c r="J18" i="3"/>
  <c r="F18" i="3"/>
  <c r="H18" i="3" s="1"/>
  <c r="B18" i="3"/>
  <c r="W17" i="3"/>
  <c r="N17" i="3" s="1"/>
  <c r="AG17" i="3" s="1"/>
  <c r="V17" i="3"/>
  <c r="P17" i="3"/>
  <c r="K17" i="3"/>
  <c r="L17" i="3" s="1"/>
  <c r="J17" i="3"/>
  <c r="H17" i="3"/>
  <c r="F17" i="3"/>
  <c r="B17" i="3"/>
  <c r="AG16" i="3"/>
  <c r="AF16" i="3"/>
  <c r="W16" i="3"/>
  <c r="N16" i="3" s="1"/>
  <c r="O16" i="3" s="1"/>
  <c r="K16" i="3"/>
  <c r="K26" i="3" s="1"/>
  <c r="J16" i="3"/>
  <c r="F16" i="3"/>
  <c r="H16" i="3" s="1"/>
  <c r="B16" i="3"/>
  <c r="AE15" i="3"/>
  <c r="AD15" i="3"/>
  <c r="AD2" i="3" s="1"/>
  <c r="AA15" i="3"/>
  <c r="Z15" i="3"/>
  <c r="M15" i="3"/>
  <c r="K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O7" i="3" s="1"/>
  <c r="V7" i="3"/>
  <c r="P7" i="3"/>
  <c r="L7" i="3"/>
  <c r="K7" i="3"/>
  <c r="J7" i="3"/>
  <c r="H7" i="3"/>
  <c r="F7" i="3"/>
  <c r="B7" i="3"/>
  <c r="AG6" i="3"/>
  <c r="W6" i="3"/>
  <c r="N6" i="3" s="1"/>
  <c r="O6" i="3" s="1"/>
  <c r="V6" i="3"/>
  <c r="K6" i="3"/>
  <c r="J6" i="3"/>
  <c r="P6" i="3" s="1"/>
  <c r="F6" i="3"/>
  <c r="H6" i="3" s="1"/>
  <c r="B6" i="3"/>
  <c r="W5" i="3"/>
  <c r="N5" i="3"/>
  <c r="AG5" i="3" s="1"/>
  <c r="L5" i="3"/>
  <c r="L15" i="3" s="1"/>
  <c r="K5" i="3"/>
  <c r="J5" i="3"/>
  <c r="F5" i="3"/>
  <c r="H5" i="3" s="1"/>
  <c r="G1" i="3" s="1"/>
  <c r="B5" i="3"/>
  <c r="I2" i="3"/>
  <c r="E1" i="3"/>
  <c r="J22" i="2"/>
  <c r="H22" i="2"/>
  <c r="J16" i="2"/>
  <c r="I16" i="2"/>
  <c r="H16" i="2"/>
  <c r="G16" i="2"/>
  <c r="F16" i="2"/>
  <c r="E16" i="2"/>
  <c r="D16" i="2"/>
  <c r="J13" i="2"/>
  <c r="J22" i="473"/>
  <c r="I22" i="473"/>
  <c r="H22" i="473"/>
  <c r="G22" i="473"/>
  <c r="F22" i="473"/>
  <c r="E22" i="473"/>
  <c r="D22" i="473"/>
  <c r="J21" i="473"/>
  <c r="I21" i="473"/>
  <c r="H21" i="473"/>
  <c r="G21" i="473"/>
  <c r="F21" i="473"/>
  <c r="E21" i="473"/>
  <c r="D21" i="473"/>
  <c r="J20" i="473"/>
  <c r="I20" i="473"/>
  <c r="H20" i="473"/>
  <c r="G20" i="473"/>
  <c r="F20" i="473"/>
  <c r="E20" i="473"/>
  <c r="D20" i="473"/>
  <c r="N6" i="473" s="1"/>
  <c r="J19" i="473"/>
  <c r="I19" i="473"/>
  <c r="H19" i="473"/>
  <c r="G19" i="473"/>
  <c r="F19" i="473"/>
  <c r="E19" i="473"/>
  <c r="D19" i="473"/>
  <c r="J18" i="473"/>
  <c r="I18" i="473"/>
  <c r="H18" i="473"/>
  <c r="G18" i="473"/>
  <c r="F18" i="473"/>
  <c r="E18" i="473"/>
  <c r="D18" i="473"/>
  <c r="J16" i="473"/>
  <c r="I16" i="473"/>
  <c r="H16" i="473"/>
  <c r="G16" i="473"/>
  <c r="F16" i="473"/>
  <c r="E16" i="473"/>
  <c r="D16" i="473"/>
  <c r="J15" i="473"/>
  <c r="J14" i="473"/>
  <c r="J13" i="473"/>
  <c r="G13" i="473"/>
  <c r="E13" i="473"/>
  <c r="D13" i="473"/>
  <c r="O8" i="473"/>
  <c r="N8" i="473"/>
  <c r="M8" i="473"/>
  <c r="L8" i="473"/>
  <c r="O7" i="473"/>
  <c r="N7" i="473"/>
  <c r="M7" i="473"/>
  <c r="L7" i="473"/>
  <c r="G3" i="473"/>
  <c r="L55" i="476" l="1"/>
  <c r="R55" i="476" s="1"/>
  <c r="J58" i="476"/>
  <c r="Q54" i="474"/>
  <c r="J58" i="474"/>
  <c r="P58" i="474"/>
  <c r="R60" i="476"/>
  <c r="Q60" i="476"/>
  <c r="R6" i="476"/>
  <c r="Q6" i="476"/>
  <c r="R51" i="476"/>
  <c r="Z2" i="476"/>
  <c r="L37" i="476"/>
  <c r="G1" i="476"/>
  <c r="G2" i="476" s="1"/>
  <c r="O30" i="476"/>
  <c r="AG30" i="476"/>
  <c r="AF30" i="476"/>
  <c r="AG40" i="476"/>
  <c r="AF40" i="476"/>
  <c r="O40" i="476"/>
  <c r="AF48" i="476"/>
  <c r="AG51" i="476"/>
  <c r="AF51" i="476"/>
  <c r="K69" i="476"/>
  <c r="Q69" i="476" s="1"/>
  <c r="AF5" i="476"/>
  <c r="AG5" i="476"/>
  <c r="N26" i="476"/>
  <c r="N37" i="476"/>
  <c r="O27" i="476"/>
  <c r="F19" i="475"/>
  <c r="AA2" i="476"/>
  <c r="AG48" i="476"/>
  <c r="AH38" i="476" s="1"/>
  <c r="AG7" i="476"/>
  <c r="AF7" i="476"/>
  <c r="P69" i="476"/>
  <c r="I22" i="475"/>
  <c r="O5" i="476"/>
  <c r="AG16" i="476"/>
  <c r="AF16" i="476"/>
  <c r="AF27" i="476"/>
  <c r="F20" i="475"/>
  <c r="N6" i="475" s="1"/>
  <c r="AD2" i="476"/>
  <c r="R39" i="476"/>
  <c r="Q39" i="476"/>
  <c r="AF8" i="476"/>
  <c r="AG8" i="476"/>
  <c r="O29" i="476"/>
  <c r="AG29" i="476"/>
  <c r="AF29" i="476"/>
  <c r="N58" i="476"/>
  <c r="O49" i="476"/>
  <c r="O59" i="476"/>
  <c r="AG59" i="476"/>
  <c r="AF59" i="476"/>
  <c r="O8" i="476"/>
  <c r="AF18" i="476"/>
  <c r="O18" i="476"/>
  <c r="AF49" i="476"/>
  <c r="I1" i="476"/>
  <c r="L6" i="475"/>
  <c r="AG38" i="476"/>
  <c r="AF38" i="476"/>
  <c r="AG49" i="476"/>
  <c r="J69" i="476"/>
  <c r="AG61" i="476"/>
  <c r="AF61" i="476"/>
  <c r="O7" i="476"/>
  <c r="O38" i="476"/>
  <c r="AG52" i="476"/>
  <c r="AF52" i="476"/>
  <c r="AG6" i="476"/>
  <c r="AF6" i="476"/>
  <c r="AF17" i="476"/>
  <c r="O17" i="476"/>
  <c r="AG18" i="476"/>
  <c r="O28" i="476"/>
  <c r="AG28" i="476"/>
  <c r="AF28" i="476"/>
  <c r="P37" i="476"/>
  <c r="AF60" i="476"/>
  <c r="AG60" i="476"/>
  <c r="N15" i="476"/>
  <c r="O16" i="476"/>
  <c r="AG27" i="476"/>
  <c r="AE2" i="476"/>
  <c r="AG39" i="476"/>
  <c r="AF39" i="476"/>
  <c r="O50" i="476"/>
  <c r="AG50" i="476"/>
  <c r="AF50" i="476"/>
  <c r="O52" i="476"/>
  <c r="P27" i="476"/>
  <c r="P58" i="476"/>
  <c r="L59" i="476"/>
  <c r="L69" i="476" s="1"/>
  <c r="I13" i="475" s="1"/>
  <c r="J6" i="475" s="1"/>
  <c r="K37" i="476"/>
  <c r="L49" i="476"/>
  <c r="L58" i="476" s="1"/>
  <c r="H13" i="475" s="1"/>
  <c r="M6" i="475"/>
  <c r="L38" i="476"/>
  <c r="L48" i="476" s="1"/>
  <c r="G13" i="475" s="1"/>
  <c r="O6" i="475"/>
  <c r="F13" i="475"/>
  <c r="E22" i="475"/>
  <c r="G22" i="475"/>
  <c r="AF49" i="474"/>
  <c r="O49" i="474"/>
  <c r="R7" i="3"/>
  <c r="Q7" i="3"/>
  <c r="O27" i="418"/>
  <c r="N37" i="418"/>
  <c r="AG27" i="418"/>
  <c r="AF27" i="418"/>
  <c r="J3" i="2"/>
  <c r="G2" i="3"/>
  <c r="G2" i="418"/>
  <c r="J3" i="417"/>
  <c r="O49" i="3"/>
  <c r="N58" i="3"/>
  <c r="AG49" i="3"/>
  <c r="AF49" i="3"/>
  <c r="Q59" i="422"/>
  <c r="D13" i="2"/>
  <c r="R18" i="420"/>
  <c r="Q18" i="420"/>
  <c r="N15" i="3"/>
  <c r="M6" i="2"/>
  <c r="P51" i="3"/>
  <c r="P61" i="3"/>
  <c r="L61" i="3"/>
  <c r="AF6" i="418"/>
  <c r="Q39" i="418"/>
  <c r="R39" i="418"/>
  <c r="G1" i="420"/>
  <c r="AG29" i="422"/>
  <c r="AF29" i="422"/>
  <c r="O29" i="422"/>
  <c r="P60" i="422"/>
  <c r="L60" i="422"/>
  <c r="F22" i="423"/>
  <c r="P37" i="424"/>
  <c r="Q31" i="426"/>
  <c r="R31" i="426"/>
  <c r="AG40" i="426"/>
  <c r="AF40" i="426"/>
  <c r="O40" i="426"/>
  <c r="O18" i="428"/>
  <c r="AG18" i="428"/>
  <c r="AF18" i="428"/>
  <c r="AG29" i="428"/>
  <c r="O29" i="428"/>
  <c r="AF29" i="428"/>
  <c r="R40" i="432"/>
  <c r="Q40" i="432"/>
  <c r="M6" i="473"/>
  <c r="Q6" i="3"/>
  <c r="I1" i="418"/>
  <c r="L69" i="424"/>
  <c r="I13" i="423" s="1"/>
  <c r="J6" i="423" s="1"/>
  <c r="O50" i="428"/>
  <c r="AF50" i="428"/>
  <c r="G22" i="2"/>
  <c r="P48" i="3"/>
  <c r="O6" i="418"/>
  <c r="O5" i="3"/>
  <c r="E22" i="2"/>
  <c r="N6" i="417"/>
  <c r="L17" i="418"/>
  <c r="R17" i="418" s="1"/>
  <c r="AF30" i="418"/>
  <c r="O30" i="418"/>
  <c r="AF39" i="418"/>
  <c r="P48" i="420"/>
  <c r="G22" i="419"/>
  <c r="I1" i="420"/>
  <c r="I1" i="3"/>
  <c r="AF6" i="3"/>
  <c r="J26" i="3"/>
  <c r="P16" i="3"/>
  <c r="N26" i="3"/>
  <c r="P29" i="418"/>
  <c r="L29" i="418"/>
  <c r="AG30" i="418"/>
  <c r="K48" i="418"/>
  <c r="L38" i="418"/>
  <c r="L48" i="418" s="1"/>
  <c r="G13" i="417" s="1"/>
  <c r="AG39" i="418"/>
  <c r="AG31" i="420"/>
  <c r="AF31" i="420"/>
  <c r="H22" i="419"/>
  <c r="R59" i="424"/>
  <c r="Q59" i="424"/>
  <c r="P61" i="424"/>
  <c r="L61" i="424"/>
  <c r="R50" i="426"/>
  <c r="Q50" i="426"/>
  <c r="AG61" i="426"/>
  <c r="AF61" i="426"/>
  <c r="O61" i="426"/>
  <c r="Q28" i="428"/>
  <c r="R28" i="428"/>
  <c r="N15" i="430"/>
  <c r="AG5" i="430"/>
  <c r="O5" i="430"/>
  <c r="AF5" i="430"/>
  <c r="O19" i="418"/>
  <c r="AG19" i="418"/>
  <c r="O17" i="3"/>
  <c r="F13" i="2"/>
  <c r="O6" i="423"/>
  <c r="P15" i="424"/>
  <c r="D22" i="423"/>
  <c r="O31" i="424"/>
  <c r="AG31" i="424"/>
  <c r="AF31" i="424"/>
  <c r="N58" i="424"/>
  <c r="AG49" i="424"/>
  <c r="AF49" i="424"/>
  <c r="O49" i="424"/>
  <c r="R18" i="426"/>
  <c r="Q18" i="426"/>
  <c r="J37" i="426"/>
  <c r="P27" i="426"/>
  <c r="O17" i="428"/>
  <c r="N26" i="428"/>
  <c r="AG17" i="428"/>
  <c r="AF17" i="428"/>
  <c r="N48" i="428"/>
  <c r="AG38" i="428"/>
  <c r="O38" i="428"/>
  <c r="AF38" i="428"/>
  <c r="AG40" i="418"/>
  <c r="O40" i="418"/>
  <c r="AF5" i="3"/>
  <c r="O38" i="418"/>
  <c r="AG38" i="418"/>
  <c r="AF7" i="3"/>
  <c r="L16" i="3"/>
  <c r="L26" i="3" s="1"/>
  <c r="AG18" i="3"/>
  <c r="AF18" i="3"/>
  <c r="P26" i="3"/>
  <c r="J37" i="3"/>
  <c r="P37" i="3" s="1"/>
  <c r="P27" i="3"/>
  <c r="F22" i="2"/>
  <c r="L60" i="3"/>
  <c r="O61" i="3"/>
  <c r="AG61" i="3"/>
  <c r="L16" i="418"/>
  <c r="AF17" i="418"/>
  <c r="P19" i="418"/>
  <c r="L19" i="418"/>
  <c r="O51" i="418"/>
  <c r="AG18" i="420"/>
  <c r="AF18" i="420"/>
  <c r="AG50" i="420"/>
  <c r="O50" i="420"/>
  <c r="G1" i="422"/>
  <c r="K37" i="422"/>
  <c r="L27" i="422"/>
  <c r="L37" i="422" s="1"/>
  <c r="F13" i="421" s="1"/>
  <c r="AG60" i="422"/>
  <c r="AF60" i="422"/>
  <c r="O60" i="422"/>
  <c r="N6" i="423"/>
  <c r="I1" i="424"/>
  <c r="O29" i="424"/>
  <c r="AG29" i="424"/>
  <c r="AF29" i="424"/>
  <c r="O39" i="424"/>
  <c r="AG39" i="424"/>
  <c r="AF39" i="424"/>
  <c r="N48" i="424"/>
  <c r="J58" i="424"/>
  <c r="P58" i="424" s="1"/>
  <c r="AG59" i="424"/>
  <c r="AF59" i="424"/>
  <c r="N69" i="424"/>
  <c r="L27" i="426"/>
  <c r="AF30" i="426"/>
  <c r="AG30" i="426"/>
  <c r="O30" i="426"/>
  <c r="AF27" i="3"/>
  <c r="O59" i="3"/>
  <c r="AG15" i="420"/>
  <c r="AH5" i="420" s="1"/>
  <c r="AF15" i="420"/>
  <c r="AG51" i="420"/>
  <c r="AF51" i="420"/>
  <c r="O51" i="420"/>
  <c r="P6" i="424"/>
  <c r="L6" i="424"/>
  <c r="G3" i="2"/>
  <c r="AG7" i="3"/>
  <c r="N37" i="3"/>
  <c r="L38" i="3"/>
  <c r="L48" i="3" s="1"/>
  <c r="K48" i="3"/>
  <c r="O7" i="418"/>
  <c r="AG7" i="418"/>
  <c r="AF7" i="418"/>
  <c r="P15" i="418"/>
  <c r="O16" i="418"/>
  <c r="N26" i="418"/>
  <c r="AG17" i="418"/>
  <c r="J26" i="418"/>
  <c r="P26" i="418" s="1"/>
  <c r="AF38" i="418"/>
  <c r="AF61" i="418"/>
  <c r="O61" i="418"/>
  <c r="AG61" i="418"/>
  <c r="O60" i="420"/>
  <c r="AG60" i="420"/>
  <c r="AF60" i="420"/>
  <c r="K69" i="420"/>
  <c r="J69" i="422"/>
  <c r="P69" i="422" s="1"/>
  <c r="P59" i="422"/>
  <c r="N37" i="426"/>
  <c r="AF27" i="426"/>
  <c r="AG27" i="426"/>
  <c r="O27" i="426"/>
  <c r="AG50" i="428"/>
  <c r="Q59" i="430"/>
  <c r="R59" i="430"/>
  <c r="O40" i="3"/>
  <c r="L6" i="473"/>
  <c r="AG29" i="3"/>
  <c r="AF29" i="3"/>
  <c r="R38" i="3"/>
  <c r="Q38" i="3"/>
  <c r="L59" i="3"/>
  <c r="L69" i="3" s="1"/>
  <c r="K69" i="3"/>
  <c r="P69" i="3"/>
  <c r="AE2" i="420"/>
  <c r="D21" i="419"/>
  <c r="O17" i="420"/>
  <c r="AG17" i="420"/>
  <c r="AF17" i="420"/>
  <c r="O30" i="420"/>
  <c r="AG30" i="420"/>
  <c r="AF30" i="420"/>
  <c r="O62" i="420"/>
  <c r="AG62" i="420"/>
  <c r="AF62" i="420"/>
  <c r="O27" i="422"/>
  <c r="AG27" i="422"/>
  <c r="N37" i="422"/>
  <c r="AF27" i="422"/>
  <c r="AF51" i="422"/>
  <c r="AG51" i="422"/>
  <c r="O51" i="422"/>
  <c r="G1" i="424"/>
  <c r="AF61" i="424"/>
  <c r="O61" i="424"/>
  <c r="AG61" i="424"/>
  <c r="AG7" i="426"/>
  <c r="AF7" i="426"/>
  <c r="O7" i="426"/>
  <c r="Q17" i="426"/>
  <c r="R17" i="426"/>
  <c r="P49" i="426"/>
  <c r="J58" i="426"/>
  <c r="P58" i="426" s="1"/>
  <c r="AG61" i="428"/>
  <c r="AF61" i="428"/>
  <c r="O61" i="428"/>
  <c r="N6" i="2"/>
  <c r="AF60" i="418"/>
  <c r="O60" i="418"/>
  <c r="AG60" i="418"/>
  <c r="M6" i="419"/>
  <c r="O6" i="473"/>
  <c r="AF40" i="3"/>
  <c r="AF51" i="418"/>
  <c r="P19" i="426"/>
  <c r="L19" i="426"/>
  <c r="J15" i="3"/>
  <c r="P15" i="3" s="1"/>
  <c r="P5" i="3"/>
  <c r="AF17" i="3"/>
  <c r="L18" i="418"/>
  <c r="Q18" i="418" s="1"/>
  <c r="E22" i="421"/>
  <c r="R5" i="424"/>
  <c r="Q5" i="424"/>
  <c r="O30" i="424"/>
  <c r="AG30" i="424"/>
  <c r="AF30" i="424"/>
  <c r="AA2" i="424"/>
  <c r="G19" i="423"/>
  <c r="M6" i="423" s="1"/>
  <c r="O50" i="424"/>
  <c r="AF50" i="424"/>
  <c r="AG50" i="424"/>
  <c r="P60" i="424"/>
  <c r="AG6" i="426"/>
  <c r="N15" i="426"/>
  <c r="O6" i="426"/>
  <c r="AG38" i="426"/>
  <c r="O38" i="426"/>
  <c r="AF38" i="426"/>
  <c r="N48" i="426"/>
  <c r="AF49" i="428"/>
  <c r="O49" i="428"/>
  <c r="N58" i="428"/>
  <c r="AG49" i="428"/>
  <c r="AG61" i="432"/>
  <c r="AF61" i="432"/>
  <c r="O61" i="432"/>
  <c r="R27" i="3"/>
  <c r="Q27" i="3"/>
  <c r="O37" i="3"/>
  <c r="AF60" i="3"/>
  <c r="O60" i="3"/>
  <c r="N69" i="3"/>
  <c r="L28" i="418"/>
  <c r="K37" i="418"/>
  <c r="AG29" i="418"/>
  <c r="O29" i="418"/>
  <c r="AF29" i="418"/>
  <c r="N48" i="420"/>
  <c r="AF38" i="420"/>
  <c r="O38" i="420"/>
  <c r="O69" i="422"/>
  <c r="J15" i="424"/>
  <c r="L5" i="424"/>
  <c r="AG6" i="424"/>
  <c r="O6" i="424"/>
  <c r="AF6" i="424"/>
  <c r="N15" i="424"/>
  <c r="L51" i="426"/>
  <c r="R51" i="426" s="1"/>
  <c r="AG51" i="426"/>
  <c r="AF51" i="426"/>
  <c r="AG16" i="428"/>
  <c r="K26" i="428"/>
  <c r="L16" i="428"/>
  <c r="L26" i="428" s="1"/>
  <c r="E13" i="427" s="1"/>
  <c r="L38" i="430"/>
  <c r="K48" i="430"/>
  <c r="AG38" i="430"/>
  <c r="AG27" i="3"/>
  <c r="Q29" i="3"/>
  <c r="AF38" i="3"/>
  <c r="AF39" i="3"/>
  <c r="O39" i="3"/>
  <c r="AG39" i="3"/>
  <c r="N48" i="3"/>
  <c r="O70" i="3"/>
  <c r="N79" i="3"/>
  <c r="AF70" i="3"/>
  <c r="N15" i="418"/>
  <c r="AF19" i="418"/>
  <c r="AF40" i="418"/>
  <c r="L58" i="418"/>
  <c r="H13" i="417" s="1"/>
  <c r="P16" i="424"/>
  <c r="J26" i="424"/>
  <c r="P26" i="424" s="1"/>
  <c r="L16" i="424"/>
  <c r="R19" i="424"/>
  <c r="Q19" i="424"/>
  <c r="I22" i="2"/>
  <c r="L6" i="3"/>
  <c r="AF28" i="3"/>
  <c r="AG38" i="3"/>
  <c r="L50" i="3"/>
  <c r="AF59" i="3"/>
  <c r="AG70" i="3"/>
  <c r="O5" i="418"/>
  <c r="AF28" i="418"/>
  <c r="O28" i="418"/>
  <c r="L30" i="418"/>
  <c r="G22" i="417"/>
  <c r="P48" i="418"/>
  <c r="R50" i="418"/>
  <c r="Q50" i="418"/>
  <c r="O58" i="418"/>
  <c r="O69" i="418"/>
  <c r="Q6" i="420"/>
  <c r="N26" i="420"/>
  <c r="Q37" i="420"/>
  <c r="AG38" i="420"/>
  <c r="O40" i="420"/>
  <c r="AG40" i="420"/>
  <c r="AF40" i="420"/>
  <c r="P5" i="424"/>
  <c r="R27" i="424"/>
  <c r="Q27" i="424"/>
  <c r="O37" i="424"/>
  <c r="K26" i="426"/>
  <c r="AF26" i="426" s="1"/>
  <c r="L16" i="426"/>
  <c r="K37" i="426"/>
  <c r="G1" i="430"/>
  <c r="R6" i="3"/>
  <c r="D22" i="2"/>
  <c r="Z2" i="3"/>
  <c r="R51" i="3"/>
  <c r="AG28" i="418"/>
  <c r="N48" i="418"/>
  <c r="O31" i="420"/>
  <c r="O59" i="420"/>
  <c r="N69" i="420"/>
  <c r="AG59" i="420"/>
  <c r="AF59" i="420"/>
  <c r="AF50" i="422"/>
  <c r="AG50" i="422"/>
  <c r="O50" i="422"/>
  <c r="AF60" i="424"/>
  <c r="O60" i="424"/>
  <c r="AG60" i="424"/>
  <c r="R16" i="426"/>
  <c r="O19" i="426"/>
  <c r="O26" i="426" s="1"/>
  <c r="AG19" i="426"/>
  <c r="AF19" i="426"/>
  <c r="E20" i="425"/>
  <c r="AD2" i="426"/>
  <c r="G22" i="425"/>
  <c r="O28" i="420"/>
  <c r="R29" i="420"/>
  <c r="AG49" i="422"/>
  <c r="AF49" i="422"/>
  <c r="N37" i="424"/>
  <c r="P38" i="424"/>
  <c r="J48" i="424"/>
  <c r="P48" i="424" s="1"/>
  <c r="P37" i="426"/>
  <c r="L49" i="426"/>
  <c r="AG16" i="430"/>
  <c r="AF16" i="430"/>
  <c r="AF38" i="430"/>
  <c r="N48" i="430"/>
  <c r="O38" i="430"/>
  <c r="R51" i="438"/>
  <c r="Q51" i="438"/>
  <c r="O5" i="420"/>
  <c r="O27" i="420"/>
  <c r="AF29" i="420"/>
  <c r="O39" i="420"/>
  <c r="P69" i="420"/>
  <c r="J15" i="422"/>
  <c r="P15" i="422" s="1"/>
  <c r="O39" i="422"/>
  <c r="O49" i="422"/>
  <c r="AF27" i="424"/>
  <c r="K48" i="424"/>
  <c r="L38" i="424"/>
  <c r="L49" i="424"/>
  <c r="L58" i="424" s="1"/>
  <c r="H13" i="423" s="1"/>
  <c r="O51" i="424"/>
  <c r="I1" i="426"/>
  <c r="O28" i="426"/>
  <c r="AG28" i="426"/>
  <c r="AG39" i="426"/>
  <c r="O39" i="426"/>
  <c r="R49" i="426"/>
  <c r="Q49" i="426"/>
  <c r="K58" i="426"/>
  <c r="O62" i="426"/>
  <c r="G1" i="428"/>
  <c r="O16" i="430"/>
  <c r="AG50" i="430"/>
  <c r="AF50" i="430"/>
  <c r="O50" i="430"/>
  <c r="L37" i="432"/>
  <c r="F13" i="431" s="1"/>
  <c r="AG6" i="434"/>
  <c r="AF6" i="434"/>
  <c r="O6" i="434"/>
  <c r="H22" i="433"/>
  <c r="J3" i="437"/>
  <c r="G2" i="438"/>
  <c r="O58" i="420"/>
  <c r="L6" i="422"/>
  <c r="L15" i="422" s="1"/>
  <c r="D13" i="421" s="1"/>
  <c r="L17" i="422"/>
  <c r="Q17" i="422" s="1"/>
  <c r="L19" i="422"/>
  <c r="R16" i="424"/>
  <c r="O26" i="424"/>
  <c r="Q16" i="424"/>
  <c r="AG27" i="424"/>
  <c r="O48" i="424"/>
  <c r="Q38" i="424"/>
  <c r="AF39" i="426"/>
  <c r="AF50" i="426"/>
  <c r="Q60" i="426"/>
  <c r="O7" i="428"/>
  <c r="AF7" i="428"/>
  <c r="Q16" i="428"/>
  <c r="P59" i="428"/>
  <c r="J69" i="428"/>
  <c r="P15" i="430"/>
  <c r="D22" i="429"/>
  <c r="L19" i="430"/>
  <c r="N26" i="430"/>
  <c r="L31" i="430"/>
  <c r="AG31" i="430"/>
  <c r="AF31" i="430"/>
  <c r="AG37" i="430"/>
  <c r="AH27" i="430" s="1"/>
  <c r="Q37" i="430"/>
  <c r="P26" i="432"/>
  <c r="I1" i="432"/>
  <c r="N37" i="432"/>
  <c r="AG27" i="432"/>
  <c r="AF27" i="432"/>
  <c r="O27" i="432"/>
  <c r="G1" i="434"/>
  <c r="Z2" i="420"/>
  <c r="AF28" i="420"/>
  <c r="AF49" i="420"/>
  <c r="AG15" i="422"/>
  <c r="AH5" i="422" s="1"/>
  <c r="AG6" i="422"/>
  <c r="AF6" i="422"/>
  <c r="O6" i="422"/>
  <c r="I1" i="422"/>
  <c r="D22" i="421"/>
  <c r="L16" i="422"/>
  <c r="AG17" i="422"/>
  <c r="O19" i="422"/>
  <c r="AG19" i="422"/>
  <c r="AG59" i="422"/>
  <c r="Z2" i="424"/>
  <c r="K26" i="424"/>
  <c r="AG26" i="424" s="1"/>
  <c r="AH16" i="424" s="1"/>
  <c r="R38" i="424"/>
  <c r="Z2" i="426"/>
  <c r="AG18" i="426"/>
  <c r="L59" i="426"/>
  <c r="Q59" i="426" s="1"/>
  <c r="K15" i="428"/>
  <c r="AG15" i="428" s="1"/>
  <c r="AH5" i="428" s="1"/>
  <c r="P26" i="428"/>
  <c r="AF28" i="428"/>
  <c r="R40" i="428"/>
  <c r="P6" i="430"/>
  <c r="J15" i="430"/>
  <c r="AG19" i="430"/>
  <c r="R31" i="430"/>
  <c r="R40" i="430"/>
  <c r="Q40" i="430"/>
  <c r="O52" i="430"/>
  <c r="L5" i="434"/>
  <c r="P5" i="434"/>
  <c r="N6" i="435"/>
  <c r="O6" i="435"/>
  <c r="AG59" i="418"/>
  <c r="N69" i="418"/>
  <c r="F19" i="419"/>
  <c r="L19" i="420"/>
  <c r="Q19" i="420" s="1"/>
  <c r="AF27" i="420"/>
  <c r="AG49" i="420"/>
  <c r="O15" i="422"/>
  <c r="Q5" i="422"/>
  <c r="AG16" i="422"/>
  <c r="N26" i="422"/>
  <c r="AF16" i="422"/>
  <c r="AG18" i="422"/>
  <c r="J26" i="422"/>
  <c r="P26" i="422" s="1"/>
  <c r="AA2" i="426"/>
  <c r="AF5" i="426"/>
  <c r="AG16" i="426"/>
  <c r="AF16" i="426"/>
  <c r="AF17" i="426"/>
  <c r="AF49" i="426"/>
  <c r="N58" i="426"/>
  <c r="O69" i="426"/>
  <c r="R60" i="426"/>
  <c r="AF62" i="426"/>
  <c r="L5" i="428"/>
  <c r="L15" i="428" s="1"/>
  <c r="D13" i="427" s="1"/>
  <c r="L6" i="428"/>
  <c r="R16" i="428"/>
  <c r="O26" i="428"/>
  <c r="O27" i="428"/>
  <c r="N37" i="428"/>
  <c r="Q40" i="428"/>
  <c r="L59" i="428"/>
  <c r="L69" i="428" s="1"/>
  <c r="I13" i="427" s="1"/>
  <c r="J6" i="427" s="1"/>
  <c r="Z2" i="430"/>
  <c r="O29" i="430"/>
  <c r="AF29" i="430"/>
  <c r="R62" i="430"/>
  <c r="L15" i="432"/>
  <c r="D13" i="431" s="1"/>
  <c r="N69" i="432"/>
  <c r="AF5" i="420"/>
  <c r="AG27" i="420"/>
  <c r="AG39" i="420"/>
  <c r="P5" i="422"/>
  <c r="R18" i="422"/>
  <c r="Q18" i="422"/>
  <c r="AF17" i="424"/>
  <c r="M6" i="425"/>
  <c r="AG49" i="426"/>
  <c r="O58" i="426"/>
  <c r="P59" i="426"/>
  <c r="AF6" i="428"/>
  <c r="O6" i="428"/>
  <c r="O15" i="428" s="1"/>
  <c r="AD2" i="428"/>
  <c r="D20" i="427"/>
  <c r="AF27" i="428"/>
  <c r="AG30" i="428"/>
  <c r="O30" i="428"/>
  <c r="AF30" i="428"/>
  <c r="O39" i="428"/>
  <c r="AF39" i="428"/>
  <c r="AF7" i="430"/>
  <c r="K15" i="432"/>
  <c r="R59" i="432"/>
  <c r="Q59" i="432"/>
  <c r="AG62" i="432"/>
  <c r="AF62" i="432"/>
  <c r="O62" i="432"/>
  <c r="R8" i="434"/>
  <c r="Q8" i="434"/>
  <c r="J15" i="434"/>
  <c r="P15" i="434" s="1"/>
  <c r="M6" i="429"/>
  <c r="AF18" i="430"/>
  <c r="AG18" i="430"/>
  <c r="O18" i="430"/>
  <c r="AF51" i="430"/>
  <c r="AG51" i="430"/>
  <c r="N69" i="430"/>
  <c r="AG59" i="430"/>
  <c r="AF59" i="430"/>
  <c r="AG19" i="432"/>
  <c r="O19" i="432"/>
  <c r="AF19" i="432"/>
  <c r="G22" i="433"/>
  <c r="P48" i="434"/>
  <c r="I1" i="434"/>
  <c r="AG60" i="434"/>
  <c r="O60" i="434"/>
  <c r="AF60" i="434"/>
  <c r="AF50" i="3"/>
  <c r="K79" i="3"/>
  <c r="R49" i="418"/>
  <c r="Q59" i="418"/>
  <c r="K69" i="418"/>
  <c r="P15" i="420"/>
  <c r="K37" i="420"/>
  <c r="AG37" i="420" s="1"/>
  <c r="AH27" i="420" s="1"/>
  <c r="N58" i="420"/>
  <c r="L59" i="420"/>
  <c r="L69" i="420" s="1"/>
  <c r="I13" i="419" s="1"/>
  <c r="J6" i="419" s="1"/>
  <c r="Q61" i="420"/>
  <c r="Q16" i="422"/>
  <c r="O26" i="422"/>
  <c r="AF30" i="422"/>
  <c r="P58" i="422"/>
  <c r="K69" i="422"/>
  <c r="O62" i="422"/>
  <c r="L28" i="424"/>
  <c r="L37" i="424" s="1"/>
  <c r="F13" i="423" s="1"/>
  <c r="L30" i="424"/>
  <c r="AG38" i="424"/>
  <c r="AF51" i="424"/>
  <c r="J69" i="424"/>
  <c r="P69" i="424" s="1"/>
  <c r="N69" i="426"/>
  <c r="AG59" i="426"/>
  <c r="AF59" i="426"/>
  <c r="P5" i="428"/>
  <c r="AF15" i="428"/>
  <c r="L62" i="428"/>
  <c r="R62" i="428" s="1"/>
  <c r="Q63" i="428"/>
  <c r="P69" i="428"/>
  <c r="K26" i="430"/>
  <c r="AF37" i="430"/>
  <c r="O51" i="430"/>
  <c r="E22" i="431"/>
  <c r="AG5" i="432"/>
  <c r="AF48" i="434"/>
  <c r="Q48" i="434"/>
  <c r="AG48" i="434"/>
  <c r="AH38" i="434" s="1"/>
  <c r="R59" i="418"/>
  <c r="J58" i="420"/>
  <c r="P58" i="420" s="1"/>
  <c r="P49" i="420"/>
  <c r="AA2" i="422"/>
  <c r="R30" i="422"/>
  <c r="R31" i="422"/>
  <c r="Q31" i="422"/>
  <c r="J37" i="422"/>
  <c r="P37" i="422" s="1"/>
  <c r="N58" i="422"/>
  <c r="R61" i="422"/>
  <c r="N69" i="422"/>
  <c r="F22" i="425"/>
  <c r="G1" i="426"/>
  <c r="J48" i="426"/>
  <c r="P48" i="426" s="1"/>
  <c r="P38" i="426"/>
  <c r="Q51" i="426"/>
  <c r="F18" i="427"/>
  <c r="K37" i="428"/>
  <c r="K15" i="430"/>
  <c r="L5" i="430"/>
  <c r="L17" i="430"/>
  <c r="L26" i="430" s="1"/>
  <c r="E13" i="429" s="1"/>
  <c r="R28" i="430"/>
  <c r="Q28" i="430"/>
  <c r="AF30" i="430"/>
  <c r="L30" i="430"/>
  <c r="J37" i="420"/>
  <c r="P27" i="420"/>
  <c r="AG5" i="422"/>
  <c r="AG6" i="428"/>
  <c r="AG39" i="428"/>
  <c r="Q62" i="428"/>
  <c r="I19" i="427"/>
  <c r="M6" i="427" s="1"/>
  <c r="AA2" i="428"/>
  <c r="AF17" i="430"/>
  <c r="AG17" i="430"/>
  <c r="O17" i="430"/>
  <c r="L27" i="430"/>
  <c r="K37" i="430"/>
  <c r="AF28" i="430"/>
  <c r="G1" i="432"/>
  <c r="AG7" i="432"/>
  <c r="D20" i="431"/>
  <c r="AD2" i="432"/>
  <c r="AF28" i="432"/>
  <c r="O28" i="432"/>
  <c r="AG28" i="432"/>
  <c r="O38" i="432"/>
  <c r="N48" i="432"/>
  <c r="AG38" i="432"/>
  <c r="AF38" i="432"/>
  <c r="P39" i="436"/>
  <c r="L39" i="436"/>
  <c r="AF51" i="3"/>
  <c r="K15" i="418"/>
  <c r="O62" i="418"/>
  <c r="AG62" i="418"/>
  <c r="P69" i="418"/>
  <c r="O6" i="419"/>
  <c r="N6" i="419"/>
  <c r="R16" i="420"/>
  <c r="J26" i="420"/>
  <c r="P26" i="420" s="1"/>
  <c r="P37" i="420"/>
  <c r="P59" i="420"/>
  <c r="N6" i="421"/>
  <c r="AF18" i="422"/>
  <c r="K48" i="422"/>
  <c r="L38" i="422"/>
  <c r="L48" i="422" s="1"/>
  <c r="G13" i="421" s="1"/>
  <c r="Q61" i="422"/>
  <c r="AF62" i="422"/>
  <c r="AE2" i="3"/>
  <c r="L49" i="3"/>
  <c r="L58" i="3" s="1"/>
  <c r="L5" i="418"/>
  <c r="L15" i="418" s="1"/>
  <c r="D13" i="417" s="1"/>
  <c r="N58" i="418"/>
  <c r="AF62" i="418"/>
  <c r="E18" i="419"/>
  <c r="L6" i="419" s="1"/>
  <c r="I22" i="419"/>
  <c r="AF16" i="420"/>
  <c r="Q29" i="420"/>
  <c r="L49" i="420"/>
  <c r="AF17" i="422"/>
  <c r="Q30" i="422"/>
  <c r="N48" i="422"/>
  <c r="AD2" i="424"/>
  <c r="K15" i="426"/>
  <c r="J26" i="426"/>
  <c r="P26" i="426" s="1"/>
  <c r="AG17" i="426"/>
  <c r="AF18" i="426"/>
  <c r="L29" i="426"/>
  <c r="R29" i="426" s="1"/>
  <c r="AG31" i="426"/>
  <c r="AF31" i="426"/>
  <c r="AG5" i="428"/>
  <c r="AF27" i="430"/>
  <c r="AG28" i="430"/>
  <c r="L50" i="430"/>
  <c r="L58" i="430" s="1"/>
  <c r="H13" i="429" s="1"/>
  <c r="J69" i="430"/>
  <c r="P69" i="430" s="1"/>
  <c r="Q18" i="432"/>
  <c r="R49" i="430"/>
  <c r="P52" i="430"/>
  <c r="O18" i="434"/>
  <c r="O26" i="434" s="1"/>
  <c r="AG18" i="434"/>
  <c r="AF18" i="434"/>
  <c r="P50" i="434"/>
  <c r="L50" i="434"/>
  <c r="J58" i="434"/>
  <c r="P58" i="434" s="1"/>
  <c r="AG17" i="436"/>
  <c r="O17" i="436"/>
  <c r="AF17" i="436"/>
  <c r="D18" i="437"/>
  <c r="L6" i="437" s="1"/>
  <c r="Z2" i="438"/>
  <c r="AF39" i="438"/>
  <c r="O39" i="438"/>
  <c r="AG39" i="438"/>
  <c r="AF62" i="440"/>
  <c r="O62" i="440"/>
  <c r="O69" i="440" s="1"/>
  <c r="N15" i="432"/>
  <c r="O6" i="432"/>
  <c r="AG6" i="432"/>
  <c r="AF6" i="432"/>
  <c r="AF18" i="432"/>
  <c r="AG62" i="440"/>
  <c r="AA2" i="430"/>
  <c r="Q31" i="430"/>
  <c r="J37" i="430"/>
  <c r="P37" i="430" s="1"/>
  <c r="Q49" i="430"/>
  <c r="O5" i="432"/>
  <c r="AG18" i="432"/>
  <c r="J37" i="432"/>
  <c r="P37" i="432" s="1"/>
  <c r="R5" i="434"/>
  <c r="N37" i="434"/>
  <c r="AG27" i="434"/>
  <c r="M6" i="433"/>
  <c r="AG62" i="434"/>
  <c r="AF62" i="434"/>
  <c r="O62" i="434"/>
  <c r="AG60" i="436"/>
  <c r="O60" i="436"/>
  <c r="AF60" i="436"/>
  <c r="N69" i="436"/>
  <c r="AG8" i="440"/>
  <c r="AF8" i="440"/>
  <c r="O8" i="440"/>
  <c r="L40" i="428"/>
  <c r="L52" i="428"/>
  <c r="Q52" i="428" s="1"/>
  <c r="AF62" i="428"/>
  <c r="AG62" i="428"/>
  <c r="AE2" i="430"/>
  <c r="L8" i="430"/>
  <c r="Q8" i="430" s="1"/>
  <c r="AD2" i="430"/>
  <c r="O19" i="430"/>
  <c r="O8" i="432"/>
  <c r="Z2" i="432"/>
  <c r="AG16" i="432"/>
  <c r="AF16" i="432"/>
  <c r="O16" i="432"/>
  <c r="N26" i="432"/>
  <c r="L38" i="432"/>
  <c r="L48" i="432" s="1"/>
  <c r="G13" i="431" s="1"/>
  <c r="L50" i="432"/>
  <c r="L58" i="432" s="1"/>
  <c r="H13" i="431" s="1"/>
  <c r="L63" i="432"/>
  <c r="L69" i="432" s="1"/>
  <c r="I13" i="431" s="1"/>
  <c r="J6" i="431" s="1"/>
  <c r="R9" i="434"/>
  <c r="Q9" i="434"/>
  <c r="AG17" i="434"/>
  <c r="AF17" i="434"/>
  <c r="Q27" i="434"/>
  <c r="R27" i="434"/>
  <c r="O37" i="434"/>
  <c r="O50" i="434"/>
  <c r="AG50" i="434"/>
  <c r="AF50" i="434"/>
  <c r="G1" i="436"/>
  <c r="O7" i="438"/>
  <c r="O15" i="438" s="1"/>
  <c r="AG7" i="438"/>
  <c r="AF7" i="438"/>
  <c r="AG7" i="440"/>
  <c r="AF7" i="440"/>
  <c r="L7" i="440"/>
  <c r="K15" i="440"/>
  <c r="R29" i="442"/>
  <c r="Q29" i="442"/>
  <c r="J37" i="428"/>
  <c r="P37" i="428" s="1"/>
  <c r="P27" i="428"/>
  <c r="L39" i="428"/>
  <c r="L48" i="428" s="1"/>
  <c r="G13" i="427" s="1"/>
  <c r="N69" i="428"/>
  <c r="O59" i="428"/>
  <c r="L39" i="430"/>
  <c r="R39" i="430" s="1"/>
  <c r="N58" i="430"/>
  <c r="AF5" i="432"/>
  <c r="AA2" i="432"/>
  <c r="D19" i="431"/>
  <c r="M6" i="431" s="1"/>
  <c r="O30" i="432"/>
  <c r="AG30" i="432"/>
  <c r="AF30" i="432"/>
  <c r="O39" i="432"/>
  <c r="AG39" i="432"/>
  <c r="AF39" i="432"/>
  <c r="P50" i="432"/>
  <c r="Q17" i="434"/>
  <c r="R17" i="434"/>
  <c r="N69" i="434"/>
  <c r="O59" i="434"/>
  <c r="AG59" i="434"/>
  <c r="AF59" i="434"/>
  <c r="P5" i="436"/>
  <c r="L5" i="436"/>
  <c r="L15" i="436" s="1"/>
  <c r="D13" i="435" s="1"/>
  <c r="J15" i="436"/>
  <c r="P15" i="436" s="1"/>
  <c r="O5" i="440"/>
  <c r="AG5" i="440"/>
  <c r="N15" i="440"/>
  <c r="AF5" i="440"/>
  <c r="L18" i="424"/>
  <c r="R18" i="424" s="1"/>
  <c r="L39" i="424"/>
  <c r="K48" i="426"/>
  <c r="AF16" i="428"/>
  <c r="J58" i="428"/>
  <c r="P58" i="428" s="1"/>
  <c r="AG59" i="428"/>
  <c r="D20" i="429"/>
  <c r="AG30" i="430"/>
  <c r="O30" i="430"/>
  <c r="AG49" i="430"/>
  <c r="J58" i="430"/>
  <c r="P58" i="430" s="1"/>
  <c r="L61" i="430"/>
  <c r="L69" i="430" s="1"/>
  <c r="I13" i="429" s="1"/>
  <c r="J6" i="429" s="1"/>
  <c r="R63" i="430"/>
  <c r="K69" i="430"/>
  <c r="F21" i="431"/>
  <c r="O50" i="432"/>
  <c r="AG50" i="432"/>
  <c r="AF50" i="432"/>
  <c r="L26" i="434"/>
  <c r="E13" i="433" s="1"/>
  <c r="N58" i="434"/>
  <c r="N15" i="436"/>
  <c r="AG5" i="436"/>
  <c r="AF5" i="436"/>
  <c r="O5" i="436"/>
  <c r="AG61" i="430"/>
  <c r="AF61" i="430"/>
  <c r="R41" i="432"/>
  <c r="Q41" i="432"/>
  <c r="AF49" i="432"/>
  <c r="N58" i="432"/>
  <c r="O49" i="432"/>
  <c r="AG49" i="432"/>
  <c r="P69" i="432"/>
  <c r="I22" i="431"/>
  <c r="N26" i="434"/>
  <c r="K58" i="434"/>
  <c r="L49" i="434"/>
  <c r="L58" i="434" s="1"/>
  <c r="H13" i="433" s="1"/>
  <c r="AG49" i="434"/>
  <c r="AF49" i="434"/>
  <c r="Q48" i="436"/>
  <c r="O17" i="442"/>
  <c r="O26" i="442" s="1"/>
  <c r="AG17" i="442"/>
  <c r="AF17" i="442"/>
  <c r="O28" i="446"/>
  <c r="AG28" i="446"/>
  <c r="AF28" i="446"/>
  <c r="AE2" i="418"/>
  <c r="P58" i="418"/>
  <c r="L6" i="420"/>
  <c r="R6" i="420" s="1"/>
  <c r="AF28" i="424"/>
  <c r="L6" i="427"/>
  <c r="P28" i="428"/>
  <c r="Q6" i="430"/>
  <c r="O27" i="430"/>
  <c r="O61" i="430"/>
  <c r="Q62" i="430"/>
  <c r="Q63" i="430"/>
  <c r="AF8" i="432"/>
  <c r="O17" i="432"/>
  <c r="AF17" i="432"/>
  <c r="K37" i="432"/>
  <c r="K58" i="432"/>
  <c r="AF60" i="432"/>
  <c r="AG60" i="432"/>
  <c r="O60" i="432"/>
  <c r="O69" i="432" s="1"/>
  <c r="R16" i="434"/>
  <c r="Q16" i="434"/>
  <c r="O58" i="434"/>
  <c r="R49" i="434"/>
  <c r="Q49" i="434"/>
  <c r="R61" i="434"/>
  <c r="Q61" i="434"/>
  <c r="D18" i="435"/>
  <c r="L6" i="435" s="1"/>
  <c r="Z2" i="436"/>
  <c r="O5" i="446"/>
  <c r="AG5" i="446"/>
  <c r="N15" i="446"/>
  <c r="AF5" i="446"/>
  <c r="P69" i="426"/>
  <c r="R51" i="428"/>
  <c r="AF52" i="428"/>
  <c r="R7" i="430"/>
  <c r="J48" i="430"/>
  <c r="P48" i="430" s="1"/>
  <c r="R53" i="430"/>
  <c r="AG60" i="430"/>
  <c r="AF60" i="430"/>
  <c r="O60" i="430"/>
  <c r="O7" i="432"/>
  <c r="AF7" i="432"/>
  <c r="L28" i="432"/>
  <c r="O29" i="432"/>
  <c r="AG29" i="432"/>
  <c r="AF29" i="432"/>
  <c r="AG40" i="432"/>
  <c r="AF40" i="432"/>
  <c r="Z2" i="434"/>
  <c r="D18" i="433"/>
  <c r="L6" i="433" s="1"/>
  <c r="N37" i="436"/>
  <c r="O27" i="436"/>
  <c r="AG27" i="436"/>
  <c r="AF27" i="436"/>
  <c r="P58" i="436"/>
  <c r="H22" i="435"/>
  <c r="I1" i="436"/>
  <c r="O6" i="436"/>
  <c r="AF6" i="436"/>
  <c r="O28" i="436"/>
  <c r="AF28" i="436"/>
  <c r="R30" i="436"/>
  <c r="Q30" i="436"/>
  <c r="L38" i="436"/>
  <c r="L48" i="436" s="1"/>
  <c r="G13" i="435" s="1"/>
  <c r="K48" i="436"/>
  <c r="AG48" i="436" s="1"/>
  <c r="AH38" i="436" s="1"/>
  <c r="P69" i="436"/>
  <c r="I22" i="435"/>
  <c r="O6" i="437"/>
  <c r="K37" i="438"/>
  <c r="L27" i="438"/>
  <c r="L37" i="438" s="1"/>
  <c r="F13" i="437" s="1"/>
  <c r="O49" i="438"/>
  <c r="N58" i="438"/>
  <c r="AF49" i="438"/>
  <c r="Q62" i="438"/>
  <c r="R62" i="438"/>
  <c r="M6" i="439"/>
  <c r="O28" i="440"/>
  <c r="AF28" i="440"/>
  <c r="AG28" i="440"/>
  <c r="J69" i="442"/>
  <c r="P69" i="442" s="1"/>
  <c r="AG6" i="436"/>
  <c r="O19" i="436"/>
  <c r="J37" i="436"/>
  <c r="P37" i="436" s="1"/>
  <c r="O62" i="436"/>
  <c r="AG62" i="436"/>
  <c r="R9" i="438"/>
  <c r="Q9" i="438"/>
  <c r="AG38" i="438"/>
  <c r="AF38" i="438"/>
  <c r="N48" i="438"/>
  <c r="O38" i="438"/>
  <c r="K69" i="438"/>
  <c r="L59" i="438"/>
  <c r="AF62" i="438"/>
  <c r="AG62" i="438"/>
  <c r="D20" i="439"/>
  <c r="AD2" i="440"/>
  <c r="O50" i="440"/>
  <c r="AG5" i="442"/>
  <c r="AF5" i="442"/>
  <c r="N15" i="442"/>
  <c r="O5" i="442"/>
  <c r="R16" i="442"/>
  <c r="Q16" i="442"/>
  <c r="L61" i="442"/>
  <c r="L69" i="442" s="1"/>
  <c r="I13" i="441" s="1"/>
  <c r="J6" i="441" s="1"/>
  <c r="K69" i="442"/>
  <c r="AG5" i="448"/>
  <c r="N15" i="448"/>
  <c r="AF5" i="448"/>
  <c r="O5" i="448"/>
  <c r="AF52" i="450"/>
  <c r="O52" i="450"/>
  <c r="AG52" i="450"/>
  <c r="J48" i="434"/>
  <c r="P38" i="434"/>
  <c r="K26" i="436"/>
  <c r="Q29" i="436"/>
  <c r="AF62" i="436"/>
  <c r="O18" i="438"/>
  <c r="AG18" i="438"/>
  <c r="AF18" i="438"/>
  <c r="N37" i="438"/>
  <c r="AF27" i="438"/>
  <c r="O27" i="438"/>
  <c r="AG27" i="438"/>
  <c r="G22" i="437"/>
  <c r="I1" i="438"/>
  <c r="AG59" i="438"/>
  <c r="N69" i="438"/>
  <c r="O59" i="438"/>
  <c r="AA2" i="440"/>
  <c r="O48" i="440"/>
  <c r="R38" i="440"/>
  <c r="Q38" i="440"/>
  <c r="L40" i="440"/>
  <c r="R40" i="440" s="1"/>
  <c r="P40" i="440"/>
  <c r="P60" i="440"/>
  <c r="L60" i="440"/>
  <c r="AG41" i="442"/>
  <c r="AF41" i="442"/>
  <c r="O41" i="442"/>
  <c r="N37" i="446"/>
  <c r="Q64" i="432"/>
  <c r="N15" i="434"/>
  <c r="L40" i="434"/>
  <c r="Q40" i="434" s="1"/>
  <c r="L41" i="434"/>
  <c r="L62" i="434"/>
  <c r="L69" i="434" s="1"/>
  <c r="I13" i="433" s="1"/>
  <c r="J6" i="433" s="1"/>
  <c r="J69" i="434"/>
  <c r="P69" i="434" s="1"/>
  <c r="O9" i="436"/>
  <c r="L27" i="436"/>
  <c r="L37" i="436" s="1"/>
  <c r="F13" i="435" s="1"/>
  <c r="F22" i="435"/>
  <c r="Q38" i="436"/>
  <c r="L17" i="438"/>
  <c r="L26" i="438" s="1"/>
  <c r="E13" i="437" s="1"/>
  <c r="N26" i="438"/>
  <c r="P48" i="438"/>
  <c r="J15" i="432"/>
  <c r="P15" i="432" s="1"/>
  <c r="J48" i="432"/>
  <c r="P48" i="432" s="1"/>
  <c r="O15" i="434"/>
  <c r="P26" i="434"/>
  <c r="L38" i="434"/>
  <c r="H21" i="435"/>
  <c r="P9" i="436"/>
  <c r="Q18" i="436"/>
  <c r="AG49" i="438"/>
  <c r="AF59" i="438"/>
  <c r="G1" i="440"/>
  <c r="AG6" i="440"/>
  <c r="O6" i="440"/>
  <c r="Q17" i="440"/>
  <c r="L37" i="440"/>
  <c r="F13" i="439" s="1"/>
  <c r="AG30" i="440"/>
  <c r="O30" i="440"/>
  <c r="F22" i="439"/>
  <c r="N48" i="440"/>
  <c r="AF38" i="440"/>
  <c r="AG38" i="440"/>
  <c r="AG50" i="440"/>
  <c r="G1" i="446"/>
  <c r="AG8" i="446"/>
  <c r="O8" i="446"/>
  <c r="O38" i="434"/>
  <c r="AG38" i="434"/>
  <c r="P39" i="434"/>
  <c r="R41" i="434"/>
  <c r="Q41" i="434"/>
  <c r="AD2" i="436"/>
  <c r="N26" i="436"/>
  <c r="AG38" i="436"/>
  <c r="AF38" i="436"/>
  <c r="K69" i="436"/>
  <c r="L59" i="436"/>
  <c r="L69" i="436" s="1"/>
  <c r="I13" i="435" s="1"/>
  <c r="J6" i="435" s="1"/>
  <c r="AG27" i="440"/>
  <c r="N37" i="440"/>
  <c r="O27" i="440"/>
  <c r="AF27" i="440"/>
  <c r="Q40" i="440"/>
  <c r="L58" i="440"/>
  <c r="H13" i="439" s="1"/>
  <c r="O37" i="442"/>
  <c r="R27" i="442"/>
  <c r="Q27" i="442"/>
  <c r="AG5" i="444"/>
  <c r="N15" i="444"/>
  <c r="O5" i="444"/>
  <c r="AF5" i="444"/>
  <c r="Q7" i="446"/>
  <c r="R7" i="446"/>
  <c r="AF8" i="446"/>
  <c r="AG16" i="434"/>
  <c r="AF16" i="434"/>
  <c r="Q16" i="436"/>
  <c r="AG19" i="436"/>
  <c r="AG28" i="436"/>
  <c r="O51" i="436"/>
  <c r="AG59" i="436"/>
  <c r="O16" i="438"/>
  <c r="AF17" i="438"/>
  <c r="O17" i="438"/>
  <c r="AG17" i="438"/>
  <c r="AG61" i="438"/>
  <c r="AF61" i="438"/>
  <c r="O61" i="438"/>
  <c r="J48" i="440"/>
  <c r="P48" i="440" s="1"/>
  <c r="P39" i="440"/>
  <c r="N58" i="440"/>
  <c r="O49" i="440"/>
  <c r="AG49" i="440"/>
  <c r="AF49" i="440"/>
  <c r="J26" i="430"/>
  <c r="P26" i="430" s="1"/>
  <c r="D18" i="431"/>
  <c r="L6" i="431" s="1"/>
  <c r="P5" i="432"/>
  <c r="P58" i="432"/>
  <c r="J69" i="432"/>
  <c r="AF41" i="434"/>
  <c r="L5" i="438"/>
  <c r="K15" i="438"/>
  <c r="O28" i="438"/>
  <c r="AG28" i="438"/>
  <c r="AF28" i="438"/>
  <c r="AG50" i="438"/>
  <c r="O50" i="438"/>
  <c r="AF19" i="440"/>
  <c r="AG19" i="440"/>
  <c r="O19" i="440"/>
  <c r="Q39" i="440"/>
  <c r="AF62" i="442"/>
  <c r="AG62" i="442"/>
  <c r="O62" i="442"/>
  <c r="AG17" i="450"/>
  <c r="O17" i="450"/>
  <c r="AF17" i="450"/>
  <c r="L60" i="428"/>
  <c r="Q60" i="428" s="1"/>
  <c r="K69" i="432"/>
  <c r="AD2" i="434"/>
  <c r="J37" i="434"/>
  <c r="P37" i="434" s="1"/>
  <c r="AF38" i="434"/>
  <c r="AF39" i="434"/>
  <c r="AF40" i="434"/>
  <c r="O7" i="436"/>
  <c r="AG7" i="436"/>
  <c r="AG8" i="436"/>
  <c r="AF16" i="436"/>
  <c r="AG51" i="436"/>
  <c r="L62" i="436"/>
  <c r="AF5" i="438"/>
  <c r="Q6" i="438"/>
  <c r="R6" i="438"/>
  <c r="AG16" i="438"/>
  <c r="R7" i="440"/>
  <c r="O51" i="440"/>
  <c r="AG51" i="440"/>
  <c r="AF51" i="440"/>
  <c r="AG79" i="444"/>
  <c r="AH70" i="444" s="1"/>
  <c r="AF79" i="444"/>
  <c r="Q79" i="444"/>
  <c r="L59" i="422"/>
  <c r="L69" i="422" s="1"/>
  <c r="I13" i="421" s="1"/>
  <c r="J6" i="421" s="1"/>
  <c r="L38" i="426"/>
  <c r="L48" i="426" s="1"/>
  <c r="G13" i="425" s="1"/>
  <c r="AA2" i="434"/>
  <c r="AE2" i="434"/>
  <c r="AF28" i="434"/>
  <c r="K37" i="434"/>
  <c r="AG61" i="434"/>
  <c r="AF61" i="434"/>
  <c r="AF7" i="436"/>
  <c r="AG16" i="436"/>
  <c r="AG18" i="436"/>
  <c r="AF18" i="436"/>
  <c r="AG30" i="436"/>
  <c r="J48" i="436"/>
  <c r="P48" i="436" s="1"/>
  <c r="O39" i="436"/>
  <c r="AF59" i="436"/>
  <c r="AG61" i="436"/>
  <c r="AF61" i="436"/>
  <c r="L48" i="438"/>
  <c r="G13" i="437" s="1"/>
  <c r="L62" i="438"/>
  <c r="L6" i="439"/>
  <c r="P69" i="440"/>
  <c r="G1" i="442"/>
  <c r="R60" i="438"/>
  <c r="J26" i="440"/>
  <c r="P26" i="440" s="1"/>
  <c r="Q59" i="440"/>
  <c r="O60" i="440"/>
  <c r="N69" i="440"/>
  <c r="AF60" i="440"/>
  <c r="F22" i="443"/>
  <c r="P37" i="444"/>
  <c r="O60" i="444"/>
  <c r="AF60" i="444"/>
  <c r="AG60" i="444"/>
  <c r="P37" i="448"/>
  <c r="F22" i="447"/>
  <c r="L16" i="440"/>
  <c r="L26" i="440" s="1"/>
  <c r="E13" i="439" s="1"/>
  <c r="K26" i="440"/>
  <c r="R7" i="442"/>
  <c r="Q7" i="442"/>
  <c r="AG28" i="442"/>
  <c r="O28" i="442"/>
  <c r="AG39" i="442"/>
  <c r="AF39" i="442"/>
  <c r="O39" i="442"/>
  <c r="AF52" i="442"/>
  <c r="O52" i="442"/>
  <c r="Q63" i="442"/>
  <c r="O31" i="444"/>
  <c r="AF31" i="444"/>
  <c r="R17" i="446"/>
  <c r="Q17" i="446"/>
  <c r="AG29" i="448"/>
  <c r="AF29" i="448"/>
  <c r="O29" i="448"/>
  <c r="G1" i="450"/>
  <c r="P15" i="438"/>
  <c r="L8" i="440"/>
  <c r="L15" i="440" s="1"/>
  <c r="D13" i="439" s="1"/>
  <c r="AG16" i="440"/>
  <c r="Q63" i="440"/>
  <c r="N26" i="442"/>
  <c r="AF28" i="442"/>
  <c r="AG59" i="442"/>
  <c r="AF59" i="442"/>
  <c r="O59" i="442"/>
  <c r="AF7" i="444"/>
  <c r="O7" i="444"/>
  <c r="D19" i="443"/>
  <c r="M6" i="443" s="1"/>
  <c r="AA2" i="444"/>
  <c r="AG31" i="444"/>
  <c r="AF40" i="444"/>
  <c r="O40" i="444"/>
  <c r="L69" i="444"/>
  <c r="I13" i="443" s="1"/>
  <c r="J6" i="443" s="1"/>
  <c r="R59" i="446"/>
  <c r="Q59" i="446"/>
  <c r="AG79" i="446"/>
  <c r="AH70" i="446" s="1"/>
  <c r="Q79" i="446"/>
  <c r="AF79" i="446"/>
  <c r="N58" i="436"/>
  <c r="N15" i="438"/>
  <c r="O16" i="440"/>
  <c r="AG17" i="440"/>
  <c r="L29" i="440"/>
  <c r="AG40" i="440"/>
  <c r="G21" i="441"/>
  <c r="AF16" i="442"/>
  <c r="L48" i="442"/>
  <c r="G13" i="441" s="1"/>
  <c r="AF50" i="442"/>
  <c r="O50" i="442"/>
  <c r="AG50" i="442"/>
  <c r="R63" i="442"/>
  <c r="N69" i="442"/>
  <c r="AG7" i="444"/>
  <c r="N6" i="443"/>
  <c r="O6" i="443"/>
  <c r="AG59" i="444"/>
  <c r="N69" i="444"/>
  <c r="AG62" i="444"/>
  <c r="O62" i="444"/>
  <c r="O30" i="446"/>
  <c r="AG30" i="446"/>
  <c r="AF30" i="446"/>
  <c r="K69" i="446"/>
  <c r="L63" i="446"/>
  <c r="Q63" i="446" s="1"/>
  <c r="R28" i="448"/>
  <c r="Q28" i="448"/>
  <c r="O37" i="448"/>
  <c r="O6" i="447"/>
  <c r="Q7" i="440"/>
  <c r="P16" i="440"/>
  <c r="AF18" i="440"/>
  <c r="O6" i="442"/>
  <c r="AF6" i="442"/>
  <c r="AA2" i="442"/>
  <c r="D19" i="441"/>
  <c r="M6" i="441" s="1"/>
  <c r="AG16" i="442"/>
  <c r="AD2" i="442"/>
  <c r="E20" i="441"/>
  <c r="O6" i="441" s="1"/>
  <c r="O38" i="442"/>
  <c r="AF38" i="442"/>
  <c r="N48" i="442"/>
  <c r="AG38" i="442"/>
  <c r="L39" i="444"/>
  <c r="Q39" i="444" s="1"/>
  <c r="P39" i="444"/>
  <c r="O59" i="444"/>
  <c r="AF62" i="444"/>
  <c r="R63" i="446"/>
  <c r="L16" i="436"/>
  <c r="L26" i="436" s="1"/>
  <c r="E13" i="435" s="1"/>
  <c r="P8" i="440"/>
  <c r="O18" i="440"/>
  <c r="N26" i="440"/>
  <c r="O29" i="440"/>
  <c r="J37" i="440"/>
  <c r="P37" i="440" s="1"/>
  <c r="L50" i="440"/>
  <c r="K58" i="440"/>
  <c r="AG52" i="442"/>
  <c r="G1" i="444"/>
  <c r="AF26" i="444"/>
  <c r="P58" i="444"/>
  <c r="O6" i="446"/>
  <c r="AG6" i="446"/>
  <c r="AF6" i="446"/>
  <c r="AG18" i="446"/>
  <c r="O18" i="446"/>
  <c r="AF18" i="446"/>
  <c r="R40" i="446"/>
  <c r="O79" i="448"/>
  <c r="J48" i="438"/>
  <c r="AG39" i="440"/>
  <c r="AF39" i="440"/>
  <c r="J69" i="440"/>
  <c r="P59" i="440"/>
  <c r="P48" i="442"/>
  <c r="AF49" i="442"/>
  <c r="N58" i="442"/>
  <c r="O49" i="442"/>
  <c r="AG61" i="442"/>
  <c r="AF61" i="442"/>
  <c r="O61" i="442"/>
  <c r="AF6" i="444"/>
  <c r="O6" i="444"/>
  <c r="AG6" i="444"/>
  <c r="G22" i="445"/>
  <c r="P48" i="446"/>
  <c r="L6" i="447"/>
  <c r="P48" i="448"/>
  <c r="G22" i="447"/>
  <c r="AA2" i="436"/>
  <c r="AE2" i="440"/>
  <c r="AF16" i="440"/>
  <c r="L39" i="440"/>
  <c r="O61" i="440"/>
  <c r="AF61" i="440"/>
  <c r="L40" i="442"/>
  <c r="AG49" i="442"/>
  <c r="AG51" i="442"/>
  <c r="O51" i="442"/>
  <c r="O8" i="444"/>
  <c r="AG8" i="444"/>
  <c r="O27" i="444"/>
  <c r="AG27" i="444"/>
  <c r="N37" i="444"/>
  <c r="P38" i="444"/>
  <c r="J48" i="444"/>
  <c r="P48" i="444" s="1"/>
  <c r="Q61" i="436"/>
  <c r="AE2" i="438"/>
  <c r="L39" i="438"/>
  <c r="J69" i="438"/>
  <c r="P69" i="438" s="1"/>
  <c r="L61" i="438"/>
  <c r="AF17" i="440"/>
  <c r="AG18" i="440"/>
  <c r="AG29" i="440"/>
  <c r="L59" i="440"/>
  <c r="AG40" i="442"/>
  <c r="AF40" i="442"/>
  <c r="O40" i="442"/>
  <c r="O60" i="442"/>
  <c r="AG60" i="442"/>
  <c r="AF60" i="442"/>
  <c r="R19" i="444"/>
  <c r="AG49" i="444"/>
  <c r="AF49" i="444"/>
  <c r="O49" i="444"/>
  <c r="N58" i="444"/>
  <c r="O60" i="446"/>
  <c r="O69" i="446" s="1"/>
  <c r="AG60" i="446"/>
  <c r="AF60" i="446"/>
  <c r="N69" i="446"/>
  <c r="L60" i="448"/>
  <c r="L69" i="448" s="1"/>
  <c r="I13" i="447" s="1"/>
  <c r="J6" i="447" s="1"/>
  <c r="K69" i="448"/>
  <c r="AG17" i="448"/>
  <c r="AF17" i="448"/>
  <c r="Q48" i="448"/>
  <c r="AG48" i="448"/>
  <c r="AH38" i="448" s="1"/>
  <c r="K58" i="450"/>
  <c r="L51" i="450"/>
  <c r="L58" i="450" s="1"/>
  <c r="H13" i="449" s="1"/>
  <c r="AG39" i="452"/>
  <c r="O39" i="452"/>
  <c r="AF39" i="452"/>
  <c r="P59" i="452"/>
  <c r="J69" i="452"/>
  <c r="P69" i="452" s="1"/>
  <c r="AG40" i="454"/>
  <c r="AF40" i="454"/>
  <c r="L40" i="454"/>
  <c r="R40" i="454" s="1"/>
  <c r="O19" i="446"/>
  <c r="AG19" i="446"/>
  <c r="O27" i="446"/>
  <c r="L40" i="446"/>
  <c r="P40" i="446"/>
  <c r="O62" i="446"/>
  <c r="L26" i="448"/>
  <c r="E13" i="447" s="1"/>
  <c r="O17" i="448"/>
  <c r="O60" i="448"/>
  <c r="AF60" i="448"/>
  <c r="L8" i="450"/>
  <c r="R8" i="450" s="1"/>
  <c r="AG51" i="450"/>
  <c r="O51" i="450"/>
  <c r="AF51" i="450"/>
  <c r="AF50" i="444"/>
  <c r="AF70" i="444"/>
  <c r="I1" i="446"/>
  <c r="K26" i="446"/>
  <c r="AF19" i="446"/>
  <c r="P26" i="446"/>
  <c r="O29" i="446"/>
  <c r="AF29" i="446"/>
  <c r="AG49" i="446"/>
  <c r="N58" i="446"/>
  <c r="R52" i="446"/>
  <c r="Q52" i="446"/>
  <c r="L61" i="446"/>
  <c r="Q70" i="446"/>
  <c r="O79" i="446"/>
  <c r="AD2" i="448"/>
  <c r="N26" i="448"/>
  <c r="AG16" i="448"/>
  <c r="AF27" i="448"/>
  <c r="N37" i="448"/>
  <c r="R40" i="448"/>
  <c r="AG60" i="448"/>
  <c r="I22" i="447"/>
  <c r="AG70" i="448"/>
  <c r="O28" i="450"/>
  <c r="AG28" i="450"/>
  <c r="AF28" i="450"/>
  <c r="AG70" i="444"/>
  <c r="M6" i="445"/>
  <c r="L16" i="446"/>
  <c r="L26" i="446" s="1"/>
  <c r="E13" i="445" s="1"/>
  <c r="O7" i="448"/>
  <c r="AG7" i="448"/>
  <c r="R16" i="448"/>
  <c r="N58" i="448"/>
  <c r="AF49" i="448"/>
  <c r="O49" i="448"/>
  <c r="AG6" i="450"/>
  <c r="AF6" i="450"/>
  <c r="O6" i="450"/>
  <c r="O15" i="450" s="1"/>
  <c r="AG17" i="452"/>
  <c r="N26" i="452"/>
  <c r="O17" i="452"/>
  <c r="AF17" i="452"/>
  <c r="Q18" i="444"/>
  <c r="AG41" i="444"/>
  <c r="O41" i="444"/>
  <c r="L62" i="444"/>
  <c r="L8" i="446"/>
  <c r="P8" i="446"/>
  <c r="N26" i="446"/>
  <c r="AG16" i="446"/>
  <c r="O16" i="446"/>
  <c r="AF53" i="446"/>
  <c r="G1" i="448"/>
  <c r="P26" i="448"/>
  <c r="AG49" i="448"/>
  <c r="N69" i="448"/>
  <c r="J14" i="449"/>
  <c r="AG62" i="452"/>
  <c r="AF62" i="452"/>
  <c r="O62" i="452"/>
  <c r="AG51" i="454"/>
  <c r="AF51" i="454"/>
  <c r="O51" i="454"/>
  <c r="L8" i="456"/>
  <c r="Q8" i="456" s="1"/>
  <c r="AG8" i="456"/>
  <c r="AF8" i="456"/>
  <c r="D22" i="443"/>
  <c r="J26" i="444"/>
  <c r="P26" i="444" s="1"/>
  <c r="L38" i="444"/>
  <c r="L48" i="444" s="1"/>
  <c r="G13" i="443" s="1"/>
  <c r="AE2" i="446"/>
  <c r="P16" i="446"/>
  <c r="AG17" i="446"/>
  <c r="P39" i="446"/>
  <c r="Q40" i="446"/>
  <c r="AG53" i="446"/>
  <c r="Q6" i="448"/>
  <c r="Q16" i="448"/>
  <c r="Q27" i="448"/>
  <c r="O30" i="448"/>
  <c r="AG30" i="448"/>
  <c r="AF30" i="448"/>
  <c r="Q39" i="448"/>
  <c r="R39" i="448"/>
  <c r="L61" i="448"/>
  <c r="N79" i="448"/>
  <c r="AG8" i="450"/>
  <c r="L48" i="450"/>
  <c r="G13" i="449" s="1"/>
  <c r="R38" i="450"/>
  <c r="Q38" i="450"/>
  <c r="R50" i="450"/>
  <c r="L9" i="452"/>
  <c r="K15" i="452"/>
  <c r="Q17" i="444"/>
  <c r="R18" i="444"/>
  <c r="K26" i="444"/>
  <c r="AG26" i="444" s="1"/>
  <c r="AH16" i="444" s="1"/>
  <c r="N48" i="444"/>
  <c r="O38" i="444"/>
  <c r="R39" i="444"/>
  <c r="J69" i="444"/>
  <c r="Q61" i="444"/>
  <c r="R63" i="444"/>
  <c r="AF17" i="446"/>
  <c r="AF27" i="446"/>
  <c r="R31" i="446"/>
  <c r="L60" i="446"/>
  <c r="L69" i="446" s="1"/>
  <c r="I13" i="445" s="1"/>
  <c r="J6" i="445" s="1"/>
  <c r="L15" i="448"/>
  <c r="D13" i="447" s="1"/>
  <c r="AF48" i="448"/>
  <c r="O51" i="448"/>
  <c r="AG51" i="448"/>
  <c r="R5" i="450"/>
  <c r="G1" i="452"/>
  <c r="O6" i="454"/>
  <c r="AG6" i="454"/>
  <c r="AF6" i="454"/>
  <c r="P53" i="460"/>
  <c r="L53" i="460"/>
  <c r="Q53" i="460" s="1"/>
  <c r="L62" i="440"/>
  <c r="K37" i="442"/>
  <c r="J15" i="444"/>
  <c r="P15" i="444" s="1"/>
  <c r="P5" i="444"/>
  <c r="Q28" i="444"/>
  <c r="AG30" i="444"/>
  <c r="J58" i="444"/>
  <c r="L50" i="444"/>
  <c r="Q50" i="444" s="1"/>
  <c r="O52" i="444"/>
  <c r="P61" i="444"/>
  <c r="D22" i="445"/>
  <c r="Z2" i="446"/>
  <c r="AG27" i="446"/>
  <c r="L38" i="446"/>
  <c r="L48" i="446" s="1"/>
  <c r="G13" i="445" s="1"/>
  <c r="O51" i="446"/>
  <c r="O58" i="446" s="1"/>
  <c r="AG52" i="446"/>
  <c r="O61" i="446"/>
  <c r="AG61" i="446"/>
  <c r="AF61" i="446"/>
  <c r="AF62" i="446"/>
  <c r="AF70" i="446"/>
  <c r="E22" i="447"/>
  <c r="R6" i="448"/>
  <c r="AF16" i="448"/>
  <c r="AG27" i="448"/>
  <c r="AF61" i="448"/>
  <c r="O61" i="448"/>
  <c r="K15" i="450"/>
  <c r="O26" i="450"/>
  <c r="R27" i="450"/>
  <c r="Q27" i="450"/>
  <c r="O61" i="450"/>
  <c r="AF61" i="450"/>
  <c r="AG61" i="450"/>
  <c r="L37" i="442"/>
  <c r="F13" i="441" s="1"/>
  <c r="L50" i="442"/>
  <c r="L58" i="442" s="1"/>
  <c r="H13" i="441" s="1"/>
  <c r="R16" i="444"/>
  <c r="R17" i="444"/>
  <c r="O29" i="444"/>
  <c r="AG29" i="444"/>
  <c r="L51" i="444"/>
  <c r="L58" i="444" s="1"/>
  <c r="H13" i="443" s="1"/>
  <c r="L60" i="444"/>
  <c r="R61" i="444"/>
  <c r="Q63" i="444"/>
  <c r="O70" i="444"/>
  <c r="AF16" i="446"/>
  <c r="AF31" i="446"/>
  <c r="O48" i="446"/>
  <c r="R38" i="446"/>
  <c r="Q39" i="446"/>
  <c r="J48" i="446"/>
  <c r="R50" i="446"/>
  <c r="AG70" i="446"/>
  <c r="N6" i="447"/>
  <c r="AF7" i="448"/>
  <c r="AG61" i="448"/>
  <c r="Q5" i="450"/>
  <c r="E22" i="449"/>
  <c r="I1" i="450"/>
  <c r="AF29" i="450"/>
  <c r="O29" i="450"/>
  <c r="R49" i="450"/>
  <c r="E22" i="441"/>
  <c r="P15" i="442"/>
  <c r="N37" i="442"/>
  <c r="Q16" i="444"/>
  <c r="AF18" i="444"/>
  <c r="AF29" i="444"/>
  <c r="AF41" i="444"/>
  <c r="R51" i="444"/>
  <c r="Q51" i="444"/>
  <c r="P60" i="444"/>
  <c r="O6" i="445"/>
  <c r="K15" i="446"/>
  <c r="AG31" i="446"/>
  <c r="P50" i="446"/>
  <c r="O18" i="448"/>
  <c r="O26" i="448" s="1"/>
  <c r="O31" i="448"/>
  <c r="AG31" i="448"/>
  <c r="L48" i="448"/>
  <c r="G13" i="447" s="1"/>
  <c r="L70" i="448"/>
  <c r="L79" i="448" s="1"/>
  <c r="J13" i="447" s="1"/>
  <c r="J79" i="448"/>
  <c r="P79" i="448" s="1"/>
  <c r="O7" i="450"/>
  <c r="AF7" i="450"/>
  <c r="P26" i="450"/>
  <c r="AF18" i="452"/>
  <c r="O18" i="452"/>
  <c r="AG18" i="452"/>
  <c r="O40" i="452"/>
  <c r="AG40" i="452"/>
  <c r="AF40" i="452"/>
  <c r="G1" i="454"/>
  <c r="I1" i="440"/>
  <c r="I1" i="444"/>
  <c r="AG18" i="444"/>
  <c r="O26" i="444"/>
  <c r="AF38" i="444"/>
  <c r="D18" i="445"/>
  <c r="L6" i="445" s="1"/>
  <c r="L5" i="446"/>
  <c r="L15" i="446" s="1"/>
  <c r="D13" i="445" s="1"/>
  <c r="P37" i="446"/>
  <c r="N48" i="446"/>
  <c r="AF38" i="446"/>
  <c r="J58" i="446"/>
  <c r="P58" i="446" s="1"/>
  <c r="P49" i="446"/>
  <c r="L49" i="446"/>
  <c r="L58" i="446" s="1"/>
  <c r="H13" i="445" s="1"/>
  <c r="Q50" i="446"/>
  <c r="P53" i="446"/>
  <c r="L53" i="446"/>
  <c r="Q53" i="446" s="1"/>
  <c r="J48" i="448"/>
  <c r="R50" i="448"/>
  <c r="AF51" i="448"/>
  <c r="P60" i="448"/>
  <c r="J69" i="448"/>
  <c r="P69" i="448" s="1"/>
  <c r="AG7" i="450"/>
  <c r="AG31" i="450"/>
  <c r="AF31" i="450"/>
  <c r="Q48" i="450"/>
  <c r="N69" i="450"/>
  <c r="O59" i="450"/>
  <c r="AG6" i="452"/>
  <c r="AF6" i="452"/>
  <c r="O6" i="452"/>
  <c r="K69" i="452"/>
  <c r="L59" i="452"/>
  <c r="N48" i="454"/>
  <c r="AG38" i="454"/>
  <c r="AF38" i="454"/>
  <c r="O52" i="454"/>
  <c r="AG52" i="454"/>
  <c r="AF52" i="454"/>
  <c r="J79" i="454"/>
  <c r="P79" i="454" s="1"/>
  <c r="P70" i="454"/>
  <c r="L7" i="456"/>
  <c r="R7" i="456" s="1"/>
  <c r="K15" i="456"/>
  <c r="AF7" i="456"/>
  <c r="O39" i="456"/>
  <c r="AG39" i="456"/>
  <c r="AF39" i="456"/>
  <c r="G1" i="458"/>
  <c r="D19" i="457"/>
  <c r="M6" i="457" s="1"/>
  <c r="AA2" i="458"/>
  <c r="D19" i="449"/>
  <c r="M6" i="449" s="1"/>
  <c r="AA2" i="450"/>
  <c r="O31" i="450"/>
  <c r="AF59" i="450"/>
  <c r="AG18" i="454"/>
  <c r="N26" i="454"/>
  <c r="AF18" i="454"/>
  <c r="E19" i="453"/>
  <c r="M6" i="453" s="1"/>
  <c r="AA2" i="454"/>
  <c r="O38" i="454"/>
  <c r="K79" i="454"/>
  <c r="L70" i="454"/>
  <c r="L79" i="454" s="1"/>
  <c r="J13" i="453" s="1"/>
  <c r="O59" i="448"/>
  <c r="AD2" i="450"/>
  <c r="AF16" i="450"/>
  <c r="P37" i="450"/>
  <c r="F22" i="449"/>
  <c r="O39" i="450"/>
  <c r="AF48" i="450"/>
  <c r="AF49" i="450"/>
  <c r="AG59" i="450"/>
  <c r="L15" i="452"/>
  <c r="D13" i="451" s="1"/>
  <c r="AE2" i="452"/>
  <c r="L51" i="452"/>
  <c r="O52" i="452"/>
  <c r="N58" i="452"/>
  <c r="O18" i="454"/>
  <c r="AF31" i="454"/>
  <c r="O31" i="454"/>
  <c r="AG49" i="454"/>
  <c r="O49" i="454"/>
  <c r="N58" i="454"/>
  <c r="AF49" i="454"/>
  <c r="AG70" i="454"/>
  <c r="AF70" i="454"/>
  <c r="O70" i="454"/>
  <c r="N79" i="454"/>
  <c r="AG29" i="456"/>
  <c r="AF29" i="456"/>
  <c r="O29" i="456"/>
  <c r="N37" i="456"/>
  <c r="L69" i="458"/>
  <c r="I13" i="457" s="1"/>
  <c r="J6" i="457" s="1"/>
  <c r="R19" i="462"/>
  <c r="Q19" i="462"/>
  <c r="O62" i="448"/>
  <c r="D18" i="449"/>
  <c r="L6" i="449" s="1"/>
  <c r="D20" i="449"/>
  <c r="AE2" i="450"/>
  <c r="AG16" i="450"/>
  <c r="AF30" i="450"/>
  <c r="AG30" i="450"/>
  <c r="AG48" i="450"/>
  <c r="AH38" i="450" s="1"/>
  <c r="AG62" i="450"/>
  <c r="O62" i="450"/>
  <c r="O8" i="452"/>
  <c r="AG8" i="452"/>
  <c r="AF8" i="452"/>
  <c r="AG31" i="454"/>
  <c r="Q7" i="456"/>
  <c r="AG18" i="456"/>
  <c r="AF18" i="456"/>
  <c r="O18" i="456"/>
  <c r="N48" i="456"/>
  <c r="L40" i="456"/>
  <c r="AG40" i="456"/>
  <c r="AG52" i="456"/>
  <c r="AF52" i="456"/>
  <c r="O52" i="456"/>
  <c r="K58" i="446"/>
  <c r="O38" i="448"/>
  <c r="O30" i="450"/>
  <c r="AF62" i="450"/>
  <c r="AG70" i="450"/>
  <c r="N79" i="450"/>
  <c r="K48" i="452"/>
  <c r="J58" i="452"/>
  <c r="P58" i="452" s="1"/>
  <c r="R51" i="452"/>
  <c r="Q51" i="452"/>
  <c r="AG70" i="452"/>
  <c r="AF70" i="452"/>
  <c r="O70" i="452"/>
  <c r="N15" i="454"/>
  <c r="AG5" i="454"/>
  <c r="AF5" i="454"/>
  <c r="R17" i="454"/>
  <c r="Q17" i="454"/>
  <c r="AG28" i="454"/>
  <c r="AF28" i="454"/>
  <c r="O28" i="454"/>
  <c r="L51" i="454"/>
  <c r="L58" i="454" s="1"/>
  <c r="H13" i="453" s="1"/>
  <c r="P69" i="446"/>
  <c r="D21" i="447"/>
  <c r="AE2" i="448"/>
  <c r="AF50" i="448"/>
  <c r="N15" i="450"/>
  <c r="AF5" i="450"/>
  <c r="R70" i="450"/>
  <c r="Q70" i="450"/>
  <c r="N15" i="452"/>
  <c r="AG5" i="452"/>
  <c r="AF5" i="452"/>
  <c r="O5" i="452"/>
  <c r="L37" i="452"/>
  <c r="F13" i="451" s="1"/>
  <c r="L39" i="452"/>
  <c r="K58" i="452"/>
  <c r="L50" i="452"/>
  <c r="AG52" i="452"/>
  <c r="O5" i="454"/>
  <c r="K48" i="454"/>
  <c r="G1" i="456"/>
  <c r="R28" i="456"/>
  <c r="Q28" i="456"/>
  <c r="Q51" i="456"/>
  <c r="R51" i="456"/>
  <c r="L19" i="444"/>
  <c r="Q19" i="444" s="1"/>
  <c r="P69" i="444"/>
  <c r="AA2" i="446"/>
  <c r="AG59" i="448"/>
  <c r="I20" i="451"/>
  <c r="L48" i="452"/>
  <c r="G13" i="451" s="1"/>
  <c r="P50" i="452"/>
  <c r="Z2" i="456"/>
  <c r="O49" i="460"/>
  <c r="N58" i="460"/>
  <c r="AG49" i="460"/>
  <c r="AF49" i="460"/>
  <c r="O7" i="452"/>
  <c r="AG7" i="452"/>
  <c r="AF7" i="452"/>
  <c r="E22" i="451"/>
  <c r="P26" i="452"/>
  <c r="AF38" i="452"/>
  <c r="N48" i="452"/>
  <c r="L58" i="452"/>
  <c r="H13" i="451" s="1"/>
  <c r="O39" i="454"/>
  <c r="AG39" i="454"/>
  <c r="AF39" i="454"/>
  <c r="AG50" i="454"/>
  <c r="AF50" i="454"/>
  <c r="K58" i="454"/>
  <c r="L26" i="456"/>
  <c r="E13" i="455" s="1"/>
  <c r="L15" i="458"/>
  <c r="D13" i="457" s="1"/>
  <c r="AG26" i="458"/>
  <c r="AH16" i="458" s="1"/>
  <c r="AF26" i="458"/>
  <c r="AF38" i="448"/>
  <c r="D21" i="449"/>
  <c r="N26" i="450"/>
  <c r="L37" i="450"/>
  <c r="F13" i="449" s="1"/>
  <c r="O60" i="450"/>
  <c r="AG60" i="450"/>
  <c r="O9" i="452"/>
  <c r="AG9" i="452"/>
  <c r="R38" i="452"/>
  <c r="Q38" i="452"/>
  <c r="AG49" i="452"/>
  <c r="AF49" i="452"/>
  <c r="O49" i="452"/>
  <c r="R61" i="452"/>
  <c r="Q61" i="452"/>
  <c r="O69" i="452"/>
  <c r="AF79" i="452"/>
  <c r="Q79" i="452"/>
  <c r="AG79" i="452"/>
  <c r="AH70" i="452" s="1"/>
  <c r="O26" i="454"/>
  <c r="AG19" i="454"/>
  <c r="AF19" i="454"/>
  <c r="R62" i="454"/>
  <c r="Q62" i="454"/>
  <c r="O6" i="456"/>
  <c r="AG6" i="456"/>
  <c r="AF6" i="456"/>
  <c r="R8" i="456"/>
  <c r="AG62" i="456"/>
  <c r="AF62" i="456"/>
  <c r="O62" i="456"/>
  <c r="E22" i="459"/>
  <c r="P26" i="460"/>
  <c r="L37" i="448"/>
  <c r="F13" i="447" s="1"/>
  <c r="AF40" i="448"/>
  <c r="AG5" i="450"/>
  <c r="Q16" i="450"/>
  <c r="N37" i="450"/>
  <c r="AF27" i="450"/>
  <c r="N58" i="450"/>
  <c r="L59" i="450"/>
  <c r="AF60" i="450"/>
  <c r="M6" i="451"/>
  <c r="G21" i="451"/>
  <c r="AF9" i="452"/>
  <c r="Q16" i="452"/>
  <c r="O26" i="452"/>
  <c r="R19" i="454"/>
  <c r="Q19" i="454"/>
  <c r="AG29" i="454"/>
  <c r="O29" i="454"/>
  <c r="R50" i="454"/>
  <c r="Q50" i="454"/>
  <c r="R16" i="456"/>
  <c r="Q16" i="456"/>
  <c r="N26" i="456"/>
  <c r="J3" i="459"/>
  <c r="G2" i="460"/>
  <c r="Q50" i="464"/>
  <c r="R50" i="464"/>
  <c r="O48" i="450"/>
  <c r="AG28" i="452"/>
  <c r="AG29" i="452"/>
  <c r="AG30" i="452"/>
  <c r="AG31" i="452"/>
  <c r="O6" i="453"/>
  <c r="N6" i="453"/>
  <c r="AG8" i="454"/>
  <c r="J58" i="454"/>
  <c r="P58" i="454" s="1"/>
  <c r="AF60" i="454"/>
  <c r="AG62" i="454"/>
  <c r="N15" i="456"/>
  <c r="AG28" i="456"/>
  <c r="AF51" i="456"/>
  <c r="AG17" i="458"/>
  <c r="O17" i="458"/>
  <c r="O39" i="458"/>
  <c r="AG39" i="458"/>
  <c r="AF39" i="458"/>
  <c r="AG17" i="460"/>
  <c r="O17" i="460"/>
  <c r="AF17" i="460"/>
  <c r="M6" i="461"/>
  <c r="O15" i="456"/>
  <c r="Q5" i="456"/>
  <c r="R31" i="456"/>
  <c r="Q31" i="456"/>
  <c r="O60" i="456"/>
  <c r="AG60" i="456"/>
  <c r="AF60" i="456"/>
  <c r="AG5" i="458"/>
  <c r="O5" i="458"/>
  <c r="N15" i="458"/>
  <c r="AF5" i="458"/>
  <c r="AF28" i="458"/>
  <c r="O28" i="458"/>
  <c r="L38" i="460"/>
  <c r="L48" i="460" s="1"/>
  <c r="G13" i="459" s="1"/>
  <c r="K48" i="460"/>
  <c r="AF48" i="460" s="1"/>
  <c r="AG38" i="460"/>
  <c r="AF38" i="460"/>
  <c r="G1" i="462"/>
  <c r="N26" i="466"/>
  <c r="AG16" i="466"/>
  <c r="AF16" i="466"/>
  <c r="O16" i="466"/>
  <c r="AF8" i="468"/>
  <c r="AG8" i="468"/>
  <c r="O8" i="468"/>
  <c r="L48" i="456"/>
  <c r="G13" i="455" s="1"/>
  <c r="N69" i="456"/>
  <c r="P69" i="456"/>
  <c r="N79" i="456"/>
  <c r="O70" i="456"/>
  <c r="AF70" i="456"/>
  <c r="AG19" i="458"/>
  <c r="AF19" i="458"/>
  <c r="AF41" i="458"/>
  <c r="O41" i="458"/>
  <c r="AG41" i="458"/>
  <c r="O51" i="458"/>
  <c r="AF51" i="458"/>
  <c r="L52" i="462"/>
  <c r="L58" i="462" s="1"/>
  <c r="H13" i="461" s="1"/>
  <c r="AG52" i="462"/>
  <c r="AG9" i="466"/>
  <c r="AF9" i="466"/>
  <c r="O9" i="466"/>
  <c r="R19" i="456"/>
  <c r="Q19" i="456"/>
  <c r="R30" i="456"/>
  <c r="Q30" i="456"/>
  <c r="AF38" i="456"/>
  <c r="O38" i="456"/>
  <c r="R59" i="456"/>
  <c r="O69" i="456"/>
  <c r="Q59" i="456"/>
  <c r="O7" i="458"/>
  <c r="AF7" i="458"/>
  <c r="J37" i="458"/>
  <c r="P37" i="458" s="1"/>
  <c r="P27" i="458"/>
  <c r="O40" i="458"/>
  <c r="AG40" i="458"/>
  <c r="R6" i="460"/>
  <c r="Q6" i="460"/>
  <c r="L27" i="460"/>
  <c r="L37" i="460" s="1"/>
  <c r="F13" i="459" s="1"/>
  <c r="K37" i="460"/>
  <c r="O50" i="460"/>
  <c r="AG50" i="460"/>
  <c r="AF50" i="460"/>
  <c r="R5" i="464"/>
  <c r="Q5" i="464"/>
  <c r="AF70" i="464"/>
  <c r="AG70" i="464"/>
  <c r="N79" i="464"/>
  <c r="O70" i="464"/>
  <c r="O6" i="451"/>
  <c r="L60" i="452"/>
  <c r="P79" i="452"/>
  <c r="O27" i="454"/>
  <c r="Q30" i="454"/>
  <c r="AG7" i="456"/>
  <c r="K26" i="456"/>
  <c r="P38" i="456"/>
  <c r="Q63" i="456"/>
  <c r="L6" i="458"/>
  <c r="Q6" i="458" s="1"/>
  <c r="AG6" i="458"/>
  <c r="AF6" i="458"/>
  <c r="AG7" i="458"/>
  <c r="R16" i="458"/>
  <c r="L27" i="458"/>
  <c r="L37" i="458" s="1"/>
  <c r="F13" i="457" s="1"/>
  <c r="K37" i="458"/>
  <c r="O38" i="458"/>
  <c r="N48" i="458"/>
  <c r="AF38" i="458"/>
  <c r="R63" i="458"/>
  <c r="Q63" i="458"/>
  <c r="Q69" i="458"/>
  <c r="AG69" i="458"/>
  <c r="AH59" i="458" s="1"/>
  <c r="AF69" i="458"/>
  <c r="AG27" i="460"/>
  <c r="AF27" i="460"/>
  <c r="O27" i="460"/>
  <c r="N37" i="460"/>
  <c r="R52" i="460"/>
  <c r="Q52" i="460"/>
  <c r="P15" i="452"/>
  <c r="K26" i="452"/>
  <c r="O27" i="452"/>
  <c r="O28" i="452"/>
  <c r="O29" i="452"/>
  <c r="O30" i="452"/>
  <c r="O31" i="452"/>
  <c r="AF50" i="452"/>
  <c r="N69" i="452"/>
  <c r="J22" i="453"/>
  <c r="L16" i="454"/>
  <c r="L26" i="454" s="1"/>
  <c r="E13" i="453" s="1"/>
  <c r="N37" i="454"/>
  <c r="P48" i="454"/>
  <c r="K69" i="454"/>
  <c r="L59" i="454"/>
  <c r="L69" i="454" s="1"/>
  <c r="I13" i="453" s="1"/>
  <c r="J6" i="453" s="1"/>
  <c r="AG61" i="454"/>
  <c r="L63" i="454"/>
  <c r="R63" i="454" s="1"/>
  <c r="J69" i="454"/>
  <c r="P69" i="454" s="1"/>
  <c r="AF17" i="456"/>
  <c r="R6" i="458"/>
  <c r="AF9" i="458"/>
  <c r="O9" i="458"/>
  <c r="AF16" i="458"/>
  <c r="O27" i="458"/>
  <c r="AG27" i="458"/>
  <c r="N37" i="458"/>
  <c r="AF27" i="458"/>
  <c r="O50" i="458"/>
  <c r="AF50" i="458"/>
  <c r="AG51" i="458"/>
  <c r="Q71" i="458"/>
  <c r="R71" i="458"/>
  <c r="AF18" i="460"/>
  <c r="O18" i="460"/>
  <c r="AG18" i="460"/>
  <c r="O28" i="462"/>
  <c r="AG28" i="462"/>
  <c r="AF28" i="462"/>
  <c r="L38" i="462"/>
  <c r="L48" i="462" s="1"/>
  <c r="G13" i="461" s="1"/>
  <c r="F6" i="461" s="1"/>
  <c r="K48" i="462"/>
  <c r="Q69" i="464"/>
  <c r="AG69" i="464"/>
  <c r="AH59" i="464" s="1"/>
  <c r="AF69" i="464"/>
  <c r="O50" i="452"/>
  <c r="L62" i="452"/>
  <c r="AG16" i="454"/>
  <c r="AF16" i="454"/>
  <c r="N69" i="454"/>
  <c r="O59" i="454"/>
  <c r="AG16" i="456"/>
  <c r="AF16" i="456"/>
  <c r="R17" i="456"/>
  <c r="P26" i="456"/>
  <c r="P15" i="458"/>
  <c r="I1" i="458"/>
  <c r="D22" i="457"/>
  <c r="AG18" i="458"/>
  <c r="O18" i="458"/>
  <c r="R20" i="458"/>
  <c r="Q20" i="458"/>
  <c r="Q48" i="462"/>
  <c r="AG48" i="462"/>
  <c r="AH38" i="462" s="1"/>
  <c r="AF48" i="462"/>
  <c r="AG16" i="464"/>
  <c r="O16" i="464"/>
  <c r="N26" i="464"/>
  <c r="AF16" i="464"/>
  <c r="P48" i="450"/>
  <c r="J58" i="450"/>
  <c r="P58" i="450" s="1"/>
  <c r="L61" i="450"/>
  <c r="Z2" i="452"/>
  <c r="Z2" i="454"/>
  <c r="AF27" i="454"/>
  <c r="L52" i="454"/>
  <c r="N6" i="455"/>
  <c r="R27" i="456"/>
  <c r="Q27" i="456"/>
  <c r="O50" i="456"/>
  <c r="O6" i="457"/>
  <c r="O6" i="459"/>
  <c r="N6" i="459"/>
  <c r="L5" i="460"/>
  <c r="L15" i="460" s="1"/>
  <c r="D13" i="459" s="1"/>
  <c r="K15" i="460"/>
  <c r="AG48" i="460"/>
  <c r="AH38" i="460" s="1"/>
  <c r="O61" i="460"/>
  <c r="AF61" i="460"/>
  <c r="AG61" i="460"/>
  <c r="AG16" i="462"/>
  <c r="N26" i="462"/>
  <c r="O16" i="462"/>
  <c r="AF16" i="462"/>
  <c r="AA2" i="452"/>
  <c r="P18" i="452"/>
  <c r="N37" i="452"/>
  <c r="AF59" i="452"/>
  <c r="I22" i="455"/>
  <c r="D19" i="455"/>
  <c r="M6" i="455" s="1"/>
  <c r="AA2" i="456"/>
  <c r="O40" i="456"/>
  <c r="AF40" i="456"/>
  <c r="K48" i="456"/>
  <c r="AG61" i="456"/>
  <c r="AF61" i="456"/>
  <c r="O61" i="456"/>
  <c r="K15" i="458"/>
  <c r="AF8" i="458"/>
  <c r="O8" i="458"/>
  <c r="R52" i="458"/>
  <c r="Q52" i="458"/>
  <c r="G22" i="449"/>
  <c r="N6" i="451"/>
  <c r="AG27" i="452"/>
  <c r="P48" i="452"/>
  <c r="AG59" i="452"/>
  <c r="AF60" i="452"/>
  <c r="D18" i="453"/>
  <c r="L6" i="453" s="1"/>
  <c r="AF8" i="454"/>
  <c r="AF59" i="454"/>
  <c r="L15" i="456"/>
  <c r="D13" i="455" s="1"/>
  <c r="AD2" i="456"/>
  <c r="AG17" i="456"/>
  <c r="G22" i="455"/>
  <c r="P48" i="456"/>
  <c r="K69" i="456"/>
  <c r="O19" i="458"/>
  <c r="N58" i="458"/>
  <c r="O5" i="460"/>
  <c r="N15" i="460"/>
  <c r="AG5" i="460"/>
  <c r="AF5" i="460"/>
  <c r="L62" i="460"/>
  <c r="L69" i="460" s="1"/>
  <c r="I13" i="459" s="1"/>
  <c r="J6" i="459" s="1"/>
  <c r="AF62" i="460"/>
  <c r="K69" i="460"/>
  <c r="J48" i="458"/>
  <c r="P48" i="458" s="1"/>
  <c r="N79" i="458"/>
  <c r="N26" i="460"/>
  <c r="O16" i="460"/>
  <c r="AF19" i="460"/>
  <c r="N69" i="460"/>
  <c r="AG59" i="460"/>
  <c r="AF5" i="462"/>
  <c r="AF51" i="462"/>
  <c r="AG51" i="462"/>
  <c r="O51" i="462"/>
  <c r="Q59" i="462"/>
  <c r="G1" i="464"/>
  <c r="AG19" i="464"/>
  <c r="AF19" i="464"/>
  <c r="AG38" i="464"/>
  <c r="AF38" i="464"/>
  <c r="N48" i="464"/>
  <c r="AF49" i="464"/>
  <c r="AG49" i="464"/>
  <c r="N58" i="464"/>
  <c r="O49" i="464"/>
  <c r="R17" i="466"/>
  <c r="Q17" i="466"/>
  <c r="L69" i="466"/>
  <c r="I13" i="465" s="1"/>
  <c r="J6" i="465" s="1"/>
  <c r="AG60" i="468"/>
  <c r="O60" i="468"/>
  <c r="AF60" i="468"/>
  <c r="K48" i="458"/>
  <c r="D21" i="459"/>
  <c r="AG19" i="460"/>
  <c r="R59" i="460"/>
  <c r="R27" i="462"/>
  <c r="Q27" i="462"/>
  <c r="O37" i="462"/>
  <c r="R19" i="464"/>
  <c r="Q19" i="464"/>
  <c r="L15" i="466"/>
  <c r="D13" i="465" s="1"/>
  <c r="J58" i="460"/>
  <c r="P58" i="460" s="1"/>
  <c r="AF79" i="460"/>
  <c r="R50" i="462"/>
  <c r="Q50" i="462"/>
  <c r="AG69" i="462"/>
  <c r="AH59" i="462" s="1"/>
  <c r="Q69" i="462"/>
  <c r="R7" i="466"/>
  <c r="Q7" i="466"/>
  <c r="AE2" i="466"/>
  <c r="D21" i="465"/>
  <c r="AG79" i="466"/>
  <c r="AH70" i="466" s="1"/>
  <c r="Q79" i="466"/>
  <c r="AF79" i="466"/>
  <c r="AE2" i="458"/>
  <c r="J69" i="458"/>
  <c r="P69" i="458" s="1"/>
  <c r="O8" i="460"/>
  <c r="L40" i="460"/>
  <c r="Q40" i="460" s="1"/>
  <c r="O48" i="460"/>
  <c r="L58" i="460"/>
  <c r="H13" i="459" s="1"/>
  <c r="AF52" i="460"/>
  <c r="AG53" i="460"/>
  <c r="Q59" i="460"/>
  <c r="L70" i="460"/>
  <c r="L79" i="460" s="1"/>
  <c r="J13" i="459" s="1"/>
  <c r="Q79" i="460"/>
  <c r="AA2" i="462"/>
  <c r="R8" i="462"/>
  <c r="O6" i="461"/>
  <c r="O40" i="462"/>
  <c r="AF40" i="462"/>
  <c r="O69" i="462"/>
  <c r="O70" i="462"/>
  <c r="AG70" i="462"/>
  <c r="AF70" i="462"/>
  <c r="N79" i="462"/>
  <c r="R6" i="464"/>
  <c r="Q6" i="464"/>
  <c r="Z2" i="464"/>
  <c r="K58" i="464"/>
  <c r="AG62" i="464"/>
  <c r="AF62" i="464"/>
  <c r="K58" i="466"/>
  <c r="L51" i="466"/>
  <c r="L58" i="466" s="1"/>
  <c r="H13" i="465" s="1"/>
  <c r="N37" i="470"/>
  <c r="O27" i="470"/>
  <c r="AG27" i="470"/>
  <c r="AF27" i="470"/>
  <c r="L48" i="470"/>
  <c r="G13" i="469" s="1"/>
  <c r="N37" i="472"/>
  <c r="O27" i="472"/>
  <c r="AF27" i="472"/>
  <c r="AG27" i="472"/>
  <c r="L60" i="458"/>
  <c r="L72" i="458"/>
  <c r="R72" i="458" s="1"/>
  <c r="J79" i="458"/>
  <c r="P79" i="458" s="1"/>
  <c r="Q48" i="460"/>
  <c r="AG52" i="460"/>
  <c r="AG70" i="460"/>
  <c r="P48" i="462"/>
  <c r="G22" i="461"/>
  <c r="N58" i="462"/>
  <c r="AF49" i="462"/>
  <c r="AF9" i="464"/>
  <c r="AG9" i="464"/>
  <c r="O9" i="464"/>
  <c r="Q18" i="464"/>
  <c r="L51" i="464"/>
  <c r="L58" i="464" s="1"/>
  <c r="H13" i="463" s="1"/>
  <c r="AG52" i="464"/>
  <c r="AF52" i="464"/>
  <c r="O52" i="464"/>
  <c r="AG27" i="466"/>
  <c r="AF27" i="466"/>
  <c r="O27" i="466"/>
  <c r="N37" i="466"/>
  <c r="AG49" i="466"/>
  <c r="O49" i="466"/>
  <c r="AG62" i="468"/>
  <c r="AF62" i="468"/>
  <c r="O62" i="468"/>
  <c r="L26" i="470"/>
  <c r="E13" i="469" s="1"/>
  <c r="K58" i="456"/>
  <c r="O59" i="458"/>
  <c r="O61" i="458"/>
  <c r="K26" i="460"/>
  <c r="AF51" i="460"/>
  <c r="O70" i="460"/>
  <c r="AE2" i="462"/>
  <c r="AF27" i="462"/>
  <c r="O49" i="462"/>
  <c r="R17" i="464"/>
  <c r="AG29" i="464"/>
  <c r="AF29" i="464"/>
  <c r="O29" i="464"/>
  <c r="O39" i="464"/>
  <c r="AG39" i="464"/>
  <c r="AF39" i="464"/>
  <c r="AG51" i="464"/>
  <c r="AF51" i="464"/>
  <c r="O51" i="464"/>
  <c r="O61" i="464"/>
  <c r="AG61" i="464"/>
  <c r="N58" i="466"/>
  <c r="O6" i="468"/>
  <c r="AG6" i="468"/>
  <c r="AF6" i="468"/>
  <c r="AF18" i="468"/>
  <c r="O18" i="468"/>
  <c r="N26" i="468"/>
  <c r="AG18" i="468"/>
  <c r="I22" i="457"/>
  <c r="J37" i="460"/>
  <c r="P27" i="460"/>
  <c r="AF39" i="460"/>
  <c r="O39" i="460"/>
  <c r="Q7" i="462"/>
  <c r="R7" i="462"/>
  <c r="J37" i="462"/>
  <c r="P38" i="462"/>
  <c r="J48" i="462"/>
  <c r="AF50" i="462"/>
  <c r="K79" i="462"/>
  <c r="K15" i="464"/>
  <c r="L5" i="464"/>
  <c r="L15" i="464" s="1"/>
  <c r="D13" i="463" s="1"/>
  <c r="AF50" i="464"/>
  <c r="AG50" i="464"/>
  <c r="AF7" i="466"/>
  <c r="J58" i="456"/>
  <c r="P58" i="456" s="1"/>
  <c r="L49" i="456"/>
  <c r="N58" i="456"/>
  <c r="Q49" i="458"/>
  <c r="L70" i="458"/>
  <c r="G22" i="459"/>
  <c r="I1" i="460"/>
  <c r="P15" i="460"/>
  <c r="Q19" i="460"/>
  <c r="R28" i="460"/>
  <c r="P37" i="460"/>
  <c r="F22" i="459"/>
  <c r="K58" i="460"/>
  <c r="O18" i="462"/>
  <c r="P37" i="462"/>
  <c r="AG28" i="464"/>
  <c r="AF28" i="464"/>
  <c r="O28" i="464"/>
  <c r="O37" i="464" s="1"/>
  <c r="O18" i="466"/>
  <c r="AG18" i="466"/>
  <c r="AF18" i="466"/>
  <c r="Z2" i="466"/>
  <c r="E18" i="465"/>
  <c r="L6" i="465" s="1"/>
  <c r="O29" i="466"/>
  <c r="AG29" i="466"/>
  <c r="AF29" i="466"/>
  <c r="AF38" i="466"/>
  <c r="N48" i="466"/>
  <c r="O38" i="466"/>
  <c r="AG38" i="466"/>
  <c r="R63" i="466"/>
  <c r="Q63" i="466"/>
  <c r="R20" i="470"/>
  <c r="Q20" i="470"/>
  <c r="AA2" i="470"/>
  <c r="E19" i="469"/>
  <c r="M6" i="469" s="1"/>
  <c r="R49" i="458"/>
  <c r="O70" i="458"/>
  <c r="AF8" i="460"/>
  <c r="O62" i="460"/>
  <c r="AG62" i="460"/>
  <c r="AG79" i="460"/>
  <c r="AH70" i="460" s="1"/>
  <c r="D18" i="461"/>
  <c r="L6" i="461" s="1"/>
  <c r="O5" i="462"/>
  <c r="N15" i="462"/>
  <c r="K15" i="462"/>
  <c r="N37" i="462"/>
  <c r="O38" i="462"/>
  <c r="AF38" i="462"/>
  <c r="AG49" i="462"/>
  <c r="AF52" i="462"/>
  <c r="O52" i="462"/>
  <c r="J58" i="462"/>
  <c r="P58" i="462" s="1"/>
  <c r="AF69" i="462"/>
  <c r="O6" i="463"/>
  <c r="N6" i="463"/>
  <c r="AG5" i="464"/>
  <c r="N15" i="464"/>
  <c r="AG17" i="464"/>
  <c r="J37" i="464"/>
  <c r="P37" i="464" s="1"/>
  <c r="P27" i="464"/>
  <c r="K48" i="464"/>
  <c r="L38" i="464"/>
  <c r="L48" i="464" s="1"/>
  <c r="G13" i="463" s="1"/>
  <c r="R20" i="466"/>
  <c r="Q20" i="466"/>
  <c r="E19" i="465"/>
  <c r="M6" i="465" s="1"/>
  <c r="AA2" i="466"/>
  <c r="AG7" i="468"/>
  <c r="AF7" i="468"/>
  <c r="E20" i="469"/>
  <c r="AD2" i="470"/>
  <c r="J58" i="458"/>
  <c r="P58" i="458" s="1"/>
  <c r="AF59" i="458"/>
  <c r="AG62" i="458"/>
  <c r="J22" i="459"/>
  <c r="AF7" i="460"/>
  <c r="Q28" i="460"/>
  <c r="AF40" i="460"/>
  <c r="AF70" i="460"/>
  <c r="K37" i="462"/>
  <c r="AG38" i="462"/>
  <c r="K58" i="462"/>
  <c r="AF5" i="464"/>
  <c r="K37" i="464"/>
  <c r="O38" i="464"/>
  <c r="J48" i="464"/>
  <c r="P48" i="464" s="1"/>
  <c r="J58" i="464"/>
  <c r="P49" i="464"/>
  <c r="O6" i="466"/>
  <c r="AG6" i="466"/>
  <c r="AF6" i="466"/>
  <c r="N15" i="466"/>
  <c r="O7" i="468"/>
  <c r="L16" i="452"/>
  <c r="L26" i="452" s="1"/>
  <c r="E13" i="451" s="1"/>
  <c r="P49" i="456"/>
  <c r="AG61" i="458"/>
  <c r="AG7" i="460"/>
  <c r="AG39" i="460"/>
  <c r="R17" i="462"/>
  <c r="L51" i="462"/>
  <c r="AG60" i="462"/>
  <c r="AF60" i="462"/>
  <c r="L6" i="463"/>
  <c r="L27" i="464"/>
  <c r="Q27" i="464" s="1"/>
  <c r="N37" i="464"/>
  <c r="Q59" i="464"/>
  <c r="AG60" i="464"/>
  <c r="AF60" i="464"/>
  <c r="O62" i="464"/>
  <c r="G1" i="466"/>
  <c r="AG17" i="466"/>
  <c r="AF17" i="466"/>
  <c r="AF19" i="466"/>
  <c r="L19" i="466"/>
  <c r="Q19" i="466" s="1"/>
  <c r="L39" i="466"/>
  <c r="Q39" i="466" s="1"/>
  <c r="K48" i="466"/>
  <c r="AG39" i="466"/>
  <c r="AF39" i="466"/>
  <c r="AD2" i="466"/>
  <c r="R60" i="466"/>
  <c r="N15" i="470"/>
  <c r="O5" i="470"/>
  <c r="AG5" i="470"/>
  <c r="AF5" i="470"/>
  <c r="R62" i="466"/>
  <c r="Q62" i="466"/>
  <c r="R61" i="468"/>
  <c r="Q61" i="468"/>
  <c r="L51" i="470"/>
  <c r="K58" i="470"/>
  <c r="G1" i="468"/>
  <c r="L26" i="468"/>
  <c r="E13" i="467" s="1"/>
  <c r="P28" i="468"/>
  <c r="J37" i="468"/>
  <c r="P37" i="468" s="1"/>
  <c r="AF50" i="468"/>
  <c r="O50" i="468"/>
  <c r="Q30" i="470"/>
  <c r="R30" i="470"/>
  <c r="L58" i="470"/>
  <c r="H13" i="469" s="1"/>
  <c r="O7" i="472"/>
  <c r="AF7" i="472"/>
  <c r="AG7" i="472"/>
  <c r="K26" i="466"/>
  <c r="L16" i="466"/>
  <c r="R9" i="468"/>
  <c r="Q9" i="468"/>
  <c r="M6" i="467"/>
  <c r="R20" i="474"/>
  <c r="Q20" i="474"/>
  <c r="AF7" i="464"/>
  <c r="AF8" i="464"/>
  <c r="AG59" i="464"/>
  <c r="O5" i="466"/>
  <c r="AE2" i="468"/>
  <c r="R70" i="468"/>
  <c r="O79" i="468"/>
  <c r="Q70" i="468"/>
  <c r="G1" i="470"/>
  <c r="AG51" i="470"/>
  <c r="AF51" i="470"/>
  <c r="O51" i="470"/>
  <c r="O60" i="472"/>
  <c r="AG60" i="472"/>
  <c r="AF60" i="472"/>
  <c r="AF62" i="472"/>
  <c r="O62" i="472"/>
  <c r="AG62" i="472"/>
  <c r="AG6" i="464"/>
  <c r="AF6" i="464"/>
  <c r="O7" i="464"/>
  <c r="O8" i="464"/>
  <c r="O8" i="466"/>
  <c r="L28" i="466"/>
  <c r="O19" i="468"/>
  <c r="AG19" i="468"/>
  <c r="AF19" i="468"/>
  <c r="Q39" i="462"/>
  <c r="AG5" i="466"/>
  <c r="J37" i="466"/>
  <c r="P37" i="466" s="1"/>
  <c r="L27" i="466"/>
  <c r="L37" i="466" s="1"/>
  <c r="F13" i="465" s="1"/>
  <c r="AF9" i="468"/>
  <c r="P52" i="468"/>
  <c r="J58" i="468"/>
  <c r="P58" i="468" s="1"/>
  <c r="L58" i="472"/>
  <c r="H13" i="471" s="1"/>
  <c r="AG27" i="464"/>
  <c r="AF27" i="464"/>
  <c r="J58" i="466"/>
  <c r="P52" i="466"/>
  <c r="AF70" i="466"/>
  <c r="O70" i="466"/>
  <c r="AG9" i="468"/>
  <c r="AG49" i="472"/>
  <c r="N58" i="472"/>
  <c r="AF49" i="472"/>
  <c r="O49" i="472"/>
  <c r="Z2" i="460"/>
  <c r="AG39" i="462"/>
  <c r="AF61" i="462"/>
  <c r="O62" i="462"/>
  <c r="AF62" i="462"/>
  <c r="L59" i="464"/>
  <c r="AG8" i="466"/>
  <c r="P27" i="466"/>
  <c r="L52" i="466"/>
  <c r="O61" i="466"/>
  <c r="AG61" i="466"/>
  <c r="K37" i="468"/>
  <c r="L27" i="468"/>
  <c r="N58" i="468"/>
  <c r="AG29" i="470"/>
  <c r="AF29" i="470"/>
  <c r="O29" i="470"/>
  <c r="K26" i="464"/>
  <c r="P58" i="464"/>
  <c r="AF59" i="464"/>
  <c r="L60" i="464"/>
  <c r="Q60" i="464" s="1"/>
  <c r="AG52" i="466"/>
  <c r="AF52" i="466"/>
  <c r="O52" i="466"/>
  <c r="AG70" i="466"/>
  <c r="J22" i="465"/>
  <c r="I1" i="466"/>
  <c r="N15" i="468"/>
  <c r="O5" i="468"/>
  <c r="AG5" i="468"/>
  <c r="AF5" i="468"/>
  <c r="Z2" i="468"/>
  <c r="D18" i="467"/>
  <c r="L6" i="467" s="1"/>
  <c r="R38" i="468"/>
  <c r="Q59" i="468"/>
  <c r="K37" i="472"/>
  <c r="L27" i="472"/>
  <c r="L37" i="472" s="1"/>
  <c r="F13" i="471" s="1"/>
  <c r="K69" i="470"/>
  <c r="O8" i="472"/>
  <c r="AF8" i="472"/>
  <c r="L50" i="472"/>
  <c r="K58" i="472"/>
  <c r="K48" i="470"/>
  <c r="L69" i="470"/>
  <c r="I13" i="469" s="1"/>
  <c r="J6" i="469" s="1"/>
  <c r="AG28" i="472"/>
  <c r="O28" i="472"/>
  <c r="AG50" i="472"/>
  <c r="AF50" i="472"/>
  <c r="R53" i="472"/>
  <c r="Q53" i="472"/>
  <c r="R63" i="472"/>
  <c r="Q63" i="472"/>
  <c r="O7" i="474"/>
  <c r="AG7" i="474"/>
  <c r="AF7" i="474"/>
  <c r="K69" i="466"/>
  <c r="AG28" i="468"/>
  <c r="L28" i="468"/>
  <c r="R28" i="468" s="1"/>
  <c r="L79" i="468"/>
  <c r="J13" i="467" s="1"/>
  <c r="R16" i="470"/>
  <c r="Q16" i="470"/>
  <c r="AG18" i="470"/>
  <c r="AF18" i="470"/>
  <c r="R61" i="470"/>
  <c r="G1" i="472"/>
  <c r="AF28" i="472"/>
  <c r="O50" i="472"/>
  <c r="L60" i="474"/>
  <c r="L69" i="474" s="1"/>
  <c r="I13" i="473" s="1"/>
  <c r="J6" i="473" s="1"/>
  <c r="K69" i="474"/>
  <c r="J48" i="466"/>
  <c r="P48" i="466" s="1"/>
  <c r="O51" i="466"/>
  <c r="AG51" i="466"/>
  <c r="AF51" i="466"/>
  <c r="F21" i="467"/>
  <c r="O18" i="470"/>
  <c r="P48" i="470"/>
  <c r="G22" i="469"/>
  <c r="AG52" i="470"/>
  <c r="AF52" i="470"/>
  <c r="N69" i="470"/>
  <c r="AG59" i="470"/>
  <c r="O59" i="470"/>
  <c r="AF59" i="470"/>
  <c r="O50" i="466"/>
  <c r="AG59" i="466"/>
  <c r="O51" i="468"/>
  <c r="AG51" i="468"/>
  <c r="AF51" i="468"/>
  <c r="Q7" i="470"/>
  <c r="L6" i="469"/>
  <c r="R32" i="470"/>
  <c r="O52" i="470"/>
  <c r="Q61" i="470"/>
  <c r="N15" i="472"/>
  <c r="O30" i="472"/>
  <c r="AF30" i="472"/>
  <c r="AG30" i="472"/>
  <c r="AG18" i="474"/>
  <c r="AF18" i="474"/>
  <c r="O18" i="474"/>
  <c r="AG40" i="468"/>
  <c r="L40" i="468"/>
  <c r="R63" i="468"/>
  <c r="Q63" i="468"/>
  <c r="R71" i="468"/>
  <c r="Q71" i="468"/>
  <c r="AG39" i="470"/>
  <c r="P27" i="472"/>
  <c r="J37" i="472"/>
  <c r="AG17" i="468"/>
  <c r="O17" i="468"/>
  <c r="J48" i="468"/>
  <c r="P48" i="468" s="1"/>
  <c r="L38" i="468"/>
  <c r="K48" i="468"/>
  <c r="AF48" i="468" s="1"/>
  <c r="R73" i="468"/>
  <c r="K37" i="470"/>
  <c r="L28" i="470"/>
  <c r="L37" i="470" s="1"/>
  <c r="F13" i="469" s="1"/>
  <c r="R50" i="470"/>
  <c r="Q50" i="470"/>
  <c r="O8" i="474"/>
  <c r="AG8" i="474"/>
  <c r="AF8" i="474"/>
  <c r="N69" i="474"/>
  <c r="AG59" i="474"/>
  <c r="AF59" i="474"/>
  <c r="O59" i="474"/>
  <c r="N6" i="465"/>
  <c r="L60" i="466"/>
  <c r="Q60" i="466" s="1"/>
  <c r="R16" i="468"/>
  <c r="AF17" i="468"/>
  <c r="L58" i="468"/>
  <c r="H13" i="467" s="1"/>
  <c r="K15" i="470"/>
  <c r="L5" i="470"/>
  <c r="L15" i="470" s="1"/>
  <c r="D13" i="469" s="1"/>
  <c r="AG9" i="470"/>
  <c r="AF9" i="470"/>
  <c r="O9" i="470"/>
  <c r="AG19" i="470"/>
  <c r="L19" i="470"/>
  <c r="AG28" i="470"/>
  <c r="AF28" i="470"/>
  <c r="O28" i="470"/>
  <c r="AG38" i="470"/>
  <c r="AF38" i="470"/>
  <c r="N48" i="470"/>
  <c r="O38" i="470"/>
  <c r="AF60" i="470"/>
  <c r="O60" i="470"/>
  <c r="AG60" i="470"/>
  <c r="D18" i="471"/>
  <c r="L6" i="471" s="1"/>
  <c r="O6" i="471"/>
  <c r="N6" i="471"/>
  <c r="AG19" i="466"/>
  <c r="L38" i="466"/>
  <c r="AF50" i="466"/>
  <c r="AG53" i="466"/>
  <c r="AF53" i="466"/>
  <c r="H22" i="465"/>
  <c r="P58" i="466"/>
  <c r="J79" i="466"/>
  <c r="P79" i="466" s="1"/>
  <c r="AG27" i="468"/>
  <c r="AF27" i="468"/>
  <c r="O27" i="468"/>
  <c r="N37" i="468"/>
  <c r="Q39" i="468"/>
  <c r="Q48" i="468"/>
  <c r="AG48" i="468"/>
  <c r="AH38" i="468" s="1"/>
  <c r="R49" i="468"/>
  <c r="O58" i="468"/>
  <c r="Q49" i="468"/>
  <c r="AG17" i="470"/>
  <c r="AF17" i="470"/>
  <c r="O17" i="470"/>
  <c r="O26" i="470" s="1"/>
  <c r="AG30" i="470"/>
  <c r="AF30" i="470"/>
  <c r="G1" i="474"/>
  <c r="Q28" i="474"/>
  <c r="R28" i="474"/>
  <c r="R40" i="470"/>
  <c r="M6" i="471"/>
  <c r="O6" i="472"/>
  <c r="AF6" i="472"/>
  <c r="R17" i="472"/>
  <c r="Q17" i="472"/>
  <c r="R19" i="472"/>
  <c r="Q19" i="472"/>
  <c r="K48" i="472"/>
  <c r="L38" i="472"/>
  <c r="L48" i="472" s="1"/>
  <c r="G13" i="471" s="1"/>
  <c r="AG30" i="474"/>
  <c r="AF30" i="474"/>
  <c r="O30" i="474"/>
  <c r="AF39" i="470"/>
  <c r="O39" i="470"/>
  <c r="AF16" i="474"/>
  <c r="N26" i="474"/>
  <c r="AG16" i="474"/>
  <c r="AG27" i="474"/>
  <c r="N37" i="474"/>
  <c r="O27" i="474"/>
  <c r="AF27" i="474"/>
  <c r="O61" i="474"/>
  <c r="AF61" i="474"/>
  <c r="P26" i="470"/>
  <c r="I1" i="470"/>
  <c r="L32" i="470"/>
  <c r="Q32" i="470" s="1"/>
  <c r="O9" i="472"/>
  <c r="AF9" i="472"/>
  <c r="AG9" i="472"/>
  <c r="O16" i="472"/>
  <c r="AF16" i="472"/>
  <c r="AG38" i="472"/>
  <c r="N48" i="472"/>
  <c r="R61" i="472"/>
  <c r="Q61" i="472"/>
  <c r="O16" i="474"/>
  <c r="O52" i="474"/>
  <c r="AG52" i="474"/>
  <c r="AF52" i="474"/>
  <c r="AF59" i="466"/>
  <c r="K26" i="468"/>
  <c r="K69" i="468"/>
  <c r="Z2" i="470"/>
  <c r="N26" i="470"/>
  <c r="L31" i="470"/>
  <c r="N58" i="470"/>
  <c r="O49" i="470"/>
  <c r="AG49" i="470"/>
  <c r="P69" i="470"/>
  <c r="I22" i="469"/>
  <c r="L15" i="472"/>
  <c r="D13" i="471" s="1"/>
  <c r="AD2" i="472"/>
  <c r="R29" i="472"/>
  <c r="F22" i="471"/>
  <c r="P37" i="472"/>
  <c r="AF38" i="472"/>
  <c r="AF53" i="472"/>
  <c r="R38" i="474"/>
  <c r="O48" i="474"/>
  <c r="Q38" i="474"/>
  <c r="O59" i="466"/>
  <c r="N6" i="467"/>
  <c r="AF40" i="468"/>
  <c r="N69" i="468"/>
  <c r="AF19" i="470"/>
  <c r="O19" i="470"/>
  <c r="AF31" i="470"/>
  <c r="O31" i="470"/>
  <c r="Q63" i="470"/>
  <c r="AG5" i="472"/>
  <c r="AF5" i="472"/>
  <c r="I1" i="474"/>
  <c r="R19" i="474"/>
  <c r="Q19" i="474"/>
  <c r="L39" i="468"/>
  <c r="R39" i="468" s="1"/>
  <c r="O40" i="468"/>
  <c r="O48" i="468" s="1"/>
  <c r="AG52" i="468"/>
  <c r="N79" i="468"/>
  <c r="AF16" i="470"/>
  <c r="P60" i="470"/>
  <c r="J69" i="470"/>
  <c r="O5" i="472"/>
  <c r="AG6" i="472"/>
  <c r="AG61" i="472"/>
  <c r="AF28" i="474"/>
  <c r="AG28" i="474"/>
  <c r="AG38" i="474"/>
  <c r="AF38" i="474"/>
  <c r="P60" i="474"/>
  <c r="J69" i="474"/>
  <c r="P69" i="474" s="1"/>
  <c r="AG61" i="474"/>
  <c r="O40" i="474"/>
  <c r="AG40" i="474"/>
  <c r="AF40" i="474"/>
  <c r="AF50" i="474"/>
  <c r="N58" i="474"/>
  <c r="AG50" i="474"/>
  <c r="N69" i="466"/>
  <c r="AF28" i="468"/>
  <c r="L52" i="468"/>
  <c r="Q73" i="468"/>
  <c r="AF62" i="470"/>
  <c r="R39" i="472"/>
  <c r="Q39" i="472"/>
  <c r="N15" i="474"/>
  <c r="AG5" i="474"/>
  <c r="AF5" i="474"/>
  <c r="N48" i="474"/>
  <c r="O50" i="474"/>
  <c r="AG59" i="468"/>
  <c r="AF59" i="468"/>
  <c r="K26" i="470"/>
  <c r="AE2" i="472"/>
  <c r="N26" i="472"/>
  <c r="O59" i="472"/>
  <c r="N69" i="472"/>
  <c r="R5" i="474"/>
  <c r="Q5" i="474"/>
  <c r="L37" i="474"/>
  <c r="F13" i="473" s="1"/>
  <c r="AG62" i="474"/>
  <c r="AG40" i="472"/>
  <c r="Q51" i="472"/>
  <c r="AF60" i="474"/>
  <c r="J37" i="470"/>
  <c r="P37" i="470" s="1"/>
  <c r="O18" i="472"/>
  <c r="O40" i="472"/>
  <c r="O48" i="472" s="1"/>
  <c r="AF51" i="472"/>
  <c r="AG19" i="474"/>
  <c r="AF19" i="474"/>
  <c r="O60" i="474"/>
  <c r="AF9" i="474"/>
  <c r="AG9" i="474"/>
  <c r="Z2" i="474"/>
  <c r="R39" i="474"/>
  <c r="Q39" i="474"/>
  <c r="L58" i="474"/>
  <c r="H13" i="473" s="1"/>
  <c r="AG60" i="474"/>
  <c r="AF18" i="472"/>
  <c r="O9" i="474"/>
  <c r="AG17" i="474"/>
  <c r="AF17" i="474"/>
  <c r="AF29" i="474"/>
  <c r="AG29" i="474"/>
  <c r="K58" i="474"/>
  <c r="P20" i="472"/>
  <c r="J26" i="472"/>
  <c r="P26" i="472" s="1"/>
  <c r="J48" i="472"/>
  <c r="P48" i="472" s="1"/>
  <c r="O6" i="474"/>
  <c r="AG6" i="474"/>
  <c r="AF6" i="474"/>
  <c r="P48" i="474"/>
  <c r="O51" i="474"/>
  <c r="AG51" i="474"/>
  <c r="AF51" i="474"/>
  <c r="K37" i="474"/>
  <c r="AF69" i="476" l="1"/>
  <c r="Q55" i="476"/>
  <c r="R17" i="476"/>
  <c r="Q17" i="476"/>
  <c r="R49" i="476"/>
  <c r="O58" i="476"/>
  <c r="R58" i="476" s="1"/>
  <c r="S49" i="476" s="1"/>
  <c r="Q49" i="476"/>
  <c r="R30" i="476"/>
  <c r="Q30" i="476"/>
  <c r="Q58" i="476"/>
  <c r="AG58" i="476"/>
  <c r="AH49" i="476" s="1"/>
  <c r="AF58" i="476"/>
  <c r="AG26" i="476"/>
  <c r="AH16" i="476" s="1"/>
  <c r="AF26" i="476"/>
  <c r="R5" i="476"/>
  <c r="O15" i="476"/>
  <c r="Q5" i="476"/>
  <c r="R16" i="476"/>
  <c r="Q16" i="476"/>
  <c r="O26" i="476"/>
  <c r="R29" i="476"/>
  <c r="Q29" i="476"/>
  <c r="AG15" i="476"/>
  <c r="AH5" i="476" s="1"/>
  <c r="AF15" i="476"/>
  <c r="AG69" i="476"/>
  <c r="AH59" i="476" s="1"/>
  <c r="R38" i="476"/>
  <c r="Q38" i="476"/>
  <c r="O48" i="476"/>
  <c r="R48" i="476" s="1"/>
  <c r="S38" i="476" s="1"/>
  <c r="R18" i="476"/>
  <c r="Q18" i="476"/>
  <c r="R52" i="476"/>
  <c r="Q52" i="476"/>
  <c r="Q7" i="476"/>
  <c r="R7" i="476"/>
  <c r="H6" i="475"/>
  <c r="R8" i="476"/>
  <c r="Q8" i="476"/>
  <c r="R50" i="476"/>
  <c r="Q50" i="476"/>
  <c r="R28" i="476"/>
  <c r="Q28" i="476"/>
  <c r="R27" i="476"/>
  <c r="Q27" i="476"/>
  <c r="O37" i="476"/>
  <c r="R37" i="476" s="1"/>
  <c r="S27" i="476" s="1"/>
  <c r="R40" i="476"/>
  <c r="Q40" i="476"/>
  <c r="R59" i="476"/>
  <c r="Q59" i="476"/>
  <c r="O69" i="476"/>
  <c r="R69" i="476" s="1"/>
  <c r="S59" i="476" s="1"/>
  <c r="Q37" i="476"/>
  <c r="AF37" i="476"/>
  <c r="AG37" i="476"/>
  <c r="AH27" i="476" s="1"/>
  <c r="E14" i="475"/>
  <c r="E15" i="475" s="1"/>
  <c r="F6" i="475"/>
  <c r="J3" i="475"/>
  <c r="R49" i="474"/>
  <c r="Q49" i="474"/>
  <c r="F14" i="463"/>
  <c r="D14" i="449"/>
  <c r="I14" i="445"/>
  <c r="R69" i="446"/>
  <c r="S59" i="446" s="1"/>
  <c r="D14" i="437"/>
  <c r="E14" i="447"/>
  <c r="E15" i="447" s="1"/>
  <c r="R26" i="448"/>
  <c r="S16" i="448" s="1"/>
  <c r="Q26" i="448"/>
  <c r="D14" i="427"/>
  <c r="Q15" i="428"/>
  <c r="R15" i="428"/>
  <c r="S5" i="428" s="1"/>
  <c r="R69" i="432"/>
  <c r="S59" i="432" s="1"/>
  <c r="I14" i="431"/>
  <c r="Q26" i="442"/>
  <c r="E14" i="441"/>
  <c r="E15" i="441" s="1"/>
  <c r="R26" i="442"/>
  <c r="S16" i="442" s="1"/>
  <c r="F6" i="441"/>
  <c r="G14" i="471"/>
  <c r="G15" i="471" s="1"/>
  <c r="R48" i="472"/>
  <c r="S38" i="472" s="1"/>
  <c r="I14" i="439"/>
  <c r="Q26" i="470"/>
  <c r="E14" i="469"/>
  <c r="E15" i="469" s="1"/>
  <c r="R26" i="470"/>
  <c r="S16" i="470" s="1"/>
  <c r="E14" i="425"/>
  <c r="G14" i="467"/>
  <c r="H14" i="445"/>
  <c r="H15" i="445" s="1"/>
  <c r="R58" i="446"/>
  <c r="S49" i="446" s="1"/>
  <c r="E14" i="433"/>
  <c r="E15" i="433" s="1"/>
  <c r="Q26" i="434"/>
  <c r="R26" i="434"/>
  <c r="S16" i="434" s="1"/>
  <c r="R61" i="474"/>
  <c r="Q61" i="474"/>
  <c r="AF15" i="474"/>
  <c r="AG15" i="474"/>
  <c r="AH5" i="474" s="1"/>
  <c r="Q58" i="470"/>
  <c r="AG58" i="470"/>
  <c r="AH49" i="470" s="1"/>
  <c r="AF58" i="470"/>
  <c r="AG37" i="474"/>
  <c r="AH27" i="474" s="1"/>
  <c r="AF37" i="474"/>
  <c r="Q37" i="474"/>
  <c r="R28" i="470"/>
  <c r="Q28" i="470"/>
  <c r="R8" i="474"/>
  <c r="Q8" i="474"/>
  <c r="AG15" i="466"/>
  <c r="AH5" i="466" s="1"/>
  <c r="AF15" i="466"/>
  <c r="R48" i="460"/>
  <c r="S38" i="460" s="1"/>
  <c r="G14" i="459"/>
  <c r="G15" i="459" s="1"/>
  <c r="R18" i="460"/>
  <c r="Q18" i="460"/>
  <c r="Q8" i="452"/>
  <c r="R8" i="452"/>
  <c r="Q49" i="454"/>
  <c r="O58" i="454"/>
  <c r="R49" i="454"/>
  <c r="G2" i="454"/>
  <c r="J3" i="453"/>
  <c r="AG15" i="448"/>
  <c r="AH5" i="448" s="1"/>
  <c r="AF15" i="448"/>
  <c r="Q69" i="428"/>
  <c r="AG69" i="428"/>
  <c r="AH59" i="428" s="1"/>
  <c r="AF69" i="428"/>
  <c r="R39" i="466"/>
  <c r="R18" i="466"/>
  <c r="Q18" i="466"/>
  <c r="R51" i="464"/>
  <c r="Q51" i="464"/>
  <c r="AG69" i="452"/>
  <c r="AH59" i="452" s="1"/>
  <c r="AF69" i="452"/>
  <c r="Q69" i="452"/>
  <c r="R50" i="460"/>
  <c r="Q50" i="460"/>
  <c r="R29" i="456"/>
  <c r="Q29" i="456"/>
  <c r="AG26" i="454"/>
  <c r="AH16" i="454" s="1"/>
  <c r="AF26" i="454"/>
  <c r="R49" i="448"/>
  <c r="O58" i="448"/>
  <c r="Q49" i="448"/>
  <c r="R28" i="450"/>
  <c r="Q28" i="450"/>
  <c r="Q29" i="440"/>
  <c r="R29" i="440"/>
  <c r="R60" i="444"/>
  <c r="Q60" i="444"/>
  <c r="AF69" i="438"/>
  <c r="Q69" i="438"/>
  <c r="AG69" i="438"/>
  <c r="AH59" i="438" s="1"/>
  <c r="AG69" i="472"/>
  <c r="AH59" i="472" s="1"/>
  <c r="AF69" i="472"/>
  <c r="Q69" i="472"/>
  <c r="Q38" i="472"/>
  <c r="Q9" i="470"/>
  <c r="R9" i="470"/>
  <c r="AF15" i="472"/>
  <c r="AG15" i="472"/>
  <c r="AH5" i="472" s="1"/>
  <c r="R19" i="466"/>
  <c r="L26" i="466"/>
  <c r="E13" i="465" s="1"/>
  <c r="Q62" i="464"/>
  <c r="R62" i="464"/>
  <c r="R53" i="460"/>
  <c r="O48" i="466"/>
  <c r="R38" i="466"/>
  <c r="Q38" i="466"/>
  <c r="L79" i="458"/>
  <c r="J13" i="457" s="1"/>
  <c r="AF37" i="466"/>
  <c r="AG37" i="466"/>
  <c r="AH27" i="466" s="1"/>
  <c r="Q37" i="466"/>
  <c r="R27" i="472"/>
  <c r="O37" i="472"/>
  <c r="Q27" i="472"/>
  <c r="R31" i="452"/>
  <c r="Q31" i="452"/>
  <c r="O48" i="456"/>
  <c r="R38" i="456"/>
  <c r="Q38" i="456"/>
  <c r="H6" i="461"/>
  <c r="Q70" i="456"/>
  <c r="O79" i="456"/>
  <c r="R70" i="456"/>
  <c r="G2" i="462"/>
  <c r="J3" i="461"/>
  <c r="Q39" i="458"/>
  <c r="R39" i="458"/>
  <c r="R16" i="454"/>
  <c r="AG15" i="450"/>
  <c r="AH5" i="450" s="1"/>
  <c r="AF15" i="450"/>
  <c r="R30" i="450"/>
  <c r="Q30" i="450"/>
  <c r="R18" i="454"/>
  <c r="Q18" i="454"/>
  <c r="Q6" i="452"/>
  <c r="R6" i="452"/>
  <c r="H6" i="445"/>
  <c r="F6" i="445"/>
  <c r="Q18" i="452"/>
  <c r="R18" i="452"/>
  <c r="J3" i="451"/>
  <c r="G2" i="452"/>
  <c r="AF58" i="448"/>
  <c r="AG58" i="448"/>
  <c r="AH49" i="448" s="1"/>
  <c r="Q58" i="448"/>
  <c r="Q63" i="454"/>
  <c r="R53" i="446"/>
  <c r="R39" i="452"/>
  <c r="Q39" i="452"/>
  <c r="Q40" i="442"/>
  <c r="R40" i="442"/>
  <c r="Q61" i="440"/>
  <c r="R61" i="440"/>
  <c r="R18" i="440"/>
  <c r="Q18" i="440"/>
  <c r="L26" i="444"/>
  <c r="E13" i="443" s="1"/>
  <c r="O15" i="444"/>
  <c r="R5" i="444"/>
  <c r="Q5" i="444"/>
  <c r="O48" i="434"/>
  <c r="Q38" i="434"/>
  <c r="R38" i="434"/>
  <c r="Q30" i="440"/>
  <c r="R30" i="440"/>
  <c r="AF48" i="436"/>
  <c r="R50" i="432"/>
  <c r="Q50" i="432"/>
  <c r="Q30" i="432"/>
  <c r="R30" i="432"/>
  <c r="R37" i="434"/>
  <c r="S27" i="434" s="1"/>
  <c r="F14" i="433"/>
  <c r="F15" i="433" s="1"/>
  <c r="R17" i="436"/>
  <c r="Q17" i="436"/>
  <c r="AF48" i="432"/>
  <c r="Q48" i="432"/>
  <c r="AG48" i="432"/>
  <c r="AH38" i="432" s="1"/>
  <c r="L37" i="430"/>
  <c r="F13" i="429" s="1"/>
  <c r="R39" i="428"/>
  <c r="Q39" i="428"/>
  <c r="L26" i="422"/>
  <c r="E13" i="421" s="1"/>
  <c r="H6" i="421" s="1"/>
  <c r="R27" i="432"/>
  <c r="Q27" i="432"/>
  <c r="O37" i="432"/>
  <c r="R60" i="428"/>
  <c r="R51" i="424"/>
  <c r="Q51" i="424"/>
  <c r="Q5" i="420"/>
  <c r="R5" i="420"/>
  <c r="O15" i="420"/>
  <c r="O6" i="425"/>
  <c r="N6" i="425"/>
  <c r="Q48" i="3"/>
  <c r="AG48" i="3"/>
  <c r="AH38" i="3" s="1"/>
  <c r="AF48" i="3"/>
  <c r="R69" i="422"/>
  <c r="S59" i="422" s="1"/>
  <c r="I14" i="421"/>
  <c r="R60" i="3"/>
  <c r="Q60" i="3"/>
  <c r="Q49" i="428"/>
  <c r="R49" i="428"/>
  <c r="O58" i="428"/>
  <c r="R50" i="424"/>
  <c r="Q50" i="424"/>
  <c r="R19" i="420"/>
  <c r="Q51" i="422"/>
  <c r="R51" i="422"/>
  <c r="Q30" i="420"/>
  <c r="R30" i="420"/>
  <c r="R49" i="424"/>
  <c r="Q49" i="424"/>
  <c r="O58" i="424"/>
  <c r="R5" i="3"/>
  <c r="Q5" i="3"/>
  <c r="O15" i="3"/>
  <c r="Q69" i="474"/>
  <c r="AF69" i="474"/>
  <c r="AG69" i="474"/>
  <c r="AH59" i="474" s="1"/>
  <c r="F14" i="461"/>
  <c r="F15" i="461" s="1"/>
  <c r="R37" i="462"/>
  <c r="S27" i="462" s="1"/>
  <c r="I14" i="451"/>
  <c r="R59" i="474"/>
  <c r="Q59" i="474"/>
  <c r="O69" i="474"/>
  <c r="O69" i="470"/>
  <c r="R59" i="470"/>
  <c r="Q59" i="470"/>
  <c r="R51" i="466"/>
  <c r="Q51" i="466"/>
  <c r="Q58" i="468"/>
  <c r="AG58" i="468"/>
  <c r="AH49" i="468" s="1"/>
  <c r="AF58" i="468"/>
  <c r="R19" i="468"/>
  <c r="Q19" i="468"/>
  <c r="Q60" i="472"/>
  <c r="R60" i="472"/>
  <c r="R5" i="466"/>
  <c r="Q5" i="466"/>
  <c r="O15" i="466"/>
  <c r="J3" i="467"/>
  <c r="G2" i="468"/>
  <c r="R52" i="462"/>
  <c r="Q52" i="462"/>
  <c r="Q62" i="460"/>
  <c r="R62" i="460"/>
  <c r="AG48" i="466"/>
  <c r="AH38" i="466" s="1"/>
  <c r="AF48" i="466"/>
  <c r="Q48" i="466"/>
  <c r="AF26" i="468"/>
  <c r="AG26" i="468"/>
  <c r="AH16" i="468" s="1"/>
  <c r="R40" i="460"/>
  <c r="Q27" i="466"/>
  <c r="R27" i="466"/>
  <c r="O37" i="466"/>
  <c r="AF58" i="462"/>
  <c r="AG58" i="462"/>
  <c r="AH49" i="462" s="1"/>
  <c r="Q58" i="462"/>
  <c r="Q37" i="472"/>
  <c r="AG37" i="472"/>
  <c r="AH27" i="472" s="1"/>
  <c r="AF37" i="472"/>
  <c r="AG15" i="460"/>
  <c r="AH5" i="460" s="1"/>
  <c r="AF15" i="460"/>
  <c r="R50" i="458"/>
  <c r="Q50" i="458"/>
  <c r="Q30" i="452"/>
  <c r="R30" i="452"/>
  <c r="O79" i="464"/>
  <c r="R70" i="464"/>
  <c r="Q70" i="464"/>
  <c r="R38" i="460"/>
  <c r="AG79" i="456"/>
  <c r="AH70" i="456" s="1"/>
  <c r="AF79" i="456"/>
  <c r="Q79" i="456"/>
  <c r="R60" i="456"/>
  <c r="Q60" i="456"/>
  <c r="R17" i="458"/>
  <c r="Q17" i="458"/>
  <c r="O26" i="458"/>
  <c r="L69" i="450"/>
  <c r="I13" i="449" s="1"/>
  <c r="J6" i="449" s="1"/>
  <c r="Q9" i="452"/>
  <c r="R9" i="452"/>
  <c r="AG15" i="454"/>
  <c r="AH5" i="454" s="1"/>
  <c r="AF15" i="454"/>
  <c r="Q8" i="450"/>
  <c r="AF79" i="454"/>
  <c r="AG79" i="454"/>
  <c r="AH70" i="454" s="1"/>
  <c r="Q79" i="454"/>
  <c r="AG58" i="452"/>
  <c r="AH49" i="452" s="1"/>
  <c r="AF58" i="452"/>
  <c r="Q58" i="452"/>
  <c r="R31" i="450"/>
  <c r="Q31" i="450"/>
  <c r="N6" i="441"/>
  <c r="O37" i="450"/>
  <c r="L48" i="440"/>
  <c r="G13" i="439" s="1"/>
  <c r="H6" i="439" s="1"/>
  <c r="R61" i="442"/>
  <c r="Q61" i="442"/>
  <c r="J14" i="447"/>
  <c r="R79" i="448"/>
  <c r="S70" i="448" s="1"/>
  <c r="J15" i="447" s="1"/>
  <c r="R6" i="446"/>
  <c r="Q6" i="446"/>
  <c r="O48" i="442"/>
  <c r="Q38" i="442"/>
  <c r="R38" i="442"/>
  <c r="R37" i="448"/>
  <c r="S27" i="448" s="1"/>
  <c r="F14" i="447"/>
  <c r="F15" i="447" s="1"/>
  <c r="R50" i="444"/>
  <c r="Q62" i="442"/>
  <c r="R62" i="442"/>
  <c r="Q49" i="440"/>
  <c r="O58" i="440"/>
  <c r="R49" i="440"/>
  <c r="R51" i="436"/>
  <c r="Q51" i="436"/>
  <c r="O58" i="436"/>
  <c r="AF15" i="444"/>
  <c r="AG15" i="444"/>
  <c r="AH5" i="444" s="1"/>
  <c r="R8" i="446"/>
  <c r="Q8" i="446"/>
  <c r="L48" i="434"/>
  <c r="G13" i="433" s="1"/>
  <c r="R38" i="438"/>
  <c r="Q38" i="438"/>
  <c r="O48" i="438"/>
  <c r="R29" i="432"/>
  <c r="Q29" i="432"/>
  <c r="R17" i="432"/>
  <c r="Q17" i="432"/>
  <c r="R8" i="440"/>
  <c r="Q8" i="440"/>
  <c r="AG37" i="434"/>
  <c r="AH27" i="434" s="1"/>
  <c r="AF37" i="434"/>
  <c r="Q37" i="434"/>
  <c r="H13" i="2"/>
  <c r="R38" i="432"/>
  <c r="Q38" i="432"/>
  <c r="O48" i="432"/>
  <c r="Q17" i="430"/>
  <c r="R17" i="430"/>
  <c r="G2" i="426"/>
  <c r="J3" i="425"/>
  <c r="Q62" i="432"/>
  <c r="R62" i="432"/>
  <c r="Q29" i="430"/>
  <c r="R29" i="430"/>
  <c r="AG26" i="422"/>
  <c r="AH16" i="422" s="1"/>
  <c r="AF26" i="422"/>
  <c r="G14" i="423"/>
  <c r="R52" i="428"/>
  <c r="R40" i="420"/>
  <c r="Q40" i="420"/>
  <c r="R59" i="422"/>
  <c r="Q29" i="426"/>
  <c r="R29" i="424"/>
  <c r="Q29" i="424"/>
  <c r="R38" i="428"/>
  <c r="Q38" i="428"/>
  <c r="O48" i="428"/>
  <c r="Q6" i="418"/>
  <c r="R6" i="418"/>
  <c r="Q40" i="426"/>
  <c r="R40" i="426"/>
  <c r="Q29" i="422"/>
  <c r="R29" i="422"/>
  <c r="R8" i="464"/>
  <c r="Q8" i="464"/>
  <c r="G14" i="449"/>
  <c r="G15" i="449" s="1"/>
  <c r="R48" i="450"/>
  <c r="S38" i="450" s="1"/>
  <c r="O58" i="470"/>
  <c r="R49" i="470"/>
  <c r="Q49" i="470"/>
  <c r="Q27" i="474"/>
  <c r="O37" i="474"/>
  <c r="R27" i="474"/>
  <c r="G2" i="470"/>
  <c r="J3" i="469"/>
  <c r="O26" i="474"/>
  <c r="Q16" i="474"/>
  <c r="R16" i="474"/>
  <c r="L48" i="466"/>
  <c r="G13" i="465" s="1"/>
  <c r="F6" i="465" s="1"/>
  <c r="AF15" i="464"/>
  <c r="AG15" i="464"/>
  <c r="AH5" i="464" s="1"/>
  <c r="Q62" i="468"/>
  <c r="R62" i="468"/>
  <c r="I14" i="461"/>
  <c r="R69" i="462"/>
  <c r="S59" i="462" s="1"/>
  <c r="Q39" i="454"/>
  <c r="R39" i="454"/>
  <c r="R51" i="442"/>
  <c r="Q51" i="442"/>
  <c r="R69" i="456"/>
  <c r="S59" i="456" s="1"/>
  <c r="I14" i="455"/>
  <c r="E14" i="453"/>
  <c r="E15" i="453" s="1"/>
  <c r="R26" i="454"/>
  <c r="S16" i="454" s="1"/>
  <c r="Q26" i="454"/>
  <c r="L69" i="452"/>
  <c r="I13" i="451" s="1"/>
  <c r="J6" i="451" s="1"/>
  <c r="R59" i="452"/>
  <c r="AG37" i="442"/>
  <c r="AH27" i="442" s="1"/>
  <c r="AF37" i="442"/>
  <c r="Q37" i="442"/>
  <c r="R59" i="472"/>
  <c r="Q59" i="472"/>
  <c r="O69" i="472"/>
  <c r="AG69" i="466"/>
  <c r="AH59" i="466" s="1"/>
  <c r="Q69" i="466"/>
  <c r="AF69" i="466"/>
  <c r="R31" i="470"/>
  <c r="Q31" i="470"/>
  <c r="R16" i="472"/>
  <c r="Q16" i="472"/>
  <c r="O26" i="472"/>
  <c r="R38" i="472"/>
  <c r="R60" i="470"/>
  <c r="Q60" i="470"/>
  <c r="Q50" i="474"/>
  <c r="O58" i="474"/>
  <c r="R50" i="474"/>
  <c r="H6" i="471"/>
  <c r="F6" i="471"/>
  <c r="R39" i="470"/>
  <c r="Q39" i="470"/>
  <c r="R6" i="472"/>
  <c r="Q6" i="472"/>
  <c r="L48" i="468"/>
  <c r="G13" i="467" s="1"/>
  <c r="Q38" i="468"/>
  <c r="R52" i="470"/>
  <c r="Q52" i="470"/>
  <c r="L37" i="468"/>
  <c r="F13" i="467" s="1"/>
  <c r="F6" i="467" s="1"/>
  <c r="Q28" i="466"/>
  <c r="R28" i="466"/>
  <c r="R51" i="470"/>
  <c r="Q51" i="470"/>
  <c r="Q38" i="464"/>
  <c r="R38" i="464"/>
  <c r="O48" i="464"/>
  <c r="Q58" i="456"/>
  <c r="AF58" i="456"/>
  <c r="AG58" i="456"/>
  <c r="AH49" i="456" s="1"/>
  <c r="Q18" i="468"/>
  <c r="R18" i="468"/>
  <c r="R60" i="468"/>
  <c r="Q60" i="468"/>
  <c r="AG69" i="460"/>
  <c r="AH59" i="460" s="1"/>
  <c r="AF69" i="460"/>
  <c r="Q69" i="460"/>
  <c r="O15" i="460"/>
  <c r="R5" i="460"/>
  <c r="Q5" i="460"/>
  <c r="R8" i="458"/>
  <c r="Q8" i="458"/>
  <c r="R61" i="460"/>
  <c r="Q61" i="460"/>
  <c r="R29" i="452"/>
  <c r="Q29" i="452"/>
  <c r="AG79" i="464"/>
  <c r="AH70" i="464" s="1"/>
  <c r="AF79" i="464"/>
  <c r="Q79" i="464"/>
  <c r="Q72" i="458"/>
  <c r="R29" i="454"/>
  <c r="Q29" i="454"/>
  <c r="Q58" i="450"/>
  <c r="AF58" i="450"/>
  <c r="AG58" i="450"/>
  <c r="AH49" i="450" s="1"/>
  <c r="Q70" i="452"/>
  <c r="O79" i="452"/>
  <c r="R70" i="452"/>
  <c r="R38" i="448"/>
  <c r="O48" i="448"/>
  <c r="Q38" i="448"/>
  <c r="O79" i="454"/>
  <c r="R70" i="454"/>
  <c r="Q70" i="454"/>
  <c r="Q52" i="452"/>
  <c r="R52" i="452"/>
  <c r="R59" i="448"/>
  <c r="O69" i="448"/>
  <c r="Q59" i="448"/>
  <c r="R26" i="450"/>
  <c r="S16" i="450" s="1"/>
  <c r="Q26" i="450"/>
  <c r="E14" i="449"/>
  <c r="E15" i="449" s="1"/>
  <c r="R61" i="446"/>
  <c r="Q61" i="446"/>
  <c r="R51" i="454"/>
  <c r="Q51" i="454"/>
  <c r="G2" i="448"/>
  <c r="J3" i="447"/>
  <c r="AF58" i="446"/>
  <c r="Q58" i="446"/>
  <c r="AG58" i="446"/>
  <c r="AH49" i="446" s="1"/>
  <c r="L48" i="454"/>
  <c r="G13" i="453" s="1"/>
  <c r="H6" i="453" s="1"/>
  <c r="R60" i="446"/>
  <c r="Q60" i="446"/>
  <c r="Q37" i="444"/>
  <c r="AG37" i="444"/>
  <c r="AH27" i="444" s="1"/>
  <c r="AF37" i="444"/>
  <c r="Q70" i="448"/>
  <c r="AF69" i="440"/>
  <c r="AG69" i="440"/>
  <c r="AH59" i="440" s="1"/>
  <c r="Q69" i="440"/>
  <c r="R7" i="436"/>
  <c r="Q7" i="436"/>
  <c r="R28" i="438"/>
  <c r="Q28" i="438"/>
  <c r="AG58" i="440"/>
  <c r="AH49" i="440" s="1"/>
  <c r="Q58" i="440"/>
  <c r="AF58" i="440"/>
  <c r="R9" i="436"/>
  <c r="Q9" i="436"/>
  <c r="Q5" i="442"/>
  <c r="R5" i="442"/>
  <c r="O15" i="442"/>
  <c r="Q48" i="438"/>
  <c r="AG48" i="438"/>
  <c r="AH38" i="438" s="1"/>
  <c r="AF48" i="438"/>
  <c r="R59" i="434"/>
  <c r="Q59" i="434"/>
  <c r="O69" i="434"/>
  <c r="Q6" i="432"/>
  <c r="R6" i="432"/>
  <c r="AG48" i="422"/>
  <c r="AH38" i="422" s="1"/>
  <c r="AF48" i="422"/>
  <c r="Q48" i="422"/>
  <c r="O6" i="2"/>
  <c r="AF69" i="430"/>
  <c r="AG69" i="430"/>
  <c r="AH59" i="430" s="1"/>
  <c r="Q69" i="430"/>
  <c r="R30" i="428"/>
  <c r="Q30" i="428"/>
  <c r="R69" i="426"/>
  <c r="S59" i="426" s="1"/>
  <c r="I14" i="425"/>
  <c r="L15" i="434"/>
  <c r="D13" i="433" s="1"/>
  <c r="Q5" i="434"/>
  <c r="L69" i="426"/>
  <c r="I13" i="425" s="1"/>
  <c r="J6" i="425" s="1"/>
  <c r="R59" i="426"/>
  <c r="G2" i="428"/>
  <c r="J3" i="427"/>
  <c r="L48" i="424"/>
  <c r="G13" i="423" s="1"/>
  <c r="Q28" i="418"/>
  <c r="R28" i="418"/>
  <c r="L26" i="424"/>
  <c r="E13" i="423" s="1"/>
  <c r="R39" i="3"/>
  <c r="Q39" i="3"/>
  <c r="R17" i="422"/>
  <c r="R37" i="3"/>
  <c r="S27" i="3" s="1"/>
  <c r="F14" i="2"/>
  <c r="F15" i="2" s="1"/>
  <c r="AF48" i="426"/>
  <c r="Q48" i="426"/>
  <c r="AG48" i="426"/>
  <c r="AH38" i="426" s="1"/>
  <c r="Q37" i="426"/>
  <c r="AF37" i="426"/>
  <c r="AG37" i="426"/>
  <c r="AH27" i="426" s="1"/>
  <c r="L37" i="426"/>
  <c r="F13" i="425" s="1"/>
  <c r="R51" i="418"/>
  <c r="Q51" i="418"/>
  <c r="R17" i="3"/>
  <c r="Q17" i="3"/>
  <c r="O26" i="3"/>
  <c r="L15" i="420"/>
  <c r="D13" i="419" s="1"/>
  <c r="AG15" i="3"/>
  <c r="AH5" i="3" s="1"/>
  <c r="AF15" i="3"/>
  <c r="O37" i="452"/>
  <c r="R27" i="452"/>
  <c r="Q27" i="452"/>
  <c r="R40" i="458"/>
  <c r="Q40" i="458"/>
  <c r="AG37" i="450"/>
  <c r="AH27" i="450" s="1"/>
  <c r="AF37" i="450"/>
  <c r="Q37" i="450"/>
  <c r="Q60" i="474"/>
  <c r="R60" i="474"/>
  <c r="R48" i="474"/>
  <c r="S38" i="474" s="1"/>
  <c r="G14" i="473"/>
  <c r="G15" i="473" s="1"/>
  <c r="AG37" i="454"/>
  <c r="AH27" i="454" s="1"/>
  <c r="AF37" i="454"/>
  <c r="Q37" i="454"/>
  <c r="R60" i="464"/>
  <c r="R31" i="454"/>
  <c r="Q31" i="454"/>
  <c r="R40" i="452"/>
  <c r="Q40" i="452"/>
  <c r="AF26" i="472"/>
  <c r="AG26" i="472"/>
  <c r="AH16" i="472" s="1"/>
  <c r="AF48" i="474"/>
  <c r="Q48" i="474"/>
  <c r="AG48" i="474"/>
  <c r="AH38" i="474" s="1"/>
  <c r="AF58" i="474"/>
  <c r="AG58" i="474"/>
  <c r="AH49" i="474" s="1"/>
  <c r="Q58" i="474"/>
  <c r="Q19" i="470"/>
  <c r="R19" i="470"/>
  <c r="H14" i="467"/>
  <c r="H15" i="467" s="1"/>
  <c r="R58" i="468"/>
  <c r="S49" i="468" s="1"/>
  <c r="R38" i="470"/>
  <c r="O48" i="470"/>
  <c r="Q38" i="470"/>
  <c r="F6" i="469"/>
  <c r="H6" i="469"/>
  <c r="Q69" i="470"/>
  <c r="AG69" i="470"/>
  <c r="AH59" i="470" s="1"/>
  <c r="AF69" i="470"/>
  <c r="Q28" i="472"/>
  <c r="R28" i="472"/>
  <c r="O69" i="468"/>
  <c r="R52" i="466"/>
  <c r="Q52" i="466"/>
  <c r="O58" i="472"/>
  <c r="R49" i="472"/>
  <c r="Q49" i="472"/>
  <c r="R8" i="466"/>
  <c r="Q8" i="466"/>
  <c r="Q70" i="458"/>
  <c r="R70" i="458"/>
  <c r="O79" i="458"/>
  <c r="R18" i="462"/>
  <c r="Q18" i="462"/>
  <c r="Q49" i="456"/>
  <c r="L58" i="456"/>
  <c r="H13" i="455" s="1"/>
  <c r="R49" i="456"/>
  <c r="R39" i="464"/>
  <c r="Q39" i="464"/>
  <c r="R61" i="458"/>
  <c r="Q61" i="458"/>
  <c r="Q79" i="462"/>
  <c r="AG79" i="462"/>
  <c r="AH70" i="462" s="1"/>
  <c r="AF79" i="462"/>
  <c r="AG58" i="458"/>
  <c r="AH49" i="458" s="1"/>
  <c r="AF58" i="458"/>
  <c r="Q58" i="458"/>
  <c r="Q40" i="454"/>
  <c r="R59" i="454"/>
  <c r="Q59" i="454"/>
  <c r="O69" i="454"/>
  <c r="Q37" i="458"/>
  <c r="AG37" i="458"/>
  <c r="AH27" i="458" s="1"/>
  <c r="AF37" i="458"/>
  <c r="R28" i="452"/>
  <c r="Q28" i="452"/>
  <c r="Q69" i="456"/>
  <c r="AG69" i="456"/>
  <c r="AH59" i="456" s="1"/>
  <c r="AF69" i="456"/>
  <c r="Q60" i="450"/>
  <c r="R60" i="450"/>
  <c r="Q7" i="452"/>
  <c r="R7" i="452"/>
  <c r="O6" i="449"/>
  <c r="N6" i="449"/>
  <c r="O69" i="450"/>
  <c r="R59" i="450"/>
  <c r="Q59" i="450"/>
  <c r="R26" i="444"/>
  <c r="S16" i="444" s="1"/>
  <c r="Q26" i="444"/>
  <c r="E14" i="443"/>
  <c r="E15" i="443" s="1"/>
  <c r="R29" i="450"/>
  <c r="Q29" i="450"/>
  <c r="Q38" i="446"/>
  <c r="R29" i="444"/>
  <c r="Q29" i="444"/>
  <c r="O48" i="444"/>
  <c r="Q38" i="444"/>
  <c r="R38" i="444"/>
  <c r="AF79" i="448"/>
  <c r="Q79" i="448"/>
  <c r="AG79" i="448"/>
  <c r="AH70" i="448" s="1"/>
  <c r="R17" i="452"/>
  <c r="Q17" i="452"/>
  <c r="Q27" i="446"/>
  <c r="O37" i="446"/>
  <c r="R27" i="446"/>
  <c r="AG58" i="444"/>
  <c r="AH49" i="444" s="1"/>
  <c r="AF58" i="444"/>
  <c r="Q58" i="444"/>
  <c r="L69" i="440"/>
  <c r="I13" i="439" s="1"/>
  <c r="J6" i="439" s="1"/>
  <c r="R70" i="448"/>
  <c r="AG26" i="442"/>
  <c r="AH16" i="442" s="1"/>
  <c r="AF26" i="442"/>
  <c r="Q60" i="440"/>
  <c r="R60" i="440"/>
  <c r="R51" i="440"/>
  <c r="Q51" i="440"/>
  <c r="J3" i="445"/>
  <c r="G2" i="446"/>
  <c r="Q15" i="434"/>
  <c r="R15" i="434"/>
  <c r="S5" i="434" s="1"/>
  <c r="E2" i="434"/>
  <c r="D14" i="433"/>
  <c r="O37" i="438"/>
  <c r="Q27" i="438"/>
  <c r="R27" i="438"/>
  <c r="R52" i="450"/>
  <c r="Q52" i="450"/>
  <c r="AG15" i="442"/>
  <c r="AH5" i="442" s="1"/>
  <c r="AF15" i="442"/>
  <c r="H14" i="433"/>
  <c r="H15" i="433" s="1"/>
  <c r="R58" i="434"/>
  <c r="S49" i="434" s="1"/>
  <c r="Q69" i="434"/>
  <c r="AG69" i="434"/>
  <c r="AH59" i="434" s="1"/>
  <c r="AF69" i="434"/>
  <c r="R8" i="432"/>
  <c r="Q8" i="432"/>
  <c r="AG15" i="432"/>
  <c r="AH5" i="432" s="1"/>
  <c r="AF15" i="432"/>
  <c r="Q28" i="432"/>
  <c r="R28" i="432"/>
  <c r="AF69" i="422"/>
  <c r="AG69" i="422"/>
  <c r="AH59" i="422" s="1"/>
  <c r="Q69" i="422"/>
  <c r="R26" i="422"/>
  <c r="S16" i="422" s="1"/>
  <c r="E14" i="421"/>
  <c r="E15" i="421" s="1"/>
  <c r="Q26" i="422"/>
  <c r="Q58" i="426"/>
  <c r="AF58" i="426"/>
  <c r="AG58" i="426"/>
  <c r="AH49" i="426" s="1"/>
  <c r="R52" i="430"/>
  <c r="Q52" i="430"/>
  <c r="Q6" i="422"/>
  <c r="R6" i="422"/>
  <c r="Q37" i="432"/>
  <c r="AG37" i="432"/>
  <c r="AH27" i="432" s="1"/>
  <c r="AF37" i="432"/>
  <c r="Q6" i="434"/>
  <c r="R6" i="434"/>
  <c r="R62" i="426"/>
  <c r="Q62" i="426"/>
  <c r="O48" i="430"/>
  <c r="R38" i="430"/>
  <c r="Q38" i="430"/>
  <c r="Q37" i="424"/>
  <c r="AG37" i="424"/>
  <c r="AH27" i="424" s="1"/>
  <c r="AF37" i="424"/>
  <c r="R19" i="426"/>
  <c r="Q19" i="426"/>
  <c r="Q69" i="420"/>
  <c r="AG69" i="420"/>
  <c r="AH59" i="420" s="1"/>
  <c r="AF69" i="420"/>
  <c r="J3" i="429"/>
  <c r="G2" i="430"/>
  <c r="R38" i="420"/>
  <c r="O48" i="420"/>
  <c r="Q38" i="420"/>
  <c r="R17" i="420"/>
  <c r="Q17" i="420"/>
  <c r="O26" i="420"/>
  <c r="Q16" i="3"/>
  <c r="AG26" i="418"/>
  <c r="AH16" i="418" s="1"/>
  <c r="AF26" i="418"/>
  <c r="Q69" i="424"/>
  <c r="AG69" i="424"/>
  <c r="AH59" i="424" s="1"/>
  <c r="AF69" i="424"/>
  <c r="AF48" i="428"/>
  <c r="Q48" i="428"/>
  <c r="AG48" i="428"/>
  <c r="AH38" i="428" s="1"/>
  <c r="AG58" i="424"/>
  <c r="AH49" i="424" s="1"/>
  <c r="AF58" i="424"/>
  <c r="Q58" i="424"/>
  <c r="Q59" i="458"/>
  <c r="O69" i="458"/>
  <c r="R59" i="458"/>
  <c r="R51" i="450"/>
  <c r="Q51" i="450"/>
  <c r="O58" i="444"/>
  <c r="R49" i="444"/>
  <c r="Q49" i="444"/>
  <c r="Q27" i="444"/>
  <c r="R27" i="444"/>
  <c r="O37" i="444"/>
  <c r="O58" i="442"/>
  <c r="R49" i="442"/>
  <c r="Q49" i="442"/>
  <c r="R40" i="444"/>
  <c r="Q40" i="444"/>
  <c r="Q31" i="444"/>
  <c r="R31" i="444"/>
  <c r="L15" i="438"/>
  <c r="D13" i="437" s="1"/>
  <c r="R5" i="438"/>
  <c r="Q5" i="438"/>
  <c r="R6" i="440"/>
  <c r="Q6" i="440"/>
  <c r="R28" i="440"/>
  <c r="Q28" i="440"/>
  <c r="R7" i="432"/>
  <c r="Q7" i="432"/>
  <c r="R28" i="446"/>
  <c r="Q28" i="446"/>
  <c r="R5" i="436"/>
  <c r="Q5" i="436"/>
  <c r="O15" i="436"/>
  <c r="Q58" i="430"/>
  <c r="AG58" i="430"/>
  <c r="AH49" i="430" s="1"/>
  <c r="AF58" i="430"/>
  <c r="Q19" i="430"/>
  <c r="R19" i="430"/>
  <c r="AF69" i="436"/>
  <c r="Q69" i="436"/>
  <c r="AG69" i="436"/>
  <c r="AH59" i="436" s="1"/>
  <c r="Q62" i="440"/>
  <c r="R62" i="440"/>
  <c r="L58" i="428"/>
  <c r="H13" i="427" s="1"/>
  <c r="R60" i="434"/>
  <c r="Q60" i="434"/>
  <c r="D14" i="421"/>
  <c r="Q15" i="422"/>
  <c r="R15" i="422"/>
  <c r="S5" i="422" s="1"/>
  <c r="R26" i="424"/>
  <c r="S16" i="424" s="1"/>
  <c r="Q26" i="424"/>
  <c r="E14" i="423"/>
  <c r="E15" i="423" s="1"/>
  <c r="Q48" i="430"/>
  <c r="AG48" i="430"/>
  <c r="AH38" i="430" s="1"/>
  <c r="AF48" i="430"/>
  <c r="O69" i="420"/>
  <c r="R59" i="420"/>
  <c r="Q59" i="420"/>
  <c r="AG26" i="420"/>
  <c r="AH16" i="420" s="1"/>
  <c r="AF26" i="420"/>
  <c r="Q5" i="418"/>
  <c r="O15" i="418"/>
  <c r="R5" i="418"/>
  <c r="O48" i="426"/>
  <c r="R38" i="426"/>
  <c r="Q38" i="426"/>
  <c r="R60" i="418"/>
  <c r="Q60" i="418"/>
  <c r="AG37" i="422"/>
  <c r="AH27" i="422" s="1"/>
  <c r="AF37" i="422"/>
  <c r="Q37" i="422"/>
  <c r="R16" i="3"/>
  <c r="R16" i="418"/>
  <c r="Q16" i="418"/>
  <c r="O26" i="418"/>
  <c r="R51" i="420"/>
  <c r="Q51" i="420"/>
  <c r="R60" i="422"/>
  <c r="Q60" i="422"/>
  <c r="Q19" i="418"/>
  <c r="R19" i="418"/>
  <c r="R16" i="422"/>
  <c r="R17" i="468"/>
  <c r="Q17" i="468"/>
  <c r="Q37" i="464"/>
  <c r="AG37" i="464"/>
  <c r="AH27" i="464" s="1"/>
  <c r="AF37" i="464"/>
  <c r="R61" i="448"/>
  <c r="Q61" i="448"/>
  <c r="R51" i="446"/>
  <c r="Q51" i="446"/>
  <c r="R51" i="448"/>
  <c r="Q51" i="448"/>
  <c r="AG48" i="444"/>
  <c r="AH38" i="444" s="1"/>
  <c r="Q48" i="444"/>
  <c r="AF48" i="444"/>
  <c r="R16" i="446"/>
  <c r="Q16" i="446"/>
  <c r="O26" i="446"/>
  <c r="AF26" i="452"/>
  <c r="AG26" i="452"/>
  <c r="AH16" i="452" s="1"/>
  <c r="R7" i="448"/>
  <c r="Q7" i="448"/>
  <c r="AG37" i="448"/>
  <c r="AH27" i="448" s="1"/>
  <c r="AF37" i="448"/>
  <c r="Q37" i="448"/>
  <c r="Q5" i="472"/>
  <c r="O15" i="472"/>
  <c r="R5" i="472"/>
  <c r="AF69" i="468"/>
  <c r="Q69" i="468"/>
  <c r="AG69" i="468"/>
  <c r="AH59" i="468" s="1"/>
  <c r="Q50" i="472"/>
  <c r="R50" i="472"/>
  <c r="Q61" i="466"/>
  <c r="R61" i="466"/>
  <c r="Q58" i="472"/>
  <c r="AF58" i="472"/>
  <c r="AG58" i="472"/>
  <c r="AH49" i="472" s="1"/>
  <c r="R7" i="464"/>
  <c r="Q7" i="464"/>
  <c r="L37" i="464"/>
  <c r="F13" i="463" s="1"/>
  <c r="R27" i="464"/>
  <c r="O48" i="462"/>
  <c r="R38" i="462"/>
  <c r="Q38" i="462"/>
  <c r="R29" i="466"/>
  <c r="Q29" i="466"/>
  <c r="R39" i="460"/>
  <c r="Q39" i="460"/>
  <c r="O37" i="470"/>
  <c r="R27" i="470"/>
  <c r="Q27" i="470"/>
  <c r="AF26" i="460"/>
  <c r="AG26" i="460"/>
  <c r="AH16" i="460" s="1"/>
  <c r="Q61" i="456"/>
  <c r="R61" i="456"/>
  <c r="AG37" i="452"/>
  <c r="AH27" i="452" s="1"/>
  <c r="Q37" i="452"/>
  <c r="AF37" i="452"/>
  <c r="F6" i="459"/>
  <c r="H6" i="459"/>
  <c r="Q28" i="462"/>
  <c r="R28" i="462"/>
  <c r="Q27" i="458"/>
  <c r="O37" i="458"/>
  <c r="R27" i="458"/>
  <c r="O15" i="464"/>
  <c r="R51" i="458"/>
  <c r="Q51" i="458"/>
  <c r="R8" i="468"/>
  <c r="Q8" i="468"/>
  <c r="R28" i="458"/>
  <c r="Q28" i="458"/>
  <c r="D14" i="455"/>
  <c r="R15" i="456"/>
  <c r="S5" i="456" s="1"/>
  <c r="Q15" i="456"/>
  <c r="AG15" i="456"/>
  <c r="AH5" i="456" s="1"/>
  <c r="AF15" i="456"/>
  <c r="R6" i="456"/>
  <c r="Q6" i="456"/>
  <c r="AF26" i="450"/>
  <c r="AG26" i="450"/>
  <c r="AH16" i="450" s="1"/>
  <c r="O15" i="452"/>
  <c r="R5" i="452"/>
  <c r="Q5" i="452"/>
  <c r="Q62" i="448"/>
  <c r="R62" i="448"/>
  <c r="H6" i="451"/>
  <c r="F6" i="451"/>
  <c r="G14" i="445"/>
  <c r="G15" i="445" s="1"/>
  <c r="R48" i="446"/>
  <c r="S38" i="446" s="1"/>
  <c r="R62" i="452"/>
  <c r="Q62" i="452"/>
  <c r="R29" i="446"/>
  <c r="Q29" i="446"/>
  <c r="Q19" i="446"/>
  <c r="R19" i="446"/>
  <c r="AG58" i="442"/>
  <c r="AH49" i="442" s="1"/>
  <c r="AF58" i="442"/>
  <c r="Q58" i="442"/>
  <c r="Q49" i="446"/>
  <c r="J3" i="443"/>
  <c r="G2" i="444"/>
  <c r="AF69" i="442"/>
  <c r="Q69" i="442"/>
  <c r="AG69" i="442"/>
  <c r="AH59" i="442" s="1"/>
  <c r="O26" i="440"/>
  <c r="Q16" i="440"/>
  <c r="R16" i="440"/>
  <c r="R59" i="440"/>
  <c r="R39" i="440"/>
  <c r="R61" i="438"/>
  <c r="Q61" i="438"/>
  <c r="R16" i="436"/>
  <c r="R37" i="442"/>
  <c r="S27" i="442" s="1"/>
  <c r="F14" i="441"/>
  <c r="F15" i="441" s="1"/>
  <c r="AG26" i="436"/>
  <c r="AH16" i="436" s="1"/>
  <c r="AF26" i="436"/>
  <c r="AG37" i="438"/>
  <c r="AH27" i="438" s="1"/>
  <c r="Q37" i="438"/>
  <c r="AF37" i="438"/>
  <c r="O15" i="448"/>
  <c r="Q5" i="448"/>
  <c r="R5" i="448"/>
  <c r="R27" i="436"/>
  <c r="O37" i="436"/>
  <c r="Q27" i="436"/>
  <c r="R60" i="430"/>
  <c r="Q60" i="430"/>
  <c r="AG15" i="446"/>
  <c r="AH5" i="446" s="1"/>
  <c r="AF15" i="446"/>
  <c r="R61" i="430"/>
  <c r="Q61" i="430"/>
  <c r="AG26" i="434"/>
  <c r="AH16" i="434" s="1"/>
  <c r="AF26" i="434"/>
  <c r="AF15" i="440"/>
  <c r="AG15" i="440"/>
  <c r="AH5" i="440" s="1"/>
  <c r="R5" i="432"/>
  <c r="Q5" i="432"/>
  <c r="O15" i="432"/>
  <c r="L58" i="420"/>
  <c r="H13" i="419" s="1"/>
  <c r="R49" i="420"/>
  <c r="Q49" i="420"/>
  <c r="R62" i="418"/>
  <c r="Q62" i="418"/>
  <c r="Q58" i="422"/>
  <c r="AF58" i="422"/>
  <c r="AG58" i="422"/>
  <c r="AH49" i="422" s="1"/>
  <c r="AG69" i="426"/>
  <c r="AH59" i="426" s="1"/>
  <c r="AF69" i="426"/>
  <c r="Q69" i="426"/>
  <c r="Q18" i="430"/>
  <c r="R18" i="430"/>
  <c r="N6" i="427"/>
  <c r="O6" i="427"/>
  <c r="AG37" i="428"/>
  <c r="AH27" i="428" s="1"/>
  <c r="AF37" i="428"/>
  <c r="Q37" i="428"/>
  <c r="O58" i="422"/>
  <c r="R49" i="422"/>
  <c r="Q49" i="422"/>
  <c r="R31" i="420"/>
  <c r="Q31" i="420"/>
  <c r="L26" i="426"/>
  <c r="E13" i="425" s="1"/>
  <c r="L26" i="420"/>
  <c r="E13" i="419" s="1"/>
  <c r="Q48" i="420"/>
  <c r="AG48" i="420"/>
  <c r="AH38" i="420" s="1"/>
  <c r="AF48" i="420"/>
  <c r="Q63" i="432"/>
  <c r="Q30" i="424"/>
  <c r="R30" i="424"/>
  <c r="AG26" i="426"/>
  <c r="AH16" i="426" s="1"/>
  <c r="R7" i="426"/>
  <c r="Q7" i="426"/>
  <c r="E13" i="2"/>
  <c r="Q29" i="428"/>
  <c r="R29" i="428"/>
  <c r="J3" i="419"/>
  <c r="G2" i="420"/>
  <c r="F6" i="2"/>
  <c r="H6" i="2"/>
  <c r="R7" i="472"/>
  <c r="Q7" i="472"/>
  <c r="Q18" i="474"/>
  <c r="R18" i="474"/>
  <c r="R7" i="468"/>
  <c r="Q7" i="468"/>
  <c r="AF37" i="462"/>
  <c r="Q37" i="462"/>
  <c r="AG37" i="462"/>
  <c r="AH27" i="462" s="1"/>
  <c r="R6" i="468"/>
  <c r="Q6" i="468"/>
  <c r="AF37" i="470"/>
  <c r="Q37" i="470"/>
  <c r="AG37" i="470"/>
  <c r="AH27" i="470" s="1"/>
  <c r="R70" i="462"/>
  <c r="Q70" i="462"/>
  <c r="O79" i="462"/>
  <c r="G2" i="464"/>
  <c r="J3" i="463"/>
  <c r="AG79" i="458"/>
  <c r="AH70" i="458" s="1"/>
  <c r="Q79" i="458"/>
  <c r="AF79" i="458"/>
  <c r="R18" i="458"/>
  <c r="Q18" i="458"/>
  <c r="R9" i="466"/>
  <c r="Q9" i="466"/>
  <c r="E14" i="451"/>
  <c r="E15" i="451" s="1"/>
  <c r="Q26" i="452"/>
  <c r="R26" i="452"/>
  <c r="S16" i="452" s="1"/>
  <c r="AG58" i="460"/>
  <c r="AH49" i="460" s="1"/>
  <c r="Q58" i="460"/>
  <c r="AF58" i="460"/>
  <c r="R28" i="454"/>
  <c r="Q28" i="454"/>
  <c r="Q58" i="454"/>
  <c r="AG58" i="454"/>
  <c r="AH49" i="454" s="1"/>
  <c r="AF58" i="454"/>
  <c r="O48" i="454"/>
  <c r="R38" i="454"/>
  <c r="Q38" i="454"/>
  <c r="G2" i="458"/>
  <c r="J3" i="457"/>
  <c r="Q52" i="454"/>
  <c r="R52" i="454"/>
  <c r="F6" i="447"/>
  <c r="H6" i="447"/>
  <c r="AG26" i="446"/>
  <c r="AH16" i="446" s="1"/>
  <c r="AF26" i="446"/>
  <c r="R6" i="450"/>
  <c r="Q6" i="450"/>
  <c r="R8" i="444"/>
  <c r="Q8" i="444"/>
  <c r="R49" i="446"/>
  <c r="R59" i="444"/>
  <c r="O69" i="444"/>
  <c r="Q59" i="444"/>
  <c r="AG15" i="438"/>
  <c r="AH5" i="438" s="1"/>
  <c r="AF15" i="438"/>
  <c r="R52" i="442"/>
  <c r="Q52" i="442"/>
  <c r="R39" i="436"/>
  <c r="Q39" i="436"/>
  <c r="R19" i="440"/>
  <c r="Q19" i="440"/>
  <c r="G2" i="440"/>
  <c r="J3" i="439"/>
  <c r="R50" i="440"/>
  <c r="Q50" i="440"/>
  <c r="AF37" i="436"/>
  <c r="AG37" i="436"/>
  <c r="AH27" i="436" s="1"/>
  <c r="Q37" i="436"/>
  <c r="Q27" i="430"/>
  <c r="O37" i="430"/>
  <c r="R27" i="430"/>
  <c r="O69" i="428"/>
  <c r="R59" i="428"/>
  <c r="Q59" i="428"/>
  <c r="R60" i="436"/>
  <c r="Q60" i="436"/>
  <c r="O6" i="431"/>
  <c r="N6" i="431"/>
  <c r="L15" i="430"/>
  <c r="D13" i="429" s="1"/>
  <c r="R27" i="428"/>
  <c r="O37" i="428"/>
  <c r="Q27" i="428"/>
  <c r="Q39" i="422"/>
  <c r="R39" i="422"/>
  <c r="R60" i="424"/>
  <c r="Q60" i="424"/>
  <c r="Q48" i="418"/>
  <c r="AG48" i="418"/>
  <c r="AH38" i="418" s="1"/>
  <c r="AF48" i="418"/>
  <c r="AG15" i="424"/>
  <c r="AH5" i="424" s="1"/>
  <c r="AF15" i="424"/>
  <c r="R63" i="432"/>
  <c r="R6" i="426"/>
  <c r="O15" i="426"/>
  <c r="Q6" i="426"/>
  <c r="O37" i="422"/>
  <c r="E2" i="422" s="1"/>
  <c r="R27" i="422"/>
  <c r="Q27" i="422"/>
  <c r="R40" i="3"/>
  <c r="Q40" i="3"/>
  <c r="L26" i="418"/>
  <c r="E13" i="417" s="1"/>
  <c r="H6" i="417" s="1"/>
  <c r="AF26" i="428"/>
  <c r="AG26" i="428"/>
  <c r="AH16" i="428" s="1"/>
  <c r="R31" i="424"/>
  <c r="Q31" i="424"/>
  <c r="O15" i="430"/>
  <c r="R5" i="430"/>
  <c r="Q5" i="430"/>
  <c r="Q30" i="418"/>
  <c r="R30" i="418"/>
  <c r="Q50" i="428"/>
  <c r="R50" i="428"/>
  <c r="Q30" i="474"/>
  <c r="R30" i="474"/>
  <c r="R52" i="464"/>
  <c r="Q52" i="464"/>
  <c r="R19" i="458"/>
  <c r="Q19" i="458"/>
  <c r="AF69" i="454"/>
  <c r="Q69" i="454"/>
  <c r="AG69" i="454"/>
  <c r="AH59" i="454" s="1"/>
  <c r="R52" i="456"/>
  <c r="Q52" i="456"/>
  <c r="Q7" i="450"/>
  <c r="R7" i="450"/>
  <c r="R51" i="474"/>
  <c r="Q51" i="474"/>
  <c r="R40" i="474"/>
  <c r="Q40" i="474"/>
  <c r="G2" i="474"/>
  <c r="J3" i="473"/>
  <c r="Q9" i="458"/>
  <c r="R9" i="458"/>
  <c r="AG48" i="458"/>
  <c r="AH38" i="458" s="1"/>
  <c r="Q48" i="458"/>
  <c r="AF48" i="458"/>
  <c r="Q49" i="460"/>
  <c r="O58" i="460"/>
  <c r="R49" i="460"/>
  <c r="AG26" i="448"/>
  <c r="AH16" i="448" s="1"/>
  <c r="AF26" i="448"/>
  <c r="Q58" i="436"/>
  <c r="AG58" i="436"/>
  <c r="AH49" i="436" s="1"/>
  <c r="AF58" i="436"/>
  <c r="AG15" i="436"/>
  <c r="AH5" i="436" s="1"/>
  <c r="AF15" i="436"/>
  <c r="R30" i="430"/>
  <c r="Q30" i="430"/>
  <c r="R39" i="438"/>
  <c r="Q39" i="438"/>
  <c r="R18" i="434"/>
  <c r="Q18" i="434"/>
  <c r="R51" i="430"/>
  <c r="Q51" i="430"/>
  <c r="AF58" i="420"/>
  <c r="Q58" i="420"/>
  <c r="AG58" i="420"/>
  <c r="AH49" i="420" s="1"/>
  <c r="Q6" i="428"/>
  <c r="R6" i="428"/>
  <c r="R26" i="428"/>
  <c r="S16" i="428" s="1"/>
  <c r="Q26" i="428"/>
  <c r="E14" i="427"/>
  <c r="E15" i="427" s="1"/>
  <c r="R7" i="428"/>
  <c r="Q7" i="428"/>
  <c r="R50" i="430"/>
  <c r="Q50" i="430"/>
  <c r="Q28" i="420"/>
  <c r="R28" i="420"/>
  <c r="F14" i="423"/>
  <c r="F15" i="423" s="1"/>
  <c r="R37" i="424"/>
  <c r="S27" i="424" s="1"/>
  <c r="I14" i="417"/>
  <c r="R69" i="418"/>
  <c r="S59" i="418" s="1"/>
  <c r="R50" i="3"/>
  <c r="Q50" i="3"/>
  <c r="R70" i="466"/>
  <c r="Q70" i="466"/>
  <c r="O79" i="466"/>
  <c r="R79" i="468"/>
  <c r="S70" i="468" s="1"/>
  <c r="J15" i="467" s="1"/>
  <c r="J14" i="467"/>
  <c r="Q50" i="468"/>
  <c r="R50" i="468"/>
  <c r="H6" i="463"/>
  <c r="F6" i="463"/>
  <c r="O58" i="462"/>
  <c r="R49" i="462"/>
  <c r="Q49" i="462"/>
  <c r="AF58" i="464"/>
  <c r="AG58" i="464"/>
  <c r="AH49" i="464" s="1"/>
  <c r="Q58" i="464"/>
  <c r="R51" i="462"/>
  <c r="Q51" i="462"/>
  <c r="O58" i="456"/>
  <c r="Q59" i="452"/>
  <c r="R38" i="458"/>
  <c r="Q38" i="458"/>
  <c r="O48" i="458"/>
  <c r="Q70" i="444"/>
  <c r="O79" i="444"/>
  <c r="R70" i="444"/>
  <c r="O48" i="452"/>
  <c r="R60" i="448"/>
  <c r="Q60" i="448"/>
  <c r="R6" i="442"/>
  <c r="Q6" i="442"/>
  <c r="R30" i="446"/>
  <c r="Q30" i="446"/>
  <c r="R50" i="442"/>
  <c r="Q50" i="442"/>
  <c r="J3" i="449"/>
  <c r="G2" i="450"/>
  <c r="R39" i="442"/>
  <c r="Q39" i="442"/>
  <c r="Q18" i="438"/>
  <c r="R18" i="438"/>
  <c r="N6" i="439"/>
  <c r="O6" i="439"/>
  <c r="R62" i="436"/>
  <c r="Q62" i="436"/>
  <c r="R59" i="436"/>
  <c r="O69" i="436"/>
  <c r="Q58" i="434"/>
  <c r="AG58" i="434"/>
  <c r="AH49" i="434" s="1"/>
  <c r="AF58" i="434"/>
  <c r="O26" i="436"/>
  <c r="G2" i="436"/>
  <c r="J3" i="435"/>
  <c r="R62" i="434"/>
  <c r="Q62" i="434"/>
  <c r="G2" i="432"/>
  <c r="J3" i="431"/>
  <c r="Q39" i="430"/>
  <c r="R8" i="430"/>
  <c r="AF26" i="424"/>
  <c r="R18" i="418"/>
  <c r="R58" i="418"/>
  <c r="S49" i="418" s="1"/>
  <c r="H14" i="417"/>
  <c r="H15" i="417" s="1"/>
  <c r="AF15" i="418"/>
  <c r="AG15" i="418"/>
  <c r="AH5" i="418" s="1"/>
  <c r="Q6" i="424"/>
  <c r="R6" i="424"/>
  <c r="O15" i="424"/>
  <c r="Q61" i="428"/>
  <c r="R61" i="428"/>
  <c r="R60" i="420"/>
  <c r="Q60" i="420"/>
  <c r="Q7" i="418"/>
  <c r="R7" i="418"/>
  <c r="R61" i="3"/>
  <c r="Q61" i="3"/>
  <c r="R38" i="418"/>
  <c r="Q38" i="418"/>
  <c r="O48" i="418"/>
  <c r="AG15" i="430"/>
  <c r="AH5" i="430" s="1"/>
  <c r="AF15" i="430"/>
  <c r="Q38" i="422"/>
  <c r="Q18" i="424"/>
  <c r="R27" i="418"/>
  <c r="Q27" i="418"/>
  <c r="O37" i="418"/>
  <c r="O58" i="464"/>
  <c r="R49" i="464"/>
  <c r="Q49" i="464"/>
  <c r="Q49" i="452"/>
  <c r="O58" i="452"/>
  <c r="R49" i="452"/>
  <c r="H6" i="441"/>
  <c r="R5" i="446"/>
  <c r="Q5" i="446"/>
  <c r="O15" i="446"/>
  <c r="Q39" i="426"/>
  <c r="R39" i="426"/>
  <c r="R29" i="418"/>
  <c r="Q29" i="418"/>
  <c r="R61" i="432"/>
  <c r="Q61" i="432"/>
  <c r="AG15" i="426"/>
  <c r="AH5" i="426" s="1"/>
  <c r="AF15" i="426"/>
  <c r="AG48" i="424"/>
  <c r="AH38" i="424" s="1"/>
  <c r="AF48" i="424"/>
  <c r="Q48" i="424"/>
  <c r="R17" i="428"/>
  <c r="Q17" i="428"/>
  <c r="AF37" i="418"/>
  <c r="AG37" i="418"/>
  <c r="AH27" i="418" s="1"/>
  <c r="Q37" i="418"/>
  <c r="R9" i="474"/>
  <c r="Q9" i="474"/>
  <c r="H6" i="473"/>
  <c r="O69" i="466"/>
  <c r="R59" i="466"/>
  <c r="Q59" i="466"/>
  <c r="O26" i="468"/>
  <c r="Q18" i="470"/>
  <c r="R18" i="470"/>
  <c r="R7" i="474"/>
  <c r="Q7" i="474"/>
  <c r="AG15" i="462"/>
  <c r="AH5" i="462" s="1"/>
  <c r="AF15" i="462"/>
  <c r="O69" i="460"/>
  <c r="O69" i="464"/>
  <c r="Q7" i="458"/>
  <c r="R7" i="458"/>
  <c r="Q16" i="466"/>
  <c r="R16" i="466"/>
  <c r="O26" i="466"/>
  <c r="AF15" i="458"/>
  <c r="AG15" i="458"/>
  <c r="AH5" i="458" s="1"/>
  <c r="R17" i="460"/>
  <c r="Q17" i="460"/>
  <c r="R16" i="452"/>
  <c r="G2" i="456"/>
  <c r="J3" i="455"/>
  <c r="AF15" i="452"/>
  <c r="AG15" i="452"/>
  <c r="AH5" i="452" s="1"/>
  <c r="R62" i="450"/>
  <c r="Q62" i="450"/>
  <c r="O58" i="450"/>
  <c r="Q79" i="468"/>
  <c r="AG79" i="468"/>
  <c r="AH70" i="468" s="1"/>
  <c r="AF79" i="468"/>
  <c r="AG26" i="470"/>
  <c r="AH16" i="470" s="1"/>
  <c r="AF26" i="470"/>
  <c r="AG37" i="468"/>
  <c r="AH27" i="468" s="1"/>
  <c r="AF37" i="468"/>
  <c r="Q37" i="468"/>
  <c r="R51" i="468"/>
  <c r="Q51" i="468"/>
  <c r="Q28" i="468"/>
  <c r="R5" i="468"/>
  <c r="O15" i="468"/>
  <c r="Q5" i="468"/>
  <c r="L69" i="464"/>
  <c r="I13" i="463" s="1"/>
  <c r="J6" i="463" s="1"/>
  <c r="R59" i="464"/>
  <c r="R62" i="472"/>
  <c r="Q62" i="472"/>
  <c r="R5" i="462"/>
  <c r="O15" i="462"/>
  <c r="Q5" i="462"/>
  <c r="R61" i="464"/>
  <c r="Q61" i="464"/>
  <c r="Q9" i="464"/>
  <c r="R9" i="464"/>
  <c r="R60" i="458"/>
  <c r="Q60" i="458"/>
  <c r="R40" i="462"/>
  <c r="Q40" i="462"/>
  <c r="R8" i="460"/>
  <c r="Q8" i="460"/>
  <c r="O26" i="462"/>
  <c r="Q16" i="462"/>
  <c r="R16" i="462"/>
  <c r="R50" i="456"/>
  <c r="Q50" i="456"/>
  <c r="AG26" i="464"/>
  <c r="AH16" i="464" s="1"/>
  <c r="AF26" i="464"/>
  <c r="R50" i="452"/>
  <c r="Q50" i="452"/>
  <c r="AF37" i="460"/>
  <c r="Q37" i="460"/>
  <c r="AG37" i="460"/>
  <c r="AH27" i="460" s="1"/>
  <c r="O37" i="454"/>
  <c r="Q27" i="454"/>
  <c r="R27" i="454"/>
  <c r="Q5" i="458"/>
  <c r="O15" i="458"/>
  <c r="R5" i="458"/>
  <c r="AG26" i="456"/>
  <c r="AH16" i="456" s="1"/>
  <c r="AF26" i="456"/>
  <c r="Q48" i="452"/>
  <c r="AG48" i="452"/>
  <c r="AH38" i="452" s="1"/>
  <c r="AF48" i="452"/>
  <c r="AG79" i="450"/>
  <c r="AH70" i="450" s="1"/>
  <c r="Q79" i="450"/>
  <c r="AF79" i="450"/>
  <c r="Q48" i="456"/>
  <c r="AG48" i="456"/>
  <c r="AH38" i="456" s="1"/>
  <c r="AF48" i="456"/>
  <c r="AG37" i="456"/>
  <c r="AH27" i="456" s="1"/>
  <c r="AF37" i="456"/>
  <c r="Q37" i="456"/>
  <c r="Q39" i="450"/>
  <c r="R39" i="450"/>
  <c r="R39" i="456"/>
  <c r="Q39" i="456"/>
  <c r="AG48" i="454"/>
  <c r="AH38" i="454" s="1"/>
  <c r="AF48" i="454"/>
  <c r="Q48" i="454"/>
  <c r="R31" i="448"/>
  <c r="Q31" i="448"/>
  <c r="R30" i="448"/>
  <c r="Q30" i="448"/>
  <c r="L15" i="450"/>
  <c r="D13" i="449" s="1"/>
  <c r="R79" i="446"/>
  <c r="S70" i="446" s="1"/>
  <c r="J15" i="445" s="1"/>
  <c r="J14" i="445"/>
  <c r="R17" i="448"/>
  <c r="Q17" i="448"/>
  <c r="Q18" i="446"/>
  <c r="R18" i="446"/>
  <c r="R62" i="444"/>
  <c r="Q62" i="444"/>
  <c r="R7" i="444"/>
  <c r="Q7" i="444"/>
  <c r="R29" i="448"/>
  <c r="Q29" i="448"/>
  <c r="G2" i="442"/>
  <c r="J3" i="441"/>
  <c r="R17" i="438"/>
  <c r="Q17" i="438"/>
  <c r="R40" i="434"/>
  <c r="AG48" i="440"/>
  <c r="AH38" i="440" s="1"/>
  <c r="AF48" i="440"/>
  <c r="Q48" i="440"/>
  <c r="R38" i="436"/>
  <c r="AF37" i="446"/>
  <c r="Q37" i="446"/>
  <c r="AG37" i="446"/>
  <c r="AH27" i="446" s="1"/>
  <c r="O69" i="438"/>
  <c r="Q59" i="438"/>
  <c r="R59" i="438"/>
  <c r="O48" i="436"/>
  <c r="Q58" i="438"/>
  <c r="AG58" i="438"/>
  <c r="AH49" i="438" s="1"/>
  <c r="AF58" i="438"/>
  <c r="R28" i="436"/>
  <c r="Q28" i="436"/>
  <c r="Q59" i="436"/>
  <c r="O58" i="432"/>
  <c r="Q49" i="432"/>
  <c r="R49" i="432"/>
  <c r="N6" i="429"/>
  <c r="O6" i="429"/>
  <c r="R39" i="432"/>
  <c r="Q39" i="432"/>
  <c r="AF69" i="432"/>
  <c r="AG69" i="432"/>
  <c r="AH59" i="432" s="1"/>
  <c r="Q69" i="432"/>
  <c r="AF69" i="418"/>
  <c r="Q69" i="418"/>
  <c r="AG69" i="418"/>
  <c r="AH59" i="418" s="1"/>
  <c r="R39" i="420"/>
  <c r="Q39" i="420"/>
  <c r="L48" i="430"/>
  <c r="G13" i="429" s="1"/>
  <c r="AF37" i="420"/>
  <c r="Q61" i="424"/>
  <c r="R61" i="424"/>
  <c r="R62" i="420"/>
  <c r="Q62" i="420"/>
  <c r="I13" i="2"/>
  <c r="J6" i="2" s="1"/>
  <c r="O69" i="430"/>
  <c r="R59" i="3"/>
  <c r="Q59" i="3"/>
  <c r="O69" i="3"/>
  <c r="J3" i="421"/>
  <c r="G2" i="422"/>
  <c r="O69" i="424"/>
  <c r="AF26" i="3"/>
  <c r="AG26" i="3"/>
  <c r="AH16" i="3" s="1"/>
  <c r="R38" i="422"/>
  <c r="R18" i="428"/>
  <c r="Q18" i="428"/>
  <c r="F6" i="473"/>
  <c r="AF69" i="450"/>
  <c r="Q69" i="450"/>
  <c r="AG69" i="450"/>
  <c r="AH59" i="450" s="1"/>
  <c r="R52" i="474"/>
  <c r="Q52" i="474"/>
  <c r="G2" i="472"/>
  <c r="J3" i="471"/>
  <c r="N6" i="469"/>
  <c r="O6" i="469"/>
  <c r="AG58" i="466"/>
  <c r="AH49" i="466" s="1"/>
  <c r="Q58" i="466"/>
  <c r="AF58" i="466"/>
  <c r="R60" i="432"/>
  <c r="Q60" i="432"/>
  <c r="Q17" i="442"/>
  <c r="R17" i="442"/>
  <c r="Q5" i="440"/>
  <c r="R5" i="440"/>
  <c r="O15" i="440"/>
  <c r="R40" i="472"/>
  <c r="Q40" i="472"/>
  <c r="AF26" i="474"/>
  <c r="AG26" i="474"/>
  <c r="AH16" i="474" s="1"/>
  <c r="R17" i="470"/>
  <c r="Q17" i="470"/>
  <c r="AG15" i="468"/>
  <c r="AH5" i="468" s="1"/>
  <c r="AF15" i="468"/>
  <c r="R29" i="470"/>
  <c r="Q29" i="470"/>
  <c r="O15" i="470"/>
  <c r="R5" i="470"/>
  <c r="Q5" i="470"/>
  <c r="R6" i="466"/>
  <c r="Q6" i="466"/>
  <c r="R49" i="466"/>
  <c r="Q49" i="466"/>
  <c r="O58" i="466"/>
  <c r="AG26" i="462"/>
  <c r="AH16" i="462" s="1"/>
  <c r="AF26" i="462"/>
  <c r="O37" i="460"/>
  <c r="Q27" i="460"/>
  <c r="R27" i="460"/>
  <c r="R18" i="456"/>
  <c r="Q18" i="456"/>
  <c r="O26" i="456"/>
  <c r="E2" i="456" s="1"/>
  <c r="Q48" i="446"/>
  <c r="AG48" i="446"/>
  <c r="AH38" i="446" s="1"/>
  <c r="AF48" i="446"/>
  <c r="R18" i="448"/>
  <c r="Q18" i="448"/>
  <c r="R61" i="450"/>
  <c r="Q61" i="450"/>
  <c r="R52" i="444"/>
  <c r="Q52" i="444"/>
  <c r="O58" i="438"/>
  <c r="R49" i="438"/>
  <c r="Q49" i="438"/>
  <c r="Q58" i="432"/>
  <c r="AG58" i="432"/>
  <c r="AH49" i="432" s="1"/>
  <c r="AF58" i="432"/>
  <c r="F6" i="435"/>
  <c r="H6" i="435"/>
  <c r="AF26" i="432"/>
  <c r="AG26" i="432"/>
  <c r="AH16" i="432" s="1"/>
  <c r="O58" i="430"/>
  <c r="R28" i="424"/>
  <c r="Q28" i="424"/>
  <c r="R19" i="432"/>
  <c r="Q19" i="432"/>
  <c r="R58" i="426"/>
  <c r="S49" i="426" s="1"/>
  <c r="H14" i="425"/>
  <c r="H6" i="431"/>
  <c r="F6" i="431"/>
  <c r="H6" i="427"/>
  <c r="F6" i="427"/>
  <c r="R19" i="422"/>
  <c r="Q19" i="422"/>
  <c r="G2" i="434"/>
  <c r="J3" i="433"/>
  <c r="R58" i="420"/>
  <c r="S49" i="420" s="1"/>
  <c r="H14" i="419"/>
  <c r="H15" i="419" s="1"/>
  <c r="O26" i="430"/>
  <c r="R16" i="430"/>
  <c r="Q16" i="430"/>
  <c r="R28" i="426"/>
  <c r="Q28" i="426"/>
  <c r="L58" i="426"/>
  <c r="H13" i="425" s="1"/>
  <c r="R50" i="422"/>
  <c r="Q50" i="422"/>
  <c r="AG79" i="3"/>
  <c r="AH70" i="3" s="1"/>
  <c r="AF79" i="3"/>
  <c r="Q79" i="3"/>
  <c r="L15" i="424"/>
  <c r="D13" i="423" s="1"/>
  <c r="L37" i="418"/>
  <c r="F13" i="417" s="1"/>
  <c r="Q61" i="418"/>
  <c r="R61" i="418"/>
  <c r="G13" i="2"/>
  <c r="R39" i="424"/>
  <c r="Q39" i="424"/>
  <c r="R50" i="420"/>
  <c r="Q50" i="420"/>
  <c r="R40" i="418"/>
  <c r="Q40" i="418"/>
  <c r="Q17" i="418"/>
  <c r="O48" i="422"/>
  <c r="R5" i="428"/>
  <c r="AF58" i="3"/>
  <c r="Q58" i="3"/>
  <c r="AG58" i="3"/>
  <c r="AH49" i="3" s="1"/>
  <c r="R9" i="472"/>
  <c r="Q9" i="472"/>
  <c r="Q48" i="470"/>
  <c r="AF48" i="470"/>
  <c r="AG48" i="470"/>
  <c r="AH38" i="470" s="1"/>
  <c r="R29" i="464"/>
  <c r="Q29" i="464"/>
  <c r="Q16" i="460"/>
  <c r="R16" i="460"/>
  <c r="O26" i="460"/>
  <c r="R41" i="458"/>
  <c r="Q41" i="458"/>
  <c r="AG26" i="438"/>
  <c r="AH16" i="438" s="1"/>
  <c r="AF26" i="438"/>
  <c r="AG15" i="434"/>
  <c r="AH5" i="434" s="1"/>
  <c r="AF15" i="434"/>
  <c r="R48" i="440"/>
  <c r="S38" i="440" s="1"/>
  <c r="G14" i="439"/>
  <c r="G15" i="439" s="1"/>
  <c r="R7" i="438"/>
  <c r="Q7" i="438"/>
  <c r="R6" i="474"/>
  <c r="Q6" i="474"/>
  <c r="AF48" i="472"/>
  <c r="AG48" i="472"/>
  <c r="AH38" i="472" s="1"/>
  <c r="Q48" i="472"/>
  <c r="R27" i="468"/>
  <c r="O37" i="468"/>
  <c r="Q27" i="468"/>
  <c r="R8" i="472"/>
  <c r="Q8" i="472"/>
  <c r="H6" i="455"/>
  <c r="F6" i="455"/>
  <c r="R16" i="464"/>
  <c r="Q16" i="464"/>
  <c r="O26" i="464"/>
  <c r="F6" i="457"/>
  <c r="H6" i="457"/>
  <c r="R5" i="454"/>
  <c r="Q5" i="454"/>
  <c r="O15" i="454"/>
  <c r="R41" i="444"/>
  <c r="Q41" i="444"/>
  <c r="R50" i="438"/>
  <c r="Q50" i="438"/>
  <c r="O37" i="440"/>
  <c r="R27" i="440"/>
  <c r="Q27" i="440"/>
  <c r="R41" i="442"/>
  <c r="Q41" i="442"/>
  <c r="R18" i="472"/>
  <c r="Q18" i="472"/>
  <c r="O15" i="474"/>
  <c r="R52" i="468"/>
  <c r="Q52" i="468"/>
  <c r="Q40" i="468"/>
  <c r="R40" i="468"/>
  <c r="R30" i="472"/>
  <c r="Q30" i="472"/>
  <c r="Q50" i="466"/>
  <c r="R50" i="466"/>
  <c r="Q62" i="462"/>
  <c r="R62" i="462"/>
  <c r="AG15" i="470"/>
  <c r="AH5" i="470" s="1"/>
  <c r="AF15" i="470"/>
  <c r="G2" i="466"/>
  <c r="J3" i="465"/>
  <c r="Q38" i="460"/>
  <c r="R28" i="464"/>
  <c r="Q28" i="464"/>
  <c r="O58" i="458"/>
  <c r="Q70" i="460"/>
  <c r="O79" i="460"/>
  <c r="R70" i="460"/>
  <c r="AG48" i="464"/>
  <c r="AH38" i="464" s="1"/>
  <c r="AF48" i="464"/>
  <c r="Q48" i="464"/>
  <c r="Q40" i="456"/>
  <c r="R40" i="456"/>
  <c r="R60" i="452"/>
  <c r="Q60" i="452"/>
  <c r="AG26" i="466"/>
  <c r="AH16" i="466" s="1"/>
  <c r="AF26" i="466"/>
  <c r="R62" i="456"/>
  <c r="Q62" i="456"/>
  <c r="Q16" i="454"/>
  <c r="O37" i="456"/>
  <c r="R6" i="454"/>
  <c r="Q6" i="454"/>
  <c r="Q69" i="448"/>
  <c r="AG69" i="448"/>
  <c r="AH59" i="448" s="1"/>
  <c r="AF69" i="448"/>
  <c r="R62" i="446"/>
  <c r="Q62" i="446"/>
  <c r="Q69" i="446"/>
  <c r="AG69" i="446"/>
  <c r="AH59" i="446" s="1"/>
  <c r="AF69" i="446"/>
  <c r="R60" i="442"/>
  <c r="Q60" i="442"/>
  <c r="R6" i="444"/>
  <c r="Q6" i="444"/>
  <c r="AF26" i="440"/>
  <c r="AG26" i="440"/>
  <c r="AH16" i="440" s="1"/>
  <c r="AF48" i="442"/>
  <c r="Q48" i="442"/>
  <c r="AG48" i="442"/>
  <c r="AH38" i="442" s="1"/>
  <c r="AG69" i="444"/>
  <c r="AH59" i="444" s="1"/>
  <c r="Q69" i="444"/>
  <c r="AF69" i="444"/>
  <c r="R59" i="442"/>
  <c r="O69" i="442"/>
  <c r="Q59" i="442"/>
  <c r="Q28" i="442"/>
  <c r="R28" i="442"/>
  <c r="R17" i="450"/>
  <c r="Q17" i="450"/>
  <c r="R16" i="438"/>
  <c r="Q16" i="438"/>
  <c r="O26" i="438"/>
  <c r="Q37" i="440"/>
  <c r="AG37" i="440"/>
  <c r="AH27" i="440" s="1"/>
  <c r="AF37" i="440"/>
  <c r="L69" i="438"/>
  <c r="I13" i="437" s="1"/>
  <c r="J6" i="437" s="1"/>
  <c r="R19" i="436"/>
  <c r="Q19" i="436"/>
  <c r="R6" i="436"/>
  <c r="Q6" i="436"/>
  <c r="Q50" i="434"/>
  <c r="R50" i="434"/>
  <c r="O26" i="432"/>
  <c r="R16" i="432"/>
  <c r="Q16" i="432"/>
  <c r="Q58" i="418"/>
  <c r="AG58" i="418"/>
  <c r="AH49" i="418" s="1"/>
  <c r="AF58" i="418"/>
  <c r="R62" i="422"/>
  <c r="Q62" i="422"/>
  <c r="AG26" i="430"/>
  <c r="AH16" i="430" s="1"/>
  <c r="AF26" i="430"/>
  <c r="Q16" i="426"/>
  <c r="O37" i="420"/>
  <c r="R27" i="420"/>
  <c r="Q27" i="420"/>
  <c r="L6" i="2"/>
  <c r="O79" i="3"/>
  <c r="R70" i="3"/>
  <c r="Q70" i="3"/>
  <c r="Q69" i="3"/>
  <c r="AG69" i="3"/>
  <c r="AH59" i="3" s="1"/>
  <c r="AF69" i="3"/>
  <c r="AF58" i="428"/>
  <c r="AG58" i="428"/>
  <c r="AH49" i="428" s="1"/>
  <c r="Q58" i="428"/>
  <c r="J3" i="423"/>
  <c r="G2" i="424"/>
  <c r="O48" i="3"/>
  <c r="O37" i="426"/>
  <c r="R27" i="426"/>
  <c r="Q27" i="426"/>
  <c r="AF37" i="3"/>
  <c r="Q37" i="3"/>
  <c r="AG37" i="3"/>
  <c r="AH27" i="3" s="1"/>
  <c r="R30" i="426"/>
  <c r="Q30" i="426"/>
  <c r="R61" i="426"/>
  <c r="Q61" i="426"/>
  <c r="Q5" i="428"/>
  <c r="R49" i="3"/>
  <c r="O58" i="3"/>
  <c r="Q49" i="3"/>
  <c r="Q26" i="476" l="1"/>
  <c r="R26" i="476"/>
  <c r="S16" i="476" s="1"/>
  <c r="R15" i="476"/>
  <c r="S5" i="476" s="1"/>
  <c r="E2" i="476"/>
  <c r="Q15" i="476"/>
  <c r="H14" i="475"/>
  <c r="H15" i="475" s="1"/>
  <c r="F14" i="475"/>
  <c r="F15" i="475" s="1"/>
  <c r="D14" i="475"/>
  <c r="I14" i="475"/>
  <c r="G14" i="475"/>
  <c r="G15" i="475" s="1"/>
  <c r="G14" i="421"/>
  <c r="G15" i="421" s="1"/>
  <c r="R48" i="422"/>
  <c r="S38" i="422" s="1"/>
  <c r="Q26" i="438"/>
  <c r="R26" i="438"/>
  <c r="S16" i="438" s="1"/>
  <c r="E14" i="437"/>
  <c r="E15" i="437" s="1"/>
  <c r="Q15" i="446"/>
  <c r="R15" i="446"/>
  <c r="S5" i="446" s="1"/>
  <c r="D14" i="445"/>
  <c r="E2" i="446"/>
  <c r="R37" i="428"/>
  <c r="S27" i="428" s="1"/>
  <c r="F14" i="427"/>
  <c r="F15" i="427" s="1"/>
  <c r="E14" i="431"/>
  <c r="E15" i="431" s="1"/>
  <c r="R26" i="432"/>
  <c r="S16" i="432" s="1"/>
  <c r="Q26" i="432"/>
  <c r="I14" i="465"/>
  <c r="R69" i="466"/>
  <c r="S59" i="466" s="1"/>
  <c r="I14" i="435"/>
  <c r="R69" i="436"/>
  <c r="S59" i="436" s="1"/>
  <c r="G14" i="457"/>
  <c r="G15" i="457" s="1"/>
  <c r="R48" i="458"/>
  <c r="S38" i="458" s="1"/>
  <c r="H14" i="461"/>
  <c r="H15" i="461" s="1"/>
  <c r="R58" i="462"/>
  <c r="S49" i="462" s="1"/>
  <c r="D15" i="455"/>
  <c r="R37" i="470"/>
  <c r="S27" i="470" s="1"/>
  <c r="F14" i="469"/>
  <c r="F15" i="469" s="1"/>
  <c r="R48" i="426"/>
  <c r="S38" i="426" s="1"/>
  <c r="G14" i="425"/>
  <c r="G15" i="425" s="1"/>
  <c r="F14" i="437"/>
  <c r="F15" i="437" s="1"/>
  <c r="R37" i="438"/>
  <c r="S27" i="438" s="1"/>
  <c r="F6" i="419"/>
  <c r="H6" i="419"/>
  <c r="I14" i="447"/>
  <c r="R69" i="448"/>
  <c r="S59" i="448" s="1"/>
  <c r="R69" i="472"/>
  <c r="S59" i="472" s="1"/>
  <c r="I14" i="471"/>
  <c r="H6" i="465"/>
  <c r="D14" i="2"/>
  <c r="E2" i="3"/>
  <c r="Q15" i="3"/>
  <c r="R15" i="3"/>
  <c r="S5" i="3" s="1"/>
  <c r="H6" i="443"/>
  <c r="F6" i="443"/>
  <c r="R15" i="438"/>
  <c r="S5" i="438" s="1"/>
  <c r="F14" i="467"/>
  <c r="F15" i="467" s="1"/>
  <c r="R37" i="468"/>
  <c r="S27" i="468" s="1"/>
  <c r="I14" i="463"/>
  <c r="R69" i="464"/>
  <c r="S59" i="464" s="1"/>
  <c r="R26" i="446"/>
  <c r="S16" i="446" s="1"/>
  <c r="E14" i="445"/>
  <c r="E15" i="445" s="1"/>
  <c r="Q26" i="446"/>
  <c r="E14" i="417"/>
  <c r="E15" i="417" s="1"/>
  <c r="R26" i="418"/>
  <c r="S16" i="418" s="1"/>
  <c r="Q26" i="418"/>
  <c r="D15" i="433"/>
  <c r="J14" i="457"/>
  <c r="R79" i="458"/>
  <c r="S70" i="458" s="1"/>
  <c r="J15" i="457" s="1"/>
  <c r="E14" i="2"/>
  <c r="E15" i="2" s="1"/>
  <c r="R26" i="3"/>
  <c r="S16" i="3" s="1"/>
  <c r="Q26" i="3"/>
  <c r="Q15" i="442"/>
  <c r="D14" i="441"/>
  <c r="R15" i="442"/>
  <c r="S5" i="442" s="1"/>
  <c r="E2" i="442"/>
  <c r="I14" i="469"/>
  <c r="R69" i="470"/>
  <c r="S59" i="470" s="1"/>
  <c r="R58" i="428"/>
  <c r="S49" i="428" s="1"/>
  <c r="H14" i="427"/>
  <c r="H15" i="427" s="1"/>
  <c r="R15" i="420"/>
  <c r="S5" i="420" s="1"/>
  <c r="D14" i="419"/>
  <c r="Q15" i="420"/>
  <c r="E2" i="420"/>
  <c r="E2" i="438"/>
  <c r="Q15" i="458"/>
  <c r="E2" i="458"/>
  <c r="R15" i="458"/>
  <c r="S5" i="458" s="1"/>
  <c r="D14" i="457"/>
  <c r="E2" i="448"/>
  <c r="D14" i="447"/>
  <c r="R15" i="448"/>
  <c r="S5" i="448" s="1"/>
  <c r="Q15" i="448"/>
  <c r="F14" i="419"/>
  <c r="F15" i="419" s="1"/>
  <c r="R37" i="420"/>
  <c r="S27" i="420" s="1"/>
  <c r="R58" i="438"/>
  <c r="S49" i="438" s="1"/>
  <c r="H14" i="437"/>
  <c r="H15" i="437" s="1"/>
  <c r="J7" i="417"/>
  <c r="J8" i="417" s="1"/>
  <c r="I15" i="417"/>
  <c r="F6" i="429"/>
  <c r="H6" i="429"/>
  <c r="D14" i="469"/>
  <c r="E2" i="470"/>
  <c r="R15" i="470"/>
  <c r="S5" i="470" s="1"/>
  <c r="Q15" i="470"/>
  <c r="Q15" i="440"/>
  <c r="E2" i="440"/>
  <c r="R15" i="440"/>
  <c r="S5" i="440" s="1"/>
  <c r="D14" i="439"/>
  <c r="F14" i="453"/>
  <c r="F15" i="453" s="1"/>
  <c r="R37" i="454"/>
  <c r="S27" i="454" s="1"/>
  <c r="E14" i="461"/>
  <c r="E15" i="461" s="1"/>
  <c r="R26" i="462"/>
  <c r="S16" i="462" s="1"/>
  <c r="Q26" i="462"/>
  <c r="D14" i="461"/>
  <c r="R15" i="462"/>
  <c r="S5" i="462" s="1"/>
  <c r="E2" i="462"/>
  <c r="Q15" i="462"/>
  <c r="R69" i="460"/>
  <c r="S59" i="460" s="1"/>
  <c r="I14" i="459"/>
  <c r="E14" i="439"/>
  <c r="E15" i="439" s="1"/>
  <c r="R26" i="440"/>
  <c r="S16" i="440" s="1"/>
  <c r="Q26" i="440"/>
  <c r="E2" i="452"/>
  <c r="D14" i="451"/>
  <c r="R15" i="452"/>
  <c r="S5" i="452" s="1"/>
  <c r="Q15" i="452"/>
  <c r="D14" i="417"/>
  <c r="R15" i="418"/>
  <c r="S5" i="418" s="1"/>
  <c r="Q15" i="418"/>
  <c r="E2" i="418"/>
  <c r="R69" i="458"/>
  <c r="S59" i="458" s="1"/>
  <c r="I14" i="457"/>
  <c r="R26" i="474"/>
  <c r="S16" i="474" s="1"/>
  <c r="Q26" i="474"/>
  <c r="E14" i="473"/>
  <c r="E15" i="473" s="1"/>
  <c r="F14" i="449"/>
  <c r="F15" i="449" s="1"/>
  <c r="R37" i="450"/>
  <c r="S27" i="450" s="1"/>
  <c r="R69" i="474"/>
  <c r="S59" i="474" s="1"/>
  <c r="I14" i="473"/>
  <c r="J7" i="439"/>
  <c r="J8" i="439" s="1"/>
  <c r="I15" i="439"/>
  <c r="E2" i="428"/>
  <c r="Q15" i="438"/>
  <c r="Q15" i="472"/>
  <c r="E2" i="472"/>
  <c r="D14" i="471"/>
  <c r="R15" i="472"/>
  <c r="S5" i="472" s="1"/>
  <c r="R69" i="424"/>
  <c r="S59" i="424" s="1"/>
  <c r="I14" i="423"/>
  <c r="R15" i="424"/>
  <c r="S5" i="424" s="1"/>
  <c r="D14" i="423"/>
  <c r="Q15" i="424"/>
  <c r="E2" i="424"/>
  <c r="I14" i="449"/>
  <c r="R69" i="450"/>
  <c r="S59" i="450" s="1"/>
  <c r="H14" i="423"/>
  <c r="H15" i="423" s="1"/>
  <c r="R58" i="424"/>
  <c r="S49" i="424" s="1"/>
  <c r="R48" i="456"/>
  <c r="S38" i="456" s="1"/>
  <c r="G14" i="455"/>
  <c r="G15" i="455" s="1"/>
  <c r="R48" i="466"/>
  <c r="S38" i="466" s="1"/>
  <c r="G14" i="465"/>
  <c r="G15" i="465" s="1"/>
  <c r="R69" i="440"/>
  <c r="S59" i="440" s="1"/>
  <c r="D15" i="437"/>
  <c r="R58" i="458"/>
  <c r="S49" i="458" s="1"/>
  <c r="H14" i="457"/>
  <c r="H15" i="457" s="1"/>
  <c r="E2" i="454"/>
  <c r="D14" i="453"/>
  <c r="R15" i="454"/>
  <c r="S5" i="454" s="1"/>
  <c r="Q15" i="454"/>
  <c r="H14" i="429"/>
  <c r="H15" i="429" s="1"/>
  <c r="R58" i="430"/>
  <c r="S49" i="430" s="1"/>
  <c r="G14" i="435"/>
  <c r="G15" i="435" s="1"/>
  <c r="R48" i="436"/>
  <c r="S38" i="436" s="1"/>
  <c r="R26" i="464"/>
  <c r="S16" i="464" s="1"/>
  <c r="Q26" i="464"/>
  <c r="E14" i="463"/>
  <c r="E15" i="463" s="1"/>
  <c r="F14" i="459"/>
  <c r="F15" i="459" s="1"/>
  <c r="R37" i="460"/>
  <c r="S27" i="460" s="1"/>
  <c r="H14" i="451"/>
  <c r="H15" i="451" s="1"/>
  <c r="R58" i="452"/>
  <c r="S49" i="452" s="1"/>
  <c r="G14" i="417"/>
  <c r="G15" i="417" s="1"/>
  <c r="R48" i="418"/>
  <c r="S38" i="418" s="1"/>
  <c r="H14" i="455"/>
  <c r="H15" i="455" s="1"/>
  <c r="R58" i="456"/>
  <c r="S49" i="456" s="1"/>
  <c r="R69" i="444"/>
  <c r="S59" i="444" s="1"/>
  <c r="I14" i="443"/>
  <c r="H14" i="441"/>
  <c r="H15" i="441" s="1"/>
  <c r="R58" i="442"/>
  <c r="S49" i="442" s="1"/>
  <c r="E14" i="419"/>
  <c r="E15" i="419" s="1"/>
  <c r="R26" i="420"/>
  <c r="S16" i="420" s="1"/>
  <c r="Q26" i="420"/>
  <c r="R48" i="444"/>
  <c r="S38" i="444" s="1"/>
  <c r="G14" i="443"/>
  <c r="G15" i="443" s="1"/>
  <c r="F6" i="433"/>
  <c r="H6" i="433"/>
  <c r="R26" i="472"/>
  <c r="S16" i="472" s="1"/>
  <c r="Q26" i="472"/>
  <c r="E14" i="471"/>
  <c r="E15" i="471" s="1"/>
  <c r="D15" i="427"/>
  <c r="E2" i="474"/>
  <c r="R15" i="474"/>
  <c r="S5" i="474" s="1"/>
  <c r="Q15" i="474"/>
  <c r="D14" i="473"/>
  <c r="F6" i="425"/>
  <c r="H6" i="425"/>
  <c r="R15" i="432"/>
  <c r="S5" i="432" s="1"/>
  <c r="Q15" i="432"/>
  <c r="D14" i="431"/>
  <c r="E2" i="432"/>
  <c r="F14" i="443"/>
  <c r="F15" i="443" s="1"/>
  <c r="R37" i="444"/>
  <c r="S27" i="444" s="1"/>
  <c r="I15" i="425"/>
  <c r="J7" i="425"/>
  <c r="J8" i="425" s="1"/>
  <c r="G14" i="463"/>
  <c r="G15" i="463" s="1"/>
  <c r="R48" i="464"/>
  <c r="S38" i="464" s="1"/>
  <c r="R58" i="436"/>
  <c r="S49" i="436" s="1"/>
  <c r="H14" i="435"/>
  <c r="H15" i="435" s="1"/>
  <c r="J14" i="463"/>
  <c r="R79" i="464"/>
  <c r="S70" i="464" s="1"/>
  <c r="J15" i="463" s="1"/>
  <c r="R69" i="452"/>
  <c r="S59" i="452" s="1"/>
  <c r="F6" i="417"/>
  <c r="F6" i="439"/>
  <c r="J7" i="445"/>
  <c r="J8" i="445" s="1"/>
  <c r="I15" i="445"/>
  <c r="F6" i="423"/>
  <c r="H6" i="423"/>
  <c r="R79" i="462"/>
  <c r="S70" i="462" s="1"/>
  <c r="J15" i="461" s="1"/>
  <c r="J14" i="461"/>
  <c r="D15" i="421"/>
  <c r="R69" i="454"/>
  <c r="S59" i="454" s="1"/>
  <c r="I14" i="453"/>
  <c r="J14" i="453"/>
  <c r="R79" i="454"/>
  <c r="S70" i="454" s="1"/>
  <c r="J15" i="453" s="1"/>
  <c r="Q15" i="460"/>
  <c r="R15" i="460"/>
  <c r="S5" i="460" s="1"/>
  <c r="D14" i="459"/>
  <c r="E2" i="460"/>
  <c r="R58" i="474"/>
  <c r="S49" i="474" s="1"/>
  <c r="H14" i="473"/>
  <c r="H15" i="473" s="1"/>
  <c r="J7" i="461"/>
  <c r="J8" i="461" s="1"/>
  <c r="I15" i="461"/>
  <c r="R37" i="474"/>
  <c r="S27" i="474" s="1"/>
  <c r="F14" i="473"/>
  <c r="F15" i="473" s="1"/>
  <c r="R48" i="442"/>
  <c r="S38" i="442" s="1"/>
  <c r="G14" i="441"/>
  <c r="G15" i="441" s="1"/>
  <c r="R26" i="458"/>
  <c r="S16" i="458" s="1"/>
  <c r="Q26" i="458"/>
  <c r="E14" i="457"/>
  <c r="E15" i="457" s="1"/>
  <c r="I15" i="451"/>
  <c r="J7" i="451"/>
  <c r="J8" i="451" s="1"/>
  <c r="I15" i="421"/>
  <c r="J7" i="421"/>
  <c r="J8" i="421" s="1"/>
  <c r="G15" i="467"/>
  <c r="R15" i="450"/>
  <c r="S5" i="450" s="1"/>
  <c r="H6" i="449"/>
  <c r="F6" i="449"/>
  <c r="R79" i="466"/>
  <c r="S70" i="466" s="1"/>
  <c r="J15" i="465" s="1"/>
  <c r="J14" i="465"/>
  <c r="F14" i="435"/>
  <c r="F15" i="435" s="1"/>
  <c r="R37" i="436"/>
  <c r="S27" i="436" s="1"/>
  <c r="D14" i="463"/>
  <c r="R15" i="464"/>
  <c r="S5" i="464" s="1"/>
  <c r="Q15" i="464"/>
  <c r="E2" i="464"/>
  <c r="R48" i="462"/>
  <c r="S38" i="462" s="1"/>
  <c r="G14" i="461"/>
  <c r="G15" i="461" s="1"/>
  <c r="F14" i="445"/>
  <c r="F15" i="445" s="1"/>
  <c r="R37" i="446"/>
  <c r="S27" i="446" s="1"/>
  <c r="I14" i="433"/>
  <c r="R69" i="434"/>
  <c r="S59" i="434" s="1"/>
  <c r="G15" i="423"/>
  <c r="G14" i="431"/>
  <c r="G15" i="431" s="1"/>
  <c r="R48" i="432"/>
  <c r="S38" i="432" s="1"/>
  <c r="R37" i="432"/>
  <c r="S27" i="432" s="1"/>
  <c r="F14" i="431"/>
  <c r="F15" i="431" s="1"/>
  <c r="R37" i="472"/>
  <c r="S27" i="472" s="1"/>
  <c r="F14" i="471"/>
  <c r="F15" i="471" s="1"/>
  <c r="H6" i="467"/>
  <c r="H14" i="447"/>
  <c r="H15" i="447" s="1"/>
  <c r="R58" i="448"/>
  <c r="S49" i="448" s="1"/>
  <c r="R48" i="468"/>
  <c r="S38" i="468" s="1"/>
  <c r="F6" i="453"/>
  <c r="D15" i="449"/>
  <c r="R37" i="440"/>
  <c r="S27" i="440" s="1"/>
  <c r="F14" i="439"/>
  <c r="F15" i="439" s="1"/>
  <c r="R69" i="3"/>
  <c r="S59" i="3" s="1"/>
  <c r="I14" i="2"/>
  <c r="I14" i="437"/>
  <c r="R69" i="438"/>
  <c r="S59" i="438" s="1"/>
  <c r="R69" i="442"/>
  <c r="S59" i="442" s="1"/>
  <c r="I14" i="441"/>
  <c r="R37" i="456"/>
  <c r="S27" i="456" s="1"/>
  <c r="F14" i="455"/>
  <c r="F15" i="455" s="1"/>
  <c r="R58" i="466"/>
  <c r="S49" i="466" s="1"/>
  <c r="H14" i="465"/>
  <c r="H15" i="465" s="1"/>
  <c r="R58" i="3"/>
  <c r="S49" i="3" s="1"/>
  <c r="H14" i="2"/>
  <c r="H15" i="2" s="1"/>
  <c r="R37" i="426"/>
  <c r="S27" i="426" s="1"/>
  <c r="F14" i="425"/>
  <c r="F15" i="425" s="1"/>
  <c r="J14" i="2"/>
  <c r="R79" i="3"/>
  <c r="S70" i="3" s="1"/>
  <c r="R26" i="460"/>
  <c r="S16" i="460" s="1"/>
  <c r="Q26" i="460"/>
  <c r="E14" i="459"/>
  <c r="E15" i="459" s="1"/>
  <c r="H14" i="431"/>
  <c r="H15" i="431" s="1"/>
  <c r="R58" i="432"/>
  <c r="S49" i="432" s="1"/>
  <c r="H14" i="449"/>
  <c r="H15" i="449" s="1"/>
  <c r="R58" i="450"/>
  <c r="S49" i="450" s="1"/>
  <c r="R26" i="466"/>
  <c r="S16" i="466" s="1"/>
  <c r="E14" i="465"/>
  <c r="E15" i="465" s="1"/>
  <c r="Q26" i="466"/>
  <c r="H14" i="463"/>
  <c r="H15" i="463" s="1"/>
  <c r="R58" i="464"/>
  <c r="S49" i="464" s="1"/>
  <c r="R26" i="436"/>
  <c r="S16" i="436" s="1"/>
  <c r="Q26" i="436"/>
  <c r="E14" i="435"/>
  <c r="E15" i="435" s="1"/>
  <c r="G14" i="451"/>
  <c r="G15" i="451" s="1"/>
  <c r="R48" i="452"/>
  <c r="S38" i="452" s="1"/>
  <c r="F14" i="421"/>
  <c r="F15" i="421" s="1"/>
  <c r="R37" i="422"/>
  <c r="S27" i="422" s="1"/>
  <c r="R69" i="428"/>
  <c r="S59" i="428" s="1"/>
  <c r="I14" i="427"/>
  <c r="I14" i="419"/>
  <c r="R69" i="420"/>
  <c r="S59" i="420" s="1"/>
  <c r="Q15" i="436"/>
  <c r="D14" i="435"/>
  <c r="E2" i="436"/>
  <c r="R15" i="436"/>
  <c r="S5" i="436" s="1"/>
  <c r="R48" i="420"/>
  <c r="S38" i="420" s="1"/>
  <c r="G14" i="419"/>
  <c r="G15" i="419" s="1"/>
  <c r="H14" i="471"/>
  <c r="H15" i="471" s="1"/>
  <c r="R58" i="472"/>
  <c r="S49" i="472" s="1"/>
  <c r="R48" i="470"/>
  <c r="S38" i="470" s="1"/>
  <c r="G14" i="469"/>
  <c r="G15" i="469" s="1"/>
  <c r="G14" i="447"/>
  <c r="G15" i="447" s="1"/>
  <c r="R48" i="448"/>
  <c r="S38" i="448" s="1"/>
  <c r="R48" i="424"/>
  <c r="S38" i="424" s="1"/>
  <c r="R37" i="466"/>
  <c r="S27" i="466" s="1"/>
  <c r="F14" i="465"/>
  <c r="F15" i="465" s="1"/>
  <c r="R48" i="434"/>
  <c r="S38" i="434" s="1"/>
  <c r="G14" i="433"/>
  <c r="G15" i="433" s="1"/>
  <c r="Q26" i="426"/>
  <c r="E2" i="450"/>
  <c r="E14" i="429"/>
  <c r="E15" i="429" s="1"/>
  <c r="R26" i="430"/>
  <c r="S16" i="430" s="1"/>
  <c r="Q26" i="430"/>
  <c r="E14" i="455"/>
  <c r="E15" i="455" s="1"/>
  <c r="R26" i="456"/>
  <c r="S16" i="456" s="1"/>
  <c r="Q26" i="456"/>
  <c r="R48" i="3"/>
  <c r="S38" i="3" s="1"/>
  <c r="G14" i="2"/>
  <c r="G15" i="2" s="1"/>
  <c r="J14" i="459"/>
  <c r="R79" i="460"/>
  <c r="S70" i="460" s="1"/>
  <c r="J15" i="459" s="1"/>
  <c r="H15" i="425"/>
  <c r="I14" i="429"/>
  <c r="R69" i="430"/>
  <c r="S59" i="430" s="1"/>
  <c r="E2" i="468"/>
  <c r="R15" i="468"/>
  <c r="S5" i="468" s="1"/>
  <c r="Q15" i="468"/>
  <c r="D14" i="467"/>
  <c r="R26" i="468"/>
  <c r="S16" i="468" s="1"/>
  <c r="Q26" i="468"/>
  <c r="E14" i="467"/>
  <c r="E15" i="467" s="1"/>
  <c r="R37" i="418"/>
  <c r="S27" i="418" s="1"/>
  <c r="F14" i="417"/>
  <c r="F15" i="417" s="1"/>
  <c r="G14" i="453"/>
  <c r="G15" i="453" s="1"/>
  <c r="R48" i="454"/>
  <c r="S38" i="454" s="1"/>
  <c r="F14" i="457"/>
  <c r="F15" i="457" s="1"/>
  <c r="R37" i="458"/>
  <c r="S27" i="458" s="1"/>
  <c r="F6" i="437"/>
  <c r="H6" i="437"/>
  <c r="F14" i="451"/>
  <c r="F15" i="451" s="1"/>
  <c r="R37" i="452"/>
  <c r="S27" i="452" s="1"/>
  <c r="R48" i="428"/>
  <c r="S38" i="428" s="1"/>
  <c r="G14" i="427"/>
  <c r="G15" i="427" s="1"/>
  <c r="R48" i="438"/>
  <c r="S38" i="438" s="1"/>
  <c r="G14" i="437"/>
  <c r="G15" i="437" s="1"/>
  <c r="H14" i="439"/>
  <c r="H15" i="439" s="1"/>
  <c r="R58" i="440"/>
  <c r="S49" i="440" s="1"/>
  <c r="R26" i="426"/>
  <c r="S16" i="426" s="1"/>
  <c r="Q15" i="450"/>
  <c r="J14" i="443"/>
  <c r="R79" i="444"/>
  <c r="S70" i="444" s="1"/>
  <c r="J15" i="443" s="1"/>
  <c r="H14" i="459"/>
  <c r="H15" i="459" s="1"/>
  <c r="R58" i="460"/>
  <c r="S49" i="460" s="1"/>
  <c r="Q15" i="430"/>
  <c r="D14" i="429"/>
  <c r="R15" i="430"/>
  <c r="S5" i="430" s="1"/>
  <c r="E2" i="430"/>
  <c r="R15" i="426"/>
  <c r="S5" i="426" s="1"/>
  <c r="D14" i="425"/>
  <c r="Q15" i="426"/>
  <c r="E2" i="426"/>
  <c r="R37" i="430"/>
  <c r="S27" i="430" s="1"/>
  <c r="F14" i="429"/>
  <c r="F15" i="429" s="1"/>
  <c r="H14" i="421"/>
  <c r="H15" i="421" s="1"/>
  <c r="R58" i="422"/>
  <c r="S49" i="422" s="1"/>
  <c r="R58" i="444"/>
  <c r="S49" i="444" s="1"/>
  <c r="H14" i="443"/>
  <c r="H15" i="443" s="1"/>
  <c r="G14" i="429"/>
  <c r="G15" i="429" s="1"/>
  <c r="R48" i="430"/>
  <c r="S38" i="430" s="1"/>
  <c r="R58" i="470"/>
  <c r="S49" i="470" s="1"/>
  <c r="H14" i="469"/>
  <c r="H15" i="469" s="1"/>
  <c r="R79" i="456"/>
  <c r="S70" i="456" s="1"/>
  <c r="J15" i="455" s="1"/>
  <c r="J14" i="455"/>
  <c r="R58" i="454"/>
  <c r="S49" i="454" s="1"/>
  <c r="H14" i="453"/>
  <c r="H15" i="453" s="1"/>
  <c r="E15" i="425"/>
  <c r="F6" i="421"/>
  <c r="F15" i="463"/>
  <c r="I14" i="467"/>
  <c r="R69" i="468"/>
  <c r="S59" i="468" s="1"/>
  <c r="R79" i="452"/>
  <c r="S70" i="452" s="1"/>
  <c r="J15" i="451" s="1"/>
  <c r="J14" i="451"/>
  <c r="J7" i="455"/>
  <c r="J8" i="455" s="1"/>
  <c r="I15" i="455"/>
  <c r="Q15" i="466"/>
  <c r="E2" i="466"/>
  <c r="D14" i="465"/>
  <c r="R15" i="466"/>
  <c r="S5" i="466" s="1"/>
  <c r="D14" i="443"/>
  <c r="R15" i="444"/>
  <c r="S5" i="444" s="1"/>
  <c r="Q15" i="444"/>
  <c r="E2" i="444"/>
  <c r="I15" i="431"/>
  <c r="J7" i="431"/>
  <c r="J8" i="431" s="1"/>
  <c r="R37" i="464"/>
  <c r="S27" i="464" s="1"/>
  <c r="D15" i="475" l="1"/>
  <c r="H7" i="475"/>
  <c r="H8" i="475" s="1"/>
  <c r="F7" i="475"/>
  <c r="F8" i="475" s="1"/>
  <c r="J7" i="475"/>
  <c r="J8" i="475" s="1"/>
  <c r="I15" i="475"/>
  <c r="F7" i="443"/>
  <c r="F8" i="443" s="1"/>
  <c r="D15" i="443"/>
  <c r="H7" i="443"/>
  <c r="H8" i="443" s="1"/>
  <c r="H7" i="461"/>
  <c r="H8" i="461" s="1"/>
  <c r="D15" i="461"/>
  <c r="F7" i="461"/>
  <c r="F8" i="461" s="1"/>
  <c r="H7" i="447"/>
  <c r="H8" i="447" s="1"/>
  <c r="F7" i="447"/>
  <c r="F8" i="447" s="1"/>
  <c r="D15" i="447"/>
  <c r="F7" i="455"/>
  <c r="F8" i="455" s="1"/>
  <c r="D15" i="463"/>
  <c r="F7" i="463"/>
  <c r="F8" i="463" s="1"/>
  <c r="H7" i="463"/>
  <c r="H8" i="463" s="1"/>
  <c r="D15" i="473"/>
  <c r="H7" i="473"/>
  <c r="H8" i="473" s="1"/>
  <c r="F7" i="473"/>
  <c r="F8" i="473" s="1"/>
  <c r="D15" i="469"/>
  <c r="H7" i="469"/>
  <c r="H8" i="469" s="1"/>
  <c r="F7" i="469"/>
  <c r="F8" i="469" s="1"/>
  <c r="F7" i="433"/>
  <c r="F8" i="433" s="1"/>
  <c r="H7" i="455"/>
  <c r="H8" i="455" s="1"/>
  <c r="F7" i="471"/>
  <c r="F8" i="471" s="1"/>
  <c r="H7" i="471"/>
  <c r="H8" i="471" s="1"/>
  <c r="D15" i="471"/>
  <c r="F7" i="451"/>
  <c r="F8" i="451" s="1"/>
  <c r="H7" i="451"/>
  <c r="H8" i="451" s="1"/>
  <c r="D15" i="451"/>
  <c r="D15" i="457"/>
  <c r="H7" i="457"/>
  <c r="H8" i="457" s="1"/>
  <c r="F7" i="457"/>
  <c r="F8" i="457" s="1"/>
  <c r="I15" i="469"/>
  <c r="J7" i="469"/>
  <c r="J8" i="469" s="1"/>
  <c r="J7" i="447"/>
  <c r="J8" i="447" s="1"/>
  <c r="I15" i="447"/>
  <c r="H7" i="465"/>
  <c r="H8" i="465" s="1"/>
  <c r="D15" i="465"/>
  <c r="F7" i="465"/>
  <c r="F8" i="465" s="1"/>
  <c r="F7" i="449"/>
  <c r="F8" i="449" s="1"/>
  <c r="F7" i="435"/>
  <c r="F8" i="435" s="1"/>
  <c r="H7" i="435"/>
  <c r="H8" i="435" s="1"/>
  <c r="D15" i="435"/>
  <c r="H7" i="449"/>
  <c r="H8" i="449" s="1"/>
  <c r="D15" i="453"/>
  <c r="H7" i="453"/>
  <c r="H8" i="453" s="1"/>
  <c r="F7" i="453"/>
  <c r="F8" i="453" s="1"/>
  <c r="H7" i="433"/>
  <c r="H8" i="433" s="1"/>
  <c r="J15" i="2"/>
  <c r="J7" i="441"/>
  <c r="J8" i="441" s="1"/>
  <c r="I15" i="441"/>
  <c r="F7" i="445"/>
  <c r="F8" i="445" s="1"/>
  <c r="D15" i="445"/>
  <c r="H7" i="445"/>
  <c r="H8" i="445" s="1"/>
  <c r="J7" i="467"/>
  <c r="J8" i="467" s="1"/>
  <c r="I15" i="467"/>
  <c r="J7" i="433"/>
  <c r="J8" i="433" s="1"/>
  <c r="I15" i="433"/>
  <c r="F7" i="427"/>
  <c r="F8" i="427" s="1"/>
  <c r="H7" i="441"/>
  <c r="H8" i="441" s="1"/>
  <c r="D15" i="441"/>
  <c r="F7" i="441"/>
  <c r="F8" i="441" s="1"/>
  <c r="D15" i="459"/>
  <c r="H7" i="459"/>
  <c r="H8" i="459" s="1"/>
  <c r="F7" i="459"/>
  <c r="F8" i="459" s="1"/>
  <c r="H7" i="427"/>
  <c r="H8" i="427" s="1"/>
  <c r="J7" i="449"/>
  <c r="J8" i="449" s="1"/>
  <c r="I15" i="449"/>
  <c r="J7" i="457"/>
  <c r="J8" i="457" s="1"/>
  <c r="I15" i="457"/>
  <c r="D15" i="439"/>
  <c r="H7" i="439"/>
  <c r="H8" i="439" s="1"/>
  <c r="F7" i="439"/>
  <c r="F8" i="439" s="1"/>
  <c r="H7" i="425"/>
  <c r="H8" i="425" s="1"/>
  <c r="F7" i="425"/>
  <c r="F8" i="425" s="1"/>
  <c r="D15" i="425"/>
  <c r="I15" i="419"/>
  <c r="J7" i="419"/>
  <c r="J8" i="419" s="1"/>
  <c r="I15" i="427"/>
  <c r="J7" i="427"/>
  <c r="J8" i="427" s="1"/>
  <c r="J7" i="437"/>
  <c r="J8" i="437" s="1"/>
  <c r="I15" i="437"/>
  <c r="J7" i="453"/>
  <c r="J8" i="453" s="1"/>
  <c r="I15" i="453"/>
  <c r="F7" i="437"/>
  <c r="F8" i="437" s="1"/>
  <c r="I15" i="459"/>
  <c r="J7" i="459"/>
  <c r="J8" i="459" s="1"/>
  <c r="I15" i="435"/>
  <c r="J7" i="435"/>
  <c r="J8" i="435" s="1"/>
  <c r="H7" i="2"/>
  <c r="F7" i="2"/>
  <c r="D15" i="2"/>
  <c r="H7" i="467"/>
  <c r="H8" i="467" s="1"/>
  <c r="F7" i="467"/>
  <c r="F8" i="467" s="1"/>
  <c r="D15" i="467"/>
  <c r="J7" i="2"/>
  <c r="I15" i="2"/>
  <c r="J8" i="2" s="1"/>
  <c r="F7" i="431"/>
  <c r="F8" i="431" s="1"/>
  <c r="H7" i="431"/>
  <c r="H8" i="431" s="1"/>
  <c r="D15" i="431"/>
  <c r="I15" i="443"/>
  <c r="J7" i="443"/>
  <c r="J8" i="443" s="1"/>
  <c r="I15" i="429"/>
  <c r="J7" i="429"/>
  <c r="J8" i="429" s="1"/>
  <c r="H7" i="437"/>
  <c r="H8" i="437" s="1"/>
  <c r="H7" i="423"/>
  <c r="H8" i="423" s="1"/>
  <c r="D15" i="423"/>
  <c r="F7" i="423"/>
  <c r="F8" i="423" s="1"/>
  <c r="I15" i="473"/>
  <c r="J7" i="473"/>
  <c r="J8" i="473" s="1"/>
  <c r="D15" i="419"/>
  <c r="H7" i="419"/>
  <c r="H8" i="419" s="1"/>
  <c r="F7" i="419"/>
  <c r="F8" i="419" s="1"/>
  <c r="J7" i="465"/>
  <c r="J8" i="465" s="1"/>
  <c r="I15" i="465"/>
  <c r="H7" i="429"/>
  <c r="H8" i="429" s="1"/>
  <c r="F7" i="429"/>
  <c r="F8" i="429" s="1"/>
  <c r="D15" i="429"/>
  <c r="H7" i="421"/>
  <c r="H8" i="421" s="1"/>
  <c r="F7" i="421"/>
  <c r="F8" i="421" s="1"/>
  <c r="J7" i="423"/>
  <c r="J8" i="423" s="1"/>
  <c r="I15" i="423"/>
  <c r="D15" i="417"/>
  <c r="F7" i="417"/>
  <c r="F8" i="417" s="1"/>
  <c r="H7" i="417"/>
  <c r="H8" i="417" s="1"/>
  <c r="I15" i="463"/>
  <c r="J7" i="463"/>
  <c r="J8" i="463" s="1"/>
  <c r="I15" i="471"/>
  <c r="J7" i="471"/>
  <c r="J8" i="471" s="1"/>
  <c r="F8" i="2" l="1"/>
  <c r="H8" i="2"/>
</calcChain>
</file>

<file path=xl/sharedStrings.xml><?xml version="1.0" encoding="utf-8"?>
<sst xmlns="http://schemas.openxmlformats.org/spreadsheetml/2006/main" count="6285" uniqueCount="274">
  <si>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</si>
  <si>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</si>
  <si>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</si>
  <si>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</si>
  <si>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</si>
  <si>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</si>
  <si>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</si>
  <si>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</si>
  <si>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</si>
  <si>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</si>
  <si>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</si>
  <si>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</si>
  <si>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</si>
  <si>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</si>
  <si>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</si>
  <si>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</si>
  <si>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</si>
  <si>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</si>
  <si>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</si>
  <si>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</si>
  <si>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</si>
  <si>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</si>
  <si>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</si>
  <si>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</si>
  <si>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</si>
  <si>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</si>
  <si>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</si>
  <si>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</si>
  <si>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</si>
  <si>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</si>
  <si>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</si>
  <si>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</si>
  <si>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</si>
  <si>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</si>
  <si>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</si>
  <si>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</si>
  <si>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</si>
  <si>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</si>
  <si>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</si>
  <si>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</si>
  <si>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</si>
  <si>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</si>
  <si>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</si>
  <si>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</si>
  <si>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</si>
  <si>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</si>
  <si>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</si>
  <si>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</si>
  <si>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</si>
  <si>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</si>
  <si>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</si>
  <si>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</si>
  <si>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</si>
  <si>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</si>
  <si>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</si>
  <si>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</si>
  <si>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</si>
  <si>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</si>
  <si>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</si>
  <si>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</si>
  <si>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</si>
  <si>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</si>
  <si>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</si>
  <si>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</si>
  <si>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</si>
  <si>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</si>
  <si>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</si>
  <si>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</si>
  <si>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</si>
  <si>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</si>
  <si>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</si>
  <si>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</si>
  <si>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</si>
  <si>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</si>
  <si>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</si>
  <si>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</si>
  <si>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</si>
  <si>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</si>
  <si>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</si>
  <si>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</si>
  <si>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</si>
  <si>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</si>
  <si>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</si>
  <si>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</si>
  <si>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</si>
  <si>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</si>
  <si>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</si>
  <si>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</si>
  <si>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</si>
  <si>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</si>
  <si>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</si>
  <si>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</si>
  <si>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</si>
  <si>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</si>
  <si>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</si>
  <si>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</si>
  <si>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</si>
  <si>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</si>
  <si>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</si>
  <si>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</si>
  <si>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</si>
  <si>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</si>
  <si>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</si>
  <si>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</si>
  <si>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</si>
  <si>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</si>
  <si>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</si>
  <si>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</si>
  <si>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</si>
  <si>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</si>
  <si>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</si>
  <si>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</si>
  <si>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04月01日  星期三</t>
  </si>
  <si>
    <t>蒜香奶油蝦蝦義大利麵</t>
  </si>
  <si>
    <t>奶油培根義大利麵</t>
  </si>
  <si>
    <t>辣味香菜雞肉義大利麵</t>
  </si>
  <si>
    <t>青醬蛤蜊義大利麵</t>
  </si>
  <si>
    <t>義式蕃茄起司義大利麵</t>
  </si>
  <si>
    <t>熱乾麵</t>
  </si>
  <si>
    <t>沙茶豬肉炒麵</t>
  </si>
  <si>
    <t>焗烤起司肉醬筆尖麵</t>
  </si>
  <si>
    <t>L型封膜異常</t>
  </si>
  <si>
    <t>濃拿坡里義大利麵</t>
  </si>
  <si>
    <t>青花椒麻雞肉拌麵</t>
  </si>
  <si>
    <t>府城鹽水意麵</t>
  </si>
  <si>
    <t>白酒蛤蜊義大利麵</t>
  </si>
  <si>
    <t>焗烤起司雙饗筆尖麵</t>
  </si>
  <si>
    <t>14:10-14:39試產</t>
  </si>
  <si>
    <t>小吃、微波</t>
  </si>
  <si>
    <t>小滷青蔬</t>
  </si>
  <si>
    <t>起司馬鈴薯</t>
  </si>
  <si>
    <t>麻辣雞心</t>
  </si>
  <si>
    <t>雞毛挑揀增加2人</t>
  </si>
  <si>
    <t>04月02日  星期四</t>
  </si>
  <si>
    <t>生產數量少</t>
  </si>
  <si>
    <t>04月03日  星期五</t>
  </si>
  <si>
    <t>9:45-10:49封膜異常全檢</t>
  </si>
  <si>
    <t>沙茶先開線</t>
  </si>
  <si>
    <t>04月04日  星期六</t>
  </si>
  <si>
    <t>雞毛挑揀增加1人</t>
  </si>
  <si>
    <t>04月05日  星期六</t>
  </si>
  <si>
    <t>封膜夾具異常</t>
  </si>
  <si>
    <t>04月06日  星期一</t>
  </si>
  <si>
    <t>玉取機停麵3分</t>
  </si>
  <si>
    <t>L型封膜異常、11:50-12:13補封膜342盒</t>
  </si>
  <si>
    <t>L型封膜異常、15:00-15:46補封膜1000盒</t>
  </si>
  <si>
    <t>04月07日  星期二</t>
  </si>
  <si>
    <t>白酒清炒鮮蛤義大利麵</t>
  </si>
  <si>
    <t>10:35-10:46、10:55-11:00 L型封膜異常</t>
  </si>
  <si>
    <t>支援自動線製作</t>
  </si>
  <si>
    <t>04月08日  星期三</t>
  </si>
  <si>
    <t>13:00-13:15試產</t>
  </si>
  <si>
    <t>13:00-13:23試產</t>
  </si>
  <si>
    <t xml:space="preserve"> L型封膜異常</t>
  </si>
  <si>
    <t>10:32-10:37注餡機異常、11:10-11:18 L型封膜異常、11:36-11:53補封膜350盒</t>
  </si>
  <si>
    <t>手工挖醬作業</t>
  </si>
  <si>
    <t>04月09日  星期四</t>
  </si>
  <si>
    <t>熱轉印異常</t>
  </si>
  <si>
    <t>11:20~11:45 L型封膜機異常</t>
  </si>
  <si>
    <t>14:05~14:28 L型封膜機異常</t>
  </si>
  <si>
    <t>9:53~10:06 300盒重封</t>
  </si>
  <si>
    <t>11:32~11:52核對貼標數量、全檢</t>
  </si>
  <si>
    <t>14:08-14:12封膜異常、14:12-14:33重封</t>
  </si>
  <si>
    <t>9:56-10:00封膜異常</t>
  </si>
  <si>
    <t>10:49-14:40冷凍品組裝</t>
  </si>
  <si>
    <t>04月11日  星期六</t>
  </si>
  <si>
    <t>L型封膜機異常、11:23-12:37補封膜574盒</t>
  </si>
  <si>
    <t>04月12日  星期日</t>
  </si>
  <si>
    <t>09:28-09:50、10:25-10:40 L型封膜異常/11:05-11:26補封膜</t>
  </si>
  <si>
    <t>12:25-12:44補封膜</t>
  </si>
  <si>
    <t>支援自動線製作(今日首次製作)</t>
  </si>
  <si>
    <t>投料熟練度不足+1人/挑揀雞毛+2人</t>
  </si>
  <si>
    <t>挑揀雞毛+2人</t>
  </si>
  <si>
    <t>注餡機異常/15:10後改為手工組裝湯凍、拆200包重新組裝湯凍</t>
  </si>
  <si>
    <t>04月13日  星期一</t>
  </si>
  <si>
    <t>增加鋪油人員1名</t>
  </si>
  <si>
    <t>9:14-9:34 3人補封膜300盒</t>
  </si>
  <si>
    <t>13:30-14:00試產、14:05-14:41協助鹽水意麵封口</t>
  </si>
  <si>
    <t>12:20-14:05封口機異常，製作實際製作1200盒、封口500盒/14:05-14:41補封口700盒(移至空產線封膜)</t>
  </si>
  <si>
    <t>14:05-14:15封口機異常換線生產</t>
  </si>
  <si>
    <t>04月14日  星期二</t>
  </si>
  <si>
    <t>香煎魚排佐檸檬奶油義大利麵</t>
  </si>
  <si>
    <t>義式辣味嫩烤雞腿排義大利麵</t>
  </si>
  <si>
    <t>支援自動線製作、首次製作</t>
  </si>
  <si>
    <t>13:02-13:09補封膜</t>
  </si>
  <si>
    <t>04月15日  星期三</t>
  </si>
  <si>
    <t>9:05-9:10補封膜</t>
  </si>
  <si>
    <t>11:41-12:00補封膜</t>
  </si>
  <si>
    <t>13:01-13:05補封膜</t>
  </si>
  <si>
    <t>8:40-9:00L型封膜異常/9:10-9:20盒對貼標數停線</t>
  </si>
  <si>
    <t>04月16日  星期四</t>
  </si>
  <si>
    <t>13:16-13:17、13:29-13:34停麵</t>
  </si>
  <si>
    <t/>
  </si>
  <si>
    <t>04月17日  星期五</t>
  </si>
  <si>
    <t>10:41-11:17封膜機異常</t>
  </si>
  <si>
    <t>9:03-9:10全線上廁所、9:56-10:00待料</t>
  </si>
  <si>
    <t>13:30-13:36補封膜</t>
  </si>
  <si>
    <t>10:25-10:30湯凍不足手工作業35包</t>
  </si>
  <si>
    <t>04月18日  星期六</t>
  </si>
  <si>
    <t>11:05-11:13待料</t>
  </si>
  <si>
    <t>14:51-14:56待料</t>
  </si>
  <si>
    <t>13:30-13:40熱轉印異常</t>
  </si>
  <si>
    <t>04月19日  星期日</t>
  </si>
  <si>
    <t>07:03-07:15封膜機夾具故障</t>
  </si>
  <si>
    <t>07:05-9:42單邊注醬、排關+2人(挖醬、壓醬)</t>
  </si>
  <si>
    <t>14:29-14:34補封膜</t>
  </si>
  <si>
    <t>04月20日  星期一</t>
  </si>
  <si>
    <t>09:58-10:13玉取機異常手工抓面346盒</t>
  </si>
  <si>
    <t>9:56-10:15玉取機異常手工抓面250盒</t>
  </si>
  <si>
    <t>13:00-13:11玉取機停麵/生產數量少</t>
  </si>
  <si>
    <t>14:10-14:28補封膜220盒</t>
  </si>
  <si>
    <t>04月21日  星期二</t>
  </si>
  <si>
    <t>8:06-8:20玉取機停麵</t>
  </si>
  <si>
    <t>黑松露野菇義大利麵</t>
  </si>
  <si>
    <t>熱轉印機異常總共收籃936盒(重工)</t>
  </si>
  <si>
    <t>停線回秤半成品</t>
  </si>
  <si>
    <t>人數不足，支援生產</t>
  </si>
  <si>
    <t>熱轉印異常/人數不足，支援生產</t>
  </si>
  <si>
    <t>04月22日  星期三</t>
  </si>
  <si>
    <t>生產數量少(依排成生產)</t>
  </si>
  <si>
    <t>10:06-10:13停線休息</t>
  </si>
  <si>
    <t>14:00-14:50補封膜770盒</t>
  </si>
  <si>
    <t>04月23日  星期三</t>
  </si>
  <si>
    <t>12:53-13:00半成品回秤</t>
  </si>
  <si>
    <t>04月24日  星期五</t>
  </si>
  <si>
    <t>8:45-9:00單邊注醬機異常，單邊注醬</t>
  </si>
  <si>
    <t>11:54-12:00拆模重封</t>
  </si>
  <si>
    <t>04月25日  星期六</t>
  </si>
  <si>
    <t>8:15-11:12人員不足單排生產</t>
  </si>
  <si>
    <t>8:50-9:20半成品異常確認</t>
  </si>
  <si>
    <t>9:48-10:05重封453盒</t>
  </si>
  <si>
    <t>04月26日  星期日</t>
  </si>
  <si>
    <t>15:08-15:15補封膜110盒</t>
  </si>
  <si>
    <t>生懺數量少</t>
  </si>
  <si>
    <t>04月27日  星期一</t>
  </si>
  <si>
    <t>今日與調理包二線倂線</t>
  </si>
  <si>
    <t>今日與三線倂線</t>
  </si>
  <si>
    <t>check</t>
  </si>
  <si>
    <t>類別</t>
  </si>
  <si>
    <t>4度C</t>
  </si>
  <si>
    <t>燻火腿貓耳朵麵</t>
  </si>
  <si>
    <t>焗烤明太子筆尖麵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</si>
  <si>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</si>
  <si>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</si>
  <si>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</si>
  <si>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</si>
  <si>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</si>
  <si>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</si>
  <si>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</si>
  <si>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</si>
  <si>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</si>
  <si>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04月28日  星期二</t>
  </si>
  <si>
    <t>08:03-08:22熱轉印異常，全檢</t>
  </si>
  <si>
    <t>07:00-07:30注醬機注醬不穩定</t>
  </si>
  <si>
    <t>13:30-14:13試產</t>
  </si>
  <si>
    <t>04月29日  星期三</t>
  </si>
  <si>
    <t>7:40-7:55檢重機異常,停線更換</t>
  </si>
  <si>
    <t>品項</t>
  </si>
  <si>
    <t>產能</t>
  </si>
  <si>
    <t>新品</t>
  </si>
  <si>
    <t>+2</t>
  </si>
  <si>
    <t>青醬蛤蜊義大利麵-手</t>
  </si>
  <si>
    <t>焗烤起司肉醬筆尖麵-降</t>
  </si>
  <si>
    <t>調理包</t>
  </si>
  <si>
    <t>更新日期04/08</t>
  </si>
  <si>
    <t>煮麵機無產能煮意麵-待料</t>
    <phoneticPr fontId="0" type="noConversion"/>
  </si>
  <si>
    <t>玉取機停麵五次共7分鐘</t>
    <phoneticPr fontId="6" type="noConversion"/>
  </si>
  <si>
    <t>12:58-13:06封膜異常</t>
    <phoneticPr fontId="6" type="noConversion"/>
  </si>
  <si>
    <t>11:19-11:21封膜異常</t>
    <phoneticPr fontId="6" type="noConversion"/>
  </si>
  <si>
    <t>14:30-14:50封膜異常</t>
    <phoneticPr fontId="6" type="noConversion"/>
  </si>
  <si>
    <t>製作1108盒，126封膜異常</t>
    <phoneticPr fontId="6" type="noConversion"/>
  </si>
  <si>
    <t>04月30日  星期四</t>
    <phoneticPr fontId="31" type="noConversion"/>
  </si>
  <si>
    <t xml:space="preserve"> 調理包一-支援製作、生產數量少(因總表的KPI計算問題故移至此)</t>
    <phoneticPr fontId="0" type="noConversion"/>
  </si>
  <si>
    <t>調理包一-生產數量少、補封膜126盒(因總表的KPI計算問題故移至此)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</si>
</sst>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497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20" fontId="17" fillId="0" borderId="67" xfId="12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21" fillId="0" borderId="13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 wrapText="1"/>
    </xf>
    <xf numFmtId="0" fontId="6" fillId="8" borderId="14" xfId="12" applyFont="1" applyFill="1" applyBorder="1" applyAlignment="1">
      <alignment horizontal="center" vertical="center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/>
    </xf>
    <xf numFmtId="0" fontId="6" fillId="8" borderId="27" xfId="12" applyFont="1" applyFill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1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19" sqref="E19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84" width="10.28515625" style="347" customWidth="1"/>
    <col min="85" max="16384" width="10.28515625" style="347"/>
  </cols>
  <sheetData>
    <row r="1" spans="1:7">
      <c r="A1" s="351" t="s">
        <v>237</v>
      </c>
      <c r="B1" s="352" t="s">
        <v>89</v>
      </c>
      <c r="C1" s="352" t="s">
        <v>19</v>
      </c>
      <c r="D1" s="352" t="s">
        <v>238</v>
      </c>
      <c r="E1" s="352" t="s">
        <v>20</v>
      </c>
    </row>
    <row r="2" spans="1:7">
      <c r="A2" s="353"/>
      <c r="B2" s="354" t="s">
        <v>239</v>
      </c>
      <c r="C2" s="75" t="s">
        <v>125</v>
      </c>
      <c r="D2" s="354" t="s">
        <v>81</v>
      </c>
      <c r="E2" s="75">
        <v>57.21</v>
      </c>
    </row>
    <row r="3" spans="1:7">
      <c r="A3" s="353"/>
      <c r="B3" s="354" t="s">
        <v>239</v>
      </c>
      <c r="C3" s="75" t="s">
        <v>147</v>
      </c>
      <c r="D3" s="354" t="s">
        <v>81</v>
      </c>
      <c r="E3" s="75">
        <v>56.87</v>
      </c>
    </row>
    <row r="4" spans="1:7">
      <c r="A4" s="353"/>
      <c r="B4" s="354" t="s">
        <v>239</v>
      </c>
      <c r="C4" s="75" t="s">
        <v>117</v>
      </c>
      <c r="D4" s="354" t="s">
        <v>81</v>
      </c>
      <c r="E4" s="75">
        <v>50.39</v>
      </c>
    </row>
    <row r="5" spans="1:7">
      <c r="A5" s="353"/>
      <c r="B5" s="354" t="s">
        <v>239</v>
      </c>
      <c r="C5" s="75" t="s">
        <v>126</v>
      </c>
      <c r="D5" s="354" t="s">
        <v>81</v>
      </c>
      <c r="E5" s="75">
        <v>49.97</v>
      </c>
    </row>
    <row r="6" spans="1:7">
      <c r="A6" s="353"/>
      <c r="B6" s="354" t="s">
        <v>239</v>
      </c>
      <c r="C6" s="75" t="s">
        <v>114</v>
      </c>
      <c r="D6" s="354" t="s">
        <v>81</v>
      </c>
      <c r="E6" s="75">
        <v>49.14</v>
      </c>
    </row>
    <row r="7" spans="1:7">
      <c r="A7" s="353"/>
      <c r="B7" s="354" t="s">
        <v>239</v>
      </c>
      <c r="C7" s="355" t="s">
        <v>240</v>
      </c>
      <c r="D7" s="354" t="s">
        <v>81</v>
      </c>
      <c r="E7" s="75">
        <v>58.17</v>
      </c>
    </row>
    <row r="8" spans="1:7">
      <c r="A8" s="353"/>
      <c r="B8" s="354" t="s">
        <v>239</v>
      </c>
      <c r="C8" s="355" t="s">
        <v>182</v>
      </c>
      <c r="D8" s="354" t="s">
        <v>81</v>
      </c>
      <c r="E8" s="75">
        <v>56.61</v>
      </c>
    </row>
    <row r="9" spans="1:7">
      <c r="A9" s="353"/>
      <c r="B9" s="354" t="s">
        <v>239</v>
      </c>
      <c r="C9" s="350" t="s">
        <v>120</v>
      </c>
      <c r="D9" s="354" t="s">
        <v>81</v>
      </c>
      <c r="E9" s="75">
        <v>50.67</v>
      </c>
    </row>
    <row r="10" spans="1:7">
      <c r="A10" s="353"/>
      <c r="B10" s="354" t="s">
        <v>239</v>
      </c>
      <c r="C10" s="350" t="s">
        <v>115</v>
      </c>
      <c r="D10" s="354" t="s">
        <v>81</v>
      </c>
      <c r="E10" s="75">
        <v>56.28</v>
      </c>
    </row>
    <row r="11" spans="1:7">
      <c r="A11" s="353"/>
      <c r="B11" s="354" t="s">
        <v>239</v>
      </c>
      <c r="C11" s="75" t="s">
        <v>113</v>
      </c>
      <c r="D11" s="354" t="s">
        <v>81</v>
      </c>
      <c r="E11" s="75">
        <v>57.21</v>
      </c>
    </row>
    <row r="12" spans="1:7">
      <c r="A12" s="353"/>
      <c r="B12" s="354" t="s">
        <v>239</v>
      </c>
      <c r="C12" s="350" t="s">
        <v>182</v>
      </c>
      <c r="D12" s="354" t="s">
        <v>81</v>
      </c>
      <c r="E12" s="75">
        <v>56.61</v>
      </c>
    </row>
    <row r="13" spans="1:7">
      <c r="A13" s="353"/>
      <c r="B13" s="354" t="s">
        <v>239</v>
      </c>
      <c r="C13" s="345" t="s">
        <v>181</v>
      </c>
      <c r="D13" s="354" t="s">
        <v>81</v>
      </c>
      <c r="E13" s="75">
        <v>58.17</v>
      </c>
      <c r="G13" s="349"/>
    </row>
    <row r="14" spans="1:7">
      <c r="A14" s="353"/>
      <c r="B14" s="354" t="s">
        <v>239</v>
      </c>
      <c r="C14" s="75" t="s">
        <v>116</v>
      </c>
      <c r="D14" s="354" t="s">
        <v>81</v>
      </c>
      <c r="E14" s="75">
        <v>50.67</v>
      </c>
    </row>
    <row r="15" spans="1:7">
      <c r="A15" s="353"/>
      <c r="B15" s="354" t="s">
        <v>239</v>
      </c>
      <c r="C15" s="75" t="s">
        <v>241</v>
      </c>
      <c r="D15" s="354" t="s">
        <v>81</v>
      </c>
      <c r="E15" s="75">
        <v>57.3</v>
      </c>
    </row>
    <row r="16" spans="1:7">
      <c r="A16" s="353"/>
      <c r="B16" s="354" t="s">
        <v>239</v>
      </c>
      <c r="C16" s="75" t="s">
        <v>122</v>
      </c>
      <c r="D16" s="354" t="s">
        <v>81</v>
      </c>
      <c r="E16" s="75">
        <v>56.43</v>
      </c>
    </row>
    <row r="17" spans="1:5">
      <c r="A17" s="353"/>
      <c r="B17" s="354" t="s">
        <v>239</v>
      </c>
      <c r="C17" s="75" t="s">
        <v>181</v>
      </c>
      <c r="D17" s="354" t="s">
        <v>81</v>
      </c>
      <c r="E17" s="75">
        <v>58.17</v>
      </c>
    </row>
    <row r="18" spans="1:5">
      <c r="A18" s="353"/>
      <c r="B18" s="354" t="s">
        <v>239</v>
      </c>
      <c r="C18" s="75" t="s">
        <v>213</v>
      </c>
      <c r="D18" s="354" t="s">
        <v>81</v>
      </c>
      <c r="E18" s="75">
        <v>50.289000000000001</v>
      </c>
    </row>
    <row r="19" spans="1:5">
      <c r="A19" s="353"/>
      <c r="B19" s="354" t="s">
        <v>239</v>
      </c>
      <c r="C19" s="75" t="s">
        <v>123</v>
      </c>
      <c r="D19" s="354" t="s">
        <v>118</v>
      </c>
      <c r="E19" s="75">
        <v>49.91</v>
      </c>
    </row>
    <row r="20" spans="1:5">
      <c r="A20" s="353"/>
      <c r="B20" s="354" t="s">
        <v>239</v>
      </c>
      <c r="C20" s="75" t="s">
        <v>124</v>
      </c>
      <c r="D20" s="354" t="s">
        <v>118</v>
      </c>
      <c r="E20" s="75">
        <v>44.3</v>
      </c>
    </row>
    <row r="21" spans="1:5">
      <c r="A21" s="353"/>
      <c r="B21" s="354" t="s">
        <v>239</v>
      </c>
      <c r="C21" s="75" t="s">
        <v>119</v>
      </c>
      <c r="D21" s="354" t="s">
        <v>118</v>
      </c>
      <c r="E21" s="75">
        <v>49.52</v>
      </c>
    </row>
    <row r="22" spans="1:5">
      <c r="A22" s="353"/>
      <c r="B22" s="354"/>
      <c r="C22" s="75"/>
      <c r="D22" s="354"/>
      <c r="E22" s="75"/>
    </row>
    <row r="23" spans="1:5">
      <c r="A23" s="353"/>
      <c r="B23" s="354" t="s">
        <v>239</v>
      </c>
      <c r="C23" s="75"/>
      <c r="D23" s="354" t="s">
        <v>128</v>
      </c>
      <c r="E23" s="75"/>
    </row>
    <row r="24" spans="1:5">
      <c r="A24" s="353"/>
      <c r="B24" s="354" t="s">
        <v>239</v>
      </c>
      <c r="C24" s="75" t="s">
        <v>129</v>
      </c>
      <c r="D24" s="354" t="s">
        <v>128</v>
      </c>
      <c r="E24" s="75">
        <v>26.99</v>
      </c>
    </row>
    <row r="25" spans="1:5">
      <c r="A25" s="353"/>
      <c r="B25" s="354" t="s">
        <v>239</v>
      </c>
      <c r="C25" s="75" t="s">
        <v>130</v>
      </c>
      <c r="D25" s="354" t="s">
        <v>128</v>
      </c>
      <c r="E25" s="75">
        <v>28.26</v>
      </c>
    </row>
    <row r="26" spans="1:5">
      <c r="A26" s="353"/>
      <c r="B26" s="354" t="s">
        <v>239</v>
      </c>
      <c r="C26" s="75" t="s">
        <v>131</v>
      </c>
      <c r="D26" s="354" t="s">
        <v>128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6"/>
      <c r="C37" s="354"/>
      <c r="D37" s="356"/>
      <c r="E37" s="354"/>
    </row>
    <row r="38" spans="1:5">
      <c r="A38" s="351"/>
      <c r="B38" s="356"/>
      <c r="C38" s="354"/>
      <c r="D38" s="356"/>
      <c r="E38" s="354"/>
    </row>
    <row r="39" spans="1:5">
      <c r="A39" s="351"/>
      <c r="B39" s="356"/>
      <c r="C39" s="75"/>
      <c r="D39" s="356"/>
      <c r="E39" s="75"/>
    </row>
    <row r="40" spans="1:5">
      <c r="A40" s="351"/>
      <c r="B40" s="356"/>
      <c r="C40" s="350"/>
      <c r="D40" s="356"/>
      <c r="E40" s="75"/>
    </row>
    <row r="41" spans="1:5">
      <c r="A41" s="351"/>
      <c r="B41" s="356"/>
      <c r="C41" s="354"/>
      <c r="D41" s="356"/>
      <c r="E41" s="354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7"/>
      <c r="C44" s="357"/>
      <c r="D44" s="357"/>
      <c r="E44" s="357"/>
    </row>
    <row r="45" spans="1:5">
      <c r="A45" s="351"/>
      <c r="B45" s="357"/>
      <c r="C45" s="357"/>
      <c r="D45" s="357"/>
      <c r="E45" s="357"/>
    </row>
    <row r="46" spans="1:5">
      <c r="A46" s="351"/>
      <c r="B46" s="354" t="s">
        <v>242</v>
      </c>
      <c r="C46" s="75" t="s">
        <v>116</v>
      </c>
      <c r="D46" s="354" t="s">
        <v>243</v>
      </c>
      <c r="E46" s="75">
        <v>29.38</v>
      </c>
    </row>
    <row r="47" spans="1:5">
      <c r="A47" s="351"/>
      <c r="B47" s="354" t="s">
        <v>242</v>
      </c>
      <c r="C47" s="75" t="s">
        <v>244</v>
      </c>
      <c r="D47" s="354" t="s">
        <v>243</v>
      </c>
      <c r="E47" s="75">
        <v>29.38</v>
      </c>
    </row>
    <row r="48" spans="1:5">
      <c r="A48" s="351"/>
      <c r="B48" s="354" t="s">
        <v>242</v>
      </c>
      <c r="C48" s="75" t="s">
        <v>245</v>
      </c>
      <c r="D48" s="354" t="s">
        <v>243</v>
      </c>
      <c r="E48" s="75">
        <v>29.38</v>
      </c>
    </row>
    <row r="49" spans="1:5">
      <c r="A49" s="351"/>
      <c r="B49" s="354" t="s">
        <v>242</v>
      </c>
      <c r="C49" s="75" t="s">
        <v>246</v>
      </c>
      <c r="D49" s="354" t="s">
        <v>243</v>
      </c>
      <c r="E49" s="75">
        <v>29.38</v>
      </c>
    </row>
    <row r="50" spans="1:5">
      <c r="A50" s="351"/>
      <c r="B50" s="354" t="s">
        <v>242</v>
      </c>
      <c r="C50" s="75" t="s">
        <v>247</v>
      </c>
      <c r="D50" s="354" t="s">
        <v>243</v>
      </c>
      <c r="E50" s="75">
        <v>29.38</v>
      </c>
    </row>
    <row r="51" spans="1:5">
      <c r="A51" s="351"/>
      <c r="B51" s="354" t="s">
        <v>242</v>
      </c>
      <c r="C51" s="75" t="s">
        <v>248</v>
      </c>
      <c r="D51" s="354" t="s">
        <v>243</v>
      </c>
      <c r="E51" s="75">
        <v>29.38</v>
      </c>
    </row>
    <row r="52" spans="1:5">
      <c r="A52" s="351"/>
      <c r="B52" s="354" t="s">
        <v>242</v>
      </c>
      <c r="C52" s="75"/>
      <c r="D52" s="354" t="s">
        <v>243</v>
      </c>
      <c r="E52" s="75"/>
    </row>
    <row r="53" spans="1:5">
      <c r="A53" s="351"/>
      <c r="B53" s="354" t="s">
        <v>242</v>
      </c>
      <c r="C53" s="354" t="s">
        <v>249</v>
      </c>
      <c r="D53" s="354" t="s">
        <v>243</v>
      </c>
      <c r="E53" s="75">
        <v>29.38</v>
      </c>
    </row>
    <row r="54" spans="1:5">
      <c r="A54" s="351"/>
      <c r="B54" s="354" t="s">
        <v>242</v>
      </c>
      <c r="C54" s="354"/>
      <c r="D54" s="354" t="s">
        <v>243</v>
      </c>
      <c r="E54" s="354"/>
    </row>
    <row r="55" spans="1:5">
      <c r="A55" s="351"/>
      <c r="B55" s="354" t="s">
        <v>242</v>
      </c>
      <c r="C55" s="354" t="s">
        <v>250</v>
      </c>
      <c r="D55" s="354" t="s">
        <v>243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G32"/>
  <sheetViews>
    <sheetView workbookViewId="0">
      <selection activeCell="G23" sqref="G23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84" width="10.28515625" style="347" customWidth="1"/>
    <col min="85" max="16384" width="10.28515625" style="347"/>
  </cols>
  <sheetData>
    <row r="1" spans="1:7">
      <c r="A1" s="345" t="s">
        <v>257</v>
      </c>
      <c r="B1" s="345" t="s">
        <v>24</v>
      </c>
      <c r="C1" s="345" t="s">
        <v>258</v>
      </c>
      <c r="D1" s="346"/>
      <c r="F1" s="361">
        <v>46125</v>
      </c>
    </row>
    <row r="2" spans="1:7">
      <c r="A2" s="345" t="s">
        <v>81</v>
      </c>
      <c r="B2" s="345"/>
      <c r="C2" s="345"/>
      <c r="D2" s="346"/>
    </row>
    <row r="3" spans="1:7">
      <c r="A3" s="345" t="s">
        <v>147</v>
      </c>
      <c r="B3" s="345">
        <v>14</v>
      </c>
      <c r="C3" s="345">
        <v>2118</v>
      </c>
      <c r="D3" s="348" t="s">
        <v>106</v>
      </c>
      <c r="E3" s="347" t="s">
        <v>259</v>
      </c>
      <c r="F3" s="362" t="s">
        <v>260</v>
      </c>
    </row>
    <row r="4" spans="1:7">
      <c r="A4" s="345" t="s">
        <v>125</v>
      </c>
      <c r="B4" s="345">
        <v>15</v>
      </c>
      <c r="C4" s="345">
        <v>1565</v>
      </c>
      <c r="D4" s="348" t="s">
        <v>107</v>
      </c>
    </row>
    <row r="5" spans="1:7">
      <c r="A5" s="345" t="s">
        <v>116</v>
      </c>
      <c r="B5" s="345">
        <v>12</v>
      </c>
      <c r="C5" s="345">
        <v>2118</v>
      </c>
      <c r="D5" s="346"/>
      <c r="F5" s="362" t="s">
        <v>260</v>
      </c>
    </row>
    <row r="6" spans="1:7">
      <c r="A6" s="345" t="s">
        <v>117</v>
      </c>
      <c r="B6" s="345">
        <v>11</v>
      </c>
      <c r="C6" s="345">
        <v>2118</v>
      </c>
      <c r="D6" s="346"/>
      <c r="F6" s="362" t="s">
        <v>260</v>
      </c>
    </row>
    <row r="7" spans="1:7">
      <c r="A7" s="345" t="s">
        <v>126</v>
      </c>
      <c r="B7" s="345">
        <v>16</v>
      </c>
      <c r="C7" s="345">
        <v>1800</v>
      </c>
      <c r="D7" s="346"/>
    </row>
    <row r="8" spans="1:7">
      <c r="A8" s="345" t="s">
        <v>114</v>
      </c>
      <c r="B8" s="345">
        <v>13</v>
      </c>
      <c r="C8" s="345">
        <v>2118</v>
      </c>
      <c r="D8" s="346"/>
      <c r="F8" s="362" t="s">
        <v>260</v>
      </c>
    </row>
    <row r="9" spans="1:7">
      <c r="A9" s="345" t="s">
        <v>115</v>
      </c>
      <c r="B9" s="345">
        <v>15</v>
      </c>
      <c r="C9" s="345">
        <v>1800</v>
      </c>
      <c r="D9" s="346"/>
    </row>
    <row r="10" spans="1:7">
      <c r="A10" s="345" t="s">
        <v>123</v>
      </c>
      <c r="B10" s="345">
        <v>15</v>
      </c>
      <c r="C10" s="345">
        <v>1714</v>
      </c>
      <c r="D10" s="346"/>
    </row>
    <row r="11" spans="1:7">
      <c r="A11" s="345" t="s">
        <v>122</v>
      </c>
      <c r="B11" s="345">
        <v>16</v>
      </c>
      <c r="C11" s="345">
        <v>1406</v>
      </c>
      <c r="D11" s="346"/>
    </row>
    <row r="12" spans="1:7">
      <c r="A12" s="345" t="s">
        <v>261</v>
      </c>
      <c r="B12" s="345">
        <v>15</v>
      </c>
      <c r="C12" s="345">
        <v>1714</v>
      </c>
      <c r="D12" s="346"/>
      <c r="G12" s="349"/>
    </row>
    <row r="13" spans="1:7">
      <c r="A13" s="345" t="s">
        <v>113</v>
      </c>
      <c r="B13" s="345">
        <v>14</v>
      </c>
      <c r="C13" s="345">
        <v>2118</v>
      </c>
      <c r="D13" s="346"/>
      <c r="F13" s="362" t="s">
        <v>260</v>
      </c>
    </row>
    <row r="14" spans="1:7">
      <c r="A14" s="345" t="s">
        <v>119</v>
      </c>
      <c r="B14" s="345">
        <v>17</v>
      </c>
      <c r="C14" s="345">
        <v>1440</v>
      </c>
      <c r="D14" s="346"/>
    </row>
    <row r="15" spans="1:7">
      <c r="A15" s="345" t="s">
        <v>124</v>
      </c>
      <c r="B15" s="345">
        <v>18</v>
      </c>
      <c r="C15" s="345">
        <v>1565</v>
      </c>
      <c r="D15" s="346"/>
    </row>
    <row r="16" spans="1:7">
      <c r="A16" s="350" t="s">
        <v>262</v>
      </c>
      <c r="B16" s="345">
        <v>10</v>
      </c>
      <c r="C16" s="345">
        <v>1125</v>
      </c>
      <c r="D16" s="346"/>
    </row>
    <row r="17" spans="1:5">
      <c r="A17" s="350" t="s">
        <v>120</v>
      </c>
      <c r="B17" s="345">
        <v>13</v>
      </c>
      <c r="C17" s="345">
        <v>1440</v>
      </c>
      <c r="D17" s="346"/>
    </row>
    <row r="18" spans="1:5">
      <c r="A18" s="350" t="s">
        <v>182</v>
      </c>
      <c r="B18" s="345">
        <v>16</v>
      </c>
      <c r="C18" s="345">
        <v>2000</v>
      </c>
      <c r="D18" s="346"/>
    </row>
    <row r="19" spans="1:5">
      <c r="A19" s="345" t="s">
        <v>181</v>
      </c>
      <c r="B19" s="345">
        <v>17</v>
      </c>
      <c r="C19" s="345">
        <v>2000</v>
      </c>
      <c r="D19" s="346"/>
    </row>
    <row r="20" spans="1:5">
      <c r="A20" s="345" t="s">
        <v>213</v>
      </c>
      <c r="B20" s="345">
        <v>18</v>
      </c>
      <c r="C20" s="345">
        <v>1565</v>
      </c>
      <c r="D20" s="346"/>
    </row>
    <row r="21" spans="1:5">
      <c r="A21" s="350"/>
      <c r="B21" s="345"/>
      <c r="C21" s="345"/>
      <c r="D21" s="346"/>
    </row>
    <row r="22" spans="1:5">
      <c r="A22" s="345"/>
      <c r="B22" s="345"/>
      <c r="C22" s="345"/>
      <c r="D22" s="346"/>
    </row>
    <row r="23" spans="1:5">
      <c r="A23" s="350"/>
      <c r="B23" s="345"/>
      <c r="C23" s="345"/>
      <c r="D23" s="346"/>
    </row>
    <row r="24" spans="1:5">
      <c r="A24" s="345" t="s">
        <v>263</v>
      </c>
      <c r="B24" s="345"/>
      <c r="C24" s="345"/>
      <c r="D24" s="346"/>
    </row>
    <row r="25" spans="1:5">
      <c r="A25" s="345" t="s">
        <v>129</v>
      </c>
      <c r="B25" s="345">
        <v>13</v>
      </c>
      <c r="C25" s="345">
        <v>1565</v>
      </c>
      <c r="D25" s="346"/>
    </row>
    <row r="26" spans="1:5">
      <c r="A26" s="345" t="s">
        <v>130</v>
      </c>
      <c r="B26" s="345">
        <v>12</v>
      </c>
      <c r="C26" s="345">
        <v>1565</v>
      </c>
      <c r="D26" s="346"/>
    </row>
    <row r="27" spans="1:5">
      <c r="A27" s="345" t="s">
        <v>131</v>
      </c>
      <c r="B27" s="345">
        <v>9</v>
      </c>
      <c r="C27" s="345">
        <v>1636</v>
      </c>
    </row>
    <row r="28" spans="1:5">
      <c r="A28" s="345"/>
      <c r="B28" s="345"/>
      <c r="C28" s="345"/>
    </row>
    <row r="29" spans="1:5">
      <c r="A29" s="345"/>
      <c r="B29" s="345"/>
      <c r="C29" s="345"/>
    </row>
    <row r="30" spans="1:5">
      <c r="A30" s="345"/>
      <c r="B30" s="345"/>
      <c r="C30" s="345"/>
    </row>
    <row r="31" spans="1:5">
      <c r="A31" s="345"/>
      <c r="B31" s="345"/>
      <c r="C31" s="345"/>
    </row>
    <row r="32" spans="1:5">
      <c r="E32" s="347" t="s">
        <v>264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46015</v>
      </c>
      <c r="E3" s="399"/>
      <c r="F3" s="3" t="s">
        <v>72</v>
      </c>
      <c r="G3" s="400">
        <f>範本!E1</f>
        <v>43309</v>
      </c>
      <c r="H3" s="400"/>
      <c r="I3" s="3" t="s">
        <v>2</v>
      </c>
      <c r="J3" s="401" t="e">
        <f>範本!G1</f>
        <v>#N/A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 t="e">
        <f>AVERAGE(D13:J13)</f>
        <v>#N/A</v>
      </c>
      <c r="G6" s="397"/>
      <c r="H6" s="382" t="e">
        <f>AVERAGE(D13:H13)</f>
        <v>#N/A</v>
      </c>
      <c r="I6" s="382"/>
      <c r="J6" s="382" t="e">
        <f>AVERAGE(I13:J13)</f>
        <v>#N/A</v>
      </c>
      <c r="K6" s="382"/>
      <c r="L6" s="384">
        <f>範本!Z2</f>
        <v>0</v>
      </c>
      <c r="M6" s="385">
        <f>範本!AA2</f>
        <v>0</v>
      </c>
      <c r="N6" s="387">
        <f>範本!AD2</f>
        <v>0</v>
      </c>
      <c r="O6" s="385">
        <f>範本!AE2</f>
        <v>0</v>
      </c>
    </row>
    <row r="7" spans="2:15" s="6" customFormat="1" ht="39.6" customHeight="1">
      <c r="B7" s="393"/>
      <c r="C7" s="393"/>
      <c r="D7" s="388" t="s">
        <v>87</v>
      </c>
      <c r="E7" s="388"/>
      <c r="F7" s="389">
        <f>AVERAGE(D14:J14)</f>
        <v>116.11474837607263</v>
      </c>
      <c r="G7" s="389"/>
      <c r="H7" s="390">
        <f>AVERAGE(D14:H14)</f>
        <v>117.36074805627914</v>
      </c>
      <c r="I7" s="390"/>
      <c r="J7" s="390">
        <f>AVERAGE(I14:J14)</f>
        <v>112.99974917555633</v>
      </c>
      <c r="K7" s="390"/>
      <c r="L7" s="384"/>
      <c r="M7" s="385"/>
      <c r="N7" s="387"/>
      <c r="O7" s="385"/>
    </row>
    <row r="8" spans="2:15" s="6" customFormat="1" ht="39.6" customHeight="1">
      <c r="B8" s="393"/>
      <c r="C8" s="393"/>
      <c r="D8" s="388" t="s">
        <v>27</v>
      </c>
      <c r="E8" s="388"/>
      <c r="F8" s="374" t="e">
        <f>AVERAGE(D15:J15)</f>
        <v>#N/A</v>
      </c>
      <c r="G8" s="374"/>
      <c r="H8" s="374" t="e">
        <f>AVERAGE(D15:H15)</f>
        <v>#N/A</v>
      </c>
      <c r="I8" s="374"/>
      <c r="J8" s="374" t="e">
        <f>AVERAGE(I15:J15)</f>
        <v>#N/A</v>
      </c>
      <c r="K8" s="374"/>
      <c r="L8" s="384"/>
      <c r="M8" s="385"/>
      <c r="N8" s="387"/>
      <c r="O8" s="385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68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69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70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71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72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73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72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73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64" t="s">
        <v>104</v>
      </c>
      <c r="C22" s="365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6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13</v>
      </c>
      <c r="B2" s="483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VLOOKUP(D5,產線配置圖!$A$3:$C$38,2,0)</f>
        <v>#N/A</v>
      </c>
      <c r="K5" s="46" t="e">
        <f>VLOOKUP(D5,產線配置圖!$A$3:$C$38,3,0)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5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20"/>
      <c r="AC5" s="420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03" t="e">
        <f>AG15</f>
        <v>#N/A</v>
      </c>
    </row>
    <row r="6" spans="1:34" ht="15" customHeight="1">
      <c r="A6" s="489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VLOOKUP(D6,產線配置圖!$A$3:$C$38,2,0)</f>
        <v>#N/A</v>
      </c>
      <c r="K6" s="66" t="e">
        <f>VLOOKUP(D6,產線配置圖!$A$3:$C$38,3,0)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6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53"/>
      <c r="AC6" s="453"/>
      <c r="AD6" s="149"/>
      <c r="AE6" s="149"/>
      <c r="AF6" s="307" t="e">
        <f t="shared" si="1"/>
        <v>#N/A</v>
      </c>
      <c r="AG6" s="72" t="e">
        <f t="shared" si="2"/>
        <v>#N/A</v>
      </c>
      <c r="AH6" s="405"/>
    </row>
    <row r="7" spans="1:34" ht="15" customHeight="1">
      <c r="A7" s="489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VLOOKUP(D7,產線配置圖!$A$3:$C$38,2,0)</f>
        <v>#N/A</v>
      </c>
      <c r="K7" s="80" t="e">
        <f>VLOOKUP(D7,產線配置圖!$A$3:$C$38,3,0)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6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09"/>
      <c r="AC7" s="409"/>
      <c r="AD7" s="92"/>
      <c r="AE7" s="92"/>
      <c r="AF7" s="307" t="e">
        <f t="shared" si="1"/>
        <v>#N/A</v>
      </c>
      <c r="AG7" s="72" t="e">
        <f t="shared" si="2"/>
        <v>#N/A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07"/>
    </row>
    <row r="16" spans="1:34" ht="15" customHeight="1">
      <c r="A16" s="449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VLOOKUP(D16,產線配置圖!$A$3:$C$38,2,0)</f>
        <v>#N/A</v>
      </c>
      <c r="K16" s="137" t="e">
        <f>VLOOKUP(D16,產線配置圖!$A$3:$C$38,3,0)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43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20"/>
      <c r="AC16" s="420"/>
      <c r="AD16" s="135"/>
      <c r="AE16" s="135"/>
      <c r="AF16" s="229" t="e">
        <f>N16-K16</f>
        <v>#N/A</v>
      </c>
      <c r="AG16" s="52" t="e">
        <f>N16/K16</f>
        <v>#N/A</v>
      </c>
      <c r="AH16" s="403" t="e">
        <f>AG26</f>
        <v>#N/A</v>
      </c>
    </row>
    <row r="17" spans="1:34" ht="15" customHeight="1">
      <c r="A17" s="450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VLOOKUP(D17,產線配置圖!$A$3:$C$38,2,0)</f>
        <v>#N/A</v>
      </c>
      <c r="K17" s="80" t="e">
        <f>VLOOKUP(D17,產線配置圖!$A$3:$C$38,3,0)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44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09"/>
      <c r="AC17" s="409"/>
      <c r="AD17" s="92"/>
      <c r="AE17" s="92"/>
      <c r="AF17" s="307" t="e">
        <f>N17-K17</f>
        <v>#N/A</v>
      </c>
      <c r="AG17" s="72" t="e">
        <f>N17/K17</f>
        <v>#N/A</v>
      </c>
      <c r="AH17" s="405"/>
    </row>
    <row r="18" spans="1:34" ht="15" customHeight="1">
      <c r="A18" s="450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VLOOKUP(D18,產線配置圖!$A$3:$C$38,2,0)</f>
        <v>#N/A</v>
      </c>
      <c r="K18" s="80" t="e">
        <f>VLOOKUP(D18,產線配置圖!$A$3:$C$38,3,0)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44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 t="e">
        <f>N18-K18</f>
        <v>#N/A</v>
      </c>
      <c r="AG18" s="72" t="e">
        <f>N18/K18</f>
        <v>#N/A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07"/>
    </row>
    <row r="27" spans="1:34" ht="15" customHeight="1">
      <c r="A27" s="440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VLOOKUP(D27,產線配置圖!$A$3:$C$38,2,0)</f>
        <v>#N/A</v>
      </c>
      <c r="K27" s="137" t="e">
        <f>VLOOKUP(D27,產線配置圖!$A$3:$C$38,3,0)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43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 t="e">
        <f t="shared" si="6"/>
        <v>#N/A</v>
      </c>
      <c r="AG27" s="172" t="e">
        <f t="shared" si="7"/>
        <v>#N/A</v>
      </c>
      <c r="AH27" s="403" t="e">
        <f>AG37</f>
        <v>#N/A</v>
      </c>
    </row>
    <row r="28" spans="1:34" ht="15" customHeight="1">
      <c r="A28" s="441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VLOOKUP(D28,產線配置圖!$A$3:$C$38,2,0)</f>
        <v>#N/A</v>
      </c>
      <c r="K28" s="80" t="e">
        <f>VLOOKUP(D28,產線配置圖!$A$3:$C$38,3,0)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44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09"/>
      <c r="AC28" s="409"/>
      <c r="AD28" s="92"/>
      <c r="AE28" s="92"/>
      <c r="AF28" s="311" t="e">
        <f t="shared" si="6"/>
        <v>#N/A</v>
      </c>
      <c r="AG28" s="99" t="e">
        <f t="shared" si="7"/>
        <v>#N/A</v>
      </c>
      <c r="AH28" s="404"/>
    </row>
    <row r="29" spans="1:34" ht="15" customHeight="1">
      <c r="A29" s="441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VLOOKUP(D29,產線配置圖!$A$3:$C$38,2,0)</f>
        <v>#N/A</v>
      </c>
      <c r="K29" s="80" t="e">
        <f>VLOOKUP(D29,產線配置圖!$A$3:$C$38,3,0)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44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09"/>
      <c r="AC29" s="409"/>
      <c r="AD29" s="92"/>
      <c r="AE29" s="92"/>
      <c r="AF29" s="312" t="e">
        <f t="shared" si="6"/>
        <v>#N/A</v>
      </c>
      <c r="AG29" s="99" t="e">
        <f t="shared" si="7"/>
        <v>#N/A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09"/>
      <c r="AC30" s="409"/>
      <c r="AD30" s="92"/>
      <c r="AE30" s="92"/>
      <c r="AF30" s="312">
        <f t="shared" si="6"/>
        <v>0</v>
      </c>
      <c r="AG30" s="99" t="e">
        <f t="shared" si="7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07"/>
    </row>
    <row r="38" spans="1:34" s="196" customFormat="1" ht="15" customHeight="1">
      <c r="A38" s="430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VLOOKUP(D38,產線配置圖!$A$3:$C$38,2,0)</f>
        <v>#N/A</v>
      </c>
      <c r="K38" s="188" t="e">
        <f>VLOOKUP(D38,產線配置圖!$A$3:$C$38,3,0)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33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35"/>
      <c r="AC38" s="435"/>
      <c r="AD38" s="192"/>
      <c r="AE38" s="192"/>
      <c r="AF38" s="313" t="e">
        <f>N38-K38</f>
        <v>#N/A</v>
      </c>
      <c r="AG38" s="195" t="e">
        <f>N38/K38</f>
        <v>#N/A</v>
      </c>
      <c r="AH38" s="436" t="e">
        <f>AG48</f>
        <v>#N/A</v>
      </c>
    </row>
    <row r="39" spans="1:34" s="196" customFormat="1" ht="15" customHeight="1">
      <c r="A39" s="431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VLOOKUP(D39,產線配置圖!$A$3:$C$38,2,0)</f>
        <v>#N/A</v>
      </c>
      <c r="K39" s="95" t="e">
        <f>VLOOKUP(D39,產線配置圖!$A$3:$C$38,3,0)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34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08"/>
      <c r="AC39" s="408"/>
      <c r="AD39" s="200"/>
      <c r="AE39" s="200"/>
      <c r="AF39" s="314" t="e">
        <f>N39-K39</f>
        <v>#N/A</v>
      </c>
      <c r="AG39" s="206" t="e">
        <f>N39/K39</f>
        <v>#N/A</v>
      </c>
      <c r="AH39" s="437"/>
    </row>
    <row r="40" spans="1:34" s="196" customFormat="1" ht="15" customHeight="1">
      <c r="A40" s="431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VLOOKUP(D40,產線配置圖!$A$3:$C$38,2,0)</f>
        <v>#N/A</v>
      </c>
      <c r="K40" s="95" t="e">
        <f>VLOOKUP(D40,產線配置圖!$A$3:$C$38,3,0)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6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09"/>
      <c r="AC40" s="409"/>
      <c r="AD40" s="92"/>
      <c r="AE40" s="92"/>
      <c r="AF40" s="314" t="e">
        <f>N40-K40</f>
        <v>#N/A</v>
      </c>
      <c r="AG40" s="206" t="e">
        <f>N40/K40</f>
        <v>#N/A</v>
      </c>
      <c r="AH40" s="437"/>
    </row>
    <row r="41" spans="1:34" s="196" customFormat="1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s="196" customFormat="1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s="196" customFormat="1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s="196" customFormat="1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s="196" customFormat="1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s="196" customFormat="1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s="196" customFormat="1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38"/>
    </row>
    <row r="49" spans="1:34" ht="15" customHeight="1">
      <c r="A49" s="427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VLOOKUP(D49,產線配置圖!$A$3:$C$38,2,0)</f>
        <v>#N/A</v>
      </c>
      <c r="K49" s="137" t="e">
        <f>VLOOKUP(D49,產線配置圖!$A$3:$C$38,3,0)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5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20"/>
      <c r="AC49" s="420"/>
      <c r="AD49" s="135"/>
      <c r="AE49" s="135"/>
      <c r="AF49" s="229" t="e">
        <f t="shared" si="11"/>
        <v>#N/A</v>
      </c>
      <c r="AG49" s="52" t="e">
        <f t="shared" si="12"/>
        <v>#N/A</v>
      </c>
      <c r="AH49" s="403" t="e">
        <f>AG58</f>
        <v>#N/A</v>
      </c>
    </row>
    <row r="50" spans="1:34" ht="15" customHeight="1">
      <c r="A50" s="428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VLOOKUP(D50,產線配置圖!$A$3:$C$38,2,0)</f>
        <v>#N/A</v>
      </c>
      <c r="K50" s="80" t="e">
        <f>VLOOKUP(D50,產線配置圖!$A$3:$C$38,3,0)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6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09"/>
      <c r="AC50" s="409"/>
      <c r="AD50" s="92"/>
      <c r="AE50" s="92"/>
      <c r="AF50" s="307" t="e">
        <f t="shared" si="11"/>
        <v>#N/A</v>
      </c>
      <c r="AG50" s="72" t="e">
        <f t="shared" si="12"/>
        <v>#N/A</v>
      </c>
      <c r="AH50" s="405"/>
    </row>
    <row r="51" spans="1:34" ht="15" customHeight="1">
      <c r="A51" s="428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VLOOKUP(D51,產線配置圖!$A$3:$C$38,2,0)</f>
        <v>#N/A</v>
      </c>
      <c r="K51" s="80" t="e">
        <f>VLOOKUP(D51,產線配置圖!$A$3:$C$38,3,0)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6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09"/>
      <c r="AC51" s="409"/>
      <c r="AD51" s="92"/>
      <c r="AE51" s="92"/>
      <c r="AF51" s="307" t="e">
        <f t="shared" si="11"/>
        <v>#N/A</v>
      </c>
      <c r="AG51" s="72" t="e">
        <f t="shared" si="12"/>
        <v>#N/A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07"/>
    </row>
    <row r="59" spans="1:34" ht="15" customHeight="1">
      <c r="A59" s="421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VLOOKUP(D59,產線配置圖!$A$3:$C$38,2,0)</f>
        <v>#N/A</v>
      </c>
      <c r="K59" s="137" t="e">
        <f>VLOOKUP(D59,產線配置圖!$A$3:$C$38,3,0)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5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20"/>
      <c r="AC59" s="420"/>
      <c r="AD59" s="135"/>
      <c r="AE59" s="135"/>
      <c r="AF59" s="310" t="e">
        <f>N59-K59</f>
        <v>#N/A</v>
      </c>
      <c r="AG59" s="246" t="e">
        <f>N59/K59</f>
        <v>#N/A</v>
      </c>
      <c r="AH59" s="403" t="e">
        <f>AG69</f>
        <v>#N/A</v>
      </c>
    </row>
    <row r="60" spans="1:34" ht="15" customHeight="1">
      <c r="A60" s="422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VLOOKUP(D60,產線配置圖!$A$3:$C$38,2,0)</f>
        <v>#N/A</v>
      </c>
      <c r="K60" s="80" t="e">
        <f>VLOOKUP(D60,產線配置圖!$A$3:$C$38,3,0)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25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09"/>
      <c r="AC60" s="409"/>
      <c r="AD60" s="92"/>
      <c r="AE60" s="92"/>
      <c r="AF60" s="316" t="e">
        <f>N60-K60</f>
        <v>#N/A</v>
      </c>
      <c r="AG60" s="249" t="e">
        <f>N60/K60</f>
        <v>#N/A</v>
      </c>
      <c r="AH60" s="426"/>
    </row>
    <row r="61" spans="1:34" ht="15" customHeight="1">
      <c r="A61" s="423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VLOOKUP(D61,產線配置圖!$A$3:$C$38,2,0)</f>
        <v>#N/A</v>
      </c>
      <c r="K61" s="107" t="e">
        <f>VLOOKUP(D61,產線配置圖!$A$3:$C$38,3,0)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6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09"/>
      <c r="AC61" s="409"/>
      <c r="AD61" s="92"/>
      <c r="AE61" s="92"/>
      <c r="AF61" s="317" t="e">
        <f>N61-K61</f>
        <v>#N/A</v>
      </c>
      <c r="AG61" s="247" t="e">
        <f>N61/K61</f>
        <v>#N/A</v>
      </c>
      <c r="AH61" s="405"/>
    </row>
    <row r="62" spans="1:34" ht="15" customHeight="1">
      <c r="A62" s="423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6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09"/>
      <c r="AC62" s="409"/>
      <c r="AD62" s="92"/>
      <c r="AE62" s="92"/>
      <c r="AF62" s="317">
        <f>N62-K62</f>
        <v>0</v>
      </c>
      <c r="AG62" s="247" t="e">
        <f>N62/K62</f>
        <v>#DIV/0!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07"/>
    </row>
    <row r="70" spans="1:36" ht="15" customHeight="1">
      <c r="A70" s="41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VLOOKUP(D70,產線配置圖!$A$3:$C$38,2,0)</f>
        <v>#N/A</v>
      </c>
      <c r="K70" s="137" t="e">
        <f>VLOOKUP(D70,產線配置圖!$A$3:$C$38,3,0)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5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20"/>
      <c r="AC70" s="420"/>
      <c r="AD70" s="135"/>
      <c r="AE70" s="135"/>
      <c r="AF70" s="310" t="e">
        <f>N70-K70</f>
        <v>#N/A</v>
      </c>
      <c r="AG70" s="246" t="e">
        <f>N70/K70</f>
        <v>#N/A</v>
      </c>
      <c r="AH70" s="403" t="e">
        <f>AG79</f>
        <v>#N/A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6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F0F5-6E1E-4023-8230-3DD2D6689E23}">
  <dimension ref="B1:O26"/>
  <sheetViews>
    <sheetView topLeftCell="A3" zoomScale="70" zoomScaleNormal="70" workbookViewId="0">
      <selection activeCell="F9" sqref="F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46113</v>
      </c>
      <c r="E3" s="399"/>
      <c r="F3" s="3" t="s">
        <v>72</v>
      </c>
      <c r="G3" s="400">
        <f>'0401'!E1</f>
        <v>49874</v>
      </c>
      <c r="H3" s="400"/>
      <c r="I3" s="3" t="s">
        <v>2</v>
      </c>
      <c r="J3" s="401">
        <f>'0401'!G1</f>
        <v>2342819.04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131.23172638681217</v>
      </c>
      <c r="G6" s="397"/>
      <c r="H6" s="382">
        <f>AVERAGE(D13:H13)</f>
        <v>126.76022978383271</v>
      </c>
      <c r="I6" s="382"/>
      <c r="J6" s="382">
        <f>AVERAGE(I13)</f>
        <v>153.58920940170941</v>
      </c>
      <c r="K6" s="382"/>
      <c r="L6" s="383">
        <f>SUM(D18:J18)</f>
        <v>4</v>
      </c>
      <c r="M6" s="385">
        <f>SUM(D19:J19)</f>
        <v>23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115.0184596094186</v>
      </c>
      <c r="G7" s="389"/>
      <c r="H7" s="390">
        <f>AVERAGE(D14:H14)</f>
        <v>113.76339010042527</v>
      </c>
      <c r="I7" s="390"/>
      <c r="J7" s="390">
        <f>AVERAGE(I14)</f>
        <v>121.29380715438525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0.87645314723968393</v>
      </c>
      <c r="G8" s="374"/>
      <c r="H8" s="374">
        <f>H7/H6</f>
        <v>0.89746910599979768</v>
      </c>
      <c r="I8" s="374"/>
      <c r="J8" s="374">
        <f>J7/J6</f>
        <v>0.78972870312226029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VALUE('0401'!L15)</f>
        <v>159.04395604395606</v>
      </c>
      <c r="E13" s="13">
        <f>VALUE('0401'!L26)</f>
        <v>170.39772727272725</v>
      </c>
      <c r="F13" s="13">
        <f>VALUE('0401'!L37)</f>
        <v>98.529835972850677</v>
      </c>
      <c r="G13" s="13">
        <f>VALUE('0401'!L48)</f>
        <v>96.05185185185185</v>
      </c>
      <c r="H13" s="13">
        <f>VALUE('0401'!L58)</f>
        <v>109.77777777777777</v>
      </c>
      <c r="I13" s="13">
        <f>VALUE('0401'!L69)</f>
        <v>153.58920940170941</v>
      </c>
      <c r="J13" s="13">
        <f>'0401'!L79</f>
        <v>0</v>
      </c>
    </row>
    <row r="14" spans="2:15" ht="39.950000000000003" customHeight="1">
      <c r="B14" s="368"/>
      <c r="C14" s="12" t="s">
        <v>100</v>
      </c>
      <c r="D14" s="13">
        <f>VALUE('0401'!O15)</f>
        <v>153.60715257896484</v>
      </c>
      <c r="E14" s="13">
        <f>VALUE('0401'!O26)</f>
        <v>156.94800690831173</v>
      </c>
      <c r="F14" s="13">
        <f>VALUE('0401'!O37)</f>
        <v>69.583890374331418</v>
      </c>
      <c r="G14" s="13">
        <f>VALUE('0401'!O48)</f>
        <v>84.564579020013966</v>
      </c>
      <c r="H14" s="13">
        <f>VALUE('0401'!O58)</f>
        <v>104.11332162050438</v>
      </c>
      <c r="I14" s="13">
        <f>VALUE('0401'!O69)</f>
        <v>121.29380715438525</v>
      </c>
      <c r="J14" s="13">
        <f>'0401'!O79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0.96581571786677256</v>
      </c>
      <c r="E15" s="14">
        <f t="shared" si="1"/>
        <v>0.92106866341656779</v>
      </c>
      <c r="F15" s="14">
        <f t="shared" si="1"/>
        <v>0.70622151845969638</v>
      </c>
      <c r="G15" s="14">
        <f t="shared" si="1"/>
        <v>0.88040550379439231</v>
      </c>
      <c r="H15" s="14">
        <f t="shared" si="1"/>
        <v>0.94840070302078894</v>
      </c>
      <c r="I15" s="14">
        <f t="shared" si="1"/>
        <v>0.78972870312226029</v>
      </c>
      <c r="J15" s="15">
        <f>'0401'!S70</f>
        <v>0</v>
      </c>
    </row>
    <row r="16" spans="2:15" ht="17.25" customHeight="1">
      <c r="B16" s="370" t="s">
        <v>101</v>
      </c>
      <c r="C16" s="10" t="s">
        <v>34</v>
      </c>
      <c r="D16" s="16">
        <f>'0401'!T5</f>
        <v>0.29166666666666702</v>
      </c>
      <c r="E16" s="16">
        <f>'0401'!T16</f>
        <v>0.29027777777777802</v>
      </c>
      <c r="F16" s="16">
        <f>'0401'!T27</f>
        <v>0.29166666666666702</v>
      </c>
      <c r="G16" s="16">
        <f>'0401'!T38</f>
        <v>0.33333333333333298</v>
      </c>
      <c r="H16" s="16">
        <f>'0401'!T49</f>
        <v>0.29166666666666702</v>
      </c>
      <c r="I16" s="16">
        <f>'0401'!T59</f>
        <v>0.29166666666666702</v>
      </c>
      <c r="J16" s="16">
        <f>'0401'!T70</f>
        <v>0</v>
      </c>
    </row>
    <row r="17" spans="2:10" ht="17.25" customHeight="1">
      <c r="B17" s="371"/>
      <c r="C17" s="10" t="s">
        <v>35</v>
      </c>
      <c r="D17" s="18">
        <v>0.56111111111111101</v>
      </c>
      <c r="E17" s="19">
        <v>0.56805555555555598</v>
      </c>
      <c r="F17" s="19">
        <v>0.60208333333333297</v>
      </c>
      <c r="G17" s="20">
        <v>0.63194444444444398</v>
      </c>
      <c r="H17" s="19">
        <v>0.59027777777777801</v>
      </c>
      <c r="I17" s="22">
        <v>0.66666666666666696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'0401'!Z15</f>
        <v>0</v>
      </c>
      <c r="E18" s="359">
        <f>'0401'!Z26</f>
        <v>0</v>
      </c>
      <c r="F18" s="359">
        <f>'0401'!Z37</f>
        <v>4</v>
      </c>
      <c r="G18" s="360">
        <f>'0401'!Z48</f>
        <v>0</v>
      </c>
      <c r="H18" s="360">
        <f>'0401'!Z58</f>
        <v>0</v>
      </c>
      <c r="I18" s="359">
        <f>'0401'!Z69</f>
        <v>0</v>
      </c>
      <c r="J18" s="359">
        <f>'0401'!AA79</f>
        <v>0</v>
      </c>
    </row>
    <row r="19" spans="2:10" ht="17.25" customHeight="1">
      <c r="B19" s="373"/>
      <c r="C19" s="330" t="s">
        <v>37</v>
      </c>
      <c r="D19" s="358">
        <f>'0401'!AA15</f>
        <v>0</v>
      </c>
      <c r="E19" s="359">
        <f>'0401'!AA26</f>
        <v>0</v>
      </c>
      <c r="F19" s="359">
        <f>'0401'!AA37</f>
        <v>23</v>
      </c>
      <c r="G19" s="360">
        <f>'0401'!AA48</f>
        <v>0</v>
      </c>
      <c r="H19" s="360">
        <f>'0401'!AA58</f>
        <v>0</v>
      </c>
      <c r="I19" s="359">
        <f>'0401'!AA69</f>
        <v>0</v>
      </c>
      <c r="J19" s="359">
        <f>'0401'!AB79</f>
        <v>0</v>
      </c>
    </row>
    <row r="20" spans="2:10" ht="17.25" customHeight="1">
      <c r="B20" s="372" t="s">
        <v>103</v>
      </c>
      <c r="C20" s="330" t="s">
        <v>36</v>
      </c>
      <c r="D20" s="358">
        <f>'0401'!AD15</f>
        <v>0</v>
      </c>
      <c r="E20" s="359">
        <f>'0401'!AD26</f>
        <v>0</v>
      </c>
      <c r="F20" s="359">
        <f>'0401'!AD37</f>
        <v>0</v>
      </c>
      <c r="G20" s="360">
        <f>'0401'!AD48</f>
        <v>0</v>
      </c>
      <c r="H20" s="360">
        <f>'0401'!AD58</f>
        <v>0</v>
      </c>
      <c r="I20" s="359">
        <f>'0401'!AD69</f>
        <v>0</v>
      </c>
      <c r="J20" s="359">
        <f>'0401'!AD79</f>
        <v>0</v>
      </c>
    </row>
    <row r="21" spans="2:10" ht="17.25" customHeight="1">
      <c r="B21" s="373"/>
      <c r="C21" s="330" t="s">
        <v>85</v>
      </c>
      <c r="D21" s="358">
        <f>'0401'!AE15</f>
        <v>0</v>
      </c>
      <c r="E21" s="359">
        <f>'0401'!AE26</f>
        <v>0</v>
      </c>
      <c r="F21" s="359">
        <f>'0401'!AE37</f>
        <v>0</v>
      </c>
      <c r="G21" s="360">
        <f>'0401'!AE48</f>
        <v>0</v>
      </c>
      <c r="H21" s="360">
        <f>'0401'!AE58</f>
        <v>0</v>
      </c>
      <c r="I21" s="359">
        <f>'0401'!AE69</f>
        <v>0</v>
      </c>
      <c r="J21" s="359">
        <f>'0401'!AE79</f>
        <v>0</v>
      </c>
    </row>
    <row r="22" spans="2:10" ht="17.25" customHeight="1">
      <c r="B22" s="364" t="s">
        <v>104</v>
      </c>
      <c r="C22" s="365"/>
      <c r="D22" s="23">
        <f>VALUE('0401'!M15)</f>
        <v>13.333333333333334</v>
      </c>
      <c r="E22" s="23">
        <f>VALUE('0401'!M26)</f>
        <v>12.25</v>
      </c>
      <c r="F22" s="23">
        <f>VALUE('0401'!M37)</f>
        <v>14.25</v>
      </c>
      <c r="G22" s="23">
        <f>VALUE('0401'!M48)</f>
        <v>17</v>
      </c>
      <c r="H22" s="23">
        <f>VALUE('0401'!M58)</f>
        <v>15.666666666666666</v>
      </c>
      <c r="I22" s="23">
        <f>VALUE('0401'!M69)</f>
        <v>11.75</v>
      </c>
      <c r="J22" s="23">
        <f>'0401'!M79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F635-CD4E-4B33-905F-90A6DC1BE7D9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U72" sqref="U72"/>
      <selection pane="topRight" activeCell="U72" sqref="U72"/>
      <selection pane="bottomLeft" activeCell="U72" sqref="U72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49874</v>
      </c>
      <c r="F1" s="30" t="s">
        <v>2</v>
      </c>
      <c r="G1" s="31">
        <f>SUM(H5:H79)</f>
        <v>2342819.04</v>
      </c>
      <c r="H1" s="32" t="s">
        <v>3</v>
      </c>
      <c r="I1" s="33">
        <f>M15+M26+M48+M58+M69+M79+M37</f>
        <v>84.25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112</v>
      </c>
      <c r="B2" s="483"/>
      <c r="C2" s="28"/>
      <c r="D2" s="28" t="s">
        <v>14</v>
      </c>
      <c r="E2" s="35">
        <f>AVERAGE(O15,O26,O37,O48,O58,O69,O79)</f>
        <v>115.0184596094186</v>
      </c>
      <c r="F2" s="36" t="s">
        <v>15</v>
      </c>
      <c r="G2" s="37">
        <f>G1/E1</f>
        <v>46.974757188114047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4</v>
      </c>
      <c r="AA2" s="339">
        <f>AA15+AA26+AA37+AA48+AA58+AA69+AA79</f>
        <v>23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3654</v>
      </c>
      <c r="H5" s="43">
        <f>F5*G5</f>
        <v>209045.34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1993.0909090909061</v>
      </c>
      <c r="O5" s="47">
        <f>N5/M5</f>
        <v>142.36363636363615</v>
      </c>
      <c r="P5" s="49">
        <f>M5-J5</f>
        <v>0</v>
      </c>
      <c r="Q5" s="50">
        <f>O5-L5</f>
        <v>-8.922077922078131</v>
      </c>
      <c r="R5" s="51">
        <f>O5/L5</f>
        <v>0.94102498068503593</v>
      </c>
      <c r="S5" s="415">
        <f>R15</f>
        <v>0.96581571786677256</v>
      </c>
      <c r="T5" s="319">
        <v>0.29166666666666702</v>
      </c>
      <c r="U5" s="320">
        <v>0.36805555555555602</v>
      </c>
      <c r="V5" s="53"/>
      <c r="W5" s="54">
        <f t="shared" ref="W5:W14" si="0">(U5-T5)*24*60</f>
        <v>110.00000000000017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-124.90909090909395</v>
      </c>
      <c r="AG5" s="52">
        <f t="shared" ref="AG5:AG11" si="2">N5/K5</f>
        <v>0.94102498068503593</v>
      </c>
      <c r="AH5" s="403">
        <f>AG15</f>
        <v>0.96522546221958849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5197</v>
      </c>
      <c r="H6" s="63">
        <f>F6*G6</f>
        <v>255380.58000000002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2092.7516778523527</v>
      </c>
      <c r="O6" s="67">
        <f>N6/M6</f>
        <v>160.98089829633483</v>
      </c>
      <c r="P6" s="69">
        <f>M6-J6</f>
        <v>0</v>
      </c>
      <c r="Q6" s="70">
        <f>O6-L6</f>
        <v>-1.9421786267421055</v>
      </c>
      <c r="R6" s="71">
        <f>O6/L6</f>
        <v>0.98807916801338647</v>
      </c>
      <c r="S6" s="416"/>
      <c r="T6" s="16">
        <v>0.375</v>
      </c>
      <c r="U6" s="16">
        <v>0.47847222222222202</v>
      </c>
      <c r="V6" s="30">
        <f>(T6-U5)*24*60</f>
        <v>9.999999999999325</v>
      </c>
      <c r="W6" s="73">
        <f t="shared" si="0"/>
        <v>148.99999999999972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-25.248322147647286</v>
      </c>
      <c r="AG6" s="72">
        <f t="shared" si="2"/>
        <v>0.98807916801338658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853</v>
      </c>
      <c r="H7" s="78">
        <f>F7*G7</f>
        <v>41916.42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2047.2000000000071</v>
      </c>
      <c r="O7" s="81">
        <f>N7/M7</f>
        <v>157.47692307692361</v>
      </c>
      <c r="P7" s="74">
        <f>M7-J7</f>
        <v>0</v>
      </c>
      <c r="Q7" s="83">
        <f>O7-L7</f>
        <v>-5.4461538461533223</v>
      </c>
      <c r="R7" s="72">
        <f>O7/L7</f>
        <v>0.96657223796034319</v>
      </c>
      <c r="S7" s="416"/>
      <c r="T7" s="18">
        <v>0.54374999999999996</v>
      </c>
      <c r="U7" s="18">
        <v>0.56111111111111101</v>
      </c>
      <c r="V7" s="30">
        <f>(T7-U6)*24*60</f>
        <v>94.000000000000227</v>
      </c>
      <c r="W7" s="73">
        <f t="shared" si="0"/>
        <v>24.999999999999911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-70.799999999992906</v>
      </c>
      <c r="AG7" s="72">
        <f t="shared" si="2"/>
        <v>0.96657223796034331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13.333333333333334</v>
      </c>
      <c r="K15" s="120">
        <f t="shared" si="3"/>
        <v>2118</v>
      </c>
      <c r="L15" s="117">
        <f t="shared" si="3"/>
        <v>159.04395604395606</v>
      </c>
      <c r="M15" s="120">
        <f t="shared" si="3"/>
        <v>13.333333333333334</v>
      </c>
      <c r="N15" s="120">
        <f t="shared" si="3"/>
        <v>2044.3475289810885</v>
      </c>
      <c r="O15" s="117">
        <f t="shared" si="3"/>
        <v>153.60715257896484</v>
      </c>
      <c r="P15" s="121">
        <f>M15-J15</f>
        <v>0</v>
      </c>
      <c r="Q15" s="122">
        <f>O15-L15</f>
        <v>-5.4368034649912147</v>
      </c>
      <c r="R15" s="123">
        <f>O15/L15</f>
        <v>0.96581571786677256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-73.652471018911456</v>
      </c>
      <c r="AG15" s="124">
        <f>N15/K15</f>
        <v>0.96522546221958849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115</v>
      </c>
      <c r="E16" s="132"/>
      <c r="F16" s="129">
        <f>VLOOKUP(D16,廠價表!$C$1:$E$43,3,0)</f>
        <v>56.28</v>
      </c>
      <c r="G16" s="133">
        <v>717</v>
      </c>
      <c r="H16" s="134">
        <f>F16*G16</f>
        <v>40352.76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>K16/J16</f>
        <v>120</v>
      </c>
      <c r="M16" s="139">
        <v>15</v>
      </c>
      <c r="N16" s="140">
        <f>G16/W16*60</f>
        <v>1483.448275862062</v>
      </c>
      <c r="O16" s="141">
        <f>N16/M16</f>
        <v>98.896551724137467</v>
      </c>
      <c r="P16" s="142">
        <f>M16-J16</f>
        <v>0</v>
      </c>
      <c r="Q16" s="143">
        <f>O16-L16</f>
        <v>-21.103448275862533</v>
      </c>
      <c r="R16" s="144">
        <f>O16/L16</f>
        <v>0.82413793103447885</v>
      </c>
      <c r="S16" s="443">
        <f>R26</f>
        <v>0.92106866341656779</v>
      </c>
      <c r="T16" s="145">
        <v>0.29027777777777802</v>
      </c>
      <c r="U16" s="145">
        <v>0.31041666666666701</v>
      </c>
      <c r="V16" s="135"/>
      <c r="W16" s="146">
        <f t="shared" ref="W16:W78" si="4">(U16-T16)*24*60</f>
        <v>29.000000000000135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-316.55172413793798</v>
      </c>
      <c r="AG16" s="52">
        <f>N16/K16</f>
        <v>0.82413793103447885</v>
      </c>
      <c r="AH16" s="403">
        <f>AG26</f>
        <v>0.91606240460454402</v>
      </c>
    </row>
    <row r="17" spans="1:34" ht="15" customHeight="1">
      <c r="A17" s="450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3803</v>
      </c>
      <c r="H17" s="78">
        <f>F17*G17</f>
        <v>192698.01</v>
      </c>
      <c r="I17" s="30"/>
      <c r="J17" s="79">
        <f>VLOOKUP(D17,產線配置圖!$A$3:$C$38,2,0)</f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2019.2920353982361</v>
      </c>
      <c r="O17" s="96">
        <f>N17/M17</f>
        <v>168.27433628318633</v>
      </c>
      <c r="P17" s="97">
        <f>M17-J17</f>
        <v>0</v>
      </c>
      <c r="Q17" s="98">
        <f>O17-L17</f>
        <v>-8.2256637168136706</v>
      </c>
      <c r="R17" s="99">
        <f>O17/L17</f>
        <v>0.95339567299255712</v>
      </c>
      <c r="S17" s="444"/>
      <c r="T17" s="19">
        <v>0.31736111111111098</v>
      </c>
      <c r="U17" s="19">
        <v>0.39583333333333298</v>
      </c>
      <c r="V17" s="30">
        <f>(T17-U16)*24*60</f>
        <v>9.999999999999325</v>
      </c>
      <c r="W17" s="149">
        <f t="shared" si="4"/>
        <v>112.99999999999967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-98.707964601763933</v>
      </c>
      <c r="AG17" s="72">
        <f>N17/K17</f>
        <v>0.95339567299255712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3712</v>
      </c>
      <c r="H18" s="78">
        <f>F18*G18</f>
        <v>187047.67999999999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2024.7272727272696</v>
      </c>
      <c r="O18" s="96">
        <f>N18/M18</f>
        <v>184.06611570247904</v>
      </c>
      <c r="P18" s="97">
        <f>M18-J18</f>
        <v>0</v>
      </c>
      <c r="Q18" s="98">
        <f>O18-L18</f>
        <v>-8.4793388429754941</v>
      </c>
      <c r="R18" s="99">
        <f>O18/L18</f>
        <v>0.95596188514035385</v>
      </c>
      <c r="S18" s="444"/>
      <c r="T18" s="19">
        <v>0.40277777777777801</v>
      </c>
      <c r="U18" s="19">
        <v>0.47916666666666702</v>
      </c>
      <c r="V18" s="30">
        <f>(T18-U17)*24*60</f>
        <v>10.000000000000844</v>
      </c>
      <c r="W18" s="149">
        <f t="shared" si="4"/>
        <v>110.00000000000017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-93.272727272730435</v>
      </c>
      <c r="AG18" s="72">
        <f>N18/K18</f>
        <v>0.95596188514035385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1230</v>
      </c>
      <c r="H19" s="78">
        <f>F19*G19</f>
        <v>61979.7</v>
      </c>
      <c r="I19" s="30"/>
      <c r="J19" s="79">
        <f>VLOOKUP(D19,產線配置圖!$A$3:$C$38,2,0)</f>
        <v>11</v>
      </c>
      <c r="K19" s="80">
        <f>VLOOKUP(D19,產線配置圖!$A$3:$C$38,3,0)</f>
        <v>2118</v>
      </c>
      <c r="L19" s="81">
        <f>K19/J19</f>
        <v>192.54545454545453</v>
      </c>
      <c r="M19" s="148">
        <v>11</v>
      </c>
      <c r="N19" s="95">
        <f>G19/W19*60</f>
        <v>1942.105263157885</v>
      </c>
      <c r="O19" s="96">
        <f>N19/M19</f>
        <v>176.55502392344408</v>
      </c>
      <c r="P19" s="97">
        <f>M19-J19</f>
        <v>0</v>
      </c>
      <c r="Q19" s="98">
        <f>O19-L19</f>
        <v>-15.99043062201045</v>
      </c>
      <c r="R19" s="99">
        <f>O19/L19</f>
        <v>0.91695243775159818</v>
      </c>
      <c r="S19" s="444"/>
      <c r="T19" s="19">
        <v>0.54166666666666696</v>
      </c>
      <c r="U19" s="19">
        <v>0.56805555555555598</v>
      </c>
      <c r="V19" s="30">
        <f>(T19-U18)*24*60</f>
        <v>89.999999999999915</v>
      </c>
      <c r="W19" s="149">
        <f t="shared" si="4"/>
        <v>38.000000000000185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-175.89473684211498</v>
      </c>
      <c r="AG19" s="72">
        <f>N19/K19</f>
        <v>0.91695243775159818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12.25</v>
      </c>
      <c r="K26" s="155">
        <f t="shared" si="5"/>
        <v>2038.5</v>
      </c>
      <c r="L26" s="158">
        <f t="shared" si="5"/>
        <v>170.39772727272725</v>
      </c>
      <c r="M26" s="155">
        <f t="shared" si="5"/>
        <v>12.25</v>
      </c>
      <c r="N26" s="155">
        <f t="shared" si="5"/>
        <v>1867.3932117863631</v>
      </c>
      <c r="O26" s="158">
        <f t="shared" si="5"/>
        <v>156.94800690831173</v>
      </c>
      <c r="P26" s="159">
        <f>M26-J26</f>
        <v>0</v>
      </c>
      <c r="Q26" s="160">
        <f>O26-L26</f>
        <v>-13.449720364415526</v>
      </c>
      <c r="R26" s="161">
        <f>O26/L26</f>
        <v>0.92106866341656779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-171.10678821363695</v>
      </c>
      <c r="AG26" s="124">
        <f t="shared" ref="AG26:AG31" si="7">N26/K26</f>
        <v>0.91606240460454402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2250</v>
      </c>
      <c r="H27" s="134">
        <f>F27*G27</f>
        <v>111420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16</v>
      </c>
      <c r="N27" s="140">
        <f>G27/W27*60</f>
        <v>1323.5294117647127</v>
      </c>
      <c r="O27" s="141">
        <f>N27/M27</f>
        <v>82.720588235294542</v>
      </c>
      <c r="P27" s="142">
        <f>M27-J27</f>
        <v>-1</v>
      </c>
      <c r="Q27" s="143">
        <f>O27-L27</f>
        <v>-1.9852941176466317</v>
      </c>
      <c r="R27" s="144">
        <f>O27/L27</f>
        <v>0.976562500000005</v>
      </c>
      <c r="S27" s="443">
        <f>R37</f>
        <v>0.70622151845969638</v>
      </c>
      <c r="T27" s="171">
        <v>0.29166666666666702</v>
      </c>
      <c r="U27" s="171">
        <v>0.36249999999999999</v>
      </c>
      <c r="V27" s="135"/>
      <c r="W27" s="146">
        <f t="shared" si="4"/>
        <v>101.99999999999947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6"/>
        <v>-116.47058823528732</v>
      </c>
      <c r="AG27" s="172">
        <f t="shared" si="7"/>
        <v>0.91911764705882826</v>
      </c>
      <c r="AH27" s="403">
        <f>AG37</f>
        <v>0.69603302534616729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1390</v>
      </c>
      <c r="H28" s="91">
        <f>F28*G28</f>
        <v>70431.3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981.17647058823138</v>
      </c>
      <c r="O28" s="96">
        <f>N28/M28</f>
        <v>75.475113122171649</v>
      </c>
      <c r="P28" s="97">
        <f>M28-J28</f>
        <v>0</v>
      </c>
      <c r="Q28" s="98">
        <f>O28-L28</f>
        <v>-35.294117647059124</v>
      </c>
      <c r="R28" s="99">
        <f>O28/L28</f>
        <v>0.68137254901960509</v>
      </c>
      <c r="S28" s="444"/>
      <c r="T28" s="19">
        <v>0.375</v>
      </c>
      <c r="U28" s="19">
        <v>0.43402777777777801</v>
      </c>
      <c r="V28" s="92">
        <f>(T28-U27)*24*60</f>
        <v>18.000000000000014</v>
      </c>
      <c r="W28" s="149">
        <f t="shared" si="4"/>
        <v>85.000000000000341</v>
      </c>
      <c r="X28" s="174"/>
      <c r="Y28" s="301"/>
      <c r="Z28" s="335">
        <v>3</v>
      </c>
      <c r="AA28" s="335">
        <v>15</v>
      </c>
      <c r="AB28" s="409" t="s">
        <v>121</v>
      </c>
      <c r="AC28" s="409"/>
      <c r="AD28" s="92"/>
      <c r="AE28" s="92"/>
      <c r="AF28" s="311">
        <f t="shared" si="6"/>
        <v>-458.82352941176862</v>
      </c>
      <c r="AG28" s="99">
        <f t="shared" si="7"/>
        <v>0.68137254901960509</v>
      </c>
      <c r="AH28" s="404"/>
    </row>
    <row r="29" spans="1:34" ht="15" customHeight="1">
      <c r="A29" s="441"/>
      <c r="B29" s="75" t="s">
        <v>81</v>
      </c>
      <c r="C29" s="173"/>
      <c r="D29" s="59" t="s">
        <v>122</v>
      </c>
      <c r="E29" s="104"/>
      <c r="F29" s="75">
        <f>VLOOKUP(D29,廠價表!$C$1:$E$43,3,0)</f>
        <v>56.43</v>
      </c>
      <c r="G29" s="90">
        <v>1145</v>
      </c>
      <c r="H29" s="91">
        <f>F29*G29</f>
        <v>64612.35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>K29/J29</f>
        <v>87.875</v>
      </c>
      <c r="M29" s="94">
        <v>15</v>
      </c>
      <c r="N29" s="95">
        <f>G29/W29*60</f>
        <v>892.20779220777877</v>
      </c>
      <c r="O29" s="96">
        <f>N29/M29</f>
        <v>59.480519480518588</v>
      </c>
      <c r="P29" s="97">
        <f>M29-J29</f>
        <v>-1</v>
      </c>
      <c r="Q29" s="98">
        <f>O29-L29</f>
        <v>-28.394480519481412</v>
      </c>
      <c r="R29" s="99">
        <f>O29/L29</f>
        <v>0.67687646635014043</v>
      </c>
      <c r="S29" s="444"/>
      <c r="T29" s="19">
        <v>0.43958333333333299</v>
      </c>
      <c r="U29" s="19">
        <v>0.49305555555555602</v>
      </c>
      <c r="V29" s="92">
        <f>(T29-U28)*24*60</f>
        <v>7.9999999999991722</v>
      </c>
      <c r="W29" s="149">
        <f t="shared" si="4"/>
        <v>77.000000000001165</v>
      </c>
      <c r="X29" s="22"/>
      <c r="Y29" s="84"/>
      <c r="Z29" s="90"/>
      <c r="AA29" s="90"/>
      <c r="AB29" s="409" t="s">
        <v>121</v>
      </c>
      <c r="AC29" s="409"/>
      <c r="AD29" s="92"/>
      <c r="AE29" s="92"/>
      <c r="AF29" s="312">
        <f t="shared" si="6"/>
        <v>-513.79220779222123</v>
      </c>
      <c r="AG29" s="99">
        <f t="shared" si="7"/>
        <v>0.63457168720325663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920</v>
      </c>
      <c r="H30" s="91">
        <f>F30*G30</f>
        <v>46616.4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788.5714285714314</v>
      </c>
      <c r="O30" s="96">
        <f>N30/M30</f>
        <v>60.659340659340877</v>
      </c>
      <c r="P30" s="97">
        <f>M30-J30</f>
        <v>0</v>
      </c>
      <c r="Q30" s="98">
        <f>O30-L30</f>
        <v>-50.109890109889896</v>
      </c>
      <c r="R30" s="99">
        <f>O30/L30</f>
        <v>0.54761904761904956</v>
      </c>
      <c r="S30" s="444"/>
      <c r="T30" s="19">
        <v>0.55347222222222203</v>
      </c>
      <c r="U30" s="19">
        <v>0.60208333333333297</v>
      </c>
      <c r="V30" s="92">
        <f>(T30-U29)*24*60</f>
        <v>86.999999999999048</v>
      </c>
      <c r="W30" s="149">
        <f t="shared" si="4"/>
        <v>69.999999999999744</v>
      </c>
      <c r="X30" s="174">
        <v>0.49652777777777801</v>
      </c>
      <c r="Y30" s="301">
        <v>0.53819444444444398</v>
      </c>
      <c r="Z30" s="335">
        <v>1</v>
      </c>
      <c r="AA30" s="335">
        <v>8</v>
      </c>
      <c r="AB30" s="409" t="s">
        <v>121</v>
      </c>
      <c r="AC30" s="409"/>
      <c r="AD30" s="92"/>
      <c r="AE30" s="92"/>
      <c r="AF30" s="312">
        <f t="shared" si="6"/>
        <v>-651.4285714285686</v>
      </c>
      <c r="AG30" s="99">
        <f t="shared" si="7"/>
        <v>0.54761904761904956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14.75</v>
      </c>
      <c r="K37" s="155">
        <f t="shared" si="8"/>
        <v>1431.5</v>
      </c>
      <c r="L37" s="158">
        <f t="shared" si="8"/>
        <v>98.529835972850677</v>
      </c>
      <c r="M37" s="155">
        <f t="shared" si="8"/>
        <v>14.25</v>
      </c>
      <c r="N37" s="155">
        <f t="shared" si="8"/>
        <v>996.37127578303853</v>
      </c>
      <c r="O37" s="158">
        <f t="shared" si="8"/>
        <v>69.583890374331418</v>
      </c>
      <c r="P37" s="159">
        <f>M37-J37</f>
        <v>-0.5</v>
      </c>
      <c r="Q37" s="160">
        <f>N37-K37</f>
        <v>-435.12872421696147</v>
      </c>
      <c r="R37" s="161">
        <f>O37/L37</f>
        <v>0.70622151845969638</v>
      </c>
      <c r="S37" s="445"/>
      <c r="T37" s="163"/>
      <c r="U37" s="163"/>
      <c r="V37" s="164"/>
      <c r="W37" s="164"/>
      <c r="X37" s="321"/>
      <c r="Y37" s="322"/>
      <c r="Z37" s="334">
        <f>SUM(Z27:Z36)</f>
        <v>4</v>
      </c>
      <c r="AA37" s="334">
        <f>SUM(AA27:AA36)</f>
        <v>23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-435.12872421696147</v>
      </c>
      <c r="AG37" s="124">
        <f>N37/K37</f>
        <v>0.69603302534616729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2453</v>
      </c>
      <c r="H38" s="134">
        <f>F38*G38</f>
        <v>122429.23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1401.7142857142787</v>
      </c>
      <c r="O38" s="141">
        <f>N38/M38</f>
        <v>93.447619047618588</v>
      </c>
      <c r="P38" s="142">
        <f>M38-J38</f>
        <v>0</v>
      </c>
      <c r="Q38" s="143">
        <f>O38-L38</f>
        <v>-20.819047619048078</v>
      </c>
      <c r="R38" s="144">
        <f>O38/L38</f>
        <v>0.8178029671611895</v>
      </c>
      <c r="S38" s="433">
        <f>R48</f>
        <v>0.88040550379439231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-312.28571428572127</v>
      </c>
      <c r="AG38" s="195">
        <f>N38/K38</f>
        <v>0.8178029671611895</v>
      </c>
      <c r="AH38" s="436">
        <f>AG48</f>
        <v>0.88483575762549516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2557</v>
      </c>
      <c r="H39" s="91">
        <f>F39*G39</f>
        <v>113275.09999999999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1369.8214285714423</v>
      </c>
      <c r="O39" s="203">
        <f>N39/M39</f>
        <v>76.101190476191235</v>
      </c>
      <c r="P39" s="97">
        <f>M39-J39</f>
        <v>0</v>
      </c>
      <c r="Q39" s="98">
        <f>O39-L39</f>
        <v>-10.843253968253208</v>
      </c>
      <c r="R39" s="99">
        <f>O39/L39</f>
        <v>0.87528525787312605</v>
      </c>
      <c r="S39" s="434"/>
      <c r="T39" s="20">
        <v>0.41180555555555598</v>
      </c>
      <c r="U39" s="20">
        <v>0.48958333333333298</v>
      </c>
      <c r="V39" s="92">
        <f>(T39-U38)*24*60</f>
        <v>8.0000000000006111</v>
      </c>
      <c r="W39" s="205">
        <f t="shared" si="4"/>
        <v>111.99999999999888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-195.17857142855769</v>
      </c>
      <c r="AG39" s="206">
        <f>N39/K39</f>
        <v>0.87528525787312605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2903</v>
      </c>
      <c r="H40" s="91">
        <f>F40*G40</f>
        <v>128602.9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18</v>
      </c>
      <c r="N40" s="202">
        <f>G40/W40*60</f>
        <v>1514.6086956521774</v>
      </c>
      <c r="O40" s="203">
        <f>N40/M40</f>
        <v>84.144927536232075</v>
      </c>
      <c r="P40" s="97">
        <f>M40-J40</f>
        <v>0</v>
      </c>
      <c r="Q40" s="98">
        <f>O40-L40</f>
        <v>-2.7995169082123681</v>
      </c>
      <c r="R40" s="99">
        <f>O40/L40</f>
        <v>0.96780108348381944</v>
      </c>
      <c r="S40" s="416"/>
      <c r="T40" s="20">
        <v>0.55208333333333304</v>
      </c>
      <c r="U40" s="20">
        <v>0.63194444444444398</v>
      </c>
      <c r="V40" s="92">
        <f>(T40-U39)*24*60</f>
        <v>90.000000000000085</v>
      </c>
      <c r="W40" s="205">
        <f t="shared" si="4"/>
        <v>114.99999999999974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-50.391304347822597</v>
      </c>
      <c r="AG40" s="206">
        <f>N40/K40</f>
        <v>0.96780108348381944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1614.6666666666667</v>
      </c>
      <c r="L48" s="158">
        <f t="shared" si="10"/>
        <v>96.05185185185185</v>
      </c>
      <c r="M48" s="155">
        <f t="shared" si="10"/>
        <v>17</v>
      </c>
      <c r="N48" s="155">
        <f t="shared" si="10"/>
        <v>1428.714803312633</v>
      </c>
      <c r="O48" s="158">
        <f t="shared" si="10"/>
        <v>84.564579020013966</v>
      </c>
      <c r="P48" s="221">
        <f>M48-J48</f>
        <v>0</v>
      </c>
      <c r="Q48" s="222">
        <f>N48-K48</f>
        <v>-185.95186335403378</v>
      </c>
      <c r="R48" s="223">
        <f>O48/L48</f>
        <v>0.88040550379439231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-185.95186335403378</v>
      </c>
      <c r="AG48" s="162">
        <f t="shared" ref="AG48:AG53" si="12">N48/K48</f>
        <v>0.88483575762549516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VLOOKUP(D49,廠價表!$C$1:$E$43,3,0)</f>
        <v>57.21</v>
      </c>
      <c r="G49" s="228">
        <v>3165</v>
      </c>
      <c r="H49" s="134">
        <f>F49*G49</f>
        <v>181069.65</v>
      </c>
      <c r="I49" s="135"/>
      <c r="J49" s="136">
        <f>VLOOKUP(D49,產線配置圖!$A$3:$C$38,2,0)</f>
        <v>15</v>
      </c>
      <c r="K49" s="137">
        <f>VLOOKUP(D49,產線配置圖!$A$3:$C$38,3,0)</f>
        <v>1565</v>
      </c>
      <c r="L49" s="138">
        <f>K49/J49</f>
        <v>104.33333333333333</v>
      </c>
      <c r="M49" s="170">
        <v>15</v>
      </c>
      <c r="N49" s="140">
        <f>G49/W49*60</f>
        <v>1543.9024390244028</v>
      </c>
      <c r="O49" s="141">
        <f>N49/M49</f>
        <v>102.92682926829352</v>
      </c>
      <c r="P49" s="229">
        <f>M49-J49</f>
        <v>0</v>
      </c>
      <c r="Q49" s="230">
        <f>O49-L49</f>
        <v>-1.4065040650398117</v>
      </c>
      <c r="R49" s="52">
        <f>O49/L49</f>
        <v>0.98651913036703054</v>
      </c>
      <c r="S49" s="415">
        <f>R58</f>
        <v>0.94840070302078894</v>
      </c>
      <c r="T49" s="191">
        <v>0.29166666666666702</v>
      </c>
      <c r="U49" s="191">
        <v>0.37708333333333299</v>
      </c>
      <c r="V49" s="55"/>
      <c r="W49" s="193">
        <f t="shared" si="4"/>
        <v>122.99999999999901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1"/>
        <v>-21.097560975597162</v>
      </c>
      <c r="AG49" s="52">
        <f t="shared" si="12"/>
        <v>0.98651913036703054</v>
      </c>
      <c r="AH49" s="403">
        <f>AG58</f>
        <v>0.94763070832834784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3376</v>
      </c>
      <c r="H50" s="231">
        <f>F50*G50</f>
        <v>168698.72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1716.6101694915139</v>
      </c>
      <c r="O50" s="235">
        <f>N50/M50</f>
        <v>107.28813559321962</v>
      </c>
      <c r="P50" s="74">
        <f>M50-J50</f>
        <v>0</v>
      </c>
      <c r="Q50" s="83">
        <f>O50-L50</f>
        <v>-5.2118644067803785</v>
      </c>
      <c r="R50" s="72">
        <f>O50/L50</f>
        <v>0.95367231638417438</v>
      </c>
      <c r="S50" s="416"/>
      <c r="T50" s="21">
        <v>0.38333333333333303</v>
      </c>
      <c r="U50" s="21">
        <v>0.46527777777777801</v>
      </c>
      <c r="V50" s="30">
        <f>(T50-U49)*24*60</f>
        <v>9.000000000000048</v>
      </c>
      <c r="W50" s="236">
        <f t="shared" si="4"/>
        <v>118.00000000000078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-83.389830508486057</v>
      </c>
      <c r="AG50" s="72">
        <f t="shared" si="12"/>
        <v>0.95367231638417438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2451</v>
      </c>
      <c r="H51" s="231">
        <f>F51*G51</f>
        <v>122476.47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1634</v>
      </c>
      <c r="O51" s="235">
        <f>N51/M51</f>
        <v>102.125</v>
      </c>
      <c r="P51" s="74">
        <f>M51-J51</f>
        <v>0</v>
      </c>
      <c r="Q51" s="83">
        <f>O51-L51</f>
        <v>-10.375</v>
      </c>
      <c r="R51" s="72">
        <f>O51/L51</f>
        <v>0.90777777777777779</v>
      </c>
      <c r="S51" s="416"/>
      <c r="T51" s="21">
        <v>0.52777777777777801</v>
      </c>
      <c r="U51" s="19">
        <v>0.59027777777777801</v>
      </c>
      <c r="V51" s="30">
        <f>(T51-U50)*24*60</f>
        <v>90</v>
      </c>
      <c r="W51" s="236">
        <f t="shared" si="4"/>
        <v>90</v>
      </c>
      <c r="X51" s="22"/>
      <c r="Y51" s="84"/>
      <c r="Z51" s="90"/>
      <c r="AA51" s="90"/>
      <c r="AB51" s="494" t="s">
        <v>127</v>
      </c>
      <c r="AC51" s="409"/>
      <c r="AD51" s="92"/>
      <c r="AE51" s="92"/>
      <c r="AF51" s="307">
        <f t="shared" si="11"/>
        <v>-166</v>
      </c>
      <c r="AG51" s="72">
        <f t="shared" si="12"/>
        <v>0.90777777777777779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15.666666666666666</v>
      </c>
      <c r="K58" s="120">
        <f t="shared" si="13"/>
        <v>1721.6666666666667</v>
      </c>
      <c r="L58" s="117">
        <f t="shared" si="13"/>
        <v>109.77777777777777</v>
      </c>
      <c r="M58" s="120">
        <f t="shared" si="13"/>
        <v>15.666666666666666</v>
      </c>
      <c r="N58" s="120">
        <f t="shared" si="13"/>
        <v>1631.504202838639</v>
      </c>
      <c r="O58" s="117">
        <f t="shared" si="13"/>
        <v>104.11332162050438</v>
      </c>
      <c r="P58" s="121">
        <f>M58-J58</f>
        <v>0</v>
      </c>
      <c r="Q58" s="122">
        <f>N58-K58</f>
        <v>-90.16246382802774</v>
      </c>
      <c r="R58" s="123">
        <f>O58/L58</f>
        <v>0.94840070302078894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-90.16246382802774</v>
      </c>
      <c r="AG58" s="124">
        <f>N58/K58</f>
        <v>0.94763070832834784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3215</v>
      </c>
      <c r="H59" s="243">
        <f>F59*G59</f>
        <v>86772.849999999991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1483.8461538461675</v>
      </c>
      <c r="O59" s="138">
        <f>N59/M59</f>
        <v>114.14201183432057</v>
      </c>
      <c r="P59" s="56">
        <f>M59-J59</f>
        <v>0</v>
      </c>
      <c r="Q59" s="230">
        <f>O59-L59</f>
        <v>-6.2426035502948167</v>
      </c>
      <c r="R59" s="52">
        <f>O59/L59</f>
        <v>0.94814450724994725</v>
      </c>
      <c r="S59" s="415">
        <f>R69</f>
        <v>0.78972870312226029</v>
      </c>
      <c r="T59" s="245">
        <v>0.29166666666666702</v>
      </c>
      <c r="U59" s="245">
        <v>0.38194444444444398</v>
      </c>
      <c r="V59" s="55"/>
      <c r="W59" s="54">
        <f t="shared" si="4"/>
        <v>129.99999999999881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-81.153846153832546</v>
      </c>
      <c r="AG59" s="246">
        <f>N59/K59</f>
        <v>0.94814450724994725</v>
      </c>
      <c r="AH59" s="403">
        <f>AG69</f>
        <v>0.88801276043544919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1558</v>
      </c>
      <c r="H60" s="78">
        <f>F60*G60</f>
        <v>44029.08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1438.1538461538423</v>
      </c>
      <c r="O60" s="81">
        <f>N60/M60</f>
        <v>119.84615384615353</v>
      </c>
      <c r="P60" s="74">
        <f>M60-J60</f>
        <v>0</v>
      </c>
      <c r="Q60" s="83">
        <f>O60-L60</f>
        <v>-10.57051282051313</v>
      </c>
      <c r="R60" s="72">
        <f>O60/L60</f>
        <v>0.9189481445072476</v>
      </c>
      <c r="S60" s="425"/>
      <c r="T60" s="22">
        <v>0.39236111111111099</v>
      </c>
      <c r="U60" s="22">
        <v>0.4375</v>
      </c>
      <c r="V60" s="30">
        <f>(T60-U59)*24*60</f>
        <v>15.000000000000506</v>
      </c>
      <c r="W60" s="248">
        <f t="shared" si="4"/>
        <v>65.000000000000171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-126.84615384615768</v>
      </c>
      <c r="AG60" s="249">
        <f>N60/K60</f>
        <v>0.91894814450724749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1769</v>
      </c>
      <c r="H61" s="254">
        <f>F61*G61</f>
        <v>49991.94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1326.7500000000139</v>
      </c>
      <c r="O61" s="238">
        <f>N61/M61</f>
        <v>120.61363636363762</v>
      </c>
      <c r="P61" s="111">
        <f>M61-J61</f>
        <v>2</v>
      </c>
      <c r="Q61" s="255">
        <f>O61-L61</f>
        <v>-61.164141414140147</v>
      </c>
      <c r="R61" s="85">
        <f>O61/L61</f>
        <v>0.66352244943321437</v>
      </c>
      <c r="S61" s="416"/>
      <c r="T61" s="22">
        <v>0.44791666666666702</v>
      </c>
      <c r="U61" s="22">
        <v>0.50347222222222199</v>
      </c>
      <c r="V61" s="30">
        <f>(T61-U60)*24*60</f>
        <v>15.000000000000506</v>
      </c>
      <c r="W61" s="256">
        <f t="shared" si="4"/>
        <v>79.999999999999162</v>
      </c>
      <c r="X61" s="22"/>
      <c r="Y61" s="84"/>
      <c r="Z61" s="90"/>
      <c r="AA61" s="90"/>
      <c r="AB61" s="409" t="s">
        <v>132</v>
      </c>
      <c r="AC61" s="409"/>
      <c r="AD61" s="92"/>
      <c r="AE61" s="92"/>
      <c r="AF61" s="317">
        <f>N61-K61</f>
        <v>-309.24999999998613</v>
      </c>
      <c r="AG61" s="247">
        <f>N61/K61</f>
        <v>0.81097188264059528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1556</v>
      </c>
      <c r="H62" s="254">
        <f>F62*G62</f>
        <v>43972.560000000005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1436.3076923077222</v>
      </c>
      <c r="O62" s="238">
        <f>N62/M62</f>
        <v>130.57342657342929</v>
      </c>
      <c r="P62" s="111">
        <f>M62-J62</f>
        <v>2</v>
      </c>
      <c r="Q62" s="255">
        <f>O62-L62</f>
        <v>-51.204351204348484</v>
      </c>
      <c r="R62" s="85">
        <f>O62/L62</f>
        <v>0.71831347136972101</v>
      </c>
      <c r="S62" s="416"/>
      <c r="T62" s="22">
        <v>0.55555555555555602</v>
      </c>
      <c r="U62" s="22">
        <v>0.60069444444444398</v>
      </c>
      <c r="V62" s="30"/>
      <c r="W62" s="248">
        <f t="shared" si="4"/>
        <v>64.99999999999865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09"/>
      <c r="AD62" s="92"/>
      <c r="AE62" s="92"/>
      <c r="AF62" s="317">
        <f>N62-K62</f>
        <v>-199.69230769227784</v>
      </c>
      <c r="AG62" s="247">
        <f>N62/K62</f>
        <v>0.87793868722965906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>
        <v>0.61458333333333304</v>
      </c>
      <c r="U63" s="22">
        <v>0.66666666666666696</v>
      </c>
      <c r="V63" s="30"/>
      <c r="W63" s="248">
        <f t="shared" si="4"/>
        <v>75.000000000000853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4">AVERAGE(J59:J68)</f>
        <v>10.75</v>
      </c>
      <c r="K69" s="240">
        <f t="shared" si="14"/>
        <v>1600.5</v>
      </c>
      <c r="L69" s="268">
        <f t="shared" si="14"/>
        <v>153.58920940170941</v>
      </c>
      <c r="M69" s="240">
        <f t="shared" si="14"/>
        <v>11.75</v>
      </c>
      <c r="N69" s="240">
        <f t="shared" si="14"/>
        <v>1421.2644230769365</v>
      </c>
      <c r="O69" s="268">
        <f t="shared" si="14"/>
        <v>121.29380715438525</v>
      </c>
      <c r="P69" s="269">
        <f>M69-J69</f>
        <v>1</v>
      </c>
      <c r="Q69" s="222">
        <f>N69-K69</f>
        <v>-179.23557692306349</v>
      </c>
      <c r="R69" s="123">
        <f>O69/L69</f>
        <v>0.78972870312226029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-179.23557692306349</v>
      </c>
      <c r="AG69" s="124">
        <f>N69/K69</f>
        <v>0.88801276043544919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F54BB3-42E8-4F0D-90CC-F73970ED91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1EC6-D199-4BCF-87F3-04154BB29646}">
  <dimension ref="B1:O26"/>
  <sheetViews>
    <sheetView topLeftCell="A3" zoomScale="70" zoomScaleNormal="70" workbookViewId="0">
      <selection activeCell="AB28" sqref="AB28:AC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46114</v>
      </c>
      <c r="E3" s="399"/>
      <c r="F3" s="3" t="s">
        <v>72</v>
      </c>
      <c r="G3" s="400">
        <f>'0402'!E1</f>
        <v>45514</v>
      </c>
      <c r="H3" s="400"/>
      <c r="I3" s="3" t="s">
        <v>2</v>
      </c>
      <c r="J3" s="401">
        <f>'0402'!G1</f>
        <v>2150791.64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130.44766785955514</v>
      </c>
      <c r="G6" s="397"/>
      <c r="H6" s="382">
        <f>AVERAGE(D13:H13)</f>
        <v>125.81935955112426</v>
      </c>
      <c r="I6" s="382"/>
      <c r="J6" s="382">
        <f>AVERAGE(I13)</f>
        <v>153.58920940170941</v>
      </c>
      <c r="K6" s="382"/>
      <c r="L6" s="383">
        <f>SUM(D18:J18)</f>
        <v>2</v>
      </c>
      <c r="M6" s="385">
        <f>SUM(D19:J19)</f>
        <v>20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112.93394854306719</v>
      </c>
      <c r="G7" s="389"/>
      <c r="H7" s="390">
        <f>AVERAGE(D14:H14)</f>
        <v>111.55094748590723</v>
      </c>
      <c r="I7" s="390"/>
      <c r="J7" s="390">
        <f>AVERAGE(I14)</f>
        <v>119.84895382886697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0.86574141489946854</v>
      </c>
      <c r="G8" s="374"/>
      <c r="H8" s="374">
        <f>H7/H6</f>
        <v>0.88659605233947048</v>
      </c>
      <c r="I8" s="374"/>
      <c r="J8" s="374">
        <f>J7/J6</f>
        <v>0.78032144507889545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VALUE('0402'!L15)</f>
        <v>157.10439560439562</v>
      </c>
      <c r="E13" s="13">
        <f>VALUE('0402'!L26)</f>
        <v>170.39772727272725</v>
      </c>
      <c r="F13" s="13">
        <f>VALUE('0402'!L37)</f>
        <v>95.765045248868773</v>
      </c>
      <c r="G13" s="13">
        <f>VALUE('0402'!L48)</f>
        <v>96.05185185185185</v>
      </c>
      <c r="H13" s="13">
        <f>VALUE('0402'!L58)</f>
        <v>109.77777777777777</v>
      </c>
      <c r="I13" s="13">
        <f>VALUE('0402'!L69)</f>
        <v>153.58920940170941</v>
      </c>
      <c r="J13" s="13">
        <f>'0402'!L79</f>
        <v>0</v>
      </c>
    </row>
    <row r="14" spans="2:15" ht="39.950000000000003" customHeight="1">
      <c r="B14" s="368"/>
      <c r="C14" s="12" t="s">
        <v>100</v>
      </c>
      <c r="D14" s="13">
        <f>VALUE('0402'!O15)</f>
        <v>148.61614449380477</v>
      </c>
      <c r="E14" s="13">
        <f>VALUE('0402'!O26)</f>
        <v>147.61266619120136</v>
      </c>
      <c r="F14" s="13">
        <f>VALUE('0402'!O37)</f>
        <v>76.987957522578697</v>
      </c>
      <c r="G14" s="13">
        <f>VALUE('0402'!O48)</f>
        <v>86.465383244206578</v>
      </c>
      <c r="H14" s="13">
        <f>VALUE('0402'!O58)</f>
        <v>98.07258597774468</v>
      </c>
      <c r="I14" s="13">
        <f>VALUE('0402'!O69)</f>
        <v>119.84895382886697</v>
      </c>
      <c r="J14" s="13">
        <f>'0402'!O79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0.9459706325979248</v>
      </c>
      <c r="E15" s="14">
        <f t="shared" si="1"/>
        <v>0.86628306934482968</v>
      </c>
      <c r="F15" s="14">
        <f t="shared" si="1"/>
        <v>0.8039254544547727</v>
      </c>
      <c r="G15" s="14">
        <f t="shared" si="1"/>
        <v>0.90019485910140262</v>
      </c>
      <c r="H15" s="14">
        <f t="shared" si="1"/>
        <v>0.89337375890658111</v>
      </c>
      <c r="I15" s="14">
        <f t="shared" si="1"/>
        <v>0.78032144507889545</v>
      </c>
      <c r="J15" s="15">
        <f>'0402'!S70</f>
        <v>0</v>
      </c>
    </row>
    <row r="16" spans="2:15" ht="17.25" customHeight="1">
      <c r="B16" s="370" t="s">
        <v>101</v>
      </c>
      <c r="C16" s="10" t="s">
        <v>34</v>
      </c>
      <c r="D16" s="16">
        <f>'0402'!T5</f>
        <v>0.29166666666666702</v>
      </c>
      <c r="E16" s="16">
        <f>'0402'!T16</f>
        <v>0.29236111111111102</v>
      </c>
      <c r="F16" s="16">
        <f>'0402'!T27</f>
        <v>0.3125</v>
      </c>
      <c r="G16" s="16">
        <f>'0402'!T38</f>
        <v>0.33333333333333298</v>
      </c>
      <c r="H16" s="16">
        <f>'0402'!T49</f>
        <v>0.29097222222222202</v>
      </c>
      <c r="I16" s="16">
        <f>'0402'!T59</f>
        <v>0.29166666666666702</v>
      </c>
      <c r="J16" s="16">
        <f>'0402'!T70</f>
        <v>0</v>
      </c>
    </row>
    <row r="17" spans="2:10" ht="17.25" customHeight="1">
      <c r="B17" s="371"/>
      <c r="C17" s="10" t="s">
        <v>35</v>
      </c>
      <c r="D17" s="16">
        <v>0.48611111111111099</v>
      </c>
      <c r="E17" s="19">
        <v>0.56527777777777799</v>
      </c>
      <c r="F17" s="19">
        <v>0.61319444444444404</v>
      </c>
      <c r="G17" s="20">
        <v>0.61458333333333304</v>
      </c>
      <c r="H17" s="19">
        <v>0.593055555555556</v>
      </c>
      <c r="I17" s="22">
        <v>0.57291666666666696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'0402'!Z15</f>
        <v>0</v>
      </c>
      <c r="E18" s="359">
        <f>'0402'!Z26</f>
        <v>0</v>
      </c>
      <c r="F18" s="359">
        <f>'0402'!Z37</f>
        <v>2</v>
      </c>
      <c r="G18" s="360">
        <f>'0402'!Z48</f>
        <v>0</v>
      </c>
      <c r="H18" s="360">
        <f>'0402'!Z58</f>
        <v>0</v>
      </c>
      <c r="I18" s="359">
        <f>'0402'!Z69</f>
        <v>0</v>
      </c>
      <c r="J18" s="359">
        <f>'0402'!AA79</f>
        <v>0</v>
      </c>
    </row>
    <row r="19" spans="2:10" ht="17.25" customHeight="1">
      <c r="B19" s="373"/>
      <c r="C19" s="330" t="s">
        <v>37</v>
      </c>
      <c r="D19" s="358">
        <f>'0402'!AA15</f>
        <v>0</v>
      </c>
      <c r="E19" s="359">
        <f>'0402'!AA26</f>
        <v>0</v>
      </c>
      <c r="F19" s="359">
        <f>'0402'!AA37</f>
        <v>20</v>
      </c>
      <c r="G19" s="360">
        <f>'0402'!AA48</f>
        <v>0</v>
      </c>
      <c r="H19" s="360">
        <f>'0402'!AA58</f>
        <v>0</v>
      </c>
      <c r="I19" s="359">
        <f>'0402'!AA69</f>
        <v>0</v>
      </c>
      <c r="J19" s="359">
        <f>'0402'!AB79</f>
        <v>0</v>
      </c>
    </row>
    <row r="20" spans="2:10" ht="17.25" customHeight="1">
      <c r="B20" s="372" t="s">
        <v>103</v>
      </c>
      <c r="C20" s="330" t="s">
        <v>36</v>
      </c>
      <c r="D20" s="358">
        <f>'0402'!AD15</f>
        <v>0</v>
      </c>
      <c r="E20" s="359">
        <f>'0402'!AD26</f>
        <v>0</v>
      </c>
      <c r="F20" s="359">
        <f>'0402'!AD37</f>
        <v>0</v>
      </c>
      <c r="G20" s="360">
        <f>'0402'!AD48</f>
        <v>0</v>
      </c>
      <c r="H20" s="360">
        <f>'0402'!AD58</f>
        <v>0</v>
      </c>
      <c r="I20" s="359">
        <f>'0402'!AD69</f>
        <v>0</v>
      </c>
      <c r="J20" s="359">
        <f>'0402'!AD79</f>
        <v>0</v>
      </c>
    </row>
    <row r="21" spans="2:10" ht="17.25" customHeight="1">
      <c r="B21" s="373"/>
      <c r="C21" s="330" t="s">
        <v>85</v>
      </c>
      <c r="D21" s="358">
        <f>'0402'!AE15</f>
        <v>0</v>
      </c>
      <c r="E21" s="359">
        <f>'0402'!AE26</f>
        <v>0</v>
      </c>
      <c r="F21" s="359">
        <f>'0402'!AE37</f>
        <v>0</v>
      </c>
      <c r="G21" s="360">
        <f>'0402'!AE48</f>
        <v>0</v>
      </c>
      <c r="H21" s="360">
        <f>'0402'!AE58</f>
        <v>0</v>
      </c>
      <c r="I21" s="359">
        <f>'0402'!AE69</f>
        <v>0</v>
      </c>
      <c r="J21" s="359">
        <f>'0402'!AE79</f>
        <v>0</v>
      </c>
    </row>
    <row r="22" spans="2:10" ht="17.25" customHeight="1">
      <c r="B22" s="364" t="s">
        <v>104</v>
      </c>
      <c r="C22" s="365"/>
      <c r="D22" s="23">
        <f>VALUE('0402'!M15)</f>
        <v>13</v>
      </c>
      <c r="E22" s="23">
        <f>VALUE('0402'!M26)</f>
        <v>12.25</v>
      </c>
      <c r="F22" s="23">
        <f>VALUE('0402'!M37)</f>
        <v>14.2</v>
      </c>
      <c r="G22" s="23">
        <f>VALUE('0402'!M48)</f>
        <v>16.333333333333332</v>
      </c>
      <c r="H22" s="23">
        <f>VALUE('0402'!M58)</f>
        <v>15</v>
      </c>
      <c r="I22" s="23">
        <f>VALUE('0402'!M69)</f>
        <v>11.75</v>
      </c>
      <c r="J22" s="23">
        <f>'0402'!M79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993D-1285-4A74-A53B-9F20EC272EF7}">
  <sheetPr>
    <tabColor theme="9" tint="0.79998168889431442"/>
  </sheetPr>
  <dimension ref="A1:AJ92"/>
  <sheetViews>
    <sheetView zoomScale="69" zoomScaleNormal="69" workbookViewId="0">
      <pane xSplit="5" ySplit="4" topLeftCell="F59" activePane="bottomRight" state="frozen"/>
      <selection activeCell="AB28" sqref="AB28:AC28"/>
      <selection pane="topRight" activeCell="AB28" sqref="AB28:AC28"/>
      <selection pane="bottomLeft" activeCell="AB28" sqref="AB28:AC28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45514</v>
      </c>
      <c r="F1" s="30" t="s">
        <v>2</v>
      </c>
      <c r="G1" s="31">
        <f>SUM(H5:H79)</f>
        <v>2150791.64</v>
      </c>
      <c r="H1" s="32" t="s">
        <v>3</v>
      </c>
      <c r="I1" s="33">
        <f>M15+M26+M48+M58+M69+M79+M37</f>
        <v>82.533333333333331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133</v>
      </c>
      <c r="B2" s="483"/>
      <c r="C2" s="28"/>
      <c r="D2" s="28" t="s">
        <v>14</v>
      </c>
      <c r="E2" s="35">
        <f>AVERAGE(O15,O26,O37,O48,O58,O69,O79)</f>
        <v>112.93394854306719</v>
      </c>
      <c r="F2" s="36" t="s">
        <v>15</v>
      </c>
      <c r="G2" s="37">
        <f>G1/E1</f>
        <v>47.255605747682033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2</v>
      </c>
      <c r="AA2" s="339">
        <f>AA15+AA26+AA37+AA48+AA58+AA69+AA79</f>
        <v>20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2988</v>
      </c>
      <c r="H5" s="43">
        <f>F5*G5</f>
        <v>170943.48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13</v>
      </c>
      <c r="N5" s="46">
        <f>G5/W5*60</f>
        <v>1907.2340425532145</v>
      </c>
      <c r="O5" s="47">
        <f>N5/M5</f>
        <v>146.71031096563189</v>
      </c>
      <c r="P5" s="49">
        <f>M5-J5</f>
        <v>-1</v>
      </c>
      <c r="Q5" s="50">
        <f>O5-L5</f>
        <v>-4.5754033200823869</v>
      </c>
      <c r="R5" s="51">
        <f>O5/L5</f>
        <v>0.96975654084931373</v>
      </c>
      <c r="S5" s="415">
        <f>R15</f>
        <v>0.9459706325979248</v>
      </c>
      <c r="T5" s="319">
        <v>0.29166666666666702</v>
      </c>
      <c r="U5" s="320">
        <v>0.35694444444444401</v>
      </c>
      <c r="V5" s="53"/>
      <c r="W5" s="54">
        <f t="shared" ref="W5:W14" si="0">(U5-T5)*24*60</f>
        <v>93.999999999998863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-210.76595744678548</v>
      </c>
      <c r="AG5" s="52">
        <f t="shared" ref="AG5:AG11" si="2">N5/K5</f>
        <v>0.90048821650293409</v>
      </c>
      <c r="AH5" s="403">
        <f>AG15</f>
        <v>0.91218596714799893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5479</v>
      </c>
      <c r="H6" s="63">
        <f>F6*G6</f>
        <v>269238.06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1956.785714285709</v>
      </c>
      <c r="O6" s="67">
        <f>N6/M6</f>
        <v>150.52197802197762</v>
      </c>
      <c r="P6" s="69">
        <f>M6-J6</f>
        <v>0</v>
      </c>
      <c r="Q6" s="70">
        <f>O6-L6</f>
        <v>-12.401098901099317</v>
      </c>
      <c r="R6" s="71">
        <f>O6/L6</f>
        <v>0.92388371779306366</v>
      </c>
      <c r="S6" s="416"/>
      <c r="T6" s="16">
        <v>0.36944444444444402</v>
      </c>
      <c r="U6" s="16">
        <v>0.48611111111111099</v>
      </c>
      <c r="V6" s="30">
        <f>(T6-U5)*24*60</f>
        <v>18.000000000000014</v>
      </c>
      <c r="W6" s="73">
        <f t="shared" si="0"/>
        <v>168.00000000000045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-161.21428571429101</v>
      </c>
      <c r="AG6" s="72">
        <f t="shared" si="2"/>
        <v>0.92388371779306377</v>
      </c>
      <c r="AH6" s="405"/>
    </row>
    <row r="7" spans="1:34" ht="15" customHeight="1">
      <c r="A7" s="489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6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0</v>
      </c>
      <c r="AG7" s="72" t="e">
        <f t="shared" si="2"/>
        <v>#DIV/0!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13.5</v>
      </c>
      <c r="K15" s="120">
        <f t="shared" si="3"/>
        <v>2118</v>
      </c>
      <c r="L15" s="117">
        <f t="shared" si="3"/>
        <v>157.10439560439562</v>
      </c>
      <c r="M15" s="120">
        <f t="shared" si="3"/>
        <v>13</v>
      </c>
      <c r="N15" s="120">
        <f t="shared" si="3"/>
        <v>1932.0098784194618</v>
      </c>
      <c r="O15" s="117">
        <f t="shared" si="3"/>
        <v>148.61614449380477</v>
      </c>
      <c r="P15" s="121">
        <f>M15-J15</f>
        <v>-0.5</v>
      </c>
      <c r="Q15" s="122">
        <f>O15-L15</f>
        <v>-8.488251110590852</v>
      </c>
      <c r="R15" s="123">
        <f>O15/L15</f>
        <v>0.9459706325979248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-185.99012158053824</v>
      </c>
      <c r="AG15" s="124">
        <f>N15/K15</f>
        <v>0.91218596714799893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115</v>
      </c>
      <c r="E16" s="132"/>
      <c r="F16" s="129">
        <f>VLOOKUP(D16,廠價表!$C$1:$E$43,3,0)</f>
        <v>56.28</v>
      </c>
      <c r="G16" s="133">
        <v>631</v>
      </c>
      <c r="H16" s="134">
        <f>F16*G16</f>
        <v>35512.68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>K16/J16</f>
        <v>120</v>
      </c>
      <c r="M16" s="139">
        <v>15</v>
      </c>
      <c r="N16" s="140">
        <f>G16/W16*60</f>
        <v>1305.5172413793043</v>
      </c>
      <c r="O16" s="141">
        <f>N16/M16</f>
        <v>87.034482758620285</v>
      </c>
      <c r="P16" s="142">
        <f>M16-J16</f>
        <v>0</v>
      </c>
      <c r="Q16" s="143">
        <f>O16-L16</f>
        <v>-32.965517241379715</v>
      </c>
      <c r="R16" s="144">
        <f>O16/L16</f>
        <v>0.72528735632183572</v>
      </c>
      <c r="S16" s="443">
        <f>R26</f>
        <v>0.86628306934482968</v>
      </c>
      <c r="T16" s="145">
        <v>0.29236111111111102</v>
      </c>
      <c r="U16" s="145">
        <v>0.3125</v>
      </c>
      <c r="V16" s="135"/>
      <c r="W16" s="146">
        <f t="shared" ref="W16:W78" si="4">(U16-T16)*24*60</f>
        <v>29.000000000000135</v>
      </c>
      <c r="X16" s="141"/>
      <c r="Y16" s="296"/>
      <c r="Z16" s="169"/>
      <c r="AA16" s="169"/>
      <c r="AB16" s="420" t="s">
        <v>134</v>
      </c>
      <c r="AC16" s="420"/>
      <c r="AD16" s="135"/>
      <c r="AE16" s="135"/>
      <c r="AF16" s="229">
        <f>N16-K16</f>
        <v>-494.48275862069568</v>
      </c>
      <c r="AG16" s="52">
        <f>N16/K16</f>
        <v>0.72528735632183572</v>
      </c>
      <c r="AH16" s="403">
        <f>AG26</f>
        <v>0.85773150614109173</v>
      </c>
    </row>
    <row r="17" spans="1:34" ht="15" customHeight="1">
      <c r="A17" s="450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3560</v>
      </c>
      <c r="H17" s="78">
        <f>F17*G17</f>
        <v>180385.2</v>
      </c>
      <c r="I17" s="30"/>
      <c r="J17" s="79">
        <f>VLOOKUP(D17,產線配置圖!$A$3:$C$38,2,0)</f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1810.1694915254327</v>
      </c>
      <c r="O17" s="96">
        <f>N17/M17</f>
        <v>150.84745762711938</v>
      </c>
      <c r="P17" s="97">
        <f>M17-J17</f>
        <v>0</v>
      </c>
      <c r="Q17" s="98">
        <f>O17-L17</f>
        <v>-25.652542372880617</v>
      </c>
      <c r="R17" s="99">
        <f>O17/L17</f>
        <v>0.85465981658424584</v>
      </c>
      <c r="S17" s="444"/>
      <c r="T17" s="19">
        <v>0.31805555555555598</v>
      </c>
      <c r="U17" s="19">
        <v>0.4</v>
      </c>
      <c r="V17" s="30">
        <f>(T17-U16)*24*60</f>
        <v>8.0000000000006111</v>
      </c>
      <c r="W17" s="149">
        <f t="shared" si="4"/>
        <v>117.99999999999942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-307.8305084745673</v>
      </c>
      <c r="AG17" s="72">
        <f>N17/K17</f>
        <v>0.85465981658424584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3631</v>
      </c>
      <c r="H18" s="78">
        <f>F18*G18</f>
        <v>182966.09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2094.8076923076687</v>
      </c>
      <c r="O18" s="96">
        <f>N18/M18</f>
        <v>190.4370629370608</v>
      </c>
      <c r="P18" s="97">
        <f>M18-J18</f>
        <v>0</v>
      </c>
      <c r="Q18" s="98">
        <f>O18-L18</f>
        <v>-2.1083916083937311</v>
      </c>
      <c r="R18" s="99">
        <f>O18/L18</f>
        <v>0.98904990193940934</v>
      </c>
      <c r="S18" s="444"/>
      <c r="T18" s="19">
        <v>0.406944444444444</v>
      </c>
      <c r="U18" s="19">
        <v>0.47916666666666702</v>
      </c>
      <c r="V18" s="30">
        <f>(T18-U17)*24*60</f>
        <v>9.999999999999325</v>
      </c>
      <c r="W18" s="149">
        <f t="shared" si="4"/>
        <v>104.00000000000115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-23.192307692331269</v>
      </c>
      <c r="AG18" s="72">
        <f>N18/K18</f>
        <v>0.98904990193940923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862</v>
      </c>
      <c r="H19" s="78">
        <f>F19*G19</f>
        <v>43436.18</v>
      </c>
      <c r="I19" s="30"/>
      <c r="J19" s="79">
        <f>VLOOKUP(D19,產線配置圖!$A$3:$C$38,2,0)</f>
        <v>11</v>
      </c>
      <c r="K19" s="80">
        <f>VLOOKUP(D19,產線配置圖!$A$3:$C$38,3,0)</f>
        <v>2118</v>
      </c>
      <c r="L19" s="81">
        <f>K19/J19</f>
        <v>192.54545454545453</v>
      </c>
      <c r="M19" s="148">
        <v>11</v>
      </c>
      <c r="N19" s="95">
        <f>G19/W19*60</f>
        <v>1783.4482758620557</v>
      </c>
      <c r="O19" s="96">
        <f>N19/M19</f>
        <v>162.13166144200505</v>
      </c>
      <c r="P19" s="97">
        <f>M19-J19</f>
        <v>0</v>
      </c>
      <c r="Q19" s="98">
        <f>O19-L19</f>
        <v>-30.413793103449478</v>
      </c>
      <c r="R19" s="99">
        <f>O19/L19</f>
        <v>0.84204356745139552</v>
      </c>
      <c r="S19" s="444"/>
      <c r="T19" s="19">
        <v>0.54513888888888895</v>
      </c>
      <c r="U19" s="19">
        <v>0.56527777777777799</v>
      </c>
      <c r="V19" s="30">
        <f>(T19-U18)*24*60</f>
        <v>94.999999999999588</v>
      </c>
      <c r="W19" s="149">
        <f t="shared" si="4"/>
        <v>29.000000000000217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-334.55172413794435</v>
      </c>
      <c r="AG19" s="72">
        <f>N19/K19</f>
        <v>0.84204356745139552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12.25</v>
      </c>
      <c r="K26" s="155">
        <f t="shared" si="5"/>
        <v>2038.5</v>
      </c>
      <c r="L26" s="158">
        <f t="shared" si="5"/>
        <v>170.39772727272725</v>
      </c>
      <c r="M26" s="155">
        <f t="shared" si="5"/>
        <v>12.25</v>
      </c>
      <c r="N26" s="155">
        <f t="shared" si="5"/>
        <v>1748.4856752686155</v>
      </c>
      <c r="O26" s="158">
        <f t="shared" si="5"/>
        <v>147.61266619120136</v>
      </c>
      <c r="P26" s="159">
        <f t="shared" ref="P26:P31" si="6">M26-J26</f>
        <v>0</v>
      </c>
      <c r="Q26" s="160">
        <f t="shared" ref="Q26:Q31" si="7">O26-L26</f>
        <v>-22.785061081525896</v>
      </c>
      <c r="R26" s="161">
        <f t="shared" ref="R26:R31" si="8">O26/L26</f>
        <v>0.86628306934482968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-290.01432473138448</v>
      </c>
      <c r="AG26" s="124">
        <f t="shared" ref="AG26:AG31" si="10">N26/K26</f>
        <v>0.85773150614109173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56.43</v>
      </c>
      <c r="G27" s="169">
        <v>1164</v>
      </c>
      <c r="H27" s="134">
        <f>F27*G27</f>
        <v>65684.52</v>
      </c>
      <c r="I27" s="135"/>
      <c r="J27" s="136">
        <f>VLOOKUP(D27,產線配置圖!$A$3:$C$38,2,0)</f>
        <v>16</v>
      </c>
      <c r="K27" s="137">
        <f>VLOOKUP(D27,產線配置圖!$A$3:$C$38,3,0)</f>
        <v>1406</v>
      </c>
      <c r="L27" s="138">
        <f>K27/J27</f>
        <v>87.875</v>
      </c>
      <c r="M27" s="170">
        <v>15</v>
      </c>
      <c r="N27" s="140">
        <f>G27/W27*60</f>
        <v>1027.0588235294167</v>
      </c>
      <c r="O27" s="141">
        <f>N27/M27</f>
        <v>68.470588235294443</v>
      </c>
      <c r="P27" s="142">
        <f t="shared" si="6"/>
        <v>-1</v>
      </c>
      <c r="Q27" s="143">
        <f t="shared" si="7"/>
        <v>-19.404411764705557</v>
      </c>
      <c r="R27" s="144">
        <f t="shared" si="8"/>
        <v>0.77918165843862808</v>
      </c>
      <c r="S27" s="443">
        <f>R37</f>
        <v>0.8039254544547727</v>
      </c>
      <c r="T27" s="171">
        <v>0.3125</v>
      </c>
      <c r="U27" s="171">
        <v>0.359722222222222</v>
      </c>
      <c r="V27" s="135"/>
      <c r="W27" s="146">
        <f t="shared" si="4"/>
        <v>67.999999999999673</v>
      </c>
      <c r="X27" s="135"/>
      <c r="Y27" s="300" t="s">
        <v>46</v>
      </c>
      <c r="Z27" s="169">
        <v>1</v>
      </c>
      <c r="AA27" s="169">
        <v>10</v>
      </c>
      <c r="AB27" s="420" t="s">
        <v>121</v>
      </c>
      <c r="AC27" s="420"/>
      <c r="AD27" s="135"/>
      <c r="AE27" s="135"/>
      <c r="AF27" s="310">
        <f t="shared" si="9"/>
        <v>-378.94117647058329</v>
      </c>
      <c r="AG27" s="172">
        <f t="shared" si="10"/>
        <v>0.73048280478621386</v>
      </c>
      <c r="AH27" s="403">
        <f>AG37</f>
        <v>0.76248143693581372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1327</v>
      </c>
      <c r="H28" s="91">
        <f>F28*G28</f>
        <v>67239.09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982.9629629629635</v>
      </c>
      <c r="O28" s="96">
        <f>N28/M28</f>
        <v>75.612535612535652</v>
      </c>
      <c r="P28" s="97">
        <f t="shared" si="6"/>
        <v>0</v>
      </c>
      <c r="Q28" s="98">
        <f t="shared" si="7"/>
        <v>-35.156695156695122</v>
      </c>
      <c r="R28" s="99">
        <f t="shared" si="8"/>
        <v>0.68261316872428013</v>
      </c>
      <c r="S28" s="444"/>
      <c r="T28" s="19">
        <v>0.36805555555555602</v>
      </c>
      <c r="U28" s="19">
        <v>0.42430555555555599</v>
      </c>
      <c r="V28" s="92">
        <f>(T28-U27)*24*60</f>
        <v>12.000000000000997</v>
      </c>
      <c r="W28" s="149">
        <f t="shared" si="4"/>
        <v>80.999999999999957</v>
      </c>
      <c r="X28" s="174"/>
      <c r="Y28" s="301"/>
      <c r="Z28" s="335">
        <v>1</v>
      </c>
      <c r="AA28" s="335">
        <v>10</v>
      </c>
      <c r="AB28" s="409" t="s">
        <v>121</v>
      </c>
      <c r="AC28" s="409"/>
      <c r="AD28" s="92"/>
      <c r="AE28" s="92"/>
      <c r="AF28" s="311">
        <f t="shared" si="9"/>
        <v>-457.0370370370365</v>
      </c>
      <c r="AG28" s="99">
        <f t="shared" si="10"/>
        <v>0.68261316872428024</v>
      </c>
      <c r="AH28" s="404"/>
    </row>
    <row r="29" spans="1:34" ht="15" customHeight="1">
      <c r="A29" s="441"/>
      <c r="B29" s="75" t="s">
        <v>118</v>
      </c>
      <c r="C29" s="173"/>
      <c r="D29" s="59" t="s">
        <v>119</v>
      </c>
      <c r="E29" s="104"/>
      <c r="F29" s="75">
        <f>VLOOKUP(D29,廠價表!$C$1:$E$43,3,0)</f>
        <v>49.52</v>
      </c>
      <c r="G29" s="90">
        <v>891</v>
      </c>
      <c r="H29" s="91">
        <f>F29*G29</f>
        <v>44122.32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>K29/J29</f>
        <v>84.705882352941174</v>
      </c>
      <c r="M29" s="94">
        <v>15</v>
      </c>
      <c r="N29" s="95">
        <f>G29/W29*60</f>
        <v>1188</v>
      </c>
      <c r="O29" s="96">
        <f>N29/M29</f>
        <v>79.2</v>
      </c>
      <c r="P29" s="97">
        <f t="shared" si="6"/>
        <v>-2</v>
      </c>
      <c r="Q29" s="98">
        <f t="shared" si="7"/>
        <v>-5.5058823529411711</v>
      </c>
      <c r="R29" s="99">
        <f t="shared" si="8"/>
        <v>0.93500000000000005</v>
      </c>
      <c r="S29" s="444"/>
      <c r="T29" s="19">
        <v>0.43055555555555602</v>
      </c>
      <c r="U29" s="19">
        <v>0.46180555555555602</v>
      </c>
      <c r="V29" s="92">
        <f>(T29-U28)*24*60</f>
        <v>9.000000000000048</v>
      </c>
      <c r="W29" s="149">
        <f t="shared" si="4"/>
        <v>45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-252</v>
      </c>
      <c r="AG29" s="99">
        <f t="shared" si="10"/>
        <v>0.82499999999999996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792</v>
      </c>
      <c r="H30" s="91">
        <f>F30*G30</f>
        <v>40130.639999999999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1033.0434782608841</v>
      </c>
      <c r="O30" s="96">
        <f>N30/M30</f>
        <v>79.464882943144929</v>
      </c>
      <c r="P30" s="97">
        <f t="shared" si="6"/>
        <v>0</v>
      </c>
      <c r="Q30" s="98">
        <f t="shared" si="7"/>
        <v>-31.304347826085845</v>
      </c>
      <c r="R30" s="99">
        <f t="shared" si="8"/>
        <v>0.71739130434783616</v>
      </c>
      <c r="S30" s="444"/>
      <c r="T30" s="19">
        <v>0.52430555555555602</v>
      </c>
      <c r="U30" s="19">
        <v>0.55625000000000002</v>
      </c>
      <c r="V30" s="92">
        <f>(T30-U29)*24*60</f>
        <v>90</v>
      </c>
      <c r="W30" s="149">
        <f t="shared" si="4"/>
        <v>45.999999999999361</v>
      </c>
      <c r="X30" s="174">
        <v>0.49652777777777801</v>
      </c>
      <c r="Y30" s="301">
        <v>0.53819444444444398</v>
      </c>
      <c r="Z30" s="335"/>
      <c r="AA30" s="335"/>
      <c r="AB30" s="409" t="s">
        <v>121</v>
      </c>
      <c r="AC30" s="409"/>
      <c r="AD30" s="92"/>
      <c r="AE30" s="92"/>
      <c r="AF30" s="312">
        <f t="shared" si="9"/>
        <v>-406.95652173911594</v>
      </c>
      <c r="AG30" s="99">
        <f t="shared" si="10"/>
        <v>0.71739130434783616</v>
      </c>
      <c r="AH30" s="439"/>
    </row>
    <row r="31" spans="1:34" ht="15" customHeight="1">
      <c r="A31" s="441"/>
      <c r="B31" s="75" t="s">
        <v>118</v>
      </c>
      <c r="C31" s="88"/>
      <c r="D31" s="59" t="s">
        <v>119</v>
      </c>
      <c r="E31" s="89"/>
      <c r="F31" s="75">
        <f>VLOOKUP(D31,廠價表!$C$1:$E$43,3,0)</f>
        <v>49.52</v>
      </c>
      <c r="G31" s="90">
        <v>1500</v>
      </c>
      <c r="H31" s="91">
        <f>F31*G31</f>
        <v>74280</v>
      </c>
      <c r="I31" s="92"/>
      <c r="J31" s="79">
        <f>VLOOKUP(D31,產線配置圖!$A$3:$C$38,2,0)</f>
        <v>17</v>
      </c>
      <c r="K31" s="80">
        <f>VLOOKUP(D31,產線配置圖!$A$3:$C$38,3,0)</f>
        <v>1440</v>
      </c>
      <c r="L31" s="93">
        <f>K31/J31</f>
        <v>84.705882352941174</v>
      </c>
      <c r="M31" s="94">
        <v>15</v>
      </c>
      <c r="N31" s="95">
        <f>G31/W31*60</f>
        <v>1232.8767123287771</v>
      </c>
      <c r="O31" s="96">
        <f>N31/M31</f>
        <v>82.191780821918471</v>
      </c>
      <c r="P31" s="97">
        <f t="shared" si="6"/>
        <v>-2</v>
      </c>
      <c r="Q31" s="98">
        <f t="shared" si="7"/>
        <v>-2.5141015310227033</v>
      </c>
      <c r="R31" s="99">
        <f t="shared" si="8"/>
        <v>0.97031963470320415</v>
      </c>
      <c r="S31" s="444"/>
      <c r="T31" s="19">
        <v>0.5625</v>
      </c>
      <c r="U31" s="19">
        <v>0.61319444444444404</v>
      </c>
      <c r="V31" s="92">
        <f>(T31-U30)*24*60</f>
        <v>8.999999999999968</v>
      </c>
      <c r="W31" s="149">
        <f t="shared" si="4"/>
        <v>72.999999999999417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-207.1232876712229</v>
      </c>
      <c r="AG31" s="99">
        <f t="shared" si="10"/>
        <v>0.85616438356165081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15.2</v>
      </c>
      <c r="K37" s="155">
        <f t="shared" si="11"/>
        <v>1433.2</v>
      </c>
      <c r="L37" s="158">
        <f t="shared" si="11"/>
        <v>95.765045248868773</v>
      </c>
      <c r="M37" s="155">
        <f t="shared" si="11"/>
        <v>14.2</v>
      </c>
      <c r="N37" s="155">
        <f t="shared" si="11"/>
        <v>1092.7883954164083</v>
      </c>
      <c r="O37" s="158">
        <f t="shared" si="11"/>
        <v>76.987957522578697</v>
      </c>
      <c r="P37" s="159">
        <f>M37-J37</f>
        <v>-1</v>
      </c>
      <c r="Q37" s="160">
        <f>N37-K37</f>
        <v>-340.41160458359172</v>
      </c>
      <c r="R37" s="161">
        <f>O37/L37</f>
        <v>0.8039254544547727</v>
      </c>
      <c r="S37" s="445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20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-340.41160458359172</v>
      </c>
      <c r="AG37" s="124">
        <f>N37/K37</f>
        <v>0.76248143693581372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2516</v>
      </c>
      <c r="H38" s="134">
        <f>F38*G38</f>
        <v>125573.56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1509.5999999999874</v>
      </c>
      <c r="O38" s="141">
        <f>N38/M38</f>
        <v>100.63999999999916</v>
      </c>
      <c r="P38" s="142">
        <f>M38-J38</f>
        <v>0</v>
      </c>
      <c r="Q38" s="143">
        <f>O38-L38</f>
        <v>-13.626666666667504</v>
      </c>
      <c r="R38" s="144">
        <f>O38/L38</f>
        <v>0.88074679113184795</v>
      </c>
      <c r="S38" s="433">
        <f>R48</f>
        <v>0.90019485910140262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-204.4000000000126</v>
      </c>
      <c r="AG38" s="195">
        <f>N38/K38</f>
        <v>0.88074679113184795</v>
      </c>
      <c r="AH38" s="436">
        <f>AG48</f>
        <v>0.8687973875835131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2562</v>
      </c>
      <c r="H39" s="91">
        <f>F39*G39</f>
        <v>113496.59999999999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1397.4545454545432</v>
      </c>
      <c r="O39" s="203">
        <f>N39/M39</f>
        <v>82.203208556149605</v>
      </c>
      <c r="P39" s="97">
        <f>M39-J39</f>
        <v>-1</v>
      </c>
      <c r="Q39" s="98">
        <f>O39-L39</f>
        <v>-4.7412358882948382</v>
      </c>
      <c r="R39" s="99">
        <f>O39/L39</f>
        <v>0.94546821342536291</v>
      </c>
      <c r="S39" s="434"/>
      <c r="T39" s="20">
        <v>0.41111111111111098</v>
      </c>
      <c r="U39" s="20">
        <v>0.48749999999999999</v>
      </c>
      <c r="V39" s="92">
        <f>(T39-U38)*24*60</f>
        <v>11.999999999999478</v>
      </c>
      <c r="W39" s="205">
        <f t="shared" si="4"/>
        <v>110.00000000000017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-167.54545454545678</v>
      </c>
      <c r="AG39" s="206">
        <f>N39/K39</f>
        <v>0.89294220156839821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2169</v>
      </c>
      <c r="H40" s="91">
        <f>F40*G40</f>
        <v>96086.7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1301.4000000000067</v>
      </c>
      <c r="O40" s="203">
        <f>N40/M40</f>
        <v>76.552941176470981</v>
      </c>
      <c r="P40" s="97">
        <f>M40-J40</f>
        <v>-1</v>
      </c>
      <c r="Q40" s="98">
        <f>O40-L40</f>
        <v>-10.391503267973462</v>
      </c>
      <c r="R40" s="99">
        <f>O40/L40</f>
        <v>0.88048111257282924</v>
      </c>
      <c r="S40" s="416"/>
      <c r="T40" s="20">
        <v>0.54513888888888895</v>
      </c>
      <c r="U40" s="20">
        <v>0.61458333333333304</v>
      </c>
      <c r="V40" s="92">
        <f>(T40-U39)*24*60</f>
        <v>83.000000000000099</v>
      </c>
      <c r="W40" s="205">
        <f t="shared" si="4"/>
        <v>99.999999999999488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-263.59999999999332</v>
      </c>
      <c r="AG40" s="206">
        <f>N40/K40</f>
        <v>0.83156549520767198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1402.8181818181793</v>
      </c>
      <c r="O48" s="158">
        <f t="shared" si="13"/>
        <v>86.465383244206578</v>
      </c>
      <c r="P48" s="221">
        <f>M48-J48</f>
        <v>-0.66666666666666785</v>
      </c>
      <c r="Q48" s="222">
        <f>N48-K48</f>
        <v>-211.84848484848749</v>
      </c>
      <c r="R48" s="223">
        <f>O48/L48</f>
        <v>0.90019485910140262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-211.84848484848749</v>
      </c>
      <c r="AG48" s="162">
        <f t="shared" ref="AG48:AG53" si="15">N48/K48</f>
        <v>0.8687973875835131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VLOOKUP(D49,廠價表!$C$1:$E$43,3,0)</f>
        <v>57.21</v>
      </c>
      <c r="G49" s="228">
        <v>3319</v>
      </c>
      <c r="H49" s="134">
        <f>F49*G49</f>
        <v>189879.99</v>
      </c>
      <c r="I49" s="135"/>
      <c r="J49" s="136">
        <f>VLOOKUP(D49,產線配置圖!$A$3:$C$38,2,0)</f>
        <v>15</v>
      </c>
      <c r="K49" s="137">
        <f>VLOOKUP(D49,產線配置圖!$A$3:$C$38,3,0)</f>
        <v>1565</v>
      </c>
      <c r="L49" s="138">
        <f>K49/J49</f>
        <v>104.33333333333333</v>
      </c>
      <c r="M49" s="170">
        <v>15</v>
      </c>
      <c r="N49" s="140">
        <f>G49/W49*60</f>
        <v>1363.9726027397251</v>
      </c>
      <c r="O49" s="141">
        <f>N49/M49</f>
        <v>90.931506849314999</v>
      </c>
      <c r="P49" s="229">
        <f>M49-J49</f>
        <v>0</v>
      </c>
      <c r="Q49" s="230">
        <f>O49-L49</f>
        <v>-13.401826484018329</v>
      </c>
      <c r="R49" s="52">
        <f>O49/L49</f>
        <v>0.87154798897107033</v>
      </c>
      <c r="S49" s="415">
        <f>R58</f>
        <v>0.89337375890658111</v>
      </c>
      <c r="T49" s="191">
        <v>0.29097222222222202</v>
      </c>
      <c r="U49" s="191">
        <v>0.39236111111111099</v>
      </c>
      <c r="V49" s="55"/>
      <c r="W49" s="193">
        <f t="shared" si="4"/>
        <v>146.00000000000011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-201.02739726027494</v>
      </c>
      <c r="AG49" s="52">
        <f t="shared" si="15"/>
        <v>0.87154798897107033</v>
      </c>
      <c r="AH49" s="403">
        <f>AG58</f>
        <v>0.85445621858635257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2903</v>
      </c>
      <c r="H50" s="231">
        <f>F50*G50</f>
        <v>145062.91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1627.8504672897316</v>
      </c>
      <c r="O50" s="235">
        <f>N50/M50</f>
        <v>108.5233644859821</v>
      </c>
      <c r="P50" s="74">
        <f>M50-J50</f>
        <v>-1</v>
      </c>
      <c r="Q50" s="83">
        <f>O50-L50</f>
        <v>-3.9766355140179002</v>
      </c>
      <c r="R50" s="72">
        <f>O50/L50</f>
        <v>0.9646521287642853</v>
      </c>
      <c r="S50" s="416"/>
      <c r="T50" s="21">
        <v>0.39791666666666697</v>
      </c>
      <c r="U50" s="21">
        <v>0.47222222222222199</v>
      </c>
      <c r="V50" s="30">
        <f>(T50-U49)*24*60</f>
        <v>8.0000000000006111</v>
      </c>
      <c r="W50" s="236">
        <f t="shared" si="4"/>
        <v>106.99999999999922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-172.14953271026843</v>
      </c>
      <c r="AG50" s="72">
        <f t="shared" si="15"/>
        <v>0.90436137071651757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2298</v>
      </c>
      <c r="H51" s="231">
        <f>F51*G51</f>
        <v>114831.06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1421.443298969054</v>
      </c>
      <c r="O51" s="235">
        <f>N51/M51</f>
        <v>94.762886597936941</v>
      </c>
      <c r="P51" s="74">
        <f>M51-J51</f>
        <v>-1</v>
      </c>
      <c r="Q51" s="83">
        <f>O51-L51</f>
        <v>-17.737113402063059</v>
      </c>
      <c r="R51" s="72">
        <f>O51/L51</f>
        <v>0.8423367697594395</v>
      </c>
      <c r="S51" s="416"/>
      <c r="T51" s="21">
        <v>0.52569444444444402</v>
      </c>
      <c r="U51" s="19">
        <v>0.593055555555556</v>
      </c>
      <c r="V51" s="30">
        <f>(T51-U50)*24*60</f>
        <v>76.99999999999973</v>
      </c>
      <c r="W51" s="236">
        <f t="shared" si="4"/>
        <v>97.000000000001251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-378.55670103094599</v>
      </c>
      <c r="AG51" s="72">
        <f t="shared" si="15"/>
        <v>0.7896907216494744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0</v>
      </c>
      <c r="AG52" s="72" t="e">
        <f t="shared" si="15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15.666666666666666</v>
      </c>
      <c r="K58" s="120">
        <f t="shared" si="16"/>
        <v>1721.6666666666667</v>
      </c>
      <c r="L58" s="117">
        <f t="shared" si="16"/>
        <v>109.77777777777777</v>
      </c>
      <c r="M58" s="120">
        <f t="shared" si="16"/>
        <v>15</v>
      </c>
      <c r="N58" s="120">
        <f t="shared" si="16"/>
        <v>1471.0887896661704</v>
      </c>
      <c r="O58" s="117">
        <f t="shared" si="16"/>
        <v>98.07258597774468</v>
      </c>
      <c r="P58" s="121">
        <f>M58-J58</f>
        <v>-0.66666666666666607</v>
      </c>
      <c r="Q58" s="122">
        <f>N58-K58</f>
        <v>-250.5778770004963</v>
      </c>
      <c r="R58" s="123">
        <f>O58/L58</f>
        <v>0.89337375890658111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-250.5778770004963</v>
      </c>
      <c r="AG58" s="124">
        <f>N58/K58</f>
        <v>0.85445621858635257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2908</v>
      </c>
      <c r="H59" s="243">
        <f>F59*G59</f>
        <v>78486.92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1478.6440677966182</v>
      </c>
      <c r="O59" s="138">
        <f>N59/M59</f>
        <v>113.74185136897063</v>
      </c>
      <c r="P59" s="56">
        <f>M59-J59</f>
        <v>0</v>
      </c>
      <c r="Q59" s="230">
        <f>O59-L59</f>
        <v>-6.642764015644758</v>
      </c>
      <c r="R59" s="52">
        <f>O59/L59</f>
        <v>0.94482049060486784</v>
      </c>
      <c r="S59" s="415">
        <f>R69</f>
        <v>0.78032144507889545</v>
      </c>
      <c r="T59" s="245">
        <v>0.29166666666666702</v>
      </c>
      <c r="U59" s="245">
        <v>0.37361111111111101</v>
      </c>
      <c r="V59" s="55"/>
      <c r="W59" s="54">
        <f t="shared" si="4"/>
        <v>117.99999999999935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-86.355932203381826</v>
      </c>
      <c r="AG59" s="246">
        <f>N59/K59</f>
        <v>0.94482049060486784</v>
      </c>
      <c r="AH59" s="403">
        <f>AG69</f>
        <v>0.87812139856234728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1620</v>
      </c>
      <c r="H60" s="78">
        <f>F60*G60</f>
        <v>45781.200000000004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1450.7462686567094</v>
      </c>
      <c r="O60" s="81">
        <f>N60/M60</f>
        <v>120.89552238805912</v>
      </c>
      <c r="P60" s="74">
        <f>M60-J60</f>
        <v>0</v>
      </c>
      <c r="Q60" s="83">
        <f>O60-L60</f>
        <v>-9.5211442786075366</v>
      </c>
      <c r="R60" s="72">
        <f>O60/L60</f>
        <v>0.92699442086690709</v>
      </c>
      <c r="S60" s="425"/>
      <c r="T60" s="22">
        <v>0.390972222222222</v>
      </c>
      <c r="U60" s="22">
        <v>0.4375</v>
      </c>
      <c r="V60" s="30">
        <f>(T60-U59)*24*60</f>
        <v>24.999999999999829</v>
      </c>
      <c r="W60" s="248">
        <f t="shared" si="4"/>
        <v>67.000000000000327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-114.25373134329061</v>
      </c>
      <c r="AG60" s="249">
        <f>N60/K60</f>
        <v>0.92699442086690698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1544</v>
      </c>
      <c r="H61" s="254">
        <f>F61*G61</f>
        <v>43633.440000000002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1235.1999999999834</v>
      </c>
      <c r="O61" s="238">
        <f>N61/M61</f>
        <v>112.29090909090759</v>
      </c>
      <c r="P61" s="111">
        <f>M61-J61</f>
        <v>2</v>
      </c>
      <c r="Q61" s="255">
        <f>O61-L61</f>
        <v>-69.486868686870181</v>
      </c>
      <c r="R61" s="85">
        <f>O61/L61</f>
        <v>0.61773727494998065</v>
      </c>
      <c r="S61" s="416"/>
      <c r="T61" s="22">
        <v>0.44444444444444398</v>
      </c>
      <c r="U61" s="22">
        <v>0.49652777777777801</v>
      </c>
      <c r="V61" s="30">
        <f>(T61-U60)*24*60</f>
        <v>9.999999999999325</v>
      </c>
      <c r="W61" s="256">
        <f t="shared" si="4"/>
        <v>75.000000000001009</v>
      </c>
      <c r="X61" s="22"/>
      <c r="Y61" s="84"/>
      <c r="Z61" s="90"/>
      <c r="AA61" s="90"/>
      <c r="AB61" s="409" t="s">
        <v>132</v>
      </c>
      <c r="AC61" s="409"/>
      <c r="AD61" s="92"/>
      <c r="AE61" s="92"/>
      <c r="AF61" s="317">
        <f>N61-K61</f>
        <v>-400.80000000001655</v>
      </c>
      <c r="AG61" s="247">
        <f>N61/K61</f>
        <v>0.75501222493886522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850</v>
      </c>
      <c r="H62" s="254">
        <f>F62*G62</f>
        <v>24021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1457.1428571428357</v>
      </c>
      <c r="O62" s="238">
        <f>N62/M62</f>
        <v>132.46753246753053</v>
      </c>
      <c r="P62" s="111">
        <f>M62-J62</f>
        <v>2</v>
      </c>
      <c r="Q62" s="255">
        <f>O62-L62</f>
        <v>-49.31024531024724</v>
      </c>
      <c r="R62" s="85">
        <f>O62/L62</f>
        <v>0.72873336932015575</v>
      </c>
      <c r="S62" s="416"/>
      <c r="T62" s="22">
        <v>0.54861111111111105</v>
      </c>
      <c r="U62" s="22">
        <v>0.57291666666666696</v>
      </c>
      <c r="V62" s="30">
        <f>(T62-U61)*24*60</f>
        <v>74.999999999999574</v>
      </c>
      <c r="W62" s="248">
        <f t="shared" si="4"/>
        <v>35.000000000000512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09"/>
      <c r="AD62" s="92"/>
      <c r="AE62" s="92"/>
      <c r="AF62" s="317">
        <f>N62-K62</f>
        <v>-178.85714285716426</v>
      </c>
      <c r="AG62" s="247">
        <f>N62/K62</f>
        <v>0.89067411805796803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11.75</v>
      </c>
      <c r="N69" s="240">
        <f t="shared" si="17"/>
        <v>1405.4332983990369</v>
      </c>
      <c r="O69" s="268">
        <f t="shared" si="17"/>
        <v>119.84895382886697</v>
      </c>
      <c r="P69" s="269">
        <f>M69-J69</f>
        <v>1</v>
      </c>
      <c r="Q69" s="222">
        <f>N69-K69</f>
        <v>-195.06670160096314</v>
      </c>
      <c r="R69" s="123">
        <f>O69/L69</f>
        <v>0.78032144507889545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-195.06670160096314</v>
      </c>
      <c r="AG69" s="124">
        <f>N69/K69</f>
        <v>0.87812139856234728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D72B8-CF89-417D-986A-F31F5D9262D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F5A6-F676-4BFB-A097-6C8B535E99AB}">
  <dimension ref="B1:O26"/>
  <sheetViews>
    <sheetView zoomScale="70" zoomScaleNormal="70" workbookViewId="0">
      <selection activeCell="AB30" sqref="AB30:AC3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46115</v>
      </c>
      <c r="E3" s="399"/>
      <c r="F3" s="3" t="s">
        <v>72</v>
      </c>
      <c r="G3" s="400">
        <f>'0403'!E1</f>
        <v>43154</v>
      </c>
      <c r="H3" s="400"/>
      <c r="I3" s="3" t="s">
        <v>2</v>
      </c>
      <c r="J3" s="401">
        <f>'0403'!G1</f>
        <v>2050535.5000000002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131.20661847683905</v>
      </c>
      <c r="G6" s="397"/>
      <c r="H6" s="382">
        <f>AVERAGE(D13:H13)</f>
        <v>126.73010029186499</v>
      </c>
      <c r="I6" s="382"/>
      <c r="J6" s="382">
        <f>AVERAGE(I13)</f>
        <v>153.58920940170941</v>
      </c>
      <c r="K6" s="382"/>
      <c r="L6" s="383">
        <f>SUM(D18:J18)</f>
        <v>4</v>
      </c>
      <c r="M6" s="385">
        <f>SUM(D19:J19)</f>
        <v>17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110.42053616421958</v>
      </c>
      <c r="G7" s="389"/>
      <c r="H7" s="390">
        <f>AVERAGE(D14:H14)</f>
        <v>110.26536267778269</v>
      </c>
      <c r="I7" s="390"/>
      <c r="J7" s="390">
        <f>AVERAGE(I14)</f>
        <v>111.19640359640401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0.84157748630425466</v>
      </c>
      <c r="G8" s="374"/>
      <c r="H8" s="374">
        <f>H7/H6</f>
        <v>0.87008029208401727</v>
      </c>
      <c r="I8" s="374"/>
      <c r="J8" s="374">
        <f>J7/J6</f>
        <v>0.72398578018311244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VALUE('0403'!L15)</f>
        <v>157.10439560439562</v>
      </c>
      <c r="E13" s="13">
        <f>VALUE('0403'!L26)</f>
        <v>170.39772727272725</v>
      </c>
      <c r="F13" s="13">
        <f>VALUE('0403'!L37)</f>
        <v>95.765045248868773</v>
      </c>
      <c r="G13" s="13">
        <f>VALUE('0403'!L48)</f>
        <v>100.60555555555555</v>
      </c>
      <c r="H13" s="13">
        <f>VALUE('0403'!L58)</f>
        <v>109.77777777777777</v>
      </c>
      <c r="I13" s="13">
        <f>VALUE('0403'!L69)</f>
        <v>153.58920940170941</v>
      </c>
      <c r="J13" s="13">
        <f>'0403'!L79</f>
        <v>0</v>
      </c>
    </row>
    <row r="14" spans="2:15" ht="39.950000000000003" customHeight="1">
      <c r="B14" s="368"/>
      <c r="C14" s="12" t="s">
        <v>100</v>
      </c>
      <c r="D14" s="13">
        <f>VALUE('0403'!O15)</f>
        <v>143.16145393068473</v>
      </c>
      <c r="E14" s="13">
        <f>VALUE('0403'!O26)</f>
        <v>143.58311688311665</v>
      </c>
      <c r="F14" s="13">
        <f>VALUE('0403'!O37)</f>
        <v>66.581404267374879</v>
      </c>
      <c r="G14" s="13">
        <f>VALUE('0403'!O48)</f>
        <v>90.403800611153358</v>
      </c>
      <c r="H14" s="13">
        <f>VALUE('0403'!O58)</f>
        <v>107.59703769658381</v>
      </c>
      <c r="I14" s="13">
        <f>VALUE('0403'!O69)</f>
        <v>111.19640359640401</v>
      </c>
      <c r="J14" s="13">
        <f>'0403'!O79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0.91125046743554783</v>
      </c>
      <c r="E15" s="14">
        <f t="shared" si="1"/>
        <v>0.84263516410231853</v>
      </c>
      <c r="F15" s="14">
        <f t="shared" si="1"/>
        <v>0.6952579001487118</v>
      </c>
      <c r="G15" s="14">
        <f t="shared" si="1"/>
        <v>0.89859650505315614</v>
      </c>
      <c r="H15" s="14">
        <f t="shared" si="1"/>
        <v>0.98013495877454893</v>
      </c>
      <c r="I15" s="14">
        <f t="shared" si="1"/>
        <v>0.72398578018311244</v>
      </c>
      <c r="J15" s="15">
        <f>'0403'!S70</f>
        <v>0</v>
      </c>
    </row>
    <row r="16" spans="2:15" ht="17.25" customHeight="1">
      <c r="B16" s="370" t="s">
        <v>101</v>
      </c>
      <c r="C16" s="10" t="s">
        <v>34</v>
      </c>
      <c r="D16" s="16">
        <f>'0403'!T5</f>
        <v>0.29166666666666702</v>
      </c>
      <c r="E16" s="16">
        <f>'0403'!T16</f>
        <v>0.29236111111111102</v>
      </c>
      <c r="F16" s="16">
        <f>'0403'!T27</f>
        <v>0.29930555555555599</v>
      </c>
      <c r="G16" s="16">
        <f>'0403'!T38</f>
        <v>0.33333333333333298</v>
      </c>
      <c r="H16" s="16">
        <f>'0403'!T49</f>
        <v>0.29166666666666702</v>
      </c>
      <c r="I16" s="16">
        <f>'0403'!T59</f>
        <v>0.29166666666666702</v>
      </c>
      <c r="J16" s="16">
        <f>'0403'!T70</f>
        <v>0</v>
      </c>
    </row>
    <row r="17" spans="2:10" ht="17.25" customHeight="1">
      <c r="B17" s="371"/>
      <c r="C17" s="10" t="s">
        <v>35</v>
      </c>
      <c r="D17" s="16">
        <v>0.49305555555555602</v>
      </c>
      <c r="E17" s="19">
        <v>0.56666666666666698</v>
      </c>
      <c r="F17" s="19">
        <v>0.625</v>
      </c>
      <c r="G17" s="20">
        <v>0.49305555555555602</v>
      </c>
      <c r="H17" s="21">
        <v>0.64583333333333304</v>
      </c>
      <c r="I17" s="22">
        <v>0.58333333333333304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'0403'!Z15</f>
        <v>0</v>
      </c>
      <c r="E18" s="359">
        <f>'0403'!Z26</f>
        <v>0</v>
      </c>
      <c r="F18" s="359">
        <f>'0403'!Z37</f>
        <v>4</v>
      </c>
      <c r="G18" s="360">
        <f>'0403'!Z48</f>
        <v>0</v>
      </c>
      <c r="H18" s="360">
        <f>'0403'!Z58</f>
        <v>0</v>
      </c>
      <c r="I18" s="359">
        <f>'0403'!Z69</f>
        <v>0</v>
      </c>
      <c r="J18" s="359">
        <f>'0403'!AA79</f>
        <v>0</v>
      </c>
    </row>
    <row r="19" spans="2:10" ht="17.25" customHeight="1">
      <c r="B19" s="373"/>
      <c r="C19" s="330" t="s">
        <v>37</v>
      </c>
      <c r="D19" s="358">
        <f>'0403'!AA15</f>
        <v>0</v>
      </c>
      <c r="E19" s="359">
        <f>'0403'!AA26</f>
        <v>0</v>
      </c>
      <c r="F19" s="359">
        <f>'0403'!AA37</f>
        <v>17</v>
      </c>
      <c r="G19" s="360">
        <f>'0403'!AA48</f>
        <v>0</v>
      </c>
      <c r="H19" s="360">
        <f>'0403'!AA58</f>
        <v>0</v>
      </c>
      <c r="I19" s="359">
        <f>'0403'!AA69</f>
        <v>0</v>
      </c>
      <c r="J19" s="359">
        <f>'0403'!AB79</f>
        <v>0</v>
      </c>
    </row>
    <row r="20" spans="2:10" ht="17.25" customHeight="1">
      <c r="B20" s="372" t="s">
        <v>103</v>
      </c>
      <c r="C20" s="330" t="s">
        <v>36</v>
      </c>
      <c r="D20" s="358">
        <f>'0403'!AD15</f>
        <v>0</v>
      </c>
      <c r="E20" s="359">
        <f>'0403'!AD26</f>
        <v>0</v>
      </c>
      <c r="F20" s="359">
        <f>'0403'!AD37</f>
        <v>0</v>
      </c>
      <c r="G20" s="360">
        <f>'0403'!AD48</f>
        <v>0</v>
      </c>
      <c r="H20" s="360">
        <f>'0403'!AD58</f>
        <v>0</v>
      </c>
      <c r="I20" s="359">
        <f>'0403'!AD69</f>
        <v>0</v>
      </c>
      <c r="J20" s="359">
        <f>'0403'!AD79</f>
        <v>0</v>
      </c>
    </row>
    <row r="21" spans="2:10" ht="17.25" customHeight="1">
      <c r="B21" s="373"/>
      <c r="C21" s="330" t="s">
        <v>85</v>
      </c>
      <c r="D21" s="358">
        <f>'0403'!AE15</f>
        <v>0</v>
      </c>
      <c r="E21" s="359">
        <f>'0403'!AE26</f>
        <v>0</v>
      </c>
      <c r="F21" s="359">
        <f>'0403'!AE37</f>
        <v>0</v>
      </c>
      <c r="G21" s="360">
        <f>'0403'!AE48</f>
        <v>0</v>
      </c>
      <c r="H21" s="360">
        <f>'0403'!AE58</f>
        <v>0</v>
      </c>
      <c r="I21" s="359">
        <f>'0403'!AE69</f>
        <v>0</v>
      </c>
      <c r="J21" s="359">
        <f>'0403'!AE79</f>
        <v>0</v>
      </c>
    </row>
    <row r="22" spans="2:10" ht="17.25" customHeight="1">
      <c r="B22" s="364" t="s">
        <v>104</v>
      </c>
      <c r="C22" s="365"/>
      <c r="D22" s="23">
        <f>VALUE('0403'!M15)</f>
        <v>13</v>
      </c>
      <c r="E22" s="23">
        <f>VALUE('0403'!M26)</f>
        <v>12.25</v>
      </c>
      <c r="F22" s="23">
        <f>VALUE('0403'!M37)</f>
        <v>14</v>
      </c>
      <c r="G22" s="23">
        <f>VALUE('0403'!M48)</f>
        <v>16</v>
      </c>
      <c r="H22" s="23">
        <f>VALUE('0403'!M58)</f>
        <v>15</v>
      </c>
      <c r="I22" s="23">
        <f>VALUE('0403'!M69)</f>
        <v>11.5</v>
      </c>
      <c r="J22" s="23">
        <f>'0403'!M79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F2CE-8FC3-41C6-88E3-E5A9BD4D47AD}">
  <sheetPr>
    <tabColor theme="9" tint="0.79998168889431442"/>
  </sheetPr>
  <dimension ref="A1:AJ92"/>
  <sheetViews>
    <sheetView zoomScale="69" zoomScaleNormal="69" workbookViewId="0">
      <pane xSplit="5" ySplit="4" topLeftCell="F53" activePane="bottomRight" state="frozen"/>
      <selection activeCell="AB30" sqref="AB30:AC30"/>
      <selection pane="topRight" activeCell="AB30" sqref="AB30:AC30"/>
      <selection pane="bottomLeft" activeCell="AB30" sqref="AB30:AC30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43154</v>
      </c>
      <c r="F1" s="30" t="s">
        <v>2</v>
      </c>
      <c r="G1" s="31">
        <f>SUM(H5:H79)</f>
        <v>2050535.5000000002</v>
      </c>
      <c r="H1" s="32" t="s">
        <v>3</v>
      </c>
      <c r="I1" s="33">
        <f>M15+M26+M48+M58+M69+M79+M37</f>
        <v>81.75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135</v>
      </c>
      <c r="B2" s="483"/>
      <c r="C2" s="28"/>
      <c r="D2" s="28" t="s">
        <v>14</v>
      </c>
      <c r="E2" s="35">
        <f>AVERAGE(O15,O26,O37,O48,O58,O69,O79)</f>
        <v>110.42053616421958</v>
      </c>
      <c r="F2" s="36" t="s">
        <v>15</v>
      </c>
      <c r="G2" s="37">
        <f>G1/E1</f>
        <v>47.51669601890903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4</v>
      </c>
      <c r="AA2" s="339">
        <f>AA15+AA26+AA37+AA48+AA58+AA69+AA79</f>
        <v>17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3182</v>
      </c>
      <c r="H5" s="43">
        <f>F5*G5</f>
        <v>182042.22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13</v>
      </c>
      <c r="N5" s="46">
        <f>G5/W5*60</f>
        <v>1835.7692307692373</v>
      </c>
      <c r="O5" s="47">
        <f>N5/M5</f>
        <v>141.21301775147978</v>
      </c>
      <c r="P5" s="49">
        <f>M5-J5</f>
        <v>-1</v>
      </c>
      <c r="Q5" s="50">
        <f>O5-L5</f>
        <v>-10.072696534234495</v>
      </c>
      <c r="R5" s="51">
        <f>O5/L5</f>
        <v>0.9334193807935397</v>
      </c>
      <c r="S5" s="415">
        <f>R15</f>
        <v>0.91125046743554783</v>
      </c>
      <c r="T5" s="319">
        <v>0.29166666666666702</v>
      </c>
      <c r="U5" s="320">
        <v>0.36388888888888898</v>
      </c>
      <c r="V5" s="53"/>
      <c r="W5" s="54">
        <f t="shared" ref="W5:W14" si="0">(U5-T5)*24*60</f>
        <v>103.99999999999963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-282.23076923076269</v>
      </c>
      <c r="AG5" s="52">
        <f t="shared" ref="AG5:AG11" si="2">N5/K5</f>
        <v>0.86674656787971549</v>
      </c>
      <c r="AH5" s="403">
        <f>AG15</f>
        <v>0.87870580788427832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5282</v>
      </c>
      <c r="H6" s="63">
        <f>F6*G6</f>
        <v>259557.48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1886.4285714285656</v>
      </c>
      <c r="O6" s="67">
        <f>N6/M6</f>
        <v>145.10989010988968</v>
      </c>
      <c r="P6" s="69">
        <f>M6-J6</f>
        <v>0</v>
      </c>
      <c r="Q6" s="70">
        <f>O6-L6</f>
        <v>-17.813186813187258</v>
      </c>
      <c r="R6" s="71">
        <f>O6/L6</f>
        <v>0.89066504788884115</v>
      </c>
      <c r="S6" s="416"/>
      <c r="T6" s="16">
        <v>0.37638888888888899</v>
      </c>
      <c r="U6" s="16">
        <v>0.49305555555555602</v>
      </c>
      <c r="V6" s="30">
        <f>(T6-U5)*24*60</f>
        <v>18.000000000000014</v>
      </c>
      <c r="W6" s="73">
        <f t="shared" si="0"/>
        <v>168.00000000000051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-231.57142857143435</v>
      </c>
      <c r="AG6" s="72">
        <f t="shared" si="2"/>
        <v>0.89066504788884115</v>
      </c>
      <c r="AH6" s="405"/>
    </row>
    <row r="7" spans="1:34" ht="15" customHeight="1">
      <c r="A7" s="489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6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0</v>
      </c>
      <c r="AG7" s="72" t="e">
        <f t="shared" si="2"/>
        <v>#DIV/0!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13.5</v>
      </c>
      <c r="K15" s="120">
        <f t="shared" si="3"/>
        <v>2118</v>
      </c>
      <c r="L15" s="117">
        <f t="shared" si="3"/>
        <v>157.10439560439562</v>
      </c>
      <c r="M15" s="120">
        <f t="shared" si="3"/>
        <v>13</v>
      </c>
      <c r="N15" s="120">
        <f t="shared" si="3"/>
        <v>1861.0989010989015</v>
      </c>
      <c r="O15" s="117">
        <f t="shared" si="3"/>
        <v>143.16145393068473</v>
      </c>
      <c r="P15" s="121">
        <f>M15-J15</f>
        <v>-0.5</v>
      </c>
      <c r="Q15" s="122">
        <f>O15-L15</f>
        <v>-13.942941673710891</v>
      </c>
      <c r="R15" s="123">
        <f>O15/L15</f>
        <v>0.91125046743554783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-256.90109890109852</v>
      </c>
      <c r="AG15" s="124">
        <f>N15/K15</f>
        <v>0.87870580788427832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115</v>
      </c>
      <c r="E16" s="132"/>
      <c r="F16" s="129">
        <f>VLOOKUP(D16,廠價表!$C$1:$E$43,3,0)</f>
        <v>56.28</v>
      </c>
      <c r="G16" s="133">
        <v>729</v>
      </c>
      <c r="H16" s="134">
        <f>F16*G16</f>
        <v>41028.120000000003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>K16/J16</f>
        <v>120</v>
      </c>
      <c r="M16" s="139">
        <v>15</v>
      </c>
      <c r="N16" s="140">
        <f>G16/W16*60</f>
        <v>1041.4285714285593</v>
      </c>
      <c r="O16" s="141">
        <f>N16/M16</f>
        <v>69.428571428570621</v>
      </c>
      <c r="P16" s="142">
        <f>M16-J16</f>
        <v>0</v>
      </c>
      <c r="Q16" s="143">
        <f>O16-L16</f>
        <v>-50.571428571429379</v>
      </c>
      <c r="R16" s="144">
        <f>O16/L16</f>
        <v>0.57857142857142185</v>
      </c>
      <c r="S16" s="443">
        <f>R26</f>
        <v>0.84263516410231853</v>
      </c>
      <c r="T16" s="145">
        <v>0.29236111111111102</v>
      </c>
      <c r="U16" s="145">
        <v>0.32152777777777802</v>
      </c>
      <c r="V16" s="135"/>
      <c r="W16" s="146">
        <f t="shared" ref="W16:W78" si="4">(U16-T16)*24*60</f>
        <v>42.00000000000049</v>
      </c>
      <c r="X16" s="141"/>
      <c r="Y16" s="296"/>
      <c r="Z16" s="169"/>
      <c r="AA16" s="169"/>
      <c r="AB16" s="420" t="s">
        <v>134</v>
      </c>
      <c r="AC16" s="420"/>
      <c r="AD16" s="135"/>
      <c r="AE16" s="135"/>
      <c r="AF16" s="229">
        <f>N16-K16</f>
        <v>-758.57142857144072</v>
      </c>
      <c r="AG16" s="52">
        <f>N16/K16</f>
        <v>0.57857142857142185</v>
      </c>
      <c r="AH16" s="403">
        <f>AG26</f>
        <v>0.82920331242626899</v>
      </c>
    </row>
    <row r="17" spans="1:34" ht="15" customHeight="1">
      <c r="A17" s="450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3485</v>
      </c>
      <c r="H17" s="78">
        <f>F17*G17</f>
        <v>176584.95</v>
      </c>
      <c r="I17" s="30"/>
      <c r="J17" s="79">
        <f>VLOOKUP(D17,產線配置圖!$A$3:$C$38,2,0)</f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1991.4285714285893</v>
      </c>
      <c r="O17" s="96">
        <f>N17/M17</f>
        <v>165.95238095238244</v>
      </c>
      <c r="P17" s="97">
        <f>M17-J17</f>
        <v>0</v>
      </c>
      <c r="Q17" s="98">
        <f>O17-L17</f>
        <v>-10.547619047617559</v>
      </c>
      <c r="R17" s="99">
        <f>O17/L17</f>
        <v>0.94024011871038216</v>
      </c>
      <c r="S17" s="444"/>
      <c r="T17" s="19">
        <v>0.327777777777778</v>
      </c>
      <c r="U17" s="19">
        <v>0.40069444444444402</v>
      </c>
      <c r="V17" s="30">
        <f>(T17-U16)*24*60</f>
        <v>8.999999999999968</v>
      </c>
      <c r="W17" s="149">
        <f t="shared" si="4"/>
        <v>104.99999999999906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-126.57142857141071</v>
      </c>
      <c r="AG17" s="72">
        <f>N17/K17</f>
        <v>0.94024011871038216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3228</v>
      </c>
      <c r="H18" s="78">
        <f>F18*G18</f>
        <v>162658.92000000001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1936.7999999999838</v>
      </c>
      <c r="O18" s="96">
        <f>N18/M18</f>
        <v>176.07272727272581</v>
      </c>
      <c r="P18" s="97">
        <f>M18-J18</f>
        <v>0</v>
      </c>
      <c r="Q18" s="98">
        <f>O18-L18</f>
        <v>-16.472727272728719</v>
      </c>
      <c r="R18" s="99">
        <f>O18/L18</f>
        <v>0.91444759206798121</v>
      </c>
      <c r="S18" s="444"/>
      <c r="T18" s="19">
        <v>0.40972222222222199</v>
      </c>
      <c r="U18" s="19">
        <v>0.47916666666666702</v>
      </c>
      <c r="V18" s="30">
        <f>(T18-U17)*24*60</f>
        <v>13.000000000000274</v>
      </c>
      <c r="W18" s="149">
        <f t="shared" si="4"/>
        <v>100.00000000000084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-181.20000000001619</v>
      </c>
      <c r="AG18" s="72">
        <f>N18/K18</f>
        <v>0.91444759206798099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1075</v>
      </c>
      <c r="H19" s="78">
        <f>F19*G19</f>
        <v>54169.25</v>
      </c>
      <c r="I19" s="30"/>
      <c r="J19" s="79">
        <f>VLOOKUP(D19,產線配置圖!$A$3:$C$38,2,0)</f>
        <v>11</v>
      </c>
      <c r="K19" s="80">
        <f>VLOOKUP(D19,產線配置圖!$A$3:$C$38,3,0)</f>
        <v>2118</v>
      </c>
      <c r="L19" s="81">
        <f>K19/J19</f>
        <v>192.54545454545453</v>
      </c>
      <c r="M19" s="148">
        <v>11</v>
      </c>
      <c r="N19" s="95">
        <f>G19/W19*60</f>
        <v>1791.6666666666652</v>
      </c>
      <c r="O19" s="96">
        <f>N19/M19</f>
        <v>162.87878787878773</v>
      </c>
      <c r="P19" s="97">
        <f>M19-J19</f>
        <v>0</v>
      </c>
      <c r="Q19" s="98">
        <f>O19-L19</f>
        <v>-29.666666666666799</v>
      </c>
      <c r="R19" s="99">
        <f>O19/L19</f>
        <v>0.8459238275102291</v>
      </c>
      <c r="S19" s="444"/>
      <c r="T19" s="19">
        <v>0.54166666666666696</v>
      </c>
      <c r="U19" s="19">
        <v>0.56666666666666698</v>
      </c>
      <c r="V19" s="30">
        <f>(T19-U18)*24*60</f>
        <v>89.999999999999915</v>
      </c>
      <c r="W19" s="149">
        <f t="shared" si="4"/>
        <v>36.000000000000028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-326.33333333333485</v>
      </c>
      <c r="AG19" s="72">
        <f>N19/K19</f>
        <v>0.8459238275102291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12.25</v>
      </c>
      <c r="K26" s="155">
        <f t="shared" si="5"/>
        <v>2038.5</v>
      </c>
      <c r="L26" s="158">
        <f t="shared" si="5"/>
        <v>170.39772727272725</v>
      </c>
      <c r="M26" s="155">
        <f t="shared" si="5"/>
        <v>12.25</v>
      </c>
      <c r="N26" s="155">
        <f t="shared" si="5"/>
        <v>1690.3309523809494</v>
      </c>
      <c r="O26" s="158">
        <f t="shared" si="5"/>
        <v>143.58311688311665</v>
      </c>
      <c r="P26" s="159">
        <f t="shared" ref="P26:P31" si="6">M26-J26</f>
        <v>0</v>
      </c>
      <c r="Q26" s="160">
        <f t="shared" ref="Q26:Q31" si="7">O26-L26</f>
        <v>-26.814610389610607</v>
      </c>
      <c r="R26" s="161">
        <f t="shared" ref="R26:R31" si="8">O26/L26</f>
        <v>0.84263516410231853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-348.16904761905062</v>
      </c>
      <c r="AG26" s="124">
        <f t="shared" ref="AG26:AG31" si="10">N26/K26</f>
        <v>0.82920331242626899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56.43</v>
      </c>
      <c r="G27" s="169">
        <v>1150</v>
      </c>
      <c r="H27" s="134">
        <f>F27*G27</f>
        <v>64894.5</v>
      </c>
      <c r="I27" s="135"/>
      <c r="J27" s="136">
        <f>VLOOKUP(D27,產線配置圖!$A$3:$C$38,2,0)</f>
        <v>16</v>
      </c>
      <c r="K27" s="137">
        <f>VLOOKUP(D27,產線配置圖!$A$3:$C$38,3,0)</f>
        <v>1406</v>
      </c>
      <c r="L27" s="138">
        <f>K27/J27</f>
        <v>87.875</v>
      </c>
      <c r="M27" s="170">
        <v>14</v>
      </c>
      <c r="N27" s="140">
        <f>G27/W27*60</f>
        <v>1029.8507462686739</v>
      </c>
      <c r="O27" s="141">
        <f>N27/M27</f>
        <v>73.560767590619562</v>
      </c>
      <c r="P27" s="142">
        <f t="shared" si="6"/>
        <v>-2</v>
      </c>
      <c r="Q27" s="143">
        <f t="shared" si="7"/>
        <v>-14.314232409380438</v>
      </c>
      <c r="R27" s="144">
        <f t="shared" si="8"/>
        <v>0.83710688581074888</v>
      </c>
      <c r="S27" s="443">
        <f>R37</f>
        <v>0.6952579001487118</v>
      </c>
      <c r="T27" s="171">
        <v>0.29930555555555599</v>
      </c>
      <c r="U27" s="171">
        <v>0.34583333333333299</v>
      </c>
      <c r="V27" s="135"/>
      <c r="W27" s="146">
        <f t="shared" si="4"/>
        <v>66.999999999998877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-376.1492537313261</v>
      </c>
      <c r="AG27" s="172">
        <f t="shared" si="10"/>
        <v>0.7324685250844053</v>
      </c>
      <c r="AH27" s="403">
        <f>AG37</f>
        <v>0.65387871924544294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1316</v>
      </c>
      <c r="H28" s="91">
        <f>F28*G28</f>
        <v>66681.72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560.00000000000387</v>
      </c>
      <c r="O28" s="96">
        <f>N28/M28</f>
        <v>43.076923076923372</v>
      </c>
      <c r="P28" s="97">
        <f t="shared" si="6"/>
        <v>0</v>
      </c>
      <c r="Q28" s="98">
        <f t="shared" si="7"/>
        <v>-67.692307692307395</v>
      </c>
      <c r="R28" s="99">
        <f t="shared" si="8"/>
        <v>0.38888888888889156</v>
      </c>
      <c r="S28" s="444"/>
      <c r="T28" s="19">
        <v>0.35277777777777802</v>
      </c>
      <c r="U28" s="19">
        <v>0.45069444444444401</v>
      </c>
      <c r="V28" s="92">
        <f>(T28-U27)*24*60</f>
        <v>10.000000000000844</v>
      </c>
      <c r="W28" s="149">
        <f t="shared" si="4"/>
        <v>140.99999999999903</v>
      </c>
      <c r="X28" s="174"/>
      <c r="Y28" s="301"/>
      <c r="Z28" s="335"/>
      <c r="AA28" s="335"/>
      <c r="AB28" s="409" t="s">
        <v>136</v>
      </c>
      <c r="AC28" s="409"/>
      <c r="AD28" s="92"/>
      <c r="AE28" s="92"/>
      <c r="AF28" s="311">
        <f t="shared" si="9"/>
        <v>-879.99999999999613</v>
      </c>
      <c r="AG28" s="99">
        <f t="shared" si="10"/>
        <v>0.38888888888889156</v>
      </c>
      <c r="AH28" s="404"/>
    </row>
    <row r="29" spans="1:34" ht="15" customHeight="1">
      <c r="A29" s="441"/>
      <c r="B29" s="75" t="s">
        <v>118</v>
      </c>
      <c r="C29" s="88"/>
      <c r="D29" s="59" t="s">
        <v>119</v>
      </c>
      <c r="E29" s="89"/>
      <c r="F29" s="75">
        <f>VLOOKUP(D29,廠價表!$C$1:$E$43,3,0)</f>
        <v>49.52</v>
      </c>
      <c r="G29" s="90">
        <v>1196</v>
      </c>
      <c r="H29" s="91">
        <f>F29*G29</f>
        <v>59225.920000000006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>K29/J29</f>
        <v>84.705882352941174</v>
      </c>
      <c r="M29" s="94">
        <v>15</v>
      </c>
      <c r="N29" s="95">
        <f>G29/W29*60</f>
        <v>1103.999999999997</v>
      </c>
      <c r="O29" s="96">
        <f>N29/M29</f>
        <v>73.59999999999981</v>
      </c>
      <c r="P29" s="97">
        <f t="shared" si="6"/>
        <v>-2</v>
      </c>
      <c r="Q29" s="98">
        <f t="shared" si="7"/>
        <v>-11.105882352941364</v>
      </c>
      <c r="R29" s="99">
        <f t="shared" si="8"/>
        <v>0.86888888888888671</v>
      </c>
      <c r="S29" s="444"/>
      <c r="T29" s="19">
        <v>0.42361111111111099</v>
      </c>
      <c r="U29" s="19">
        <v>0.46875</v>
      </c>
      <c r="V29" s="92">
        <f>(T29-U28)*24*60</f>
        <v>-38.999999999999545</v>
      </c>
      <c r="W29" s="149">
        <f t="shared" si="4"/>
        <v>65.000000000000171</v>
      </c>
      <c r="X29" s="22"/>
      <c r="Y29" s="84"/>
      <c r="Z29" s="90"/>
      <c r="AA29" s="90"/>
      <c r="AB29" s="409" t="s">
        <v>137</v>
      </c>
      <c r="AC29" s="409"/>
      <c r="AD29" s="92"/>
      <c r="AE29" s="92"/>
      <c r="AF29" s="312">
        <f t="shared" si="9"/>
        <v>-336.00000000000296</v>
      </c>
      <c r="AG29" s="99">
        <f t="shared" si="10"/>
        <v>0.76666666666666461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883</v>
      </c>
      <c r="H30" s="91">
        <f>F30*G30</f>
        <v>44741.61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963.27272727273896</v>
      </c>
      <c r="O30" s="96">
        <f>N30/M30</f>
        <v>74.097902097903003</v>
      </c>
      <c r="P30" s="97">
        <f t="shared" si="6"/>
        <v>0</v>
      </c>
      <c r="Q30" s="98">
        <f t="shared" si="7"/>
        <v>-36.671328671327771</v>
      </c>
      <c r="R30" s="99">
        <f t="shared" si="8"/>
        <v>0.66893939393940205</v>
      </c>
      <c r="S30" s="444"/>
      <c r="T30" s="19">
        <v>0.53125</v>
      </c>
      <c r="U30" s="19">
        <v>0.56944444444444398</v>
      </c>
      <c r="V30" s="92">
        <f>(T30-U29)*24*60</f>
        <v>90</v>
      </c>
      <c r="W30" s="149">
        <f t="shared" si="4"/>
        <v>54.999999999999325</v>
      </c>
      <c r="X30" s="174">
        <v>0.49652777777777801</v>
      </c>
      <c r="Y30" s="301">
        <v>0.53819444444444398</v>
      </c>
      <c r="Z30" s="335">
        <v>4</v>
      </c>
      <c r="AA30" s="335">
        <v>17</v>
      </c>
      <c r="AB30" s="409" t="s">
        <v>121</v>
      </c>
      <c r="AC30" s="409"/>
      <c r="AD30" s="92"/>
      <c r="AE30" s="92"/>
      <c r="AF30" s="312">
        <f t="shared" si="9"/>
        <v>-476.72727272726104</v>
      </c>
      <c r="AG30" s="99">
        <f t="shared" si="10"/>
        <v>0.66893939393940205</v>
      </c>
      <c r="AH30" s="439"/>
    </row>
    <row r="31" spans="1:34" ht="15" customHeight="1">
      <c r="A31" s="441"/>
      <c r="B31" s="75" t="s">
        <v>118</v>
      </c>
      <c r="C31" s="102"/>
      <c r="D31" s="175" t="s">
        <v>119</v>
      </c>
      <c r="E31" s="176"/>
      <c r="F31" s="75">
        <f>VLOOKUP(D31,廠價表!$C$1:$E$43,3,0)</f>
        <v>49.52</v>
      </c>
      <c r="G31" s="90">
        <v>1200</v>
      </c>
      <c r="H31" s="91">
        <f>F31*G31</f>
        <v>59424.000000000007</v>
      </c>
      <c r="I31" s="92"/>
      <c r="J31" s="79">
        <f>VLOOKUP(D31,產線配置圖!$A$3:$C$38,2,0)</f>
        <v>17</v>
      </c>
      <c r="K31" s="80">
        <f>VLOOKUP(D31,產線配置圖!$A$3:$C$38,3,0)</f>
        <v>1440</v>
      </c>
      <c r="L31" s="93">
        <f>K31/J31</f>
        <v>84.705882352941174</v>
      </c>
      <c r="M31" s="94">
        <v>15</v>
      </c>
      <c r="N31" s="95">
        <f>G31/W31*60</f>
        <v>1028.5714285714298</v>
      </c>
      <c r="O31" s="96">
        <f>N31/M31</f>
        <v>68.571428571428655</v>
      </c>
      <c r="P31" s="97">
        <f t="shared" si="6"/>
        <v>-2</v>
      </c>
      <c r="Q31" s="98">
        <f t="shared" si="7"/>
        <v>-16.134453781512519</v>
      </c>
      <c r="R31" s="99">
        <f t="shared" si="8"/>
        <v>0.80952380952381053</v>
      </c>
      <c r="S31" s="444"/>
      <c r="T31" s="19">
        <v>0.57638888888888895</v>
      </c>
      <c r="U31" s="19">
        <v>0.625</v>
      </c>
      <c r="V31" s="92">
        <f>(T31-U30)*24*60</f>
        <v>10.000000000000764</v>
      </c>
      <c r="W31" s="149">
        <f t="shared" si="4"/>
        <v>69.999999999999915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-411.42857142857019</v>
      </c>
      <c r="AG31" s="99">
        <f t="shared" si="10"/>
        <v>0.71428571428571519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15.2</v>
      </c>
      <c r="K37" s="155">
        <f t="shared" si="11"/>
        <v>1433.2</v>
      </c>
      <c r="L37" s="158">
        <f t="shared" si="11"/>
        <v>95.765045248868773</v>
      </c>
      <c r="M37" s="155">
        <f t="shared" si="11"/>
        <v>14</v>
      </c>
      <c r="N37" s="155">
        <f t="shared" si="11"/>
        <v>937.13898042256881</v>
      </c>
      <c r="O37" s="158">
        <f t="shared" si="11"/>
        <v>66.581404267374879</v>
      </c>
      <c r="P37" s="159">
        <f>M37-J37</f>
        <v>-1.1999999999999993</v>
      </c>
      <c r="Q37" s="160">
        <f>N37-K37</f>
        <v>-496.06101957743124</v>
      </c>
      <c r="R37" s="161">
        <f>O37/L37</f>
        <v>0.6952579001487118</v>
      </c>
      <c r="S37" s="445"/>
      <c r="T37" s="163"/>
      <c r="U37" s="163"/>
      <c r="V37" s="164"/>
      <c r="W37" s="164"/>
      <c r="X37" s="321"/>
      <c r="Y37" s="322"/>
      <c r="Z37" s="334">
        <f>SUM(Z27:Z36)</f>
        <v>4</v>
      </c>
      <c r="AA37" s="334">
        <f>SUM(AA27:AA36)</f>
        <v>17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-496.06101957743124</v>
      </c>
      <c r="AG37" s="124">
        <f>N37/K37</f>
        <v>0.65387871924544294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2609</v>
      </c>
      <c r="H38" s="134">
        <f>F38*G38</f>
        <v>130215.18999999999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1423.090909090907</v>
      </c>
      <c r="O38" s="141">
        <f>N38/M38</f>
        <v>94.872727272727133</v>
      </c>
      <c r="P38" s="142">
        <f>M38-J38</f>
        <v>0</v>
      </c>
      <c r="Q38" s="143">
        <f>O38-L38</f>
        <v>-19.393939393939533</v>
      </c>
      <c r="R38" s="144">
        <f>O38/L38</f>
        <v>0.83027474276015578</v>
      </c>
      <c r="S38" s="433">
        <f>R48</f>
        <v>0.89859650505315614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-290.90909090909304</v>
      </c>
      <c r="AG38" s="195">
        <f>N38/K38</f>
        <v>0.83027474276015578</v>
      </c>
      <c r="AH38" s="436">
        <f>AG48</f>
        <v>0.87953149320944179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2727</v>
      </c>
      <c r="H39" s="91">
        <f>F39*G39</f>
        <v>120806.09999999999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1460.8928571428528</v>
      </c>
      <c r="O39" s="203">
        <f>N39/M39</f>
        <v>85.934873949579583</v>
      </c>
      <c r="P39" s="97">
        <f>M39-J39</f>
        <v>-1</v>
      </c>
      <c r="Q39" s="98">
        <f>O39-L39</f>
        <v>-1.0095704948648603</v>
      </c>
      <c r="R39" s="99">
        <f>O39/L39</f>
        <v>0.98838832657663422</v>
      </c>
      <c r="S39" s="434"/>
      <c r="T39" s="20">
        <v>0.41527777777777802</v>
      </c>
      <c r="U39" s="20">
        <v>0.49305555555555602</v>
      </c>
      <c r="V39" s="92">
        <f>(T39-U38)*24*60</f>
        <v>8.000000000000691</v>
      </c>
      <c r="W39" s="205">
        <f t="shared" si="4"/>
        <v>112.00000000000033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-104.10714285714721</v>
      </c>
      <c r="AG39" s="206">
        <f>N39/K39</f>
        <v>0.93347786398904331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0</v>
      </c>
      <c r="AG40" s="206" t="e">
        <f>N40/K40</f>
        <v>#DIV/0!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16.5</v>
      </c>
      <c r="K48" s="155">
        <f t="shared" si="13"/>
        <v>1639.5</v>
      </c>
      <c r="L48" s="158">
        <f t="shared" si="13"/>
        <v>100.60555555555555</v>
      </c>
      <c r="M48" s="155">
        <f t="shared" si="13"/>
        <v>16</v>
      </c>
      <c r="N48" s="155">
        <f t="shared" si="13"/>
        <v>1441.9918831168798</v>
      </c>
      <c r="O48" s="158">
        <f t="shared" si="13"/>
        <v>90.403800611153358</v>
      </c>
      <c r="P48" s="221">
        <f>M48-J48</f>
        <v>-0.5</v>
      </c>
      <c r="Q48" s="222">
        <f>N48-K48</f>
        <v>-197.50811688312024</v>
      </c>
      <c r="R48" s="223">
        <f>O48/L48</f>
        <v>0.89859650505315614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-197.50811688312024</v>
      </c>
      <c r="AG48" s="162">
        <f t="shared" ref="AG48:AG53" si="15">N48/K48</f>
        <v>0.87953149320944179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VLOOKUP(D49,廠價表!$C$1:$E$43,3,0)</f>
        <v>57.21</v>
      </c>
      <c r="G49" s="228">
        <v>3353</v>
      </c>
      <c r="H49" s="134">
        <f>F49*G49</f>
        <v>191825.13</v>
      </c>
      <c r="I49" s="135"/>
      <c r="J49" s="136">
        <f>VLOOKUP(D49,產線配置圖!$A$3:$C$38,2,0)</f>
        <v>15</v>
      </c>
      <c r="K49" s="137">
        <f>VLOOKUP(D49,產線配置圖!$A$3:$C$38,3,0)</f>
        <v>1565</v>
      </c>
      <c r="L49" s="138">
        <f>K49/J49</f>
        <v>104.33333333333333</v>
      </c>
      <c r="M49" s="170">
        <v>15</v>
      </c>
      <c r="N49" s="140">
        <f>G49/W49*60</f>
        <v>1547.5384615384758</v>
      </c>
      <c r="O49" s="141">
        <f>N49/M49</f>
        <v>103.16923076923172</v>
      </c>
      <c r="P49" s="229">
        <f>M49-J49</f>
        <v>0</v>
      </c>
      <c r="Q49" s="230">
        <f>O49-L49</f>
        <v>-1.1641025641016114</v>
      </c>
      <c r="R49" s="52">
        <f>O49/L49</f>
        <v>0.98884246743672577</v>
      </c>
      <c r="S49" s="415">
        <f>R58</f>
        <v>0.98013495877454893</v>
      </c>
      <c r="T49" s="191">
        <v>0.29166666666666702</v>
      </c>
      <c r="U49" s="191">
        <v>0.38194444444444398</v>
      </c>
      <c r="V49" s="55"/>
      <c r="W49" s="193">
        <f t="shared" si="4"/>
        <v>129.99999999999881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-17.461538461524242</v>
      </c>
      <c r="AG49" s="52">
        <f t="shared" si="15"/>
        <v>0.98884246743672577</v>
      </c>
      <c r="AH49" s="403">
        <f>AG58</f>
        <v>0.93743788893441837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3374</v>
      </c>
      <c r="H50" s="231">
        <f>F50*G50</f>
        <v>168598.78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1645.8536585365987</v>
      </c>
      <c r="O50" s="235">
        <f>N50/M50</f>
        <v>109.72357723577325</v>
      </c>
      <c r="P50" s="74">
        <f>M50-J50</f>
        <v>-1</v>
      </c>
      <c r="Q50" s="83">
        <f>O50-L50</f>
        <v>-2.7764227642267514</v>
      </c>
      <c r="R50" s="72">
        <f>O50/L50</f>
        <v>0.97532068654020665</v>
      </c>
      <c r="S50" s="416"/>
      <c r="T50" s="21">
        <v>0.390277777777778</v>
      </c>
      <c r="U50" s="21">
        <v>0.47569444444444398</v>
      </c>
      <c r="V50" s="30">
        <f>(T50-U49)*24*60</f>
        <v>12.000000000000997</v>
      </c>
      <c r="W50" s="236">
        <f t="shared" si="4"/>
        <v>122.99999999999901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-154.14634146340131</v>
      </c>
      <c r="AG50" s="72">
        <f t="shared" si="15"/>
        <v>0.91436314363144366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1621</v>
      </c>
      <c r="H51" s="231">
        <f>F51*G51</f>
        <v>81001.37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1648.4745762711968</v>
      </c>
      <c r="O51" s="235">
        <f>N51/M51</f>
        <v>109.89830508474645</v>
      </c>
      <c r="P51" s="74">
        <f>M51-J51</f>
        <v>-1</v>
      </c>
      <c r="Q51" s="83">
        <f>O51-L51</f>
        <v>-2.601694915253546</v>
      </c>
      <c r="R51" s="72">
        <f>O51/L51</f>
        <v>0.97687382297552405</v>
      </c>
      <c r="S51" s="416"/>
      <c r="T51" s="21">
        <v>0.53541666666666698</v>
      </c>
      <c r="U51" s="19">
        <v>0.57638888888888895</v>
      </c>
      <c r="V51" s="30">
        <f>(T51-U50)*24*60</f>
        <v>86.000000000001137</v>
      </c>
      <c r="W51" s="236">
        <f t="shared" si="4"/>
        <v>58.999999999999631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-151.52542372880316</v>
      </c>
      <c r="AG51" s="72">
        <f t="shared" si="15"/>
        <v>0.91581920903955383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>
        <v>0.59930555555555598</v>
      </c>
      <c r="U52" s="21">
        <v>0.64583333333333304</v>
      </c>
      <c r="V52" s="30">
        <f>(T52-U51)*24*60</f>
        <v>33.000000000000526</v>
      </c>
      <c r="W52" s="236">
        <f t="shared" si="4"/>
        <v>66.999999999998963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0</v>
      </c>
      <c r="AG52" s="72" t="e">
        <f t="shared" si="15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15.666666666666666</v>
      </c>
      <c r="K58" s="120">
        <f t="shared" si="16"/>
        <v>1721.6666666666667</v>
      </c>
      <c r="L58" s="117">
        <f t="shared" si="16"/>
        <v>109.77777777777777</v>
      </c>
      <c r="M58" s="120">
        <f t="shared" si="16"/>
        <v>15</v>
      </c>
      <c r="N58" s="120">
        <f t="shared" si="16"/>
        <v>1613.9555654487569</v>
      </c>
      <c r="O58" s="117">
        <f t="shared" si="16"/>
        <v>107.59703769658381</v>
      </c>
      <c r="P58" s="121">
        <f>M58-J58</f>
        <v>-0.66666666666666607</v>
      </c>
      <c r="Q58" s="122">
        <f>N58-K58</f>
        <v>-107.7111012179098</v>
      </c>
      <c r="R58" s="123">
        <f>O58/L58</f>
        <v>0.98013495877454893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-107.7111012179098</v>
      </c>
      <c r="AG58" s="124">
        <f>N58/K58</f>
        <v>0.93743788893441837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2760</v>
      </c>
      <c r="H59" s="243">
        <f>F59*G59</f>
        <v>74492.399999999994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12</v>
      </c>
      <c r="N59" s="137">
        <f>G59/W59*60</f>
        <v>1273.8461538461656</v>
      </c>
      <c r="O59" s="138">
        <f>N59/M59</f>
        <v>106.15384615384714</v>
      </c>
      <c r="P59" s="56">
        <f>M59-J59</f>
        <v>-1</v>
      </c>
      <c r="Q59" s="230">
        <f>O59-L59</f>
        <v>-14.230769230768246</v>
      </c>
      <c r="R59" s="52">
        <f>O59/L59</f>
        <v>0.88178913738019993</v>
      </c>
      <c r="S59" s="415">
        <f>R69</f>
        <v>0.72398578018311244</v>
      </c>
      <c r="T59" s="245">
        <v>0.29166666666666702</v>
      </c>
      <c r="U59" s="245">
        <v>0.38194444444444398</v>
      </c>
      <c r="V59" s="55"/>
      <c r="W59" s="54">
        <f t="shared" si="4"/>
        <v>129.99999999999881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-291.15384615383437</v>
      </c>
      <c r="AG59" s="246">
        <f>N59/K59</f>
        <v>0.81395920373556907</v>
      </c>
      <c r="AH59" s="403">
        <f>AG69</f>
        <v>0.80052318815205714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1640</v>
      </c>
      <c r="H60" s="78">
        <f>F60*G60</f>
        <v>46346.400000000001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1513.8461538461499</v>
      </c>
      <c r="O60" s="81">
        <f>N60/M60</f>
        <v>126.15384615384583</v>
      </c>
      <c r="P60" s="74">
        <f>M60-J60</f>
        <v>0</v>
      </c>
      <c r="Q60" s="83">
        <f>O60-L60</f>
        <v>-4.2628205128208236</v>
      </c>
      <c r="R60" s="72">
        <f>O60/L60</f>
        <v>0.96731383632341861</v>
      </c>
      <c r="S60" s="425"/>
      <c r="T60" s="22">
        <v>0.39236111111111099</v>
      </c>
      <c r="U60" s="22">
        <v>0.4375</v>
      </c>
      <c r="V60" s="30">
        <f>(T60-U59)*24*60</f>
        <v>15.000000000000506</v>
      </c>
      <c r="W60" s="248">
        <f t="shared" si="4"/>
        <v>65.000000000000171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-51.153846153850054</v>
      </c>
      <c r="AG60" s="249">
        <f>N60/K60</f>
        <v>0.9673138363234185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1387</v>
      </c>
      <c r="H61" s="254">
        <f>F61*G61</f>
        <v>39196.620000000003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1188.8571428571458</v>
      </c>
      <c r="O61" s="238">
        <f>N61/M61</f>
        <v>108.07792207792235</v>
      </c>
      <c r="P61" s="111">
        <f>M61-J61</f>
        <v>2</v>
      </c>
      <c r="Q61" s="255">
        <f>O61-L61</f>
        <v>-73.699855699855419</v>
      </c>
      <c r="R61" s="85">
        <f>O61/L61</f>
        <v>0.59456069602769024</v>
      </c>
      <c r="S61" s="416"/>
      <c r="T61" s="22">
        <v>0.44791666666666702</v>
      </c>
      <c r="U61" s="22">
        <v>0.49652777777777801</v>
      </c>
      <c r="V61" s="30">
        <f>(T61-U60)*24*60</f>
        <v>15.000000000000506</v>
      </c>
      <c r="W61" s="256">
        <f t="shared" si="4"/>
        <v>69.999999999999829</v>
      </c>
      <c r="X61" s="22"/>
      <c r="Y61" s="84"/>
      <c r="Z61" s="90"/>
      <c r="AA61" s="90"/>
      <c r="AB61" s="409" t="s">
        <v>132</v>
      </c>
      <c r="AC61" s="409"/>
      <c r="AD61" s="92"/>
      <c r="AE61" s="92"/>
      <c r="AF61" s="317">
        <f>N61-K61</f>
        <v>-447.14285714285415</v>
      </c>
      <c r="AG61" s="247">
        <f>N61/K61</f>
        <v>0.72668529514495472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957</v>
      </c>
      <c r="H62" s="254">
        <f>F62*G62</f>
        <v>27044.82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1148.4000000000078</v>
      </c>
      <c r="O62" s="238">
        <f>N62/M62</f>
        <v>104.40000000000072</v>
      </c>
      <c r="P62" s="111">
        <f>M62-J62</f>
        <v>2</v>
      </c>
      <c r="Q62" s="255">
        <f>O62-L62</f>
        <v>-77.377777777777055</v>
      </c>
      <c r="R62" s="85">
        <f>O62/L62</f>
        <v>0.57432762836186213</v>
      </c>
      <c r="S62" s="416"/>
      <c r="T62" s="22">
        <v>0.54861111111111105</v>
      </c>
      <c r="U62" s="22">
        <v>0.58333333333333304</v>
      </c>
      <c r="V62" s="30"/>
      <c r="W62" s="248">
        <f t="shared" si="4"/>
        <v>49.999999999999659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09"/>
      <c r="AD62" s="92"/>
      <c r="AE62" s="92"/>
      <c r="AF62" s="317">
        <f>N62-K62</f>
        <v>-487.59999999999218</v>
      </c>
      <c r="AG62" s="247">
        <f>N62/K62</f>
        <v>0.70195599022005373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11.5</v>
      </c>
      <c r="N69" s="240">
        <f t="shared" si="17"/>
        <v>1281.2373626373674</v>
      </c>
      <c r="O69" s="268">
        <f t="shared" si="17"/>
        <v>111.19640359640401</v>
      </c>
      <c r="P69" s="269">
        <f>M69-J69</f>
        <v>0.75</v>
      </c>
      <c r="Q69" s="222">
        <f>N69-K69</f>
        <v>-319.26263736263263</v>
      </c>
      <c r="R69" s="123">
        <f>O69/L69</f>
        <v>0.72398578018311244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-319.26263736263263</v>
      </c>
      <c r="AG69" s="124">
        <f>N69/K69</f>
        <v>0.80052318815205714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2AFB00-7A67-4B4E-8ECE-5CC1D07EC1B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672-61C1-45AF-97D9-50F473B767A9}">
  <dimension ref="B1:O26"/>
  <sheetViews>
    <sheetView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46116</v>
      </c>
      <c r="E3" s="399"/>
      <c r="F3" s="3" t="s">
        <v>72</v>
      </c>
      <c r="G3" s="400">
        <f>'0404'!E1</f>
        <v>43984</v>
      </c>
      <c r="H3" s="400"/>
      <c r="I3" s="3" t="s">
        <v>2</v>
      </c>
      <c r="J3" s="401">
        <f>'0404'!G1</f>
        <v>2083766.26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129.64058690039082</v>
      </c>
      <c r="G6" s="397"/>
      <c r="H6" s="382">
        <f>AVERAGE(D13:H13)</f>
        <v>126.73010029186499</v>
      </c>
      <c r="I6" s="382"/>
      <c r="J6" s="382">
        <f>AVERAGE(I13)</f>
        <v>144.19301994301995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116.61972724193554</v>
      </c>
      <c r="G7" s="389"/>
      <c r="H7" s="390">
        <f>AVERAGE(D14:H14)</f>
        <v>113.63425618090609</v>
      </c>
      <c r="I7" s="390"/>
      <c r="J7" s="390">
        <f>AVERAGE(I14)</f>
        <v>131.54708254708265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0.89956185813583334</v>
      </c>
      <c r="G8" s="374"/>
      <c r="H8" s="374">
        <f>H7/H6</f>
        <v>0.89666350708475262</v>
      </c>
      <c r="I8" s="374"/>
      <c r="J8" s="374">
        <f>J7/J6</f>
        <v>0.91229854676090061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VALUE('0404'!L15)</f>
        <v>157.10439560439562</v>
      </c>
      <c r="E13" s="13">
        <f>VALUE('0404'!L26)</f>
        <v>170.39772727272725</v>
      </c>
      <c r="F13" s="13">
        <f>VALUE('0404'!L37)</f>
        <v>95.765045248868773</v>
      </c>
      <c r="G13" s="13">
        <f>VALUE('0404'!L48)</f>
        <v>100.60555555555555</v>
      </c>
      <c r="H13" s="13">
        <f>VALUE('0404'!L58)</f>
        <v>109.77777777777777</v>
      </c>
      <c r="I13" s="13">
        <f>VALUE('0404'!L69)</f>
        <v>144.19301994301995</v>
      </c>
      <c r="J13" s="13">
        <f>'0404'!L79</f>
        <v>0</v>
      </c>
    </row>
    <row r="14" spans="2:15" ht="39.950000000000003" customHeight="1">
      <c r="B14" s="368"/>
      <c r="C14" s="12" t="s">
        <v>100</v>
      </c>
      <c r="D14" s="13">
        <f>VALUE('0404'!O15)</f>
        <v>149.68906093906054</v>
      </c>
      <c r="E14" s="13">
        <f>VALUE('0404'!O26)</f>
        <v>150.75448903498076</v>
      </c>
      <c r="F14" s="13">
        <f>VALUE('0404'!O37)</f>
        <v>72.907864118370838</v>
      </c>
      <c r="G14" s="13">
        <f>VALUE('0404'!O48)</f>
        <v>91.124359177633337</v>
      </c>
      <c r="H14" s="13">
        <f>VALUE('0404'!O58)</f>
        <v>103.69550763448495</v>
      </c>
      <c r="I14" s="13">
        <f>VALUE('0404'!O69)</f>
        <v>131.54708254708265</v>
      </c>
      <c r="J14" s="13">
        <f>'0404'!O79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0.95279995421638219</v>
      </c>
      <c r="E15" s="14">
        <f t="shared" si="1"/>
        <v>0.88472124275280484</v>
      </c>
      <c r="F15" s="14">
        <f t="shared" si="1"/>
        <v>0.7613202074817802</v>
      </c>
      <c r="G15" s="14">
        <f t="shared" si="1"/>
        <v>0.90575871953028886</v>
      </c>
      <c r="H15" s="14">
        <f t="shared" si="1"/>
        <v>0.94459470517243382</v>
      </c>
      <c r="I15" s="14">
        <f t="shared" si="1"/>
        <v>0.91229854676090061</v>
      </c>
      <c r="J15" s="15">
        <f>'0404'!S70</f>
        <v>0</v>
      </c>
    </row>
    <row r="16" spans="2:15" ht="17.25" customHeight="1">
      <c r="B16" s="370" t="s">
        <v>101</v>
      </c>
      <c r="C16" s="10" t="s">
        <v>34</v>
      </c>
      <c r="D16" s="16">
        <f>'0404'!T5</f>
        <v>0.30208333333333298</v>
      </c>
      <c r="E16" s="16">
        <f>'0404'!T16</f>
        <v>0.30208333333333298</v>
      </c>
      <c r="F16" s="16">
        <f>'0404'!T27</f>
        <v>0.29166666666666702</v>
      </c>
      <c r="G16" s="16">
        <f>'0404'!T38</f>
        <v>0.33333333333333298</v>
      </c>
      <c r="H16" s="16">
        <f>'0404'!T49</f>
        <v>0.29166666666666702</v>
      </c>
      <c r="I16" s="16">
        <f>'0404'!T59</f>
        <v>0.29166666666666702</v>
      </c>
      <c r="J16" s="16">
        <f>'0404'!T70</f>
        <v>0</v>
      </c>
    </row>
    <row r="17" spans="2:10" ht="17.25" customHeight="1">
      <c r="B17" s="371"/>
      <c r="C17" s="10" t="s">
        <v>35</v>
      </c>
      <c r="D17" s="16">
        <v>0.47916666666666702</v>
      </c>
      <c r="E17" s="19">
        <v>0.57708333333333295</v>
      </c>
      <c r="F17" s="19">
        <v>0.63333333333333297</v>
      </c>
      <c r="G17" s="20">
        <v>0.5</v>
      </c>
      <c r="H17" s="19">
        <v>0.58125000000000004</v>
      </c>
      <c r="I17" s="22">
        <v>0.50347222222222199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'0404'!Z15</f>
        <v>0</v>
      </c>
      <c r="E18" s="359">
        <f>'0404'!Z26</f>
        <v>0</v>
      </c>
      <c r="F18" s="359">
        <f>'0404'!Z37</f>
        <v>0</v>
      </c>
      <c r="G18" s="360">
        <f>'0404'!Z48</f>
        <v>0</v>
      </c>
      <c r="H18" s="360">
        <f>'0404'!Z58</f>
        <v>0</v>
      </c>
      <c r="I18" s="359">
        <f>'0404'!Z69</f>
        <v>0</v>
      </c>
      <c r="J18" s="359">
        <f>'0404'!AA79</f>
        <v>0</v>
      </c>
    </row>
    <row r="19" spans="2:10" ht="17.25" customHeight="1">
      <c r="B19" s="373"/>
      <c r="C19" s="330" t="s">
        <v>37</v>
      </c>
      <c r="D19" s="358">
        <f>'0404'!AA15</f>
        <v>0</v>
      </c>
      <c r="E19" s="359">
        <f>'0404'!AA26</f>
        <v>0</v>
      </c>
      <c r="F19" s="359">
        <f>'0404'!AA37</f>
        <v>0</v>
      </c>
      <c r="G19" s="360">
        <f>'0404'!AA48</f>
        <v>0</v>
      </c>
      <c r="H19" s="360">
        <f>'0404'!AA58</f>
        <v>0</v>
      </c>
      <c r="I19" s="359">
        <f>'0404'!AA69</f>
        <v>0</v>
      </c>
      <c r="J19" s="359">
        <f>'0404'!AB79</f>
        <v>0</v>
      </c>
    </row>
    <row r="20" spans="2:10" ht="17.25" customHeight="1">
      <c r="B20" s="372" t="s">
        <v>103</v>
      </c>
      <c r="C20" s="330" t="s">
        <v>36</v>
      </c>
      <c r="D20" s="358">
        <f>'0404'!AD15</f>
        <v>0</v>
      </c>
      <c r="E20" s="359">
        <f>'0404'!AD26</f>
        <v>0</v>
      </c>
      <c r="F20" s="359">
        <f>'0404'!AD37</f>
        <v>0</v>
      </c>
      <c r="G20" s="360">
        <f>'0404'!AD48</f>
        <v>0</v>
      </c>
      <c r="H20" s="360">
        <f>'0404'!AD58</f>
        <v>0</v>
      </c>
      <c r="I20" s="359">
        <f>'0404'!AD69</f>
        <v>0</v>
      </c>
      <c r="J20" s="359">
        <f>'0404'!AD79</f>
        <v>0</v>
      </c>
    </row>
    <row r="21" spans="2:10" ht="17.25" customHeight="1">
      <c r="B21" s="373"/>
      <c r="C21" s="330" t="s">
        <v>85</v>
      </c>
      <c r="D21" s="358">
        <f>'0404'!AE15</f>
        <v>0</v>
      </c>
      <c r="E21" s="359">
        <f>'0404'!AE26</f>
        <v>0</v>
      </c>
      <c r="F21" s="359">
        <f>'0404'!AE37</f>
        <v>0</v>
      </c>
      <c r="G21" s="360">
        <f>'0404'!AE48</f>
        <v>0</v>
      </c>
      <c r="H21" s="360">
        <f>'0404'!AE58</f>
        <v>0</v>
      </c>
      <c r="I21" s="359">
        <f>'0404'!AE69</f>
        <v>0</v>
      </c>
      <c r="J21" s="359">
        <f>'0404'!AE79</f>
        <v>0</v>
      </c>
    </row>
    <row r="22" spans="2:10" ht="17.25" customHeight="1">
      <c r="B22" s="364" t="s">
        <v>104</v>
      </c>
      <c r="C22" s="365"/>
      <c r="D22" s="23">
        <f>VALUE('0404'!M15)</f>
        <v>13.5</v>
      </c>
      <c r="E22" s="23">
        <f>VALUE('0404'!M26)</f>
        <v>12.25</v>
      </c>
      <c r="F22" s="23">
        <f>VALUE('0404'!M37)</f>
        <v>13.4</v>
      </c>
      <c r="G22" s="23">
        <f>VALUE('0404'!M48)</f>
        <v>16.5</v>
      </c>
      <c r="H22" s="23">
        <f>VALUE('0404'!M58)</f>
        <v>15</v>
      </c>
      <c r="I22" s="23">
        <f>VALUE('0404'!M69)</f>
        <v>11.666666666666666</v>
      </c>
      <c r="J22" s="23">
        <f>'0404'!M79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A9D7-CB72-4A98-AA6D-43147AF46603}">
  <sheetPr>
    <tabColor theme="9" tint="0.79998168889431442"/>
  </sheetPr>
  <dimension ref="A1:AJ92"/>
  <sheetViews>
    <sheetView zoomScale="69" zoomScaleNormal="69" workbookViewId="0">
      <pane xSplit="5" ySplit="4" topLeftCell="F6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43984</v>
      </c>
      <c r="F1" s="30" t="s">
        <v>2</v>
      </c>
      <c r="G1" s="31">
        <f>SUM(H5:H79)</f>
        <v>2083766.26</v>
      </c>
      <c r="H1" s="32" t="s">
        <v>3</v>
      </c>
      <c r="I1" s="33">
        <f>M15+M26+M48+M58+M69+M79+M37</f>
        <v>82.316666666666677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138</v>
      </c>
      <c r="B2" s="483"/>
      <c r="C2" s="28"/>
      <c r="D2" s="28" t="s">
        <v>14</v>
      </c>
      <c r="E2" s="35">
        <f>AVERAGE(O15,O26,O37,O48,O58,O69,O79)</f>
        <v>116.61972724193554</v>
      </c>
      <c r="F2" s="36" t="s">
        <v>15</v>
      </c>
      <c r="G2" s="37">
        <f>G1/E1</f>
        <v>47.375551564205168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2854</v>
      </c>
      <c r="H5" s="43">
        <f>F5*G5</f>
        <v>163277.34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1945.9090909090942</v>
      </c>
      <c r="O5" s="47">
        <f>N5/M5</f>
        <v>138.99350649350671</v>
      </c>
      <c r="P5" s="49">
        <f>M5-J5</f>
        <v>0</v>
      </c>
      <c r="Q5" s="50">
        <f>O5-L5</f>
        <v>-12.292207792207563</v>
      </c>
      <c r="R5" s="51">
        <f>O5/L5</f>
        <v>0.91874839041978007</v>
      </c>
      <c r="S5" s="415">
        <f>R15</f>
        <v>0.95279995421638219</v>
      </c>
      <c r="T5" s="319">
        <v>0.30208333333333298</v>
      </c>
      <c r="U5" s="320">
        <v>0.36319444444444399</v>
      </c>
      <c r="V5" s="53"/>
      <c r="W5" s="54">
        <f t="shared" ref="W5:W14" si="0">(U5-T5)*24*60</f>
        <v>87.999999999999844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-172.09090909090582</v>
      </c>
      <c r="AG5" s="52">
        <f t="shared" ref="AG5:AG11" si="2">N5/K5</f>
        <v>0.91874839041978007</v>
      </c>
      <c r="AH5" s="403">
        <f>AG15</f>
        <v>0.95158382693793231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5421</v>
      </c>
      <c r="H6" s="63">
        <f>F6*G6</f>
        <v>266387.94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2084.9999999999873</v>
      </c>
      <c r="O6" s="67">
        <f>N6/M6</f>
        <v>160.38461538461439</v>
      </c>
      <c r="P6" s="69">
        <f>M6-J6</f>
        <v>0</v>
      </c>
      <c r="Q6" s="70">
        <f>O6-L6</f>
        <v>-2.538461538462542</v>
      </c>
      <c r="R6" s="71">
        <f>O6/L6</f>
        <v>0.98441926345608455</v>
      </c>
      <c r="S6" s="416"/>
      <c r="T6" s="16">
        <v>0.37083333333333302</v>
      </c>
      <c r="U6" s="16">
        <v>0.47916666666666702</v>
      </c>
      <c r="V6" s="30">
        <f>(T6-U5)*24*60</f>
        <v>11.000000000000201</v>
      </c>
      <c r="W6" s="73">
        <f t="shared" si="0"/>
        <v>156.00000000000097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-33.000000000012733</v>
      </c>
      <c r="AG6" s="72">
        <f t="shared" si="2"/>
        <v>0.98441926345608466</v>
      </c>
      <c r="AH6" s="405"/>
    </row>
    <row r="7" spans="1:34" ht="15" customHeight="1">
      <c r="A7" s="489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16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0</v>
      </c>
      <c r="AG7" s="72" t="e">
        <f t="shared" si="2"/>
        <v>#DIV/0!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13.5</v>
      </c>
      <c r="K15" s="120">
        <f t="shared" si="3"/>
        <v>2118</v>
      </c>
      <c r="L15" s="117">
        <f t="shared" si="3"/>
        <v>157.10439560439562</v>
      </c>
      <c r="M15" s="120">
        <f t="shared" si="3"/>
        <v>13.5</v>
      </c>
      <c r="N15" s="120">
        <f t="shared" si="3"/>
        <v>2015.4545454545407</v>
      </c>
      <c r="O15" s="117">
        <f t="shared" si="3"/>
        <v>149.68906093906054</v>
      </c>
      <c r="P15" s="121">
        <f>M15-J15</f>
        <v>0</v>
      </c>
      <c r="Q15" s="122">
        <f>O15-L15</f>
        <v>-7.4153346653350809</v>
      </c>
      <c r="R15" s="123">
        <f>O15/L15</f>
        <v>0.95279995421638219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-102.54545454545928</v>
      </c>
      <c r="AG15" s="124">
        <f>N15/K15</f>
        <v>0.95158382693793231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115</v>
      </c>
      <c r="E16" s="132"/>
      <c r="F16" s="129">
        <f>VLOOKUP(D16,廠價表!$C$1:$E$43,3,0)</f>
        <v>56.28</v>
      </c>
      <c r="G16" s="133">
        <v>805</v>
      </c>
      <c r="H16" s="134">
        <f>F16*G16</f>
        <v>45305.4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>K16/J16</f>
        <v>120</v>
      </c>
      <c r="M16" s="139">
        <v>15</v>
      </c>
      <c r="N16" s="140">
        <f>G16/W16*60</f>
        <v>1420.5882352941228</v>
      </c>
      <c r="O16" s="141">
        <f>N16/M16</f>
        <v>94.705882352941515</v>
      </c>
      <c r="P16" s="142">
        <f>M16-J16</f>
        <v>0</v>
      </c>
      <c r="Q16" s="143">
        <f>O16-L16</f>
        <v>-25.294117647058485</v>
      </c>
      <c r="R16" s="144">
        <f>O16/L16</f>
        <v>0.78921568627451266</v>
      </c>
      <c r="S16" s="443">
        <f>R26</f>
        <v>0.88472124275280484</v>
      </c>
      <c r="T16" s="145">
        <v>0.30208333333333298</v>
      </c>
      <c r="U16" s="145">
        <v>0.32569444444444401</v>
      </c>
      <c r="V16" s="135"/>
      <c r="W16" s="146">
        <f t="shared" ref="W16:W78" si="4">(U16-T16)*24*60</f>
        <v>33.999999999999879</v>
      </c>
      <c r="X16" s="141"/>
      <c r="Y16" s="296"/>
      <c r="Z16" s="169"/>
      <c r="AA16" s="169"/>
      <c r="AB16" s="420" t="s">
        <v>134</v>
      </c>
      <c r="AC16" s="420"/>
      <c r="AD16" s="135"/>
      <c r="AE16" s="135"/>
      <c r="AF16" s="229">
        <f>N16-K16</f>
        <v>-379.4117647058772</v>
      </c>
      <c r="AG16" s="52">
        <f>N16/K16</f>
        <v>0.78921568627451266</v>
      </c>
      <c r="AH16" s="403">
        <f>AG26</f>
        <v>0.87963277337587475</v>
      </c>
    </row>
    <row r="17" spans="1:34" ht="15" customHeight="1">
      <c r="A17" s="450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3499</v>
      </c>
      <c r="H17" s="78">
        <f>F17*G17</f>
        <v>177294.33000000002</v>
      </c>
      <c r="I17" s="30"/>
      <c r="J17" s="79">
        <f>VLOOKUP(D17,產線配置圖!$A$3:$C$38,2,0)</f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1926.0550458715452</v>
      </c>
      <c r="O17" s="96">
        <f>N17/M17</f>
        <v>160.5045871559621</v>
      </c>
      <c r="P17" s="97">
        <f>M17-J17</f>
        <v>0</v>
      </c>
      <c r="Q17" s="98">
        <f>O17-L17</f>
        <v>-15.995412844037901</v>
      </c>
      <c r="R17" s="99">
        <f>O17/L17</f>
        <v>0.9093744314785388</v>
      </c>
      <c r="S17" s="444"/>
      <c r="T17" s="19">
        <v>0.33333333333333298</v>
      </c>
      <c r="U17" s="19">
        <v>0.40902777777777799</v>
      </c>
      <c r="V17" s="30"/>
      <c r="W17" s="149">
        <f t="shared" si="4"/>
        <v>109.00000000000081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-191.94495412845481</v>
      </c>
      <c r="AG17" s="72">
        <f>N17/K17</f>
        <v>0.9093744314785388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2790</v>
      </c>
      <c r="H18" s="78">
        <f>F18*G18</f>
        <v>140588.1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1860</v>
      </c>
      <c r="O18" s="96">
        <f>N18/M18</f>
        <v>169.09090909090909</v>
      </c>
      <c r="P18" s="97">
        <f>M18-J18</f>
        <v>0</v>
      </c>
      <c r="Q18" s="98">
        <f>O18-L18</f>
        <v>-23.454545454545439</v>
      </c>
      <c r="R18" s="99">
        <f>O18/L18</f>
        <v>0.87818696883852698</v>
      </c>
      <c r="S18" s="444"/>
      <c r="T18" s="19">
        <v>0.41666666666666702</v>
      </c>
      <c r="U18" s="19">
        <v>0.47916666666666702</v>
      </c>
      <c r="V18" s="30">
        <f>(T18-U17)*24*60</f>
        <v>11.000000000000201</v>
      </c>
      <c r="W18" s="149">
        <f t="shared" si="4"/>
        <v>90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-258</v>
      </c>
      <c r="AG18" s="72">
        <f>N18/K18</f>
        <v>0.87818696883852687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1671</v>
      </c>
      <c r="H19" s="78">
        <f>F19*G19</f>
        <v>84201.69</v>
      </c>
      <c r="I19" s="30"/>
      <c r="J19" s="79">
        <f>VLOOKUP(D19,產線配置圖!$A$3:$C$38,2,0)</f>
        <v>11</v>
      </c>
      <c r="K19" s="80">
        <f>VLOOKUP(D19,產線配置圖!$A$3:$C$38,3,0)</f>
        <v>2118</v>
      </c>
      <c r="L19" s="81">
        <f>K19/J19</f>
        <v>192.54545454545453</v>
      </c>
      <c r="M19" s="148">
        <v>11</v>
      </c>
      <c r="N19" s="95">
        <f>G19/W19*60</f>
        <v>1965.8823529412145</v>
      </c>
      <c r="O19" s="96">
        <f>N19/M19</f>
        <v>178.71657754011042</v>
      </c>
      <c r="P19" s="97">
        <f>M19-J19</f>
        <v>0</v>
      </c>
      <c r="Q19" s="98">
        <f>O19-L19</f>
        <v>-13.828877005344111</v>
      </c>
      <c r="R19" s="99">
        <f>O19/L19</f>
        <v>0.92817863689386915</v>
      </c>
      <c r="S19" s="444"/>
      <c r="T19" s="19">
        <v>0.54166666666666696</v>
      </c>
      <c r="U19" s="19">
        <v>0.57708333333333295</v>
      </c>
      <c r="V19" s="30">
        <f>(T19-U18)*24*60</f>
        <v>89.999999999999915</v>
      </c>
      <c r="W19" s="149">
        <f t="shared" si="4"/>
        <v>50.999999999999019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-152.11764705878545</v>
      </c>
      <c r="AG19" s="72">
        <f>N19/K19</f>
        <v>0.92817863689386904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12.25</v>
      </c>
      <c r="K26" s="155">
        <f t="shared" si="5"/>
        <v>2038.5</v>
      </c>
      <c r="L26" s="158">
        <f t="shared" si="5"/>
        <v>170.39772727272725</v>
      </c>
      <c r="M26" s="155">
        <f t="shared" si="5"/>
        <v>12.25</v>
      </c>
      <c r="N26" s="155">
        <f t="shared" si="5"/>
        <v>1793.1314085267206</v>
      </c>
      <c r="O26" s="158">
        <f t="shared" si="5"/>
        <v>150.75448903498076</v>
      </c>
      <c r="P26" s="159">
        <f t="shared" ref="P26:P31" si="6">M26-J26</f>
        <v>0</v>
      </c>
      <c r="Q26" s="160">
        <f t="shared" ref="Q26:Q31" si="7">O26-L26</f>
        <v>-19.643238237746488</v>
      </c>
      <c r="R26" s="161">
        <f t="shared" ref="R26:R31" si="8">O26/L26</f>
        <v>0.88472124275280484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-245.36859147327937</v>
      </c>
      <c r="AG26" s="124">
        <f t="shared" ref="AG26:AG31" si="10">N26/K26</f>
        <v>0.87963277337587475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1554</v>
      </c>
      <c r="H27" s="134">
        <f>F27*G27</f>
        <v>76954.080000000002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14</v>
      </c>
      <c r="N27" s="140">
        <f>G27/W27*60</f>
        <v>1137.073170731717</v>
      </c>
      <c r="O27" s="141">
        <f>N27/M27</f>
        <v>81.219512195122647</v>
      </c>
      <c r="P27" s="142">
        <f t="shared" si="6"/>
        <v>-3</v>
      </c>
      <c r="Q27" s="143">
        <f t="shared" si="7"/>
        <v>-3.4863701578185271</v>
      </c>
      <c r="R27" s="144">
        <f t="shared" si="8"/>
        <v>0.95884146341464238</v>
      </c>
      <c r="S27" s="443">
        <f>R37</f>
        <v>0.7613202074817802</v>
      </c>
      <c r="T27" s="171">
        <v>0.29166666666666702</v>
      </c>
      <c r="U27" s="171">
        <v>0.34861111111111098</v>
      </c>
      <c r="V27" s="135"/>
      <c r="W27" s="146">
        <f t="shared" si="4"/>
        <v>81.999999999999304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-302.92682926828297</v>
      </c>
      <c r="AG27" s="172">
        <f t="shared" si="10"/>
        <v>0.78963414634147011</v>
      </c>
      <c r="AH27" s="403">
        <f>AG37</f>
        <v>0.68262060442615102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1286</v>
      </c>
      <c r="H28" s="91">
        <f>F28*G28</f>
        <v>65161.62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857.33333333333337</v>
      </c>
      <c r="O28" s="96">
        <f>N28/M28</f>
        <v>65.948717948717956</v>
      </c>
      <c r="P28" s="97">
        <f t="shared" si="6"/>
        <v>0</v>
      </c>
      <c r="Q28" s="98">
        <f t="shared" si="7"/>
        <v>-44.820512820512818</v>
      </c>
      <c r="R28" s="99">
        <f t="shared" si="8"/>
        <v>0.59537037037037044</v>
      </c>
      <c r="S28" s="444"/>
      <c r="T28" s="19">
        <v>0.35416666666666702</v>
      </c>
      <c r="U28" s="19">
        <v>0.41666666666666702</v>
      </c>
      <c r="V28" s="92">
        <f>(T28-U27)*24*60</f>
        <v>8.000000000000691</v>
      </c>
      <c r="W28" s="149">
        <f t="shared" si="4"/>
        <v>90</v>
      </c>
      <c r="X28" s="174"/>
      <c r="Y28" s="301"/>
      <c r="Z28" s="335"/>
      <c r="AA28" s="335"/>
      <c r="AB28" s="409" t="s">
        <v>121</v>
      </c>
      <c r="AC28" s="409"/>
      <c r="AD28" s="92"/>
      <c r="AE28" s="92"/>
      <c r="AF28" s="311">
        <f t="shared" si="9"/>
        <v>-582.66666666666663</v>
      </c>
      <c r="AG28" s="99">
        <f t="shared" si="10"/>
        <v>0.59537037037037044</v>
      </c>
      <c r="AH28" s="404"/>
    </row>
    <row r="29" spans="1:34" ht="15" customHeight="1">
      <c r="A29" s="441"/>
      <c r="B29" s="75" t="s">
        <v>81</v>
      </c>
      <c r="C29" s="173"/>
      <c r="D29" s="59" t="s">
        <v>122</v>
      </c>
      <c r="E29" s="104"/>
      <c r="F29" s="75">
        <f>VLOOKUP(D29,廠價表!$C$1:$E$43,3,0)</f>
        <v>56.43</v>
      </c>
      <c r="G29" s="90">
        <v>1350</v>
      </c>
      <c r="H29" s="91">
        <f>F29*G29</f>
        <v>76180.5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>K29/J29</f>
        <v>87.875</v>
      </c>
      <c r="M29" s="94">
        <v>13</v>
      </c>
      <c r="N29" s="95">
        <f>G29/W29*60</f>
        <v>890.10989010989636</v>
      </c>
      <c r="O29" s="96">
        <f>N29/M29</f>
        <v>68.469991546915111</v>
      </c>
      <c r="P29" s="97">
        <f t="shared" si="6"/>
        <v>-3</v>
      </c>
      <c r="Q29" s="98">
        <f t="shared" si="7"/>
        <v>-19.405008453084889</v>
      </c>
      <c r="R29" s="99">
        <f t="shared" si="8"/>
        <v>0.77917486824369975</v>
      </c>
      <c r="S29" s="444"/>
      <c r="T29" s="19">
        <v>0.42013888888888901</v>
      </c>
      <c r="U29" s="19">
        <v>0.483333333333333</v>
      </c>
      <c r="V29" s="92">
        <f>(T29-U28)*24*60</f>
        <v>4.9999999999996625</v>
      </c>
      <c r="W29" s="149">
        <f t="shared" si="4"/>
        <v>90.999999999999361</v>
      </c>
      <c r="X29" s="22"/>
      <c r="Y29" s="84"/>
      <c r="Z29" s="90"/>
      <c r="AA29" s="90"/>
      <c r="AB29" s="409" t="s">
        <v>121</v>
      </c>
      <c r="AC29" s="409"/>
      <c r="AD29" s="92"/>
      <c r="AE29" s="92"/>
      <c r="AF29" s="312">
        <f t="shared" si="9"/>
        <v>-515.89010989010364</v>
      </c>
      <c r="AG29" s="99">
        <f t="shared" si="10"/>
        <v>0.63307958044800594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940</v>
      </c>
      <c r="H30" s="91">
        <f>F30*G30</f>
        <v>47629.8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1007.142857142852</v>
      </c>
      <c r="O30" s="96">
        <f>N30/M30</f>
        <v>77.472527472527076</v>
      </c>
      <c r="P30" s="97">
        <f t="shared" si="6"/>
        <v>0</v>
      </c>
      <c r="Q30" s="98">
        <f t="shared" si="7"/>
        <v>-33.296703296703697</v>
      </c>
      <c r="R30" s="99">
        <f t="shared" si="8"/>
        <v>0.69940476190475831</v>
      </c>
      <c r="S30" s="444"/>
      <c r="T30" s="19">
        <v>0.54513888888888895</v>
      </c>
      <c r="U30" s="19">
        <v>0.58402777777777803</v>
      </c>
      <c r="V30" s="92">
        <f>(T30-U29)*24*60</f>
        <v>89.000000000000568</v>
      </c>
      <c r="W30" s="149">
        <f t="shared" si="4"/>
        <v>56.000000000000284</v>
      </c>
      <c r="X30" s="174">
        <v>0.49652777777777801</v>
      </c>
      <c r="Y30" s="301">
        <v>0.53819444444444398</v>
      </c>
      <c r="Z30" s="335"/>
      <c r="AA30" s="335"/>
      <c r="AB30" s="409" t="s">
        <v>121</v>
      </c>
      <c r="AC30" s="409"/>
      <c r="AD30" s="92"/>
      <c r="AE30" s="92"/>
      <c r="AF30" s="312">
        <f t="shared" si="9"/>
        <v>-432.85714285714801</v>
      </c>
      <c r="AG30" s="99">
        <f t="shared" si="10"/>
        <v>0.69940476190475831</v>
      </c>
      <c r="AH30" s="439"/>
    </row>
    <row r="31" spans="1:34" ht="15" customHeight="1">
      <c r="A31" s="441"/>
      <c r="B31" s="75" t="s">
        <v>118</v>
      </c>
      <c r="C31" s="88"/>
      <c r="D31" s="59" t="s">
        <v>119</v>
      </c>
      <c r="E31" s="89"/>
      <c r="F31" s="75">
        <f>VLOOKUP(D31,廠價表!$C$1:$E$43,3,0)</f>
        <v>49.52</v>
      </c>
      <c r="G31" s="90">
        <v>900</v>
      </c>
      <c r="H31" s="91">
        <f>F31*G31</f>
        <v>44568</v>
      </c>
      <c r="I31" s="92"/>
      <c r="J31" s="79">
        <f>VLOOKUP(D31,產線配置圖!$A$3:$C$38,2,0)</f>
        <v>17</v>
      </c>
      <c r="K31" s="80">
        <f>VLOOKUP(D31,產線配置圖!$A$3:$C$38,3,0)</f>
        <v>1440</v>
      </c>
      <c r="L31" s="93">
        <f>K31/J31</f>
        <v>84.705882352941174</v>
      </c>
      <c r="M31" s="94">
        <v>14</v>
      </c>
      <c r="N31" s="95">
        <f>G31/W31*60</f>
        <v>1000.0000000000005</v>
      </c>
      <c r="O31" s="96">
        <f>N31/M31</f>
        <v>71.428571428571459</v>
      </c>
      <c r="P31" s="97">
        <f t="shared" si="6"/>
        <v>-3</v>
      </c>
      <c r="Q31" s="98">
        <f t="shared" si="7"/>
        <v>-13.277310924369715</v>
      </c>
      <c r="R31" s="99">
        <f t="shared" si="8"/>
        <v>0.84325396825396859</v>
      </c>
      <c r="S31" s="444"/>
      <c r="T31" s="19">
        <v>0.59583333333333299</v>
      </c>
      <c r="U31" s="19">
        <v>0.63333333333333297</v>
      </c>
      <c r="V31" s="92">
        <f>(T31-U30)*24*60</f>
        <v>16.99999999999914</v>
      </c>
      <c r="W31" s="149">
        <f t="shared" si="4"/>
        <v>53.999999999999972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-439.99999999999955</v>
      </c>
      <c r="AG31" s="99">
        <f t="shared" si="10"/>
        <v>0.69444444444444475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15.2</v>
      </c>
      <c r="K37" s="155">
        <f t="shared" si="11"/>
        <v>1433.2</v>
      </c>
      <c r="L37" s="158">
        <f t="shared" si="11"/>
        <v>95.765045248868773</v>
      </c>
      <c r="M37" s="155">
        <f t="shared" si="11"/>
        <v>13.4</v>
      </c>
      <c r="N37" s="155">
        <f t="shared" si="11"/>
        <v>978.33185026355966</v>
      </c>
      <c r="O37" s="158">
        <f t="shared" si="11"/>
        <v>72.907864118370838</v>
      </c>
      <c r="P37" s="159">
        <f>M37-J37</f>
        <v>-1.7999999999999989</v>
      </c>
      <c r="Q37" s="160">
        <f>N37-K37</f>
        <v>-454.86814973644039</v>
      </c>
      <c r="R37" s="161">
        <f>O37/L37</f>
        <v>0.7613202074817802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-454.86814973644039</v>
      </c>
      <c r="AG37" s="124">
        <f>N37/K37</f>
        <v>0.68262060442615102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2622</v>
      </c>
      <c r="H38" s="134">
        <f>F38*G38</f>
        <v>130864.01999999999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1484.1509433962285</v>
      </c>
      <c r="O38" s="141">
        <f>N38/M38</f>
        <v>98.943396226415231</v>
      </c>
      <c r="P38" s="142">
        <f>M38-J38</f>
        <v>0</v>
      </c>
      <c r="Q38" s="143">
        <f>O38-L38</f>
        <v>-15.323270440251434</v>
      </c>
      <c r="R38" s="144">
        <f>O38/L38</f>
        <v>0.86589903348671438</v>
      </c>
      <c r="S38" s="433">
        <f>R48</f>
        <v>0.90575871953028886</v>
      </c>
      <c r="T38" s="191">
        <v>0.33333333333333298</v>
      </c>
      <c r="U38" s="191">
        <v>0.406944444444444</v>
      </c>
      <c r="V38" s="192"/>
      <c r="W38" s="193">
        <f t="shared" si="4"/>
        <v>105.99999999999986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-229.84905660377149</v>
      </c>
      <c r="AG38" s="195">
        <f>N38/K38</f>
        <v>0.86589903348671438</v>
      </c>
      <c r="AH38" s="436">
        <f>AG48</f>
        <v>0.90992581327098343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2974</v>
      </c>
      <c r="H39" s="91">
        <f>F39*G39</f>
        <v>131748.19999999998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1499.495798319326</v>
      </c>
      <c r="O39" s="203">
        <f>N39/M39</f>
        <v>83.305322128851444</v>
      </c>
      <c r="P39" s="97">
        <f>M39-J39</f>
        <v>0</v>
      </c>
      <c r="Q39" s="98">
        <f>O39-L39</f>
        <v>-3.6391223155929993</v>
      </c>
      <c r="R39" s="99">
        <f>O39/L39</f>
        <v>0.95814428007624663</v>
      </c>
      <c r="S39" s="434"/>
      <c r="T39" s="20">
        <v>0.41736111111111102</v>
      </c>
      <c r="U39" s="20">
        <v>0.5</v>
      </c>
      <c r="V39" s="92">
        <f>(T39-U38)*24*60</f>
        <v>15.000000000000506</v>
      </c>
      <c r="W39" s="205">
        <f t="shared" si="4"/>
        <v>119.00000000000014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-65.504201680673987</v>
      </c>
      <c r="AG39" s="206">
        <f>N39/K39</f>
        <v>0.95814428007624663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0</v>
      </c>
      <c r="AG40" s="206" t="e">
        <f>N40/K40</f>
        <v>#DIV/0!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16.5</v>
      </c>
      <c r="K48" s="155">
        <f t="shared" si="13"/>
        <v>1639.5</v>
      </c>
      <c r="L48" s="158">
        <f t="shared" si="13"/>
        <v>100.60555555555555</v>
      </c>
      <c r="M48" s="155">
        <f t="shared" si="13"/>
        <v>16.5</v>
      </c>
      <c r="N48" s="155">
        <f t="shared" si="13"/>
        <v>1491.8233708577773</v>
      </c>
      <c r="O48" s="158">
        <f t="shared" si="13"/>
        <v>91.124359177633337</v>
      </c>
      <c r="P48" s="221">
        <f>M48-J48</f>
        <v>0</v>
      </c>
      <c r="Q48" s="222">
        <f>N48-K48</f>
        <v>-147.67662914222274</v>
      </c>
      <c r="R48" s="223">
        <f>O48/L48</f>
        <v>0.90575871953028886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-147.67662914222274</v>
      </c>
      <c r="AG48" s="162">
        <f t="shared" ref="AG48:AG53" si="15">N48/K48</f>
        <v>0.90992581327098343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VLOOKUP(D49,廠價表!$C$1:$E$43,3,0)</f>
        <v>57.21</v>
      </c>
      <c r="G49" s="228">
        <v>3269</v>
      </c>
      <c r="H49" s="134">
        <f>F49*G49</f>
        <v>187019.49</v>
      </c>
      <c r="I49" s="135"/>
      <c r="J49" s="136">
        <f>VLOOKUP(D49,產線配置圖!$A$3:$C$38,2,0)</f>
        <v>15</v>
      </c>
      <c r="K49" s="137">
        <f>VLOOKUP(D49,產線配置圖!$A$3:$C$38,3,0)</f>
        <v>1565</v>
      </c>
      <c r="L49" s="138">
        <f>K49/J49</f>
        <v>104.33333333333333</v>
      </c>
      <c r="M49" s="170">
        <v>15</v>
      </c>
      <c r="N49" s="140">
        <f>G49/W49*60</f>
        <v>1520.4651162790763</v>
      </c>
      <c r="O49" s="141">
        <f>N49/M49</f>
        <v>101.36434108527175</v>
      </c>
      <c r="P49" s="229">
        <f>M49-J49</f>
        <v>0</v>
      </c>
      <c r="Q49" s="230">
        <f>O49-L49</f>
        <v>-2.968992248061582</v>
      </c>
      <c r="R49" s="52">
        <f>O49/L49</f>
        <v>0.9715432052901446</v>
      </c>
      <c r="S49" s="415">
        <f>R58</f>
        <v>0.94459470517243382</v>
      </c>
      <c r="T49" s="191">
        <v>0.29166666666666702</v>
      </c>
      <c r="U49" s="191">
        <v>0.38124999999999998</v>
      </c>
      <c r="V49" s="55"/>
      <c r="W49" s="193">
        <f t="shared" si="4"/>
        <v>128.99999999999946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-44.534883720923744</v>
      </c>
      <c r="AG49" s="52">
        <f t="shared" si="15"/>
        <v>0.9715432052901446</v>
      </c>
      <c r="AH49" s="403">
        <f>AG58</f>
        <v>0.90344585547953982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3372</v>
      </c>
      <c r="H50" s="231">
        <f>F50*G50</f>
        <v>168498.84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1618.5600000000099</v>
      </c>
      <c r="O50" s="235">
        <f>N50/M50</f>
        <v>107.90400000000066</v>
      </c>
      <c r="P50" s="74">
        <f>M50-J50</f>
        <v>-1</v>
      </c>
      <c r="Q50" s="83">
        <f>O50-L50</f>
        <v>-4.5959999999993357</v>
      </c>
      <c r="R50" s="72">
        <f>O50/L50</f>
        <v>0.95914666666667259</v>
      </c>
      <c r="S50" s="416"/>
      <c r="T50" s="21">
        <v>0.390277777777778</v>
      </c>
      <c r="U50" s="21">
        <v>0.47708333333333303</v>
      </c>
      <c r="V50" s="30">
        <f>(T50-U49)*24*60</f>
        <v>13.000000000000353</v>
      </c>
      <c r="W50" s="236">
        <f t="shared" si="4"/>
        <v>124.99999999999923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-181.43999999999005</v>
      </c>
      <c r="AG50" s="72">
        <f t="shared" si="15"/>
        <v>0.89920000000000555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1680</v>
      </c>
      <c r="H51" s="231">
        <f>F51*G51</f>
        <v>83949.599999999991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1527.2727272727366</v>
      </c>
      <c r="O51" s="235">
        <f>N51/M51</f>
        <v>101.81818181818244</v>
      </c>
      <c r="P51" s="74">
        <f>M51-J51</f>
        <v>-1</v>
      </c>
      <c r="Q51" s="83">
        <f>O51-L51</f>
        <v>-10.681818181817562</v>
      </c>
      <c r="R51" s="72">
        <f>O51/L51</f>
        <v>0.90505050505051055</v>
      </c>
      <c r="S51" s="416"/>
      <c r="T51" s="21">
        <v>0.53541666666666698</v>
      </c>
      <c r="U51" s="19">
        <v>0.58125000000000004</v>
      </c>
      <c r="V51" s="30">
        <f>(T51-U50)*24*60</f>
        <v>84.000000000000895</v>
      </c>
      <c r="W51" s="236">
        <f t="shared" si="4"/>
        <v>65.999999999999602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-272.72727272726343</v>
      </c>
      <c r="AG51" s="72">
        <f t="shared" si="15"/>
        <v>0.84848484848485362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0</v>
      </c>
      <c r="AG52" s="72" t="e">
        <f t="shared" si="15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15.666666666666666</v>
      </c>
      <c r="K58" s="120">
        <f t="shared" si="16"/>
        <v>1721.6666666666667</v>
      </c>
      <c r="L58" s="117">
        <f t="shared" si="16"/>
        <v>109.77777777777777</v>
      </c>
      <c r="M58" s="120">
        <f t="shared" si="16"/>
        <v>15</v>
      </c>
      <c r="N58" s="120">
        <f t="shared" si="16"/>
        <v>1555.4326145172745</v>
      </c>
      <c r="O58" s="117">
        <f t="shared" si="16"/>
        <v>103.69550763448495</v>
      </c>
      <c r="P58" s="121">
        <f>M58-J58</f>
        <v>-0.66666666666666607</v>
      </c>
      <c r="Q58" s="122">
        <f>N58-K58</f>
        <v>-166.23405214939226</v>
      </c>
      <c r="R58" s="123">
        <f>O58/L58</f>
        <v>0.94459470517243382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-166.23405214939226</v>
      </c>
      <c r="AG58" s="124">
        <f>N58/K58</f>
        <v>0.90344585547953982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2833</v>
      </c>
      <c r="H59" s="243">
        <f>F59*G59</f>
        <v>76462.67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1545.272727272725</v>
      </c>
      <c r="O59" s="138">
        <f>N59/M59</f>
        <v>118.8671328671327</v>
      </c>
      <c r="P59" s="56">
        <f>M59-J59</f>
        <v>0</v>
      </c>
      <c r="Q59" s="230">
        <f>O59-L59</f>
        <v>-1.5174825174826907</v>
      </c>
      <c r="R59" s="52">
        <f>O59/L59</f>
        <v>0.98739471391228439</v>
      </c>
      <c r="S59" s="415">
        <f>R69</f>
        <v>0.91229854676090061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-19.727272727275022</v>
      </c>
      <c r="AG59" s="246">
        <f>N59/K59</f>
        <v>0.98739471391228428</v>
      </c>
      <c r="AH59" s="403">
        <f>AG69</f>
        <v>0.95747615092978122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1640</v>
      </c>
      <c r="H60" s="78">
        <f>F60*G60</f>
        <v>46346.400000000001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1561.9047619047615</v>
      </c>
      <c r="O60" s="81">
        <f>N60/M60</f>
        <v>130.15873015873012</v>
      </c>
      <c r="P60" s="74">
        <f>M60-J60</f>
        <v>0</v>
      </c>
      <c r="Q60" s="83">
        <f>O60-L60</f>
        <v>-0.25793650793653455</v>
      </c>
      <c r="R60" s="72">
        <f>O60/L60</f>
        <v>0.99802221207971986</v>
      </c>
      <c r="S60" s="425"/>
      <c r="T60" s="22">
        <v>0.37777777777777799</v>
      </c>
      <c r="U60" s="22">
        <v>0.421527777777778</v>
      </c>
      <c r="V60" s="30">
        <f>(T60-U59)*24*60</f>
        <v>13.999999999999631</v>
      </c>
      <c r="W60" s="248">
        <f t="shared" si="4"/>
        <v>63.000000000000014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-3.0952380952385283</v>
      </c>
      <c r="AG60" s="249">
        <f>N60/K60</f>
        <v>0.99802221207971975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2524</v>
      </c>
      <c r="H61" s="254">
        <f>F61*G61</f>
        <v>71328.240000000005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10</v>
      </c>
      <c r="N61" s="107">
        <f>G61/W61*60</f>
        <v>1456.1538461538514</v>
      </c>
      <c r="O61" s="238">
        <f>N61/M61</f>
        <v>145.61538461538515</v>
      </c>
      <c r="P61" s="111">
        <f>M61-J61</f>
        <v>1</v>
      </c>
      <c r="Q61" s="255">
        <f>O61-L61</f>
        <v>-36.162393162392618</v>
      </c>
      <c r="R61" s="85">
        <f>O61/L61</f>
        <v>0.80106262930224104</v>
      </c>
      <c r="S61" s="416"/>
      <c r="T61" s="22">
        <v>0.43125000000000002</v>
      </c>
      <c r="U61" s="22">
        <v>0.50347222222222199</v>
      </c>
      <c r="V61" s="30">
        <f>(T61-U60)*24*60</f>
        <v>13.99999999999971</v>
      </c>
      <c r="W61" s="256">
        <f t="shared" si="4"/>
        <v>103.99999999999963</v>
      </c>
      <c r="X61" s="22"/>
      <c r="Y61" s="84"/>
      <c r="Z61" s="90"/>
      <c r="AA61" s="90"/>
      <c r="AB61" s="409" t="s">
        <v>139</v>
      </c>
      <c r="AC61" s="409"/>
      <c r="AD61" s="92"/>
      <c r="AE61" s="92"/>
      <c r="AF61" s="317">
        <f>N61-K61</f>
        <v>-179.84615384614858</v>
      </c>
      <c r="AG61" s="247">
        <f>N61/K61</f>
        <v>0.89006958811360115</v>
      </c>
      <c r="AH61" s="405"/>
    </row>
    <row r="62" spans="1:34" ht="15" customHeight="1">
      <c r="A62" s="423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6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09"/>
      <c r="AC62" s="409"/>
      <c r="AD62" s="92"/>
      <c r="AE62" s="92"/>
      <c r="AF62" s="317">
        <f>N62-K62</f>
        <v>0</v>
      </c>
      <c r="AG62" s="247" t="e">
        <f>N62/K62</f>
        <v>#DIV/0!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11.333333333333334</v>
      </c>
      <c r="K69" s="240">
        <f t="shared" si="17"/>
        <v>1588.6666666666667</v>
      </c>
      <c r="L69" s="268">
        <f t="shared" si="17"/>
        <v>144.19301994301995</v>
      </c>
      <c r="M69" s="240">
        <f t="shared" si="17"/>
        <v>11.666666666666666</v>
      </c>
      <c r="N69" s="240">
        <f t="shared" si="17"/>
        <v>1521.1104451104459</v>
      </c>
      <c r="O69" s="268">
        <f t="shared" si="17"/>
        <v>131.54708254708265</v>
      </c>
      <c r="P69" s="269">
        <f>M69-J69</f>
        <v>0.33333333333333215</v>
      </c>
      <c r="Q69" s="222">
        <f>N69-K69</f>
        <v>-67.556221556220862</v>
      </c>
      <c r="R69" s="123">
        <f>O69/L69</f>
        <v>0.91229854676090061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-67.556221556220862</v>
      </c>
      <c r="AG69" s="124">
        <f>N69/K69</f>
        <v>0.95747615092978122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319E3A-4B06-46A1-AAB0-1FDCC0E0088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9A9F-DC35-4CF5-83F8-E999D5C308A8}">
  <dimension ref="B1:O26"/>
  <sheetViews>
    <sheetView zoomScale="70" zoomScaleNormal="70" workbookViewId="0">
      <selection activeCell="AB62" sqref="AB62:AC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46117</v>
      </c>
      <c r="E3" s="399"/>
      <c r="F3" s="3" t="s">
        <v>72</v>
      </c>
      <c r="G3" s="400">
        <f>'0405'!E1</f>
        <v>47822</v>
      </c>
      <c r="H3" s="400"/>
      <c r="I3" s="3" t="s">
        <v>2</v>
      </c>
      <c r="J3" s="401">
        <f>'0405'!G1</f>
        <v>2252429.3300000005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130.7709279328152</v>
      </c>
      <c r="G6" s="397"/>
      <c r="H6" s="382">
        <f>AVERAGE(D13:H13)</f>
        <v>126.20727163903635</v>
      </c>
      <c r="I6" s="382"/>
      <c r="J6" s="382">
        <f>AVERAGE(I13)</f>
        <v>153.58920940170941</v>
      </c>
      <c r="K6" s="382"/>
      <c r="L6" s="383">
        <f>SUM(D18:J18)</f>
        <v>5</v>
      </c>
      <c r="M6" s="385">
        <f>SUM(D19:J19)</f>
        <v>68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112.14448955791443</v>
      </c>
      <c r="G7" s="389"/>
      <c r="H7" s="390">
        <f>AVERAGE(D14:H14)</f>
        <v>112.03567518178502</v>
      </c>
      <c r="I7" s="390"/>
      <c r="J7" s="390">
        <f>AVERAGE(I14)</f>
        <v>112.68856143856141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0.85756437864790347</v>
      </c>
      <c r="G8" s="374"/>
      <c r="H8" s="374">
        <f>H7/H6</f>
        <v>0.88771172791229247</v>
      </c>
      <c r="I8" s="374"/>
      <c r="J8" s="374">
        <f>J7/J6</f>
        <v>0.73370103197697178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VALUE('0405'!L15)</f>
        <v>159.04395604395606</v>
      </c>
      <c r="E13" s="13">
        <f>VALUE('0405'!L26)</f>
        <v>170.39772727272725</v>
      </c>
      <c r="F13" s="13">
        <f>VALUE('0405'!L37)</f>
        <v>95.765045248868773</v>
      </c>
      <c r="G13" s="13">
        <f>VALUE('0405'!L48)</f>
        <v>96.05185185185185</v>
      </c>
      <c r="H13" s="13">
        <f>VALUE('0405'!L58)</f>
        <v>109.77777777777777</v>
      </c>
      <c r="I13" s="13">
        <f>VALUE('0405'!L69)</f>
        <v>153.58920940170941</v>
      </c>
      <c r="J13" s="13">
        <f>'0405'!L79</f>
        <v>0</v>
      </c>
    </row>
    <row r="14" spans="2:15" ht="39.950000000000003" customHeight="1">
      <c r="B14" s="368"/>
      <c r="C14" s="12" t="s">
        <v>100</v>
      </c>
      <c r="D14" s="13">
        <f>VALUE('0405'!O15)</f>
        <v>137.01626093875436</v>
      </c>
      <c r="E14" s="13">
        <f>VALUE('0405'!O26)</f>
        <v>159.19097707847672</v>
      </c>
      <c r="F14" s="13">
        <f>VALUE('0405'!O37)</f>
        <v>71.665111913286836</v>
      </c>
      <c r="G14" s="13">
        <f>VALUE('0405'!O48)</f>
        <v>86.631337857936174</v>
      </c>
      <c r="H14" s="13">
        <f>VALUE('0405'!O58)</f>
        <v>105.67468812047109</v>
      </c>
      <c r="I14" s="13">
        <f>VALUE('0405'!O69)</f>
        <v>112.68856143856141</v>
      </c>
      <c r="J14" s="13">
        <f>'0405'!O79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0.86149932601579804</v>
      </c>
      <c r="E15" s="14">
        <f t="shared" si="1"/>
        <v>0.93423180946355144</v>
      </c>
      <c r="F15" s="14">
        <f t="shared" si="1"/>
        <v>0.74834311127873021</v>
      </c>
      <c r="G15" s="14">
        <f t="shared" si="1"/>
        <v>0.90192261979034349</v>
      </c>
      <c r="H15" s="14">
        <f t="shared" si="1"/>
        <v>0.96262367721076914</v>
      </c>
      <c r="I15" s="14">
        <f t="shared" si="1"/>
        <v>0.73370103197697178</v>
      </c>
      <c r="J15" s="15">
        <f>'0405'!S70</f>
        <v>0</v>
      </c>
    </row>
    <row r="16" spans="2:15" ht="17.25" customHeight="1">
      <c r="B16" s="370" t="s">
        <v>101</v>
      </c>
      <c r="C16" s="10" t="s">
        <v>34</v>
      </c>
      <c r="D16" s="16">
        <f>'0405'!T5</f>
        <v>0.29166666666666702</v>
      </c>
      <c r="E16" s="16">
        <f>'0405'!T16</f>
        <v>0.29097222222222202</v>
      </c>
      <c r="F16" s="16">
        <f>'0405'!T27</f>
        <v>0.29166666666666702</v>
      </c>
      <c r="G16" s="16">
        <f>'0405'!T38</f>
        <v>0.33333333333333298</v>
      </c>
      <c r="H16" s="16">
        <f>'0405'!T49</f>
        <v>0.28819444444444398</v>
      </c>
      <c r="I16" s="16">
        <f>'0405'!T59</f>
        <v>0.29166666666666702</v>
      </c>
      <c r="J16" s="16">
        <f>'0405'!T70</f>
        <v>0</v>
      </c>
    </row>
    <row r="17" spans="2:10" ht="17.25" customHeight="1">
      <c r="B17" s="371"/>
      <c r="C17" s="10" t="s">
        <v>35</v>
      </c>
      <c r="D17" s="16">
        <v>0.58680555555555602</v>
      </c>
      <c r="E17" s="19">
        <v>0.55902777777777801</v>
      </c>
      <c r="F17" s="19">
        <v>0.62847222222222199</v>
      </c>
      <c r="G17" s="20">
        <v>0.62847222222222199</v>
      </c>
      <c r="H17" s="21">
        <v>0.58750000000000002</v>
      </c>
      <c r="I17" s="22">
        <v>0.60416666666666696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'0405'!Z15</f>
        <v>2</v>
      </c>
      <c r="E18" s="359">
        <f>'0405'!Z26</f>
        <v>0</v>
      </c>
      <c r="F18" s="359">
        <f>'0405'!Z37</f>
        <v>3</v>
      </c>
      <c r="G18" s="360">
        <f>'0405'!Z48</f>
        <v>0</v>
      </c>
      <c r="H18" s="360">
        <f>'0405'!Z58</f>
        <v>0</v>
      </c>
      <c r="I18" s="359">
        <f>'0405'!Z69</f>
        <v>0</v>
      </c>
      <c r="J18" s="359">
        <f>'0405'!AA79</f>
        <v>0</v>
      </c>
    </row>
    <row r="19" spans="2:10" ht="17.25" customHeight="1">
      <c r="B19" s="373"/>
      <c r="C19" s="330" t="s">
        <v>37</v>
      </c>
      <c r="D19" s="358">
        <f>'0405'!AA15</f>
        <v>55</v>
      </c>
      <c r="E19" s="359">
        <f>'0405'!AA26</f>
        <v>0</v>
      </c>
      <c r="F19" s="359">
        <f>'0405'!AA37</f>
        <v>13</v>
      </c>
      <c r="G19" s="360">
        <f>'0405'!AA48</f>
        <v>0</v>
      </c>
      <c r="H19" s="360">
        <f>'0405'!AA58</f>
        <v>0</v>
      </c>
      <c r="I19" s="359">
        <f>'0405'!AA69</f>
        <v>0</v>
      </c>
      <c r="J19" s="359">
        <f>'0405'!AB79</f>
        <v>0</v>
      </c>
    </row>
    <row r="20" spans="2:10" ht="17.25" customHeight="1">
      <c r="B20" s="372" t="s">
        <v>103</v>
      </c>
      <c r="C20" s="330" t="s">
        <v>36</v>
      </c>
      <c r="D20" s="358">
        <f>'0405'!AD15</f>
        <v>0</v>
      </c>
      <c r="E20" s="359">
        <f>'0405'!AD26</f>
        <v>0</v>
      </c>
      <c r="F20" s="359">
        <f>'0405'!AD37</f>
        <v>0</v>
      </c>
      <c r="G20" s="360">
        <f>'0405'!AD48</f>
        <v>0</v>
      </c>
      <c r="H20" s="360">
        <f>'0405'!AD58</f>
        <v>0</v>
      </c>
      <c r="I20" s="359">
        <f>'0405'!AD69</f>
        <v>0</v>
      </c>
      <c r="J20" s="359">
        <f>'0405'!AD79</f>
        <v>0</v>
      </c>
    </row>
    <row r="21" spans="2:10" ht="17.25" customHeight="1">
      <c r="B21" s="373"/>
      <c r="C21" s="330" t="s">
        <v>85</v>
      </c>
      <c r="D21" s="358">
        <f>'0405'!AE15</f>
        <v>0</v>
      </c>
      <c r="E21" s="359">
        <f>'0405'!AE26</f>
        <v>0</v>
      </c>
      <c r="F21" s="359">
        <f>'0405'!AE37</f>
        <v>0</v>
      </c>
      <c r="G21" s="360">
        <f>'0405'!AE48</f>
        <v>0</v>
      </c>
      <c r="H21" s="360">
        <f>'0405'!AE58</f>
        <v>0</v>
      </c>
      <c r="I21" s="359">
        <f>'0405'!AE69</f>
        <v>0</v>
      </c>
      <c r="J21" s="359">
        <f>'0405'!AE79</f>
        <v>0</v>
      </c>
    </row>
    <row r="22" spans="2:10" ht="17.25" customHeight="1">
      <c r="B22" s="364" t="s">
        <v>104</v>
      </c>
      <c r="C22" s="365"/>
      <c r="D22" s="23">
        <f>VALUE('0405'!M15)</f>
        <v>13.333333333333334</v>
      </c>
      <c r="E22" s="23">
        <f>VALUE('0405'!M26)</f>
        <v>12.25</v>
      </c>
      <c r="F22" s="23">
        <f>VALUE('0405'!M37)</f>
        <v>13.8</v>
      </c>
      <c r="G22" s="23">
        <f>VALUE('0405'!M48)</f>
        <v>16.333333333333332</v>
      </c>
      <c r="H22" s="23">
        <f>VALUE('0405'!M58)</f>
        <v>15</v>
      </c>
      <c r="I22" s="23">
        <f>VALUE('0405'!M69)</f>
        <v>11.75</v>
      </c>
      <c r="J22" s="23">
        <f>'0405'!M79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F9F7-9840-47F8-9EA6-061473BF5B61}">
  <sheetPr>
    <tabColor theme="9" tint="0.79998168889431442"/>
  </sheetPr>
  <dimension ref="A1:AJ92"/>
  <sheetViews>
    <sheetView zoomScale="69" zoomScaleNormal="69" workbookViewId="0">
      <pane xSplit="5" ySplit="4" topLeftCell="F62" activePane="bottomRight" state="frozen"/>
      <selection activeCell="AB62" sqref="AB62:AC62"/>
      <selection pane="topRight" activeCell="AB62" sqref="AB62:AC62"/>
      <selection pane="bottomLeft" activeCell="AB62" sqref="AB62:AC62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47822</v>
      </c>
      <c r="F1" s="30" t="s">
        <v>2</v>
      </c>
      <c r="G1" s="31">
        <f>SUM(H5:H79)</f>
        <v>2252429.3300000005</v>
      </c>
      <c r="H1" s="32" t="s">
        <v>3</v>
      </c>
      <c r="I1" s="33">
        <f>M15+M26+M48+M58+M69+M79+M37</f>
        <v>82.466666666666669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140</v>
      </c>
      <c r="B2" s="483"/>
      <c r="C2" s="28"/>
      <c r="D2" s="28" t="s">
        <v>14</v>
      </c>
      <c r="E2" s="35">
        <f>AVERAGE(O15,O26,O37,O48,O58,O69,O79)</f>
        <v>112.14448955791443</v>
      </c>
      <c r="F2" s="36" t="s">
        <v>15</v>
      </c>
      <c r="G2" s="37">
        <f>G1/E1</f>
        <v>47.100274559826033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5</v>
      </c>
      <c r="AA2" s="339">
        <f>AA15+AA26+AA37+AA48+AA58+AA69+AA79</f>
        <v>68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3011</v>
      </c>
      <c r="H5" s="43">
        <f>F5*G5</f>
        <v>172259.31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1433.8095238095243</v>
      </c>
      <c r="O5" s="47">
        <f>N5/M5</f>
        <v>102.41496598639459</v>
      </c>
      <c r="P5" s="49">
        <f>M5-J5</f>
        <v>0</v>
      </c>
      <c r="Q5" s="50">
        <f>O5-L5</f>
        <v>-48.870748299319686</v>
      </c>
      <c r="R5" s="51">
        <f>O5/L5</f>
        <v>0.6769638922613429</v>
      </c>
      <c r="S5" s="415">
        <f>R15</f>
        <v>0.86149932601579804</v>
      </c>
      <c r="T5" s="319">
        <v>0.29166666666666702</v>
      </c>
      <c r="U5" s="320">
        <v>0.37916666666666698</v>
      </c>
      <c r="V5" s="53"/>
      <c r="W5" s="54">
        <f t="shared" ref="W5:W14" si="0">(U5-T5)*24*60</f>
        <v>125.99999999999996</v>
      </c>
      <c r="X5" s="55"/>
      <c r="Y5" s="290"/>
      <c r="Z5" s="169">
        <v>2</v>
      </c>
      <c r="AA5" s="169">
        <v>55</v>
      </c>
      <c r="AB5" s="420" t="s">
        <v>141</v>
      </c>
      <c r="AC5" s="420"/>
      <c r="AD5" s="135"/>
      <c r="AE5" s="135"/>
      <c r="AF5" s="229">
        <f t="shared" ref="AF5:AF11" si="1">N5-K5</f>
        <v>-684.19047619047569</v>
      </c>
      <c r="AG5" s="52">
        <f t="shared" ref="AG5:AG11" si="2">N5/K5</f>
        <v>0.6769638922613429</v>
      </c>
      <c r="AH5" s="403">
        <f>AG15</f>
        <v>0.85710562521212041</v>
      </c>
    </row>
    <row r="6" spans="1:34" ht="15" customHeight="1">
      <c r="A6" s="489"/>
      <c r="B6" s="75" t="s">
        <v>81</v>
      </c>
      <c r="C6" s="76"/>
      <c r="D6" s="59" t="s">
        <v>114</v>
      </c>
      <c r="E6" s="77"/>
      <c r="F6" s="75">
        <f>VLOOKUP(D6,廠價表!$C$1:$E$43,3,0)</f>
        <v>49.14</v>
      </c>
      <c r="G6" s="66">
        <v>3810</v>
      </c>
      <c r="H6" s="78">
        <f>F6*G6</f>
        <v>187223.4</v>
      </c>
      <c r="I6" s="73"/>
      <c r="J6" s="79">
        <f>VLOOKUP(D6,產線配置圖!$A$3:$C$38,2,0)</f>
        <v>13</v>
      </c>
      <c r="K6" s="80">
        <f>VLOOKUP(D6,產線配置圖!$A$3:$C$38,3,0)</f>
        <v>2118</v>
      </c>
      <c r="L6" s="81">
        <f>K6/J6</f>
        <v>162.92307692307693</v>
      </c>
      <c r="M6" s="82">
        <v>13</v>
      </c>
      <c r="N6" s="80">
        <f>G6/W6*60</f>
        <v>2023.008849557528</v>
      </c>
      <c r="O6" s="81">
        <f>N6/M6</f>
        <v>155.61606535057908</v>
      </c>
      <c r="P6" s="74">
        <f>M6-J6</f>
        <v>0</v>
      </c>
      <c r="Q6" s="83">
        <f>O6-L6</f>
        <v>-7.3070115724978564</v>
      </c>
      <c r="R6" s="72">
        <f>O6/L6</f>
        <v>0.95515054275615108</v>
      </c>
      <c r="S6" s="416"/>
      <c r="T6" s="18">
        <v>0.39930555555555602</v>
      </c>
      <c r="U6" s="18">
        <v>0.47777777777777802</v>
      </c>
      <c r="V6" s="30">
        <f>(T6-U5)*24*60</f>
        <v>29.000000000000217</v>
      </c>
      <c r="W6" s="73">
        <f t="shared" si="0"/>
        <v>112.99999999999967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-94.991150442471962</v>
      </c>
      <c r="AG6" s="72">
        <f t="shared" si="2"/>
        <v>0.95515054275615108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2155</v>
      </c>
      <c r="H7" s="78">
        <f>F7*G7</f>
        <v>105896.7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1989.2307692307616</v>
      </c>
      <c r="O7" s="81">
        <f>N7/M7</f>
        <v>153.01775147928936</v>
      </c>
      <c r="P7" s="74">
        <f>M7-J7</f>
        <v>0</v>
      </c>
      <c r="Q7" s="83">
        <f>O7-L7</f>
        <v>-9.9053254437875751</v>
      </c>
      <c r="R7" s="72">
        <f>O7/L7</f>
        <v>0.9392024406188676</v>
      </c>
      <c r="S7" s="416"/>
      <c r="T7" s="16">
        <v>0.54166666666666696</v>
      </c>
      <c r="U7" s="16">
        <v>0.58680555555555602</v>
      </c>
      <c r="V7" s="30">
        <f>(T7-U6)*24*60</f>
        <v>92.000000000000071</v>
      </c>
      <c r="W7" s="73">
        <f t="shared" si="0"/>
        <v>65.000000000000256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-128.76923076923845</v>
      </c>
      <c r="AG7" s="72">
        <f t="shared" si="2"/>
        <v>0.9392024406188676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13.333333333333334</v>
      </c>
      <c r="K15" s="120">
        <f t="shared" si="3"/>
        <v>2118</v>
      </c>
      <c r="L15" s="117">
        <f t="shared" si="3"/>
        <v>159.04395604395606</v>
      </c>
      <c r="M15" s="120">
        <f t="shared" si="3"/>
        <v>13.333333333333334</v>
      </c>
      <c r="N15" s="120">
        <f t="shared" si="3"/>
        <v>1815.3497141992711</v>
      </c>
      <c r="O15" s="117">
        <f t="shared" si="3"/>
        <v>137.01626093875436</v>
      </c>
      <c r="P15" s="121">
        <f>M15-J15</f>
        <v>0</v>
      </c>
      <c r="Q15" s="122">
        <f>O15-L15</f>
        <v>-22.027695105201701</v>
      </c>
      <c r="R15" s="123">
        <f>O15/L15</f>
        <v>0.86149932601579804</v>
      </c>
      <c r="S15" s="419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55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-302.65028580072885</v>
      </c>
      <c r="AG15" s="124">
        <f>N15/K15</f>
        <v>0.85710562521212041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115</v>
      </c>
      <c r="E16" s="132"/>
      <c r="F16" s="129">
        <f>VLOOKUP(D16,廠價表!$C$1:$E$43,3,0)</f>
        <v>56.28</v>
      </c>
      <c r="G16" s="133">
        <v>592</v>
      </c>
      <c r="H16" s="134">
        <f>F16*G16</f>
        <v>33317.760000000002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>K16/J16</f>
        <v>120</v>
      </c>
      <c r="M16" s="139">
        <v>15</v>
      </c>
      <c r="N16" s="140">
        <f>G16/W16*60</f>
        <v>1479.9999999999707</v>
      </c>
      <c r="O16" s="141">
        <f>N16/M16</f>
        <v>98.66666666666471</v>
      </c>
      <c r="P16" s="142">
        <f>M16-J16</f>
        <v>0</v>
      </c>
      <c r="Q16" s="143">
        <f>O16-L16</f>
        <v>-21.33333333333529</v>
      </c>
      <c r="R16" s="144">
        <f>O16/L16</f>
        <v>0.82222222222220587</v>
      </c>
      <c r="S16" s="443">
        <f>R26</f>
        <v>0.93423180946355144</v>
      </c>
      <c r="T16" s="145">
        <v>0.29097222222222202</v>
      </c>
      <c r="U16" s="145">
        <v>0.30763888888888902</v>
      </c>
      <c r="V16" s="135"/>
      <c r="W16" s="146">
        <f t="shared" ref="W16:W78" si="4">(U16-T16)*24*60</f>
        <v>24.000000000000476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-320.00000000002933</v>
      </c>
      <c r="AG16" s="52">
        <f>N16/K16</f>
        <v>0.82222222222220598</v>
      </c>
      <c r="AH16" s="403">
        <f>AG26</f>
        <v>0.92855417822304953</v>
      </c>
    </row>
    <row r="17" spans="1:34" ht="15" customHeight="1">
      <c r="A17" s="450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3723</v>
      </c>
      <c r="H17" s="78">
        <f>F17*G17</f>
        <v>188644.41</v>
      </c>
      <c r="I17" s="30"/>
      <c r="J17" s="79">
        <f>VLOOKUP(D17,產線配置圖!$A$3:$C$38,2,0)</f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2068.333333333333</v>
      </c>
      <c r="O17" s="96">
        <f>N17/M17</f>
        <v>172.36111111111109</v>
      </c>
      <c r="P17" s="97">
        <f>M17-J17</f>
        <v>0</v>
      </c>
      <c r="Q17" s="98">
        <f>O17-L17</f>
        <v>-4.1388888888889142</v>
      </c>
      <c r="R17" s="99">
        <f>O17/L17</f>
        <v>0.97655020459553021</v>
      </c>
      <c r="S17" s="444"/>
      <c r="T17" s="19">
        <v>0.31527777777777799</v>
      </c>
      <c r="U17" s="19">
        <v>0.390277777777778</v>
      </c>
      <c r="V17" s="30">
        <f>(T17-U16)*24*60</f>
        <v>11.000000000000121</v>
      </c>
      <c r="W17" s="149">
        <f t="shared" si="4"/>
        <v>108.00000000000001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-49.66666666666697</v>
      </c>
      <c r="AG17" s="72">
        <f>N17/K17</f>
        <v>0.97655020459553021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3970</v>
      </c>
      <c r="H18" s="78">
        <f>F18*G18</f>
        <v>200048.3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2035.8974358974351</v>
      </c>
      <c r="O18" s="96">
        <f>N18/M18</f>
        <v>185.08158508158502</v>
      </c>
      <c r="P18" s="97">
        <f>M18-J18</f>
        <v>0</v>
      </c>
      <c r="Q18" s="98">
        <f>O18-L18</f>
        <v>-7.4638694638695142</v>
      </c>
      <c r="R18" s="99">
        <f>O18/L18</f>
        <v>0.96123580542843967</v>
      </c>
      <c r="S18" s="444"/>
      <c r="T18" s="19">
        <v>0.39791666666666697</v>
      </c>
      <c r="U18" s="19">
        <v>0.47916666666666702</v>
      </c>
      <c r="V18" s="30">
        <f>(T18-U17)*24*60</f>
        <v>11.000000000000121</v>
      </c>
      <c r="W18" s="149">
        <f t="shared" si="4"/>
        <v>117.00000000000006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-82.102564102564884</v>
      </c>
      <c r="AG18" s="72">
        <f>N18/K18</f>
        <v>0.96123580542843967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828</v>
      </c>
      <c r="H19" s="78">
        <f>F19*G19</f>
        <v>41722.92</v>
      </c>
      <c r="I19" s="30"/>
      <c r="J19" s="79">
        <f>VLOOKUP(D19,產線配置圖!$A$3:$C$38,2,0)</f>
        <v>11</v>
      </c>
      <c r="K19" s="80">
        <f>VLOOKUP(D19,產線配置圖!$A$3:$C$38,3,0)</f>
        <v>2118</v>
      </c>
      <c r="L19" s="81">
        <f>K19/J19</f>
        <v>192.54545454545453</v>
      </c>
      <c r="M19" s="148">
        <v>11</v>
      </c>
      <c r="N19" s="95">
        <f>G19/W19*60</f>
        <v>1987.2000000000071</v>
      </c>
      <c r="O19" s="96">
        <f>N19/M19</f>
        <v>180.65454545454611</v>
      </c>
      <c r="P19" s="97">
        <f>M19-J19</f>
        <v>0</v>
      </c>
      <c r="Q19" s="98">
        <f>O19-L19</f>
        <v>-11.890909090908423</v>
      </c>
      <c r="R19" s="99">
        <f>O19/L19</f>
        <v>0.93824362606232636</v>
      </c>
      <c r="S19" s="444"/>
      <c r="T19" s="19">
        <v>0.54166666666666696</v>
      </c>
      <c r="U19" s="19">
        <v>0.55902777777777801</v>
      </c>
      <c r="V19" s="30">
        <f>(T19-U18)*24*60</f>
        <v>89.999999999999915</v>
      </c>
      <c r="W19" s="149">
        <f t="shared" si="4"/>
        <v>24.999999999999911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-130.79999999999291</v>
      </c>
      <c r="AG19" s="72">
        <f>N19/K19</f>
        <v>0.93824362606232625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12.25</v>
      </c>
      <c r="K26" s="155">
        <f t="shared" si="5"/>
        <v>2038.5</v>
      </c>
      <c r="L26" s="158">
        <f t="shared" si="5"/>
        <v>170.39772727272725</v>
      </c>
      <c r="M26" s="155">
        <f t="shared" si="5"/>
        <v>12.25</v>
      </c>
      <c r="N26" s="155">
        <f t="shared" si="5"/>
        <v>1892.8576923076864</v>
      </c>
      <c r="O26" s="158">
        <f t="shared" si="5"/>
        <v>159.19097707847672</v>
      </c>
      <c r="P26" s="159">
        <f t="shared" ref="P26:P31" si="6">M26-J26</f>
        <v>0</v>
      </c>
      <c r="Q26" s="160">
        <f t="shared" ref="Q26:Q31" si="7">O26-L26</f>
        <v>-11.206750194250532</v>
      </c>
      <c r="R26" s="161">
        <f t="shared" ref="R26:R31" si="8">O26/L26</f>
        <v>0.93423180946355144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-145.64230769231358</v>
      </c>
      <c r="AG26" s="124">
        <f t="shared" ref="AG26:AG31" si="10">N26/K26</f>
        <v>0.92855417822304953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984</v>
      </c>
      <c r="H27" s="134">
        <f>F27*G27</f>
        <v>48727.68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13</v>
      </c>
      <c r="N27" s="140">
        <f>G27/W27*60</f>
        <v>1093.3333333333339</v>
      </c>
      <c r="O27" s="141">
        <f>N27/M27</f>
        <v>84.102564102564145</v>
      </c>
      <c r="P27" s="142">
        <f t="shared" si="6"/>
        <v>-4</v>
      </c>
      <c r="Q27" s="143">
        <f t="shared" si="7"/>
        <v>-0.60331825037702913</v>
      </c>
      <c r="R27" s="144">
        <f t="shared" si="8"/>
        <v>0.99287749287749338</v>
      </c>
      <c r="S27" s="443">
        <f>R37</f>
        <v>0.74834311127873021</v>
      </c>
      <c r="T27" s="171">
        <v>0.29166666666666702</v>
      </c>
      <c r="U27" s="171">
        <v>0.329166666666667</v>
      </c>
      <c r="V27" s="135"/>
      <c r="W27" s="146">
        <f t="shared" si="4"/>
        <v>53.999999999999972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-346.66666666666606</v>
      </c>
      <c r="AG27" s="172">
        <f t="shared" si="10"/>
        <v>0.75925925925925963</v>
      </c>
      <c r="AH27" s="403">
        <f>AG37</f>
        <v>0.68434937059432888</v>
      </c>
    </row>
    <row r="28" spans="1:34" ht="15" customHeight="1">
      <c r="A28" s="441"/>
      <c r="B28" s="75" t="s">
        <v>81</v>
      </c>
      <c r="C28" s="173"/>
      <c r="D28" s="59" t="s">
        <v>122</v>
      </c>
      <c r="E28" s="104"/>
      <c r="F28" s="75">
        <f>VLOOKUP(D28,廠價表!$C$1:$E$43,3,0)</f>
        <v>56.43</v>
      </c>
      <c r="G28" s="90">
        <v>1156</v>
      </c>
      <c r="H28" s="91">
        <f>F28*G28</f>
        <v>65233.08</v>
      </c>
      <c r="I28" s="92"/>
      <c r="J28" s="79">
        <f>VLOOKUP(D28,產線配置圖!$A$3:$C$38,2,0)</f>
        <v>16</v>
      </c>
      <c r="K28" s="80">
        <f>VLOOKUP(D28,產線配置圖!$A$3:$C$38,3,0)</f>
        <v>1406</v>
      </c>
      <c r="L28" s="93">
        <f>K28/J28</f>
        <v>87.875</v>
      </c>
      <c r="M28" s="94">
        <v>15</v>
      </c>
      <c r="N28" s="95">
        <f>G28/W28*60</f>
        <v>624.86486486486797</v>
      </c>
      <c r="O28" s="96">
        <f>N28/M28</f>
        <v>41.657657657657865</v>
      </c>
      <c r="P28" s="97">
        <f t="shared" si="6"/>
        <v>-1</v>
      </c>
      <c r="Q28" s="98">
        <f t="shared" si="7"/>
        <v>-46.217342342342135</v>
      </c>
      <c r="R28" s="99">
        <f t="shared" si="8"/>
        <v>0.47405584816680357</v>
      </c>
      <c r="S28" s="444"/>
      <c r="T28" s="19">
        <v>0.33611111111111103</v>
      </c>
      <c r="U28" s="19">
        <v>0.41319444444444398</v>
      </c>
      <c r="V28" s="92">
        <f>(T28-U27)*24*60</f>
        <v>9.9999999999994049</v>
      </c>
      <c r="W28" s="149">
        <f t="shared" si="4"/>
        <v>110.99999999999945</v>
      </c>
      <c r="X28" s="174"/>
      <c r="Y28" s="301"/>
      <c r="Z28" s="335">
        <v>2</v>
      </c>
      <c r="AA28" s="335">
        <v>8</v>
      </c>
      <c r="AB28" s="409" t="s">
        <v>121</v>
      </c>
      <c r="AC28" s="409"/>
      <c r="AD28" s="92"/>
      <c r="AE28" s="92"/>
      <c r="AF28" s="311">
        <f t="shared" si="9"/>
        <v>-781.13513513513203</v>
      </c>
      <c r="AG28" s="99">
        <f t="shared" si="10"/>
        <v>0.44442735765637836</v>
      </c>
      <c r="AH28" s="404"/>
    </row>
    <row r="29" spans="1:34" ht="15" customHeight="1">
      <c r="A29" s="441"/>
      <c r="B29" s="75" t="s">
        <v>81</v>
      </c>
      <c r="C29" s="173"/>
      <c r="D29" s="59" t="s">
        <v>120</v>
      </c>
      <c r="E29" s="104"/>
      <c r="F29" s="75">
        <f>VLOOKUP(D29,廠價表!$C$1:$E$43,3,0)</f>
        <v>50.67</v>
      </c>
      <c r="G29" s="90">
        <v>1317</v>
      </c>
      <c r="H29" s="91">
        <f>F29*G29</f>
        <v>66732.39</v>
      </c>
      <c r="I29" s="92"/>
      <c r="J29" s="79">
        <f>VLOOKUP(D29,產線配置圖!$A$3:$C$38,2,0)</f>
        <v>13</v>
      </c>
      <c r="K29" s="80">
        <f>VLOOKUP(D29,產線配置圖!$A$3:$C$38,3,0)</f>
        <v>1440</v>
      </c>
      <c r="L29" s="93">
        <f>K29/J29</f>
        <v>110.76923076923077</v>
      </c>
      <c r="M29" s="94">
        <v>13</v>
      </c>
      <c r="N29" s="95">
        <f>G29/W29*60</f>
        <v>908.27586206896046</v>
      </c>
      <c r="O29" s="96">
        <f>N29/M29</f>
        <v>69.867374005304654</v>
      </c>
      <c r="P29" s="97">
        <f t="shared" si="6"/>
        <v>0</v>
      </c>
      <c r="Q29" s="98">
        <f t="shared" si="7"/>
        <v>-40.901856763926119</v>
      </c>
      <c r="R29" s="99">
        <f t="shared" si="8"/>
        <v>0.6307471264367781</v>
      </c>
      <c r="S29" s="444"/>
      <c r="T29" s="19">
        <v>0.42013888888888901</v>
      </c>
      <c r="U29" s="19">
        <v>0.48055555555555601</v>
      </c>
      <c r="V29" s="92">
        <f>(T29-U28)*24*60</f>
        <v>10.000000000000844</v>
      </c>
      <c r="W29" s="149">
        <f t="shared" si="4"/>
        <v>87.000000000000483</v>
      </c>
      <c r="X29" s="22"/>
      <c r="Y29" s="84"/>
      <c r="Z29" s="90">
        <v>1</v>
      </c>
      <c r="AA29" s="90">
        <v>5</v>
      </c>
      <c r="AB29" s="409" t="s">
        <v>121</v>
      </c>
      <c r="AC29" s="409"/>
      <c r="AD29" s="92"/>
      <c r="AE29" s="92"/>
      <c r="AF29" s="312">
        <f t="shared" si="9"/>
        <v>-531.72413793103954</v>
      </c>
      <c r="AG29" s="99">
        <f t="shared" si="10"/>
        <v>0.6307471264367781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900</v>
      </c>
      <c r="H30" s="91">
        <f>F30*G30</f>
        <v>45603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1058.8235294117851</v>
      </c>
      <c r="O30" s="96">
        <f>N30/M30</f>
        <v>81.44796380090655</v>
      </c>
      <c r="P30" s="97">
        <f t="shared" si="6"/>
        <v>0</v>
      </c>
      <c r="Q30" s="98">
        <f t="shared" si="7"/>
        <v>-29.321266968324224</v>
      </c>
      <c r="R30" s="99">
        <f t="shared" si="8"/>
        <v>0.73529411764707298</v>
      </c>
      <c r="S30" s="444"/>
      <c r="T30" s="19">
        <v>0.54166666666666696</v>
      </c>
      <c r="U30" s="19">
        <v>0.57708333333333295</v>
      </c>
      <c r="V30" s="92">
        <f>(T30-U29)*24*60</f>
        <v>87.999999999999773</v>
      </c>
      <c r="W30" s="149">
        <f t="shared" si="4"/>
        <v>50.999999999999019</v>
      </c>
      <c r="X30" s="174">
        <v>0.49652777777777801</v>
      </c>
      <c r="Y30" s="301">
        <v>0.53819444444444398</v>
      </c>
      <c r="Z30" s="335"/>
      <c r="AA30" s="335"/>
      <c r="AB30" s="409" t="s">
        <v>121</v>
      </c>
      <c r="AC30" s="409"/>
      <c r="AD30" s="92"/>
      <c r="AE30" s="92"/>
      <c r="AF30" s="312">
        <f t="shared" si="9"/>
        <v>-381.1764705882149</v>
      </c>
      <c r="AG30" s="99">
        <f t="shared" si="10"/>
        <v>0.73529411764707298</v>
      </c>
      <c r="AH30" s="439"/>
    </row>
    <row r="31" spans="1:34" ht="15" customHeight="1">
      <c r="A31" s="441"/>
      <c r="B31" s="75" t="s">
        <v>118</v>
      </c>
      <c r="C31" s="88"/>
      <c r="D31" s="59" t="s">
        <v>119</v>
      </c>
      <c r="E31" s="89"/>
      <c r="F31" s="75">
        <f>VLOOKUP(D31,廠價表!$C$1:$E$43,3,0)</f>
        <v>49.52</v>
      </c>
      <c r="G31" s="90">
        <v>1300</v>
      </c>
      <c r="H31" s="91">
        <f>F31*G31</f>
        <v>64376.000000000007</v>
      </c>
      <c r="I31" s="92"/>
      <c r="J31" s="79">
        <f>VLOOKUP(D31,產線配置圖!$A$3:$C$38,2,0)</f>
        <v>17</v>
      </c>
      <c r="K31" s="80">
        <f>VLOOKUP(D31,產線配置圖!$A$3:$C$38,3,0)</f>
        <v>1440</v>
      </c>
      <c r="L31" s="93">
        <f>K31/J31</f>
        <v>84.705882352941174</v>
      </c>
      <c r="M31" s="94">
        <v>15</v>
      </c>
      <c r="N31" s="95">
        <f>G31/W31*60</f>
        <v>1218.7500000000134</v>
      </c>
      <c r="O31" s="96">
        <f>N31/M31</f>
        <v>81.250000000000895</v>
      </c>
      <c r="P31" s="97">
        <f t="shared" si="6"/>
        <v>-2</v>
      </c>
      <c r="Q31" s="98">
        <f t="shared" si="7"/>
        <v>-3.4558823529402787</v>
      </c>
      <c r="R31" s="99">
        <f t="shared" si="8"/>
        <v>0.9592013888888995</v>
      </c>
      <c r="S31" s="444"/>
      <c r="T31" s="19">
        <v>0.58402777777777803</v>
      </c>
      <c r="U31" s="19">
        <v>0.62847222222222199</v>
      </c>
      <c r="V31" s="92">
        <f>(T31-U30)*24*60</f>
        <v>10.000000000000924</v>
      </c>
      <c r="W31" s="149">
        <f t="shared" si="4"/>
        <v>63.999999999999289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-221.24999999998658</v>
      </c>
      <c r="AG31" s="99">
        <f t="shared" si="10"/>
        <v>0.84635416666667596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15.2</v>
      </c>
      <c r="K37" s="155">
        <f t="shared" si="11"/>
        <v>1433.2</v>
      </c>
      <c r="L37" s="158">
        <f t="shared" si="11"/>
        <v>95.765045248868773</v>
      </c>
      <c r="M37" s="155">
        <f t="shared" si="11"/>
        <v>13.8</v>
      </c>
      <c r="N37" s="155">
        <f t="shared" si="11"/>
        <v>980.8095179357922</v>
      </c>
      <c r="O37" s="158">
        <f t="shared" si="11"/>
        <v>71.665111913286836</v>
      </c>
      <c r="P37" s="159">
        <f>M37-J37</f>
        <v>-1.3999999999999986</v>
      </c>
      <c r="Q37" s="160">
        <f>N37-K37</f>
        <v>-452.39048206420784</v>
      </c>
      <c r="R37" s="161">
        <f>O37/L37</f>
        <v>0.74834311127873021</v>
      </c>
      <c r="S37" s="445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13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-452.39048206420784</v>
      </c>
      <c r="AG37" s="124">
        <f>N37/K37</f>
        <v>0.68434937059432888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2519</v>
      </c>
      <c r="H38" s="134">
        <f>F38*G38</f>
        <v>125723.29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1439.4285714285643</v>
      </c>
      <c r="O38" s="141">
        <f>N38/M38</f>
        <v>95.961904761904279</v>
      </c>
      <c r="P38" s="142">
        <f>M38-J38</f>
        <v>0</v>
      </c>
      <c r="Q38" s="143">
        <f>O38-L38</f>
        <v>-18.304761904762387</v>
      </c>
      <c r="R38" s="144">
        <f>O38/L38</f>
        <v>0.839806634439069</v>
      </c>
      <c r="S38" s="433">
        <f>R48</f>
        <v>0.90192261979034349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-274.57142857143572</v>
      </c>
      <c r="AG38" s="195">
        <f>N38/K38</f>
        <v>0.839806634439069</v>
      </c>
      <c r="AH38" s="436">
        <f>AG48</f>
        <v>0.87247613980820315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2606</v>
      </c>
      <c r="H39" s="91">
        <f>F39*G39</f>
        <v>115445.79999999999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1421.4545454545434</v>
      </c>
      <c r="O39" s="203">
        <f>N39/M39</f>
        <v>83.614973262031967</v>
      </c>
      <c r="P39" s="97">
        <f>M39-J39</f>
        <v>-1</v>
      </c>
      <c r="Q39" s="98">
        <f>O39-L39</f>
        <v>-3.3294711824124761</v>
      </c>
      <c r="R39" s="99">
        <f>O39/L39</f>
        <v>0.96170576275819519</v>
      </c>
      <c r="S39" s="434"/>
      <c r="T39" s="20">
        <v>0.41319444444444398</v>
      </c>
      <c r="U39" s="20">
        <v>0.48958333333333298</v>
      </c>
      <c r="V39" s="92">
        <f>(T39-U38)*24*60</f>
        <v>9.999999999999325</v>
      </c>
      <c r="W39" s="205">
        <f t="shared" si="4"/>
        <v>110.00000000000017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-143.54545454545655</v>
      </c>
      <c r="AG39" s="206">
        <f>N39/K39</f>
        <v>0.90827766482718431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2617</v>
      </c>
      <c r="H40" s="91">
        <f>F40*G40</f>
        <v>115933.09999999999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1365.391304347829</v>
      </c>
      <c r="O40" s="203">
        <f>N40/M40</f>
        <v>80.31713554987229</v>
      </c>
      <c r="P40" s="97">
        <f>M40-J40</f>
        <v>-1</v>
      </c>
      <c r="Q40" s="98">
        <f>O40-L40</f>
        <v>-6.6273088945721526</v>
      </c>
      <c r="R40" s="99">
        <f>O40/L40</f>
        <v>0.92377536095699764</v>
      </c>
      <c r="S40" s="416"/>
      <c r="T40" s="20">
        <v>0.54861111111111105</v>
      </c>
      <c r="U40" s="20">
        <v>0.62847222222222199</v>
      </c>
      <c r="V40" s="92">
        <f>(T40-U39)*24*60</f>
        <v>85.000000000000412</v>
      </c>
      <c r="W40" s="205">
        <f t="shared" si="4"/>
        <v>114.99999999999974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-199.60869565217104</v>
      </c>
      <c r="AG40" s="206">
        <f>N40/K40</f>
        <v>0.87245450757049769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1408.7581404103121</v>
      </c>
      <c r="O48" s="158">
        <f t="shared" si="13"/>
        <v>86.631337857936174</v>
      </c>
      <c r="P48" s="221">
        <f>M48-J48</f>
        <v>-0.66666666666666785</v>
      </c>
      <c r="Q48" s="222">
        <f>N48-K48</f>
        <v>-205.90852625635466</v>
      </c>
      <c r="R48" s="223">
        <f>O48/L48</f>
        <v>0.90192261979034349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-205.90852625635466</v>
      </c>
      <c r="AG48" s="162">
        <f t="shared" ref="AG48:AG53" si="15">N48/K48</f>
        <v>0.87247613980820315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VLOOKUP(D49,廠價表!$C$1:$E$43,3,0)</f>
        <v>57.21</v>
      </c>
      <c r="G49" s="228">
        <v>3196</v>
      </c>
      <c r="H49" s="134">
        <f>F49*G49</f>
        <v>182843.16</v>
      </c>
      <c r="I49" s="135"/>
      <c r="J49" s="136">
        <f>VLOOKUP(D49,產線配置圖!$A$3:$C$38,2,0)</f>
        <v>15</v>
      </c>
      <c r="K49" s="137">
        <f>VLOOKUP(D49,產線配置圖!$A$3:$C$38,3,0)</f>
        <v>1565</v>
      </c>
      <c r="L49" s="138">
        <f>K49/J49</f>
        <v>104.33333333333333</v>
      </c>
      <c r="M49" s="170">
        <v>15</v>
      </c>
      <c r="N49" s="140">
        <f>G49/W49*60</f>
        <v>1546.4516129032093</v>
      </c>
      <c r="O49" s="141">
        <f>N49/M49</f>
        <v>103.09677419354729</v>
      </c>
      <c r="P49" s="229">
        <f>M49-J49</f>
        <v>0</v>
      </c>
      <c r="Q49" s="230">
        <f>O49-L49</f>
        <v>-1.2365591397860385</v>
      </c>
      <c r="R49" s="52">
        <f>O49/L49</f>
        <v>0.98814799546530951</v>
      </c>
      <c r="S49" s="415">
        <f>R58</f>
        <v>0.96262367721076914</v>
      </c>
      <c r="T49" s="191">
        <v>0.28819444444444398</v>
      </c>
      <c r="U49" s="191">
        <v>0.374305555555556</v>
      </c>
      <c r="V49" s="55"/>
      <c r="W49" s="193">
        <f t="shared" si="4"/>
        <v>124.00000000000132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-18.548387096790748</v>
      </c>
      <c r="AG49" s="52">
        <f t="shared" si="15"/>
        <v>0.9881479954653094</v>
      </c>
      <c r="AH49" s="403">
        <f>AG58</f>
        <v>0.92068944151426901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3807</v>
      </c>
      <c r="H50" s="231">
        <f>F50*G50</f>
        <v>190235.79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1643.3093525179809</v>
      </c>
      <c r="O50" s="235">
        <f>N50/M50</f>
        <v>109.55395683453206</v>
      </c>
      <c r="P50" s="74">
        <f>M50-J50</f>
        <v>-1</v>
      </c>
      <c r="Q50" s="83">
        <f>O50-L50</f>
        <v>-2.9460431654679411</v>
      </c>
      <c r="R50" s="72">
        <f>O50/L50</f>
        <v>0.97381294964028497</v>
      </c>
      <c r="S50" s="416"/>
      <c r="T50" s="21">
        <v>0.38124999999999998</v>
      </c>
      <c r="U50" s="21">
        <v>0.47777777777777802</v>
      </c>
      <c r="V50" s="30">
        <f>(T50-U49)*24*60</f>
        <v>9.999999999999325</v>
      </c>
      <c r="W50" s="236">
        <f t="shared" si="4"/>
        <v>139.0000000000004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-156.69064748201913</v>
      </c>
      <c r="AG50" s="72">
        <f t="shared" si="15"/>
        <v>0.91294964028776715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1957</v>
      </c>
      <c r="H51" s="231">
        <f>F51*G51</f>
        <v>97791.29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1565.600000000009</v>
      </c>
      <c r="O51" s="235">
        <f>N51/M51</f>
        <v>104.37333333333393</v>
      </c>
      <c r="P51" s="74">
        <f>M51-J51</f>
        <v>-1</v>
      </c>
      <c r="Q51" s="83">
        <f>O51-L51</f>
        <v>-8.1266666666660683</v>
      </c>
      <c r="R51" s="72">
        <f>O51/L51</f>
        <v>0.92776296296296823</v>
      </c>
      <c r="S51" s="416"/>
      <c r="T51" s="21">
        <v>0.53541666666666698</v>
      </c>
      <c r="U51" s="21">
        <v>0.58750000000000002</v>
      </c>
      <c r="V51" s="30">
        <f>(T51-U50)*24*60</f>
        <v>83.000000000000099</v>
      </c>
      <c r="W51" s="236">
        <f t="shared" si="4"/>
        <v>74.999999999999574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-234.399999999991</v>
      </c>
      <c r="AG51" s="72">
        <f t="shared" si="15"/>
        <v>0.86977777777778276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0</v>
      </c>
      <c r="AG52" s="72" t="e">
        <f t="shared" si="15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15.666666666666666</v>
      </c>
      <c r="K58" s="120">
        <f t="shared" si="16"/>
        <v>1721.6666666666667</v>
      </c>
      <c r="L58" s="117">
        <f t="shared" si="16"/>
        <v>109.77777777777777</v>
      </c>
      <c r="M58" s="120">
        <f t="shared" si="16"/>
        <v>15</v>
      </c>
      <c r="N58" s="120">
        <f t="shared" si="16"/>
        <v>1585.1203218070666</v>
      </c>
      <c r="O58" s="117">
        <f t="shared" si="16"/>
        <v>105.67468812047109</v>
      </c>
      <c r="P58" s="121">
        <f>M58-J58</f>
        <v>-0.66666666666666607</v>
      </c>
      <c r="Q58" s="122">
        <f>N58-K58</f>
        <v>-136.54634485960014</v>
      </c>
      <c r="R58" s="123">
        <f>O58/L58</f>
        <v>0.96262367721076914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-136.54634485960014</v>
      </c>
      <c r="AG58" s="124">
        <f>N58/K58</f>
        <v>0.92068944151426901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2927</v>
      </c>
      <c r="H59" s="243">
        <f>F59*G59</f>
        <v>78999.73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1254.4285714285745</v>
      </c>
      <c r="O59" s="138">
        <f>N59/M59</f>
        <v>96.494505494505731</v>
      </c>
      <c r="P59" s="56">
        <f>M59-J59</f>
        <v>0</v>
      </c>
      <c r="Q59" s="230">
        <f>O59-L59</f>
        <v>-23.890109890109656</v>
      </c>
      <c r="R59" s="52">
        <f>O59/L59</f>
        <v>0.80155180282976002</v>
      </c>
      <c r="S59" s="415">
        <f>R69</f>
        <v>0.73370103197697178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-310.57142857142549</v>
      </c>
      <c r="AG59" s="246">
        <f>N59/K59</f>
        <v>0.80155180282976002</v>
      </c>
      <c r="AH59" s="403">
        <f>AG69</f>
        <v>0.8218190743963939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1540</v>
      </c>
      <c r="H60" s="78">
        <f>F60*G60</f>
        <v>43520.4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1320.0000000000032</v>
      </c>
      <c r="O60" s="81">
        <f>N60/M60</f>
        <v>110.00000000000027</v>
      </c>
      <c r="P60" s="74">
        <f>M60-J60</f>
        <v>0</v>
      </c>
      <c r="Q60" s="83">
        <f>O60-L60</f>
        <v>-20.416666666666387</v>
      </c>
      <c r="R60" s="72">
        <f>O60/L60</f>
        <v>0.84345047923322902</v>
      </c>
      <c r="S60" s="425"/>
      <c r="T60" s="22">
        <v>0.39930555555555602</v>
      </c>
      <c r="U60" s="22">
        <v>0.44791666666666702</v>
      </c>
      <c r="V60" s="30">
        <f>(T60-U59)*24*60</f>
        <v>15.000000000000506</v>
      </c>
      <c r="W60" s="248">
        <f t="shared" si="4"/>
        <v>69.999999999999829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-244.99999999999682</v>
      </c>
      <c r="AG60" s="249">
        <f>N60/K60</f>
        <v>0.84345047923322891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1366</v>
      </c>
      <c r="H61" s="254">
        <f>F61*G61</f>
        <v>38603.160000000003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1365.9999999999884</v>
      </c>
      <c r="O61" s="238">
        <f>N61/M61</f>
        <v>124.18181818181712</v>
      </c>
      <c r="P61" s="111">
        <f>M61-J61</f>
        <v>2</v>
      </c>
      <c r="Q61" s="255">
        <f>O61-L61</f>
        <v>-57.59595959596065</v>
      </c>
      <c r="R61" s="85">
        <f>O61/L61</f>
        <v>0.68315181151366389</v>
      </c>
      <c r="S61" s="416"/>
      <c r="T61" s="22">
        <v>0.45833333333333298</v>
      </c>
      <c r="U61" s="22">
        <v>0.5</v>
      </c>
      <c r="V61" s="30">
        <f>(T61-U60)*24*60</f>
        <v>14.999999999998987</v>
      </c>
      <c r="W61" s="256">
        <f t="shared" si="4"/>
        <v>60.000000000000504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-270.0000000000116</v>
      </c>
      <c r="AG61" s="247">
        <f>N61/K61</f>
        <v>0.83496332518336702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1541</v>
      </c>
      <c r="H62" s="254">
        <f>F62*G62</f>
        <v>43548.66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1320.8571428571477</v>
      </c>
      <c r="O62" s="238">
        <f>N62/M62</f>
        <v>120.07792207792251</v>
      </c>
      <c r="P62" s="111">
        <f>M62-J62</f>
        <v>2</v>
      </c>
      <c r="Q62" s="255">
        <f>O62-L62</f>
        <v>-61.699855699855263</v>
      </c>
      <c r="R62" s="85">
        <f>O62/L62</f>
        <v>0.66057536595434141</v>
      </c>
      <c r="S62" s="416"/>
      <c r="T62" s="22">
        <v>0.55555555555555602</v>
      </c>
      <c r="U62" s="22">
        <v>0.60416666666666696</v>
      </c>
      <c r="V62" s="30"/>
      <c r="W62" s="248">
        <f t="shared" si="4"/>
        <v>69.999999999999744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-315.14285714285234</v>
      </c>
      <c r="AG62" s="247">
        <f>N62/K62</f>
        <v>0.80736989172197293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11.75</v>
      </c>
      <c r="N69" s="240">
        <f t="shared" si="17"/>
        <v>1315.3214285714284</v>
      </c>
      <c r="O69" s="268">
        <f t="shared" si="17"/>
        <v>112.68856143856141</v>
      </c>
      <c r="P69" s="269">
        <f>M69-J69</f>
        <v>1</v>
      </c>
      <c r="Q69" s="222">
        <f>N69-K69</f>
        <v>-285.17857142857156</v>
      </c>
      <c r="R69" s="123">
        <f>O69/L69</f>
        <v>0.73370103197697178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-285.17857142857156</v>
      </c>
      <c r="AG69" s="124">
        <f>N69/K69</f>
        <v>0.8218190743963939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9AA5E1-06EA-4CCE-B797-4A2FA7B4FA6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70D3-A880-4206-A2D7-F1CEEAFE057F}">
  <dimension ref="B1:O26"/>
  <sheetViews>
    <sheetView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46118</v>
      </c>
      <c r="E3" s="399"/>
      <c r="F3" s="3" t="s">
        <v>72</v>
      </c>
      <c r="G3" s="400">
        <f>'0406'!E1</f>
        <v>56938</v>
      </c>
      <c r="H3" s="400"/>
      <c r="I3" s="3" t="s">
        <v>2</v>
      </c>
      <c r="J3" s="401">
        <f>'0406'!G1</f>
        <v>2628232.79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132.6003794521564</v>
      </c>
      <c r="G6" s="397"/>
      <c r="H6" s="382">
        <f>AVERAGE(D13:H13)</f>
        <v>129.73079722292957</v>
      </c>
      <c r="I6" s="382"/>
      <c r="J6" s="382">
        <f>AVERAGE(I13)</f>
        <v>146.94829059829061</v>
      </c>
      <c r="K6" s="382"/>
      <c r="L6" s="383">
        <f>SUM(D18:J18)</f>
        <v>4</v>
      </c>
      <c r="M6" s="385">
        <f>SUM(D19:J19)</f>
        <v>40</v>
      </c>
      <c r="N6" s="386">
        <f>SUM(D20:J20)</f>
        <v>1</v>
      </c>
      <c r="O6" s="385">
        <f>SUM(D20:J20)</f>
        <v>1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117.13653054210825</v>
      </c>
      <c r="G7" s="389"/>
      <c r="H7" s="390">
        <f>AVERAGE(D14:H14)</f>
        <v>116.03087094956418</v>
      </c>
      <c r="I7" s="390"/>
      <c r="J7" s="390">
        <f>AVERAGE(I14)</f>
        <v>122.66482850482866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0.8833800553668274</v>
      </c>
      <c r="G8" s="374"/>
      <c r="H8" s="374">
        <f>H7/H6</f>
        <v>0.89439727060473218</v>
      </c>
      <c r="I8" s="374"/>
      <c r="J8" s="374">
        <f>J7/J6</f>
        <v>0.83474825059486313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VALUE('0406'!L15)</f>
        <v>159.04395604395606</v>
      </c>
      <c r="E13" s="13">
        <f>VALUE('0406'!L26)</f>
        <v>187.19696969696966</v>
      </c>
      <c r="F13" s="13">
        <f>VALUE('0406'!L37)</f>
        <v>98.529835972850677</v>
      </c>
      <c r="G13" s="13">
        <f>VALUE('0406'!L48)</f>
        <v>96.05185185185185</v>
      </c>
      <c r="H13" s="13">
        <f>VALUE('0406'!L58)</f>
        <v>107.8313725490196</v>
      </c>
      <c r="I13" s="13">
        <f>VALUE('0406'!L69)</f>
        <v>146.94829059829061</v>
      </c>
      <c r="J13" s="13">
        <f>'0406'!L79</f>
        <v>0</v>
      </c>
    </row>
    <row r="14" spans="2:15" ht="39.950000000000003" customHeight="1">
      <c r="B14" s="368"/>
      <c r="C14" s="12" t="s">
        <v>100</v>
      </c>
      <c r="D14" s="13">
        <f>VALUE('0406'!O15)</f>
        <v>154.47664574514752</v>
      </c>
      <c r="E14" s="13">
        <f>VALUE('0406'!O26)</f>
        <v>177.89278800642475</v>
      </c>
      <c r="F14" s="13">
        <f>VALUE('0406'!O37)</f>
        <v>64.41610577962544</v>
      </c>
      <c r="G14" s="13">
        <f>VALUE('0406'!O48)</f>
        <v>89.094368369561906</v>
      </c>
      <c r="H14" s="13">
        <f>VALUE('0406'!O58)</f>
        <v>94.274446847061299</v>
      </c>
      <c r="I14" s="13">
        <f>VALUE('0406'!O69)</f>
        <v>122.66482850482866</v>
      </c>
      <c r="J14" s="13">
        <f>'0406'!O79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0.97128271697702084</v>
      </c>
      <c r="E15" s="14">
        <f t="shared" si="1"/>
        <v>0.95029737016787019</v>
      </c>
      <c r="F15" s="14">
        <f t="shared" si="1"/>
        <v>0.65377258719252229</v>
      </c>
      <c r="G15" s="14">
        <f t="shared" si="1"/>
        <v>0.92756533738650859</v>
      </c>
      <c r="H15" s="14">
        <f t="shared" si="1"/>
        <v>0.87427661003020807</v>
      </c>
      <c r="I15" s="14">
        <f t="shared" si="1"/>
        <v>0.83474825059486313</v>
      </c>
      <c r="J15" s="15">
        <f>'0406'!S70</f>
        <v>0</v>
      </c>
    </row>
    <row r="16" spans="2:15" ht="17.25" customHeight="1">
      <c r="B16" s="370" t="s">
        <v>101</v>
      </c>
      <c r="C16" s="10" t="s">
        <v>34</v>
      </c>
      <c r="D16" s="16">
        <f>'0406'!T5</f>
        <v>0.29166666666666702</v>
      </c>
      <c r="E16" s="16">
        <f>'0406'!T16</f>
        <v>0.29166666666666702</v>
      </c>
      <c r="F16" s="16">
        <f>'0406'!T27</f>
        <v>0.28819444444444398</v>
      </c>
      <c r="G16" s="16">
        <f>'0406'!T38</f>
        <v>0.33333333333333298</v>
      </c>
      <c r="H16" s="16">
        <f>'0406'!T49</f>
        <v>0.29166666666666702</v>
      </c>
      <c r="I16" s="16">
        <f>'0406'!T59</f>
        <v>0.29166666666666702</v>
      </c>
      <c r="J16" s="16">
        <f>'0406'!T70</f>
        <v>0</v>
      </c>
    </row>
    <row r="17" spans="2:10" ht="17.25" customHeight="1">
      <c r="B17" s="371"/>
      <c r="C17" s="10" t="s">
        <v>35</v>
      </c>
      <c r="D17" s="18">
        <v>0.60069444444444398</v>
      </c>
      <c r="E17" s="19">
        <v>0.59027777777777801</v>
      </c>
      <c r="F17" s="19">
        <v>0.656944444444444</v>
      </c>
      <c r="G17" s="20">
        <v>0.64722222222222203</v>
      </c>
      <c r="H17" s="21">
        <v>0.60277777777777797</v>
      </c>
      <c r="I17" s="22">
        <v>0.67361111111111105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'0406'!Z15</f>
        <v>0</v>
      </c>
      <c r="E18" s="359">
        <f>'0406'!Z26</f>
        <v>0</v>
      </c>
      <c r="F18" s="359">
        <f>'0406'!Z37</f>
        <v>4</v>
      </c>
      <c r="G18" s="360">
        <f>'0406'!Z48</f>
        <v>0</v>
      </c>
      <c r="H18" s="360">
        <f>'0406'!Z58</f>
        <v>0</v>
      </c>
      <c r="I18" s="359">
        <f>'0406'!Z69</f>
        <v>0</v>
      </c>
      <c r="J18" s="359">
        <f>'0406'!AA79</f>
        <v>0</v>
      </c>
    </row>
    <row r="19" spans="2:10" ht="17.25" customHeight="1">
      <c r="B19" s="373"/>
      <c r="C19" s="330" t="s">
        <v>37</v>
      </c>
      <c r="D19" s="358">
        <f>'0406'!AA15</f>
        <v>0</v>
      </c>
      <c r="E19" s="359">
        <f>'0406'!AA26</f>
        <v>0</v>
      </c>
      <c r="F19" s="359">
        <f>'0406'!AA37</f>
        <v>40</v>
      </c>
      <c r="G19" s="360">
        <f>'0406'!AA48</f>
        <v>0</v>
      </c>
      <c r="H19" s="360">
        <f>'0406'!AA58</f>
        <v>0</v>
      </c>
      <c r="I19" s="359">
        <f>'0406'!AA69</f>
        <v>0</v>
      </c>
      <c r="J19" s="359">
        <f>'0406'!AB79</f>
        <v>0</v>
      </c>
    </row>
    <row r="20" spans="2:10" ht="17.25" customHeight="1">
      <c r="B20" s="372" t="s">
        <v>103</v>
      </c>
      <c r="C20" s="330" t="s">
        <v>36</v>
      </c>
      <c r="D20" s="358">
        <f>'0406'!AD15</f>
        <v>1</v>
      </c>
      <c r="E20" s="359">
        <f>'0406'!AD26</f>
        <v>0</v>
      </c>
      <c r="F20" s="359">
        <f>'0406'!AD37</f>
        <v>0</v>
      </c>
      <c r="G20" s="360">
        <f>'0406'!AD48</f>
        <v>0</v>
      </c>
      <c r="H20" s="360">
        <f>'0406'!AD58</f>
        <v>0</v>
      </c>
      <c r="I20" s="359">
        <f>'0406'!AD69</f>
        <v>0</v>
      </c>
      <c r="J20" s="359">
        <f>'0406'!AD79</f>
        <v>0</v>
      </c>
    </row>
    <row r="21" spans="2:10" ht="17.25" customHeight="1">
      <c r="B21" s="373"/>
      <c r="C21" s="330" t="s">
        <v>85</v>
      </c>
      <c r="D21" s="358">
        <f>'0406'!AE15</f>
        <v>1</v>
      </c>
      <c r="E21" s="359">
        <f>'0406'!AE26</f>
        <v>0</v>
      </c>
      <c r="F21" s="359">
        <f>'0406'!AE37</f>
        <v>0</v>
      </c>
      <c r="G21" s="360">
        <f>'0406'!AE48</f>
        <v>0</v>
      </c>
      <c r="H21" s="360">
        <f>'0406'!AE58</f>
        <v>0</v>
      </c>
      <c r="I21" s="359">
        <f>'0406'!AE69</f>
        <v>0</v>
      </c>
      <c r="J21" s="359">
        <f>'0406'!AE79</f>
        <v>0</v>
      </c>
    </row>
    <row r="22" spans="2:10" ht="17.25" customHeight="1">
      <c r="B22" s="364" t="s">
        <v>104</v>
      </c>
      <c r="C22" s="365"/>
      <c r="D22" s="23">
        <f>VALUE('0406'!M15)</f>
        <v>13.333333333333334</v>
      </c>
      <c r="E22" s="23">
        <f>VALUE('0406'!M26)</f>
        <v>11.333333333333334</v>
      </c>
      <c r="F22" s="23">
        <f>VALUE('0406'!M37)</f>
        <v>14.75</v>
      </c>
      <c r="G22" s="23">
        <f>VALUE('0406'!M48)</f>
        <v>17</v>
      </c>
      <c r="H22" s="23">
        <f>VALUE('0406'!M58)</f>
        <v>16</v>
      </c>
      <c r="I22" s="23">
        <f>VALUE('0406'!M69)</f>
        <v>12</v>
      </c>
      <c r="J22" s="23">
        <f>'0406'!M79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DD9-B580-4902-8B0F-A51E7EF903D7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56938</v>
      </c>
      <c r="F1" s="30" t="s">
        <v>2</v>
      </c>
      <c r="G1" s="31">
        <f>SUM(H5:H79)</f>
        <v>2628232.79</v>
      </c>
      <c r="H1" s="32" t="s">
        <v>3</v>
      </c>
      <c r="I1" s="33">
        <f>M15+M26+M48+M58+M69+M79+M37</f>
        <v>84.416666666666671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142</v>
      </c>
      <c r="B2" s="483"/>
      <c r="C2" s="28"/>
      <c r="D2" s="28" t="s">
        <v>14</v>
      </c>
      <c r="E2" s="35">
        <f>AVERAGE(O15,O26,O37,O48,O58,O69,O79)</f>
        <v>117.13653054210825</v>
      </c>
      <c r="F2" s="36" t="s">
        <v>15</v>
      </c>
      <c r="G2" s="37">
        <f>G1/E1</f>
        <v>46.159555832660089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4</v>
      </c>
      <c r="AA2" s="339">
        <f>AA15+AA26+AA37+AA48+AA58+AA69+AA79</f>
        <v>40</v>
      </c>
      <c r="AB2" s="477"/>
      <c r="AC2" s="477"/>
      <c r="AD2" s="340">
        <f>AD15+AD26+AD37+AD48+AD58+AD69+AD79</f>
        <v>1</v>
      </c>
      <c r="AE2" s="340">
        <f>AE15+AE26+AE37+AE48+AE58+AE69+AE79</f>
        <v>1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4193</v>
      </c>
      <c r="H5" s="43">
        <f>F5*G5</f>
        <v>239881.53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2028.8709677419388</v>
      </c>
      <c r="O5" s="47">
        <f>N5/M5</f>
        <v>144.91935483870992</v>
      </c>
      <c r="P5" s="49">
        <f>M5-J5</f>
        <v>0</v>
      </c>
      <c r="Q5" s="50">
        <f>O5-L5</f>
        <v>-6.3663594470043563</v>
      </c>
      <c r="R5" s="51">
        <f>O5/L5</f>
        <v>0.95791830393859256</v>
      </c>
      <c r="S5" s="415">
        <f>R15</f>
        <v>0.97128271697702084</v>
      </c>
      <c r="T5" s="319">
        <v>0.29166666666666702</v>
      </c>
      <c r="U5" s="320">
        <v>0.37777777777777799</v>
      </c>
      <c r="V5" s="53"/>
      <c r="W5" s="54">
        <f t="shared" ref="W5:W14" si="0">(U5-T5)*24*60</f>
        <v>123.9999999999998</v>
      </c>
      <c r="X5" s="55"/>
      <c r="Y5" s="290"/>
      <c r="Z5" s="169"/>
      <c r="AA5" s="169"/>
      <c r="AB5" s="420" t="s">
        <v>143</v>
      </c>
      <c r="AC5" s="420"/>
      <c r="AD5" s="135">
        <v>1</v>
      </c>
      <c r="AE5" s="135">
        <v>1</v>
      </c>
      <c r="AF5" s="229">
        <f t="shared" ref="AF5:AF11" si="1">N5-K5</f>
        <v>-89.129032258061216</v>
      </c>
      <c r="AG5" s="52">
        <f t="shared" ref="AG5:AG11" si="2">N5/K5</f>
        <v>0.95791830393859245</v>
      </c>
      <c r="AH5" s="403">
        <f>AG15</f>
        <v>0.97096451666658223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4264</v>
      </c>
      <c r="H6" s="63">
        <f>F6*G6</f>
        <v>209532.96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2063.225806451615</v>
      </c>
      <c r="O6" s="67">
        <f>N6/M6</f>
        <v>158.70967741935499</v>
      </c>
      <c r="P6" s="69">
        <f>M6-J6</f>
        <v>0</v>
      </c>
      <c r="Q6" s="70">
        <f>O6-L6</f>
        <v>-4.2133995037219449</v>
      </c>
      <c r="R6" s="71">
        <f>O6/L6</f>
        <v>0.97413871881568215</v>
      </c>
      <c r="S6" s="416"/>
      <c r="T6" s="16">
        <v>0.391666666666667</v>
      </c>
      <c r="U6" s="16">
        <v>0.47777777777777802</v>
      </c>
      <c r="V6" s="30">
        <f>(T6-U5)*24*60</f>
        <v>20.000000000000171</v>
      </c>
      <c r="W6" s="73">
        <f t="shared" si="0"/>
        <v>123.99999999999989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-54.774193548385028</v>
      </c>
      <c r="AG6" s="72">
        <f t="shared" si="2"/>
        <v>0.97413871881568226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2943</v>
      </c>
      <c r="H7" s="78">
        <f>F7*G7</f>
        <v>144619.01999999999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2077.4117647059093</v>
      </c>
      <c r="O7" s="81">
        <f>N7/M7</f>
        <v>159.80090497737763</v>
      </c>
      <c r="P7" s="74">
        <f>M7-J7</f>
        <v>0</v>
      </c>
      <c r="Q7" s="83">
        <f>O7-L7</f>
        <v>-3.1221719456993071</v>
      </c>
      <c r="R7" s="72">
        <f>O7/L7</f>
        <v>0.98083652724547166</v>
      </c>
      <c r="S7" s="416"/>
      <c r="T7" s="18">
        <v>0.54166666666666696</v>
      </c>
      <c r="U7" s="18">
        <v>0.60069444444444398</v>
      </c>
      <c r="V7" s="30">
        <f>(T7-U6)*24*60</f>
        <v>92.000000000000071</v>
      </c>
      <c r="W7" s="73">
        <f t="shared" si="0"/>
        <v>84.999999999998892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-40.588235294090737</v>
      </c>
      <c r="AG7" s="72">
        <f t="shared" si="2"/>
        <v>0.98083652724547177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13.333333333333334</v>
      </c>
      <c r="K15" s="120">
        <f t="shared" si="3"/>
        <v>2118</v>
      </c>
      <c r="L15" s="117">
        <f t="shared" si="3"/>
        <v>159.04395604395606</v>
      </c>
      <c r="M15" s="120">
        <f t="shared" si="3"/>
        <v>13.333333333333334</v>
      </c>
      <c r="N15" s="120">
        <f t="shared" si="3"/>
        <v>2056.5028462998212</v>
      </c>
      <c r="O15" s="117">
        <f t="shared" si="3"/>
        <v>154.47664574514752</v>
      </c>
      <c r="P15" s="121">
        <f>M15-J15</f>
        <v>0</v>
      </c>
      <c r="Q15" s="122">
        <f>O15-L15</f>
        <v>-4.5673102988085361</v>
      </c>
      <c r="R15" s="123">
        <f>O15/L15</f>
        <v>0.97128271697702084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1</v>
      </c>
      <c r="AE15" s="323">
        <f>SUM(AE5:AE14)</f>
        <v>1</v>
      </c>
      <c r="AF15" s="309">
        <f>N15-K15</f>
        <v>-61.497153700178842</v>
      </c>
      <c r="AG15" s="124">
        <f>N15/K15</f>
        <v>0.97096451666658223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4667</v>
      </c>
      <c r="H16" s="134">
        <f>F16*G16</f>
        <v>236476.89</v>
      </c>
      <c r="I16" s="135"/>
      <c r="J16" s="136">
        <f>VLOOKUP(D16,產線配置圖!$A$3:$C$38,2,0)</f>
        <v>12</v>
      </c>
      <c r="K16" s="137">
        <f>VLOOKUP(D16,產線配置圖!$A$3:$C$38,3,0)</f>
        <v>2118</v>
      </c>
      <c r="L16" s="138">
        <f>K16/J16</f>
        <v>176.5</v>
      </c>
      <c r="M16" s="139">
        <v>12</v>
      </c>
      <c r="N16" s="140">
        <f>G16/W16*60</f>
        <v>1892.0270270270419</v>
      </c>
      <c r="O16" s="141">
        <f>N16/M16</f>
        <v>157.66891891892016</v>
      </c>
      <c r="P16" s="142">
        <f>M16-J16</f>
        <v>0</v>
      </c>
      <c r="Q16" s="143">
        <f>O16-L16</f>
        <v>-18.831081081079844</v>
      </c>
      <c r="R16" s="144">
        <f>O16/L16</f>
        <v>0.8933083224867997</v>
      </c>
      <c r="S16" s="443">
        <f>R26</f>
        <v>0.95029737016787019</v>
      </c>
      <c r="T16" s="145">
        <v>0.29166666666666702</v>
      </c>
      <c r="U16" s="145">
        <v>0.39444444444444399</v>
      </c>
      <c r="V16" s="135"/>
      <c r="W16" s="146">
        <f t="shared" ref="W16:W78" si="4">(U16-T16)*24*60</f>
        <v>147.99999999999883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-225.97297297295813</v>
      </c>
      <c r="AG16" s="52">
        <f>N16/K16</f>
        <v>0.8933083224867997</v>
      </c>
      <c r="AH16" s="403">
        <f>AG26</f>
        <v>0.94871434106561803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3813</v>
      </c>
      <c r="H17" s="78">
        <f>F17*G17</f>
        <v>192137.07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2079.8181818181783</v>
      </c>
      <c r="O17" s="96">
        <f>N17/M17</f>
        <v>189.07438016528894</v>
      </c>
      <c r="P17" s="97">
        <f>M17-J17</f>
        <v>0</v>
      </c>
      <c r="Q17" s="98">
        <f>O17-L17</f>
        <v>-3.4710743801655894</v>
      </c>
      <c r="R17" s="99">
        <f>O17/L17</f>
        <v>0.98197270151944216</v>
      </c>
      <c r="S17" s="444"/>
      <c r="T17" s="19">
        <v>0.40277777777777801</v>
      </c>
      <c r="U17" s="19">
        <v>0.47916666666666702</v>
      </c>
      <c r="V17" s="30">
        <f>(T17-U16)*24*60</f>
        <v>12.000000000000997</v>
      </c>
      <c r="W17" s="149">
        <f t="shared" si="4"/>
        <v>110.00000000000017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-38.181818181821654</v>
      </c>
      <c r="AG17" s="72">
        <f>N17/K17</f>
        <v>0.98197270151944205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2399</v>
      </c>
      <c r="H18" s="78">
        <f>F18*G18</f>
        <v>120885.61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2056.2857142857169</v>
      </c>
      <c r="O18" s="96">
        <f>N18/M18</f>
        <v>186.93506493506518</v>
      </c>
      <c r="P18" s="97">
        <f>M18-J18</f>
        <v>0</v>
      </c>
      <c r="Q18" s="98">
        <f>O18-L18</f>
        <v>-5.6103896103893476</v>
      </c>
      <c r="R18" s="99">
        <f>O18/L18</f>
        <v>0.97086199919061245</v>
      </c>
      <c r="S18" s="444"/>
      <c r="T18" s="19">
        <v>0.54166666666666696</v>
      </c>
      <c r="U18" s="19">
        <v>0.59027777777777801</v>
      </c>
      <c r="V18" s="30">
        <f>(T18-U17)*24*60</f>
        <v>89.999999999999915</v>
      </c>
      <c r="W18" s="149">
        <f t="shared" si="4"/>
        <v>69.999999999999915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-61.714285714283051</v>
      </c>
      <c r="AG18" s="72">
        <f>N18/K18</f>
        <v>0.97086199919061233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11.333333333333334</v>
      </c>
      <c r="K26" s="155">
        <f t="shared" si="5"/>
        <v>2118</v>
      </c>
      <c r="L26" s="158">
        <f t="shared" si="5"/>
        <v>187.19696969696966</v>
      </c>
      <c r="M26" s="155">
        <f t="shared" si="5"/>
        <v>11.333333333333334</v>
      </c>
      <c r="N26" s="155">
        <f t="shared" si="5"/>
        <v>2009.376974376979</v>
      </c>
      <c r="O26" s="158">
        <f t="shared" si="5"/>
        <v>177.89278800642475</v>
      </c>
      <c r="P26" s="159">
        <f>M26-J26</f>
        <v>0</v>
      </c>
      <c r="Q26" s="160">
        <f>O26-L26</f>
        <v>-9.3041816905449082</v>
      </c>
      <c r="R26" s="161">
        <f>O26/L26</f>
        <v>0.95029737016787019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-108.62302562302102</v>
      </c>
      <c r="AG26" s="124">
        <f t="shared" ref="AG26:AG31" si="7">N26/K26</f>
        <v>0.94871434106561803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2672</v>
      </c>
      <c r="H27" s="134">
        <f>F27*G27</f>
        <v>132317.44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17</v>
      </c>
      <c r="N27" s="140">
        <f>G27/W27*60</f>
        <v>1431.4285714285672</v>
      </c>
      <c r="O27" s="141">
        <f>N27/M27</f>
        <v>84.201680672268665</v>
      </c>
      <c r="P27" s="142">
        <f>M27-J27</f>
        <v>0</v>
      </c>
      <c r="Q27" s="143">
        <f>O27-L27</f>
        <v>-0.5042016806725087</v>
      </c>
      <c r="R27" s="144">
        <f>O27/L27</f>
        <v>0.99404761904761618</v>
      </c>
      <c r="S27" s="443">
        <f>R37</f>
        <v>0.65377258719252229</v>
      </c>
      <c r="T27" s="171">
        <v>0.28819444444444398</v>
      </c>
      <c r="U27" s="171">
        <v>0.36597222222222198</v>
      </c>
      <c r="V27" s="135"/>
      <c r="W27" s="146">
        <f t="shared" si="4"/>
        <v>112.00000000000033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6"/>
        <v>-8.5714285714327616</v>
      </c>
      <c r="AG27" s="172">
        <f t="shared" si="7"/>
        <v>0.99404761904761618</v>
      </c>
      <c r="AH27" s="403">
        <f>AG37</f>
        <v>0.67073945666957302</v>
      </c>
    </row>
    <row r="28" spans="1:34" ht="15" customHeight="1">
      <c r="A28" s="441"/>
      <c r="B28" s="75" t="s">
        <v>81</v>
      </c>
      <c r="C28" s="173"/>
      <c r="D28" s="59" t="s">
        <v>122</v>
      </c>
      <c r="E28" s="104"/>
      <c r="F28" s="75">
        <f>VLOOKUP(D28,廠價表!$C$1:$E$43,3,0)</f>
        <v>56.43</v>
      </c>
      <c r="G28" s="90">
        <v>1453</v>
      </c>
      <c r="H28" s="91">
        <f>F28*G28</f>
        <v>81992.789999999994</v>
      </c>
      <c r="I28" s="92"/>
      <c r="J28" s="79">
        <f>VLOOKUP(D28,產線配置圖!$A$3:$C$38,2,0)</f>
        <v>16</v>
      </c>
      <c r="K28" s="80">
        <f>VLOOKUP(D28,產線配置圖!$A$3:$C$38,3,0)</f>
        <v>1406</v>
      </c>
      <c r="L28" s="93">
        <f>K28/J28</f>
        <v>87.875</v>
      </c>
      <c r="M28" s="94">
        <v>16</v>
      </c>
      <c r="N28" s="95">
        <f>G28/W28*60</f>
        <v>822.45283018868031</v>
      </c>
      <c r="O28" s="96">
        <f>N28/M28</f>
        <v>51.403301886792519</v>
      </c>
      <c r="P28" s="97">
        <f>M28-J28</f>
        <v>0</v>
      </c>
      <c r="Q28" s="98">
        <f>O28-L28</f>
        <v>-36.471698113207481</v>
      </c>
      <c r="R28" s="99">
        <f>O28/L28</f>
        <v>0.58495933868327188</v>
      </c>
      <c r="S28" s="444"/>
      <c r="T28" s="19">
        <v>0.37291666666666701</v>
      </c>
      <c r="U28" s="19">
        <v>0.44652777777777802</v>
      </c>
      <c r="V28" s="92">
        <f>(T28-U27)*24*60</f>
        <v>10.000000000000844</v>
      </c>
      <c r="W28" s="149">
        <f t="shared" si="4"/>
        <v>105.99999999999986</v>
      </c>
      <c r="X28" s="174"/>
      <c r="Y28" s="301"/>
      <c r="Z28" s="335">
        <v>2</v>
      </c>
      <c r="AA28" s="335">
        <v>20</v>
      </c>
      <c r="AB28" s="409" t="s">
        <v>121</v>
      </c>
      <c r="AC28" s="409"/>
      <c r="AD28" s="92"/>
      <c r="AE28" s="92"/>
      <c r="AF28" s="311">
        <f t="shared" si="6"/>
        <v>-583.54716981131969</v>
      </c>
      <c r="AG28" s="99">
        <f t="shared" si="7"/>
        <v>0.58495933868327188</v>
      </c>
      <c r="AH28" s="404"/>
    </row>
    <row r="29" spans="1:34" ht="15" customHeight="1">
      <c r="A29" s="441"/>
      <c r="B29" s="75" t="s">
        <v>81</v>
      </c>
      <c r="C29" s="173"/>
      <c r="D29" s="59" t="s">
        <v>120</v>
      </c>
      <c r="E29" s="104"/>
      <c r="F29" s="75">
        <f>VLOOKUP(D29,廠價表!$C$1:$E$43,3,0)</f>
        <v>50.67</v>
      </c>
      <c r="G29" s="90">
        <v>1026</v>
      </c>
      <c r="H29" s="91">
        <f>F29*G29</f>
        <v>51987.42</v>
      </c>
      <c r="I29" s="92"/>
      <c r="J29" s="79">
        <f>VLOOKUP(D29,產線配置圖!$A$3:$C$38,2,0)</f>
        <v>13</v>
      </c>
      <c r="K29" s="80">
        <f>VLOOKUP(D29,產線配置圖!$A$3:$C$38,3,0)</f>
        <v>1440</v>
      </c>
      <c r="L29" s="93">
        <f>K29/J29</f>
        <v>110.76923076923077</v>
      </c>
      <c r="M29" s="94">
        <v>13</v>
      </c>
      <c r="N29" s="95">
        <f>G29/W29*60</f>
        <v>769.49999999999432</v>
      </c>
      <c r="O29" s="96">
        <f>N29/M29</f>
        <v>59.192307692307253</v>
      </c>
      <c r="P29" s="97">
        <f>M29-J29</f>
        <v>0</v>
      </c>
      <c r="Q29" s="98">
        <f>O29-L29</f>
        <v>-51.576923076923521</v>
      </c>
      <c r="R29" s="99">
        <f>O29/L29</f>
        <v>0.53437499999999605</v>
      </c>
      <c r="S29" s="444"/>
      <c r="T29" s="19">
        <v>0.453472222222222</v>
      </c>
      <c r="U29" s="19">
        <v>0.50902777777777797</v>
      </c>
      <c r="V29" s="92">
        <f>(T29-U28)*24*60</f>
        <v>9.999999999999325</v>
      </c>
      <c r="W29" s="149">
        <f t="shared" si="4"/>
        <v>80.000000000000597</v>
      </c>
      <c r="X29" s="22"/>
      <c r="Y29" s="84"/>
      <c r="Z29" s="90">
        <v>2</v>
      </c>
      <c r="AA29" s="90">
        <v>20</v>
      </c>
      <c r="AB29" s="409" t="s">
        <v>144</v>
      </c>
      <c r="AC29" s="409"/>
      <c r="AD29" s="92"/>
      <c r="AE29" s="92"/>
      <c r="AF29" s="312">
        <f t="shared" si="6"/>
        <v>-670.50000000000568</v>
      </c>
      <c r="AG29" s="99">
        <f t="shared" si="7"/>
        <v>0.53437499999999605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1798</v>
      </c>
      <c r="H30" s="91">
        <f>F30*G30</f>
        <v>91104.66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817.27272727273316</v>
      </c>
      <c r="O30" s="96">
        <f>N30/M30</f>
        <v>62.867132867133321</v>
      </c>
      <c r="P30" s="97">
        <f>M30-J30</f>
        <v>0</v>
      </c>
      <c r="Q30" s="98">
        <f>O30-L30</f>
        <v>-47.902097902097452</v>
      </c>
      <c r="R30" s="99">
        <f>O30/L30</f>
        <v>0.56755050505050908</v>
      </c>
      <c r="S30" s="444"/>
      <c r="T30" s="19">
        <v>0.56527777777777799</v>
      </c>
      <c r="U30" s="19">
        <v>0.656944444444444</v>
      </c>
      <c r="V30" s="92">
        <f>(T30-U29)*24*60</f>
        <v>81.000000000000028</v>
      </c>
      <c r="W30" s="149">
        <f t="shared" si="4"/>
        <v>131.99999999999906</v>
      </c>
      <c r="X30" s="174">
        <v>0.49652777777777801</v>
      </c>
      <c r="Y30" s="301">
        <v>0.53819444444444398</v>
      </c>
      <c r="Z30" s="335"/>
      <c r="AA30" s="335"/>
      <c r="AB30" s="409" t="s">
        <v>145</v>
      </c>
      <c r="AC30" s="409"/>
      <c r="AD30" s="92"/>
      <c r="AE30" s="92"/>
      <c r="AF30" s="312">
        <f t="shared" si="6"/>
        <v>-622.72727272726684</v>
      </c>
      <c r="AG30" s="99">
        <f t="shared" si="7"/>
        <v>0.56755050505050919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14.75</v>
      </c>
      <c r="K37" s="155">
        <f t="shared" si="8"/>
        <v>1431.5</v>
      </c>
      <c r="L37" s="158">
        <f t="shared" si="8"/>
        <v>98.529835972850677</v>
      </c>
      <c r="M37" s="155">
        <f t="shared" si="8"/>
        <v>14.75</v>
      </c>
      <c r="N37" s="155">
        <f t="shared" si="8"/>
        <v>960.16353222249381</v>
      </c>
      <c r="O37" s="158">
        <f t="shared" si="8"/>
        <v>64.41610577962544</v>
      </c>
      <c r="P37" s="159">
        <f>M37-J37</f>
        <v>0</v>
      </c>
      <c r="Q37" s="160">
        <f>N37-K37</f>
        <v>-471.33646777750619</v>
      </c>
      <c r="R37" s="161">
        <f>O37/L37</f>
        <v>0.65377258719252229</v>
      </c>
      <c r="S37" s="445"/>
      <c r="T37" s="163"/>
      <c r="U37" s="163"/>
      <c r="V37" s="164"/>
      <c r="W37" s="164"/>
      <c r="X37" s="321"/>
      <c r="Y37" s="322"/>
      <c r="Z37" s="334">
        <f>SUM(Z27:Z36)</f>
        <v>4</v>
      </c>
      <c r="AA37" s="334">
        <f>SUM(AA27:AA36)</f>
        <v>40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-471.33646777750619</v>
      </c>
      <c r="AG37" s="124">
        <f>N37/K37</f>
        <v>0.67073945666957302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2283</v>
      </c>
      <c r="H38" s="134">
        <f>F38*G38</f>
        <v>113944.53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1592.7906976743975</v>
      </c>
      <c r="O38" s="141">
        <f>N38/M38</f>
        <v>106.1860465116265</v>
      </c>
      <c r="P38" s="142">
        <f>M38-J38</f>
        <v>0</v>
      </c>
      <c r="Q38" s="143">
        <f>O38-L38</f>
        <v>-8.0806201550401653</v>
      </c>
      <c r="R38" s="144">
        <f>O38/L38</f>
        <v>0.92928278744130544</v>
      </c>
      <c r="S38" s="433">
        <f>R48</f>
        <v>0.92756533738650859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-121.20930232560249</v>
      </c>
      <c r="AG38" s="195">
        <f>N38/K38</f>
        <v>0.92928278744130544</v>
      </c>
      <c r="AH38" s="436">
        <f>AG48</f>
        <v>0.92744379694910462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3583</v>
      </c>
      <c r="H39" s="91">
        <f>F39*G39</f>
        <v>158726.9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1452.5675675675791</v>
      </c>
      <c r="O39" s="203">
        <f>N39/M39</f>
        <v>80.698198198198838</v>
      </c>
      <c r="P39" s="97">
        <f>M39-J39</f>
        <v>0</v>
      </c>
      <c r="Q39" s="98">
        <f>O39-L39</f>
        <v>-6.2462462462456045</v>
      </c>
      <c r="R39" s="99">
        <f>O39/L39</f>
        <v>0.92815819013902823</v>
      </c>
      <c r="S39" s="434"/>
      <c r="T39" s="20">
        <v>0.405555555555556</v>
      </c>
      <c r="U39" s="20">
        <v>0.50833333333333297</v>
      </c>
      <c r="V39" s="92">
        <f>(T39-U38)*24*60</f>
        <v>18.000000000000014</v>
      </c>
      <c r="W39" s="205">
        <f t="shared" si="4"/>
        <v>147.99999999999883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-112.43243243242091</v>
      </c>
      <c r="AG39" s="206">
        <f>N39/K39</f>
        <v>0.92815819013902823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2822</v>
      </c>
      <c r="H40" s="91">
        <f>F40*G40</f>
        <v>125014.59999999999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18</v>
      </c>
      <c r="N40" s="202">
        <f>G40/W40*60</f>
        <v>1447.1794871794866</v>
      </c>
      <c r="O40" s="203">
        <f>N40/M40</f>
        <v>80.398860398860364</v>
      </c>
      <c r="P40" s="97">
        <f>M40-J40</f>
        <v>0</v>
      </c>
      <c r="Q40" s="98">
        <f>O40-L40</f>
        <v>-6.5455840455840786</v>
      </c>
      <c r="R40" s="99">
        <f>O40/L40</f>
        <v>0.9247153272712374</v>
      </c>
      <c r="S40" s="416"/>
      <c r="T40" s="20">
        <v>0.56597222222222199</v>
      </c>
      <c r="U40" s="20">
        <v>0.64722222222222203</v>
      </c>
      <c r="V40" s="92">
        <f>(T40-U39)*24*60</f>
        <v>83.000000000000185</v>
      </c>
      <c r="W40" s="205">
        <f t="shared" si="4"/>
        <v>117.00000000000006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-117.82051282051339</v>
      </c>
      <c r="AG40" s="206">
        <f>N40/K40</f>
        <v>0.92471532727123751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1614.6666666666667</v>
      </c>
      <c r="L48" s="158">
        <f t="shared" si="10"/>
        <v>96.05185185185185</v>
      </c>
      <c r="M48" s="155">
        <f t="shared" si="10"/>
        <v>17</v>
      </c>
      <c r="N48" s="155">
        <f t="shared" si="10"/>
        <v>1497.5125841404877</v>
      </c>
      <c r="O48" s="158">
        <f t="shared" si="10"/>
        <v>89.094368369561906</v>
      </c>
      <c r="P48" s="221">
        <f>M48-J48</f>
        <v>0</v>
      </c>
      <c r="Q48" s="222">
        <f>N48-K48</f>
        <v>-117.15408252617908</v>
      </c>
      <c r="R48" s="223">
        <f>O48/L48</f>
        <v>0.92756533738650859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-117.15408252617908</v>
      </c>
      <c r="AG48" s="162">
        <f t="shared" ref="AG48:AG53" si="12">N48/K48</f>
        <v>0.92744379694910462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126</v>
      </c>
      <c r="E49" s="132"/>
      <c r="F49" s="129">
        <f>VLOOKUP(D49,廠價表!$C$1:$E$43,3,0)</f>
        <v>49.97</v>
      </c>
      <c r="G49" s="228">
        <v>5679</v>
      </c>
      <c r="H49" s="134">
        <f>F49*G49</f>
        <v>283779.63</v>
      </c>
      <c r="I49" s="135"/>
      <c r="J49" s="136">
        <f>VLOOKUP(D49,產線配置圖!$A$3:$C$38,2,0)</f>
        <v>16</v>
      </c>
      <c r="K49" s="137">
        <f>VLOOKUP(D49,產線配置圖!$A$3:$C$38,3,0)</f>
        <v>1800</v>
      </c>
      <c r="L49" s="138">
        <f>K49/J49</f>
        <v>112.5</v>
      </c>
      <c r="M49" s="170">
        <v>16</v>
      </c>
      <c r="N49" s="140">
        <f>G49/W49*60</f>
        <v>1614.8815165876865</v>
      </c>
      <c r="O49" s="141">
        <f>N49/M49</f>
        <v>100.93009478673041</v>
      </c>
      <c r="P49" s="229">
        <f>M49-J49</f>
        <v>0</v>
      </c>
      <c r="Q49" s="230">
        <f>O49-L49</f>
        <v>-11.569905213269593</v>
      </c>
      <c r="R49" s="52">
        <f>O49/L49</f>
        <v>0.89715639810427028</v>
      </c>
      <c r="S49" s="415">
        <f>R58</f>
        <v>0.87427661003020807</v>
      </c>
      <c r="T49" s="191">
        <v>0.29166666666666702</v>
      </c>
      <c r="U49" s="191">
        <v>0.438194444444444</v>
      </c>
      <c r="V49" s="55"/>
      <c r="W49" s="193">
        <f t="shared" si="4"/>
        <v>210.99999999999886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1"/>
        <v>-185.11848341231348</v>
      </c>
      <c r="AG49" s="52">
        <f t="shared" si="12"/>
        <v>0.89715639810427028</v>
      </c>
      <c r="AH49" s="403">
        <f>AG58</f>
        <v>0.87516007732698409</v>
      </c>
    </row>
    <row r="50" spans="1:34" ht="15" customHeight="1">
      <c r="A50" s="428"/>
      <c r="B50" s="75" t="s">
        <v>81</v>
      </c>
      <c r="C50" s="76"/>
      <c r="D50" s="59" t="s">
        <v>115</v>
      </c>
      <c r="E50" s="77"/>
      <c r="F50" s="75">
        <f>VLOOKUP(D50,廠價表!$C$1:$E$43,3,0)</f>
        <v>56.28</v>
      </c>
      <c r="G50" s="202">
        <v>988</v>
      </c>
      <c r="H50" s="231">
        <f>F50*G50</f>
        <v>55604.639999999999</v>
      </c>
      <c r="I50" s="232"/>
      <c r="J50" s="79">
        <v>17</v>
      </c>
      <c r="K50" s="80">
        <v>1565</v>
      </c>
      <c r="L50" s="81">
        <f>K50/J50</f>
        <v>92.058823529411768</v>
      </c>
      <c r="M50" s="233">
        <v>17</v>
      </c>
      <c r="N50" s="234">
        <f>G50/W50*60</f>
        <v>1411.4285714286061</v>
      </c>
      <c r="O50" s="235">
        <f>N50/M50</f>
        <v>83.025210084035649</v>
      </c>
      <c r="P50" s="74">
        <f>M50-J50</f>
        <v>0</v>
      </c>
      <c r="Q50" s="83">
        <f>O50-L50</f>
        <v>-9.033613445376119</v>
      </c>
      <c r="R50" s="72">
        <f>O50/L50</f>
        <v>0.90187129164767155</v>
      </c>
      <c r="S50" s="416"/>
      <c r="T50" s="21">
        <v>0.44652777777777802</v>
      </c>
      <c r="U50" s="21">
        <v>0.47569444444444398</v>
      </c>
      <c r="V50" s="30">
        <f>(T50-U49)*24*60</f>
        <v>12.000000000000997</v>
      </c>
      <c r="W50" s="236">
        <f t="shared" si="4"/>
        <v>41.99999999999897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-153.57142857139388</v>
      </c>
      <c r="AG50" s="72">
        <f t="shared" si="12"/>
        <v>0.90187129164767166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1342</v>
      </c>
      <c r="H51" s="231">
        <f>F51*G51</f>
        <v>67059.740000000005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1548.4615384615013</v>
      </c>
      <c r="O51" s="235">
        <f>N51/M51</f>
        <v>96.77884615384383</v>
      </c>
      <c r="P51" s="74">
        <f>M51-J51</f>
        <v>0</v>
      </c>
      <c r="Q51" s="83">
        <f>O51-L51</f>
        <v>-15.72115384615617</v>
      </c>
      <c r="R51" s="72">
        <f>O51/L51</f>
        <v>0.86025641025638955</v>
      </c>
      <c r="S51" s="416"/>
      <c r="T51" s="21">
        <v>0.53819444444444398</v>
      </c>
      <c r="U51" s="19">
        <v>0.57430555555555596</v>
      </c>
      <c r="V51" s="30">
        <f>(T51-U50)*24*60</f>
        <v>90</v>
      </c>
      <c r="W51" s="236">
        <f t="shared" si="4"/>
        <v>52.000000000001251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-251.53846153849872</v>
      </c>
      <c r="AG51" s="72">
        <f t="shared" si="12"/>
        <v>0.86025641025638955</v>
      </c>
      <c r="AH51" s="405"/>
    </row>
    <row r="52" spans="1:34" ht="15" customHeight="1">
      <c r="A52" s="428"/>
      <c r="B52" s="75" t="s">
        <v>118</v>
      </c>
      <c r="C52" s="86"/>
      <c r="D52" s="59" t="s">
        <v>123</v>
      </c>
      <c r="E52" s="87"/>
      <c r="F52" s="75">
        <f>VLOOKUP(D52,廠價表!$C$1:$E$43,3,0)</f>
        <v>49.91</v>
      </c>
      <c r="G52" s="202">
        <v>795</v>
      </c>
      <c r="H52" s="231">
        <f>F52*G52</f>
        <v>39678.449999999997</v>
      </c>
      <c r="I52" s="232"/>
      <c r="J52" s="79">
        <f>VLOOKUP(D52,產線配置圖!$A$3:$C$38,2,0)</f>
        <v>15</v>
      </c>
      <c r="K52" s="80">
        <f>VLOOKUP(D52,產線配置圖!$A$3:$C$38,3,0)</f>
        <v>1714</v>
      </c>
      <c r="L52" s="81">
        <f>K52/J52</f>
        <v>114.26666666666667</v>
      </c>
      <c r="M52" s="233">
        <v>15</v>
      </c>
      <c r="N52" s="234">
        <f>G52/W52*60</f>
        <v>1445.4545454545296</v>
      </c>
      <c r="O52" s="235">
        <f>N52/M52</f>
        <v>96.363636363635308</v>
      </c>
      <c r="P52" s="74">
        <f>M52-J52</f>
        <v>0</v>
      </c>
      <c r="Q52" s="83">
        <f>O52-L52</f>
        <v>-17.903030303031358</v>
      </c>
      <c r="R52" s="72">
        <f>O52/L52</f>
        <v>0.84332237191046067</v>
      </c>
      <c r="S52" s="416"/>
      <c r="T52" s="21">
        <v>0.57986111111111105</v>
      </c>
      <c r="U52" s="21">
        <v>0.60277777777777797</v>
      </c>
      <c r="V52" s="30">
        <f>(T52-U51)*24*60</f>
        <v>7.9999999999993321</v>
      </c>
      <c r="W52" s="236">
        <f t="shared" si="4"/>
        <v>33.000000000000362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-268.54545454547042</v>
      </c>
      <c r="AG52" s="72">
        <f t="shared" si="12"/>
        <v>0.84332237191046067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16</v>
      </c>
      <c r="K58" s="120">
        <f t="shared" si="13"/>
        <v>1719.75</v>
      </c>
      <c r="L58" s="117">
        <f t="shared" si="13"/>
        <v>107.8313725490196</v>
      </c>
      <c r="M58" s="120">
        <f t="shared" si="13"/>
        <v>16</v>
      </c>
      <c r="N58" s="120">
        <f t="shared" si="13"/>
        <v>1505.0565429830808</v>
      </c>
      <c r="O58" s="117">
        <f t="shared" si="13"/>
        <v>94.274446847061299</v>
      </c>
      <c r="P58" s="121">
        <f>M58-J58</f>
        <v>0</v>
      </c>
      <c r="Q58" s="122">
        <f>N58-K58</f>
        <v>-214.69345701691918</v>
      </c>
      <c r="R58" s="123">
        <f t="shared" ref="R58:R63" si="14">O58/L58</f>
        <v>0.87427661003020807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-214.69345701691918</v>
      </c>
      <c r="AG58" s="124">
        <f>N58/K58</f>
        <v>0.87516007732698409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2577</v>
      </c>
      <c r="H59" s="243">
        <f>F59*G59</f>
        <v>69553.23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1472.5714285714428</v>
      </c>
      <c r="O59" s="138">
        <f>N59/M59</f>
        <v>113.27472527472636</v>
      </c>
      <c r="P59" s="56">
        <f>M59-J59</f>
        <v>0</v>
      </c>
      <c r="Q59" s="230">
        <f>O59-L59</f>
        <v>-7.1098901098890224</v>
      </c>
      <c r="R59" s="52">
        <f t="shared" si="14"/>
        <v>0.94094020994980365</v>
      </c>
      <c r="S59" s="415">
        <f>R69</f>
        <v>0.83474825059486313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-92.428571428557234</v>
      </c>
      <c r="AG59" s="246">
        <f>N59/K59</f>
        <v>0.94094020994980365</v>
      </c>
      <c r="AH59" s="403">
        <f>AG69</f>
        <v>0.91507946469663692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1854</v>
      </c>
      <c r="H60" s="78">
        <f>F60*G60</f>
        <v>52394.04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1483.19999999998</v>
      </c>
      <c r="O60" s="81">
        <f>N60/M60</f>
        <v>123.59999999999833</v>
      </c>
      <c r="P60" s="74">
        <f>M60-J60</f>
        <v>0</v>
      </c>
      <c r="Q60" s="83">
        <f>O60-L60</f>
        <v>-6.8166666666683255</v>
      </c>
      <c r="R60" s="72">
        <f t="shared" si="14"/>
        <v>0.94773162939295852</v>
      </c>
      <c r="S60" s="425"/>
      <c r="T60" s="22">
        <v>0.38194444444444398</v>
      </c>
      <c r="U60" s="22">
        <v>0.43402777777777801</v>
      </c>
      <c r="V60" s="30">
        <f>(T60-U59)*24*60</f>
        <v>24.999999999999829</v>
      </c>
      <c r="W60" s="248">
        <f t="shared" si="4"/>
        <v>75.000000000001009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-81.800000000019963</v>
      </c>
      <c r="AG60" s="249">
        <f>N60/K60</f>
        <v>0.94773162939295852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2212</v>
      </c>
      <c r="H61" s="254">
        <f>F61*G61</f>
        <v>62511.12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1474.6666666666667</v>
      </c>
      <c r="O61" s="238">
        <f>N61/M61</f>
        <v>134.06060606060606</v>
      </c>
      <c r="P61" s="111">
        <f>M61-J61</f>
        <v>2</v>
      </c>
      <c r="Q61" s="255">
        <f>O61-L61</f>
        <v>-47.717171717171709</v>
      </c>
      <c r="R61" s="85">
        <f t="shared" si="14"/>
        <v>0.73749722160480113</v>
      </c>
      <c r="S61" s="416"/>
      <c r="T61" s="22">
        <v>0.44444444444444398</v>
      </c>
      <c r="U61" s="22">
        <v>0.50694444444444398</v>
      </c>
      <c r="V61" s="30">
        <f>(T61-U60)*24*60</f>
        <v>14.999999999998987</v>
      </c>
      <c r="W61" s="256">
        <f t="shared" si="4"/>
        <v>90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-161.33333333333326</v>
      </c>
      <c r="AG61" s="247">
        <f>N61/K61</f>
        <v>0.90138549307253468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2001</v>
      </c>
      <c r="H62" s="254">
        <f>F62*G62</f>
        <v>56548.26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1600.800000000009</v>
      </c>
      <c r="O62" s="238">
        <f>N62/M62</f>
        <v>145.52727272727356</v>
      </c>
      <c r="P62" s="111">
        <f>M62-J62</f>
        <v>2</v>
      </c>
      <c r="Q62" s="255">
        <f>O62-L62</f>
        <v>-36.250505050504216</v>
      </c>
      <c r="R62" s="85">
        <f t="shared" si="14"/>
        <v>0.80057790620138269</v>
      </c>
      <c r="S62" s="416"/>
      <c r="T62" s="22">
        <v>0.55902777777777801</v>
      </c>
      <c r="U62" s="22">
        <v>0.61111111111111105</v>
      </c>
      <c r="V62" s="30">
        <f>(T62-U61)*24*60</f>
        <v>75.000000000001009</v>
      </c>
      <c r="W62" s="248">
        <f t="shared" si="4"/>
        <v>74.999999999999574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-35.199999999990951</v>
      </c>
      <c r="AG62" s="247">
        <f>N62/K62</f>
        <v>0.97848410757946769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1574</v>
      </c>
      <c r="H63" s="254">
        <f>F63*G63</f>
        <v>42482.259999999995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1259.2000000000071</v>
      </c>
      <c r="O63" s="238">
        <f>N63/M63</f>
        <v>96.861538461539013</v>
      </c>
      <c r="P63" s="111">
        <f>M63-J63</f>
        <v>0</v>
      </c>
      <c r="Q63" s="255">
        <f>O63-L63</f>
        <v>-23.523076923076374</v>
      </c>
      <c r="R63" s="85">
        <f t="shared" si="14"/>
        <v>0.80460063897764034</v>
      </c>
      <c r="S63" s="416"/>
      <c r="T63" s="22">
        <v>0.62152777777777801</v>
      </c>
      <c r="U63" s="22">
        <v>0.67361111111111105</v>
      </c>
      <c r="V63" s="30">
        <f>(T63-U62)*24*60</f>
        <v>15.000000000000426</v>
      </c>
      <c r="W63" s="248">
        <f t="shared" si="4"/>
        <v>74.999999999999574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5">AVERAGE(J59:J68)</f>
        <v>11.2</v>
      </c>
      <c r="K69" s="240">
        <f t="shared" si="15"/>
        <v>1593.4</v>
      </c>
      <c r="L69" s="268">
        <f t="shared" si="15"/>
        <v>146.94829059829061</v>
      </c>
      <c r="M69" s="240">
        <f t="shared" si="15"/>
        <v>12</v>
      </c>
      <c r="N69" s="240">
        <f t="shared" si="15"/>
        <v>1458.0876190476213</v>
      </c>
      <c r="O69" s="268">
        <f t="shared" si="15"/>
        <v>122.66482850482866</v>
      </c>
      <c r="P69" s="269">
        <f>M69-J69</f>
        <v>0.80000000000000071</v>
      </c>
      <c r="Q69" s="222">
        <f>N69-K69</f>
        <v>-135.31238095237882</v>
      </c>
      <c r="R69" s="123">
        <f>O69/L69</f>
        <v>0.83474825059486313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-135.31238095237882</v>
      </c>
      <c r="AG69" s="124">
        <f>N69/K69</f>
        <v>0.91507946469663692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F3:AF4"/>
    <mergeCell ref="AG3:AG4"/>
    <mergeCell ref="AH3:AH4"/>
    <mergeCell ref="AB15:AC15"/>
    <mergeCell ref="A5:A15"/>
    <mergeCell ref="S5:S15"/>
    <mergeCell ref="AB13:AC13"/>
    <mergeCell ref="AB5:AC5"/>
    <mergeCell ref="D15:E15"/>
    <mergeCell ref="Z3:AA3"/>
    <mergeCell ref="AD3:AE3"/>
    <mergeCell ref="AB1:AC2"/>
    <mergeCell ref="T1:Y2"/>
    <mergeCell ref="S3:S4"/>
    <mergeCell ref="X3:Y3"/>
    <mergeCell ref="P3:P4"/>
    <mergeCell ref="Q3:Q4"/>
    <mergeCell ref="R3:R4"/>
    <mergeCell ref="T3:U3"/>
    <mergeCell ref="M1:O2"/>
    <mergeCell ref="P1:S2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ECEBFD-941B-442D-B422-81D1621FD79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2F79-117A-4F63-BC29-ADCBC398D0E5}">
  <dimension ref="B1:O26"/>
  <sheetViews>
    <sheetView topLeftCell="A6" zoomScale="70" zoomScaleNormal="70" workbookViewId="0">
      <selection activeCell="K16" sqref="K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46119</v>
      </c>
      <c r="E3" s="399"/>
      <c r="F3" s="3" t="s">
        <v>72</v>
      </c>
      <c r="G3" s="400">
        <f>'0407'!E1</f>
        <v>61852</v>
      </c>
      <c r="H3" s="400"/>
      <c r="I3" s="3" t="s">
        <v>2</v>
      </c>
      <c r="J3" s="401">
        <f>'0407'!G1</f>
        <v>2947999.1300000004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130.88798600818208</v>
      </c>
      <c r="G6" s="397"/>
      <c r="H6" s="382">
        <f>AVERAGE(D13:H13)</f>
        <v>127.67592509016038</v>
      </c>
      <c r="I6" s="382"/>
      <c r="J6" s="382">
        <f>AVERAGE(I13)</f>
        <v>146.94829059829061</v>
      </c>
      <c r="K6" s="382"/>
      <c r="L6" s="383">
        <f>SUM(D18:J18)</f>
        <v>2</v>
      </c>
      <c r="M6" s="385">
        <f>SUM(D19:J19)</f>
        <v>16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116.41527052824893</v>
      </c>
      <c r="G7" s="389"/>
      <c r="H7" s="390">
        <f>AVERAGE(D14:H14)</f>
        <v>114.48074701152105</v>
      </c>
      <c r="I7" s="390"/>
      <c r="J7" s="390">
        <f>AVERAGE(I14)</f>
        <v>126.08788811188838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0.88942670812408686</v>
      </c>
      <c r="G8" s="374"/>
      <c r="H8" s="374">
        <f>H7/H6</f>
        <v>0.89665100864300495</v>
      </c>
      <c r="I8" s="374"/>
      <c r="J8" s="374">
        <f>J7/J6</f>
        <v>0.85804256448666105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VALUE('0407'!L15)</f>
        <v>160.9835164835165</v>
      </c>
      <c r="E13" s="13">
        <f>VALUE('0407'!L26)</f>
        <v>171.91558441558442</v>
      </c>
      <c r="F13" s="13">
        <f>VALUE('0407'!L37)</f>
        <v>96.398868778280544</v>
      </c>
      <c r="G13" s="13">
        <f>VALUE('0407'!L48)</f>
        <v>96.05185185185185</v>
      </c>
      <c r="H13" s="13">
        <f>VALUE('0407'!L58)</f>
        <v>113.02980392156863</v>
      </c>
      <c r="I13" s="13">
        <f>VALUE('0407'!L69)</f>
        <v>146.94829059829061</v>
      </c>
      <c r="J13" s="13">
        <f>'0407'!L79</f>
        <v>0</v>
      </c>
    </row>
    <row r="14" spans="2:15" ht="39.950000000000003" customHeight="1">
      <c r="B14" s="368"/>
      <c r="C14" s="12" t="s">
        <v>100</v>
      </c>
      <c r="D14" s="13">
        <f>VALUE('0407'!O15)</f>
        <v>154.8804831388199</v>
      </c>
      <c r="E14" s="13">
        <f>VALUE('0407'!O26)</f>
        <v>163.52249672565213</v>
      </c>
      <c r="F14" s="13">
        <f>VALUE('0407'!O37)</f>
        <v>67.772824822236657</v>
      </c>
      <c r="G14" s="13">
        <f>VALUE('0407'!O48)</f>
        <v>86.149716775599373</v>
      </c>
      <c r="H14" s="13">
        <f>VALUE('0407'!O58)</f>
        <v>100.07821359529719</v>
      </c>
      <c r="I14" s="13">
        <f>VALUE('0407'!O69)</f>
        <v>126.08788811188838</v>
      </c>
      <c r="J14" s="13">
        <f>'0407'!O79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0.96208907919264208</v>
      </c>
      <c r="E15" s="14">
        <f t="shared" si="1"/>
        <v>0.9511790177809416</v>
      </c>
      <c r="F15" s="14">
        <f t="shared" si="1"/>
        <v>0.70304585189807156</v>
      </c>
      <c r="G15" s="14">
        <f t="shared" si="1"/>
        <v>0.8969084417911557</v>
      </c>
      <c r="H15" s="14">
        <f t="shared" si="1"/>
        <v>0.88541437853631466</v>
      </c>
      <c r="I15" s="14">
        <f t="shared" si="1"/>
        <v>0.85804256448666105</v>
      </c>
      <c r="J15" s="15">
        <f>'0407'!S70</f>
        <v>0</v>
      </c>
    </row>
    <row r="16" spans="2:15" ht="17.25" customHeight="1">
      <c r="B16" s="370" t="s">
        <v>101</v>
      </c>
      <c r="C16" s="10" t="s">
        <v>34</v>
      </c>
      <c r="D16" s="16">
        <f>'0407'!T5</f>
        <v>0.29166666666666702</v>
      </c>
      <c r="E16" s="16">
        <f>'0407'!T16</f>
        <v>0.29166666666666702</v>
      </c>
      <c r="F16" s="16">
        <f>'0407'!T27</f>
        <v>0.29166666666666702</v>
      </c>
      <c r="G16" s="16">
        <f>'0407'!T38</f>
        <v>0.33333333333333298</v>
      </c>
      <c r="H16" s="16">
        <f>'0407'!T49</f>
        <v>0.29027777777777802</v>
      </c>
      <c r="I16" s="16">
        <f>'0407'!T59</f>
        <v>0.29166666666666702</v>
      </c>
      <c r="J16" s="16">
        <f>'0407'!T70</f>
        <v>0</v>
      </c>
    </row>
    <row r="17" spans="2:10" ht="17.25" customHeight="1">
      <c r="B17" s="371"/>
      <c r="C17" s="10" t="s">
        <v>35</v>
      </c>
      <c r="D17" s="18">
        <v>0.65833333333333299</v>
      </c>
      <c r="E17" s="19">
        <v>0.66041666666666698</v>
      </c>
      <c r="F17" s="19">
        <v>0.625</v>
      </c>
      <c r="G17" s="20">
        <v>0.64236111111111105</v>
      </c>
      <c r="H17" s="21">
        <v>0.63194444444444398</v>
      </c>
      <c r="I17" s="22">
        <v>0.64930555555555602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'0407'!Z15</f>
        <v>0</v>
      </c>
      <c r="E18" s="359">
        <f>'0407'!Z26</f>
        <v>0</v>
      </c>
      <c r="F18" s="359">
        <f>'0407'!Z37</f>
        <v>2</v>
      </c>
      <c r="G18" s="360">
        <f>'0407'!Z48</f>
        <v>0</v>
      </c>
      <c r="H18" s="360">
        <f>'0407'!Z58</f>
        <v>0</v>
      </c>
      <c r="I18" s="359">
        <f>'0407'!Z69</f>
        <v>0</v>
      </c>
      <c r="J18" s="359">
        <f>'0407'!AA79</f>
        <v>0</v>
      </c>
    </row>
    <row r="19" spans="2:10" ht="17.25" customHeight="1">
      <c r="B19" s="373"/>
      <c r="C19" s="330" t="s">
        <v>37</v>
      </c>
      <c r="D19" s="358">
        <f>'0407'!AA15</f>
        <v>0</v>
      </c>
      <c r="E19" s="359">
        <f>'0407'!AA26</f>
        <v>0</v>
      </c>
      <c r="F19" s="359">
        <f>'0407'!AA37</f>
        <v>16</v>
      </c>
      <c r="G19" s="360">
        <f>'0407'!AA48</f>
        <v>0</v>
      </c>
      <c r="H19" s="360">
        <f>'0407'!AA58</f>
        <v>0</v>
      </c>
      <c r="I19" s="359">
        <f>'0407'!AA69</f>
        <v>0</v>
      </c>
      <c r="J19" s="359">
        <f>'0407'!AB79</f>
        <v>0</v>
      </c>
    </row>
    <row r="20" spans="2:10" ht="17.25" customHeight="1">
      <c r="B20" s="372" t="s">
        <v>103</v>
      </c>
      <c r="C20" s="330" t="s">
        <v>36</v>
      </c>
      <c r="D20" s="358">
        <f>'0407'!AD15</f>
        <v>0</v>
      </c>
      <c r="E20" s="359">
        <f>'0407'!AD26</f>
        <v>0</v>
      </c>
      <c r="F20" s="359">
        <f>'0407'!AD37</f>
        <v>0</v>
      </c>
      <c r="G20" s="360">
        <f>'0407'!AD48</f>
        <v>0</v>
      </c>
      <c r="H20" s="360">
        <f>'0407'!AD58</f>
        <v>0</v>
      </c>
      <c r="I20" s="359">
        <f>'0407'!AD69</f>
        <v>0</v>
      </c>
      <c r="J20" s="359">
        <f>'0407'!AD79</f>
        <v>0</v>
      </c>
    </row>
    <row r="21" spans="2:10" ht="17.25" customHeight="1">
      <c r="B21" s="373"/>
      <c r="C21" s="330" t="s">
        <v>85</v>
      </c>
      <c r="D21" s="358">
        <f>'0407'!AE15</f>
        <v>0</v>
      </c>
      <c r="E21" s="359">
        <f>'0407'!AE26</f>
        <v>0</v>
      </c>
      <c r="F21" s="359">
        <f>'0407'!AE37</f>
        <v>0</v>
      </c>
      <c r="G21" s="360">
        <f>'0407'!AE48</f>
        <v>0</v>
      </c>
      <c r="H21" s="360">
        <f>'0407'!AE58</f>
        <v>0</v>
      </c>
      <c r="I21" s="359">
        <f>'0407'!AE69</f>
        <v>0</v>
      </c>
      <c r="J21" s="359">
        <f>'0407'!AE79</f>
        <v>0</v>
      </c>
    </row>
    <row r="22" spans="2:10" ht="17.25" customHeight="1">
      <c r="B22" s="364" t="s">
        <v>104</v>
      </c>
      <c r="C22" s="365"/>
      <c r="D22" s="23">
        <f>VALUE('0407'!M15)</f>
        <v>13.2</v>
      </c>
      <c r="E22" s="23">
        <f>VALUE('0407'!M26)</f>
        <v>12.5</v>
      </c>
      <c r="F22" s="23">
        <f>VALUE('0407'!M37)</f>
        <v>14.6</v>
      </c>
      <c r="G22" s="23">
        <f>VALUE('0407'!M48)</f>
        <v>16.333333333333332</v>
      </c>
      <c r="H22" s="23">
        <f>VALUE('0407'!M58)</f>
        <v>15.4</v>
      </c>
      <c r="I22" s="23">
        <f>VALUE('0407'!M69)</f>
        <v>12</v>
      </c>
      <c r="J22" s="23">
        <f>'0407'!M79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84B9-DA15-45E9-A024-77C8819583C5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B60" sqref="AB60:AC60"/>
      <selection pane="topRight" activeCell="AB60" sqref="AB60:AC60"/>
      <selection pane="bottomLeft" activeCell="AB60" sqref="AB60:AC60"/>
      <selection pane="bottomRight" activeCell="J79" sqref="J79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61852</v>
      </c>
      <c r="F1" s="30" t="s">
        <v>2</v>
      </c>
      <c r="G1" s="31">
        <f>SUM(H5:H79)</f>
        <v>2947999.1300000004</v>
      </c>
      <c r="H1" s="32" t="s">
        <v>3</v>
      </c>
      <c r="I1" s="33">
        <f>M15+M26+M48+M58+M69+M79+M37</f>
        <v>84.033333333333331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146</v>
      </c>
      <c r="B2" s="483"/>
      <c r="C2" s="28"/>
      <c r="D2" s="28" t="s">
        <v>14</v>
      </c>
      <c r="E2" s="35">
        <f>AVERAGE(O15,O26,O37,O48,O58,O69,O79)</f>
        <v>116.41527052824893</v>
      </c>
      <c r="F2" s="36" t="s">
        <v>15</v>
      </c>
      <c r="G2" s="37">
        <f>G1/E1</f>
        <v>47.66214722240187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2</v>
      </c>
      <c r="AA2" s="339">
        <f>AA15+AA26+AA37+AA48+AA58+AA69+AA79</f>
        <v>16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3698</v>
      </c>
      <c r="H5" s="43">
        <f>F5*G5</f>
        <v>211562.58000000002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2017.0909090909061</v>
      </c>
      <c r="O5" s="47">
        <f>N5/M5</f>
        <v>144.07792207792187</v>
      </c>
      <c r="P5" s="49">
        <f>M5-J5</f>
        <v>0</v>
      </c>
      <c r="Q5" s="50">
        <f>O5-L5</f>
        <v>-7.2077922077924086</v>
      </c>
      <c r="R5" s="51">
        <f>O5/L5</f>
        <v>0.95235642544424282</v>
      </c>
      <c r="S5" s="415">
        <f>R15</f>
        <v>0.96208907919264208</v>
      </c>
      <c r="T5" s="319">
        <v>0.29166666666666702</v>
      </c>
      <c r="U5" s="320">
        <v>0.36805555555555602</v>
      </c>
      <c r="V5" s="53"/>
      <c r="W5" s="54">
        <f t="shared" ref="W5:W14" si="0">(U5-T5)*24*60</f>
        <v>110.00000000000017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-100.90909090909395</v>
      </c>
      <c r="AG5" s="52">
        <f t="shared" ref="AG5:AG11" si="2">N5/K5</f>
        <v>0.9523564254442427</v>
      </c>
      <c r="AH5" s="403">
        <f>AG15</f>
        <v>0.96202233671041337</v>
      </c>
    </row>
    <row r="6" spans="1:34" ht="15" customHeight="1">
      <c r="A6" s="489"/>
      <c r="B6" s="57" t="s">
        <v>81</v>
      </c>
      <c r="C6" s="58"/>
      <c r="D6" s="59" t="s">
        <v>116</v>
      </c>
      <c r="E6" s="60"/>
      <c r="F6" s="61">
        <f>VLOOKUP(D6,廠價表!$C$1:$E$43,3,0)</f>
        <v>50.67</v>
      </c>
      <c r="G6" s="62">
        <v>2507</v>
      </c>
      <c r="H6" s="63">
        <f>F6*G6</f>
        <v>127029.69</v>
      </c>
      <c r="I6" s="64"/>
      <c r="J6" s="65">
        <f>VLOOKUP(D6,產線配置圖!$A$3:$C$38,2,0)</f>
        <v>12</v>
      </c>
      <c r="K6" s="66">
        <f>VLOOKUP(D6,產線配置圖!$A$3:$C$38,3,0)</f>
        <v>2118</v>
      </c>
      <c r="L6" s="67">
        <f>K6/J6</f>
        <v>176.5</v>
      </c>
      <c r="M6" s="68">
        <v>12</v>
      </c>
      <c r="N6" s="66">
        <f>G6/W6*60</f>
        <v>2005.6000000000138</v>
      </c>
      <c r="O6" s="67">
        <f>N6/M6</f>
        <v>167.13333333333449</v>
      </c>
      <c r="P6" s="69">
        <f>M6-J6</f>
        <v>0</v>
      </c>
      <c r="Q6" s="70">
        <f>O6-L6</f>
        <v>-9.366666666665509</v>
      </c>
      <c r="R6" s="71">
        <f>O6/L6</f>
        <v>0.94693106704438801</v>
      </c>
      <c r="S6" s="416"/>
      <c r="T6" s="16">
        <v>0.375</v>
      </c>
      <c r="U6" s="16">
        <v>0.42708333333333298</v>
      </c>
      <c r="V6" s="30">
        <f>(T6-U5)*24*60</f>
        <v>9.999999999999325</v>
      </c>
      <c r="W6" s="73">
        <f t="shared" si="0"/>
        <v>74.999999999999488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-112.39999999998622</v>
      </c>
      <c r="AG6" s="72">
        <f t="shared" si="2"/>
        <v>0.94693106704438801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2111</v>
      </c>
      <c r="H7" s="78">
        <f>F7*G7</f>
        <v>103734.54000000001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2110.9999999999823</v>
      </c>
      <c r="O7" s="81">
        <f>N7/M7</f>
        <v>162.38461538461402</v>
      </c>
      <c r="P7" s="74">
        <f>M7-J7</f>
        <v>0</v>
      </c>
      <c r="Q7" s="83">
        <f>O7-L7</f>
        <v>-0.53846153846291145</v>
      </c>
      <c r="R7" s="72">
        <f>O7/L7</f>
        <v>0.99669499527855621</v>
      </c>
      <c r="S7" s="416"/>
      <c r="T7" s="18">
        <v>0.4375</v>
      </c>
      <c r="U7" s="18">
        <v>0.47916666666666702</v>
      </c>
      <c r="V7" s="30">
        <f>(T7-U6)*24*60</f>
        <v>15.000000000000506</v>
      </c>
      <c r="W7" s="73">
        <f t="shared" si="0"/>
        <v>60.000000000000504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-7.0000000000177351</v>
      </c>
      <c r="AG7" s="72">
        <f t="shared" si="2"/>
        <v>0.99669499527855632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4529</v>
      </c>
      <c r="H8" s="63">
        <f>F8*G8</f>
        <v>222555.06</v>
      </c>
      <c r="I8" s="64"/>
      <c r="J8" s="65">
        <f>VLOOKUP(D8,產線配置圖!$A$3:$C$38,2,0)</f>
        <v>13</v>
      </c>
      <c r="K8" s="66">
        <f>VLOOKUP(D8,產線配置圖!$A$3:$C$38,3,0)</f>
        <v>2118</v>
      </c>
      <c r="L8" s="67">
        <f>K8/J8</f>
        <v>162.92307692307693</v>
      </c>
      <c r="M8" s="82">
        <v>13</v>
      </c>
      <c r="N8" s="80">
        <f>G8/W8*60</f>
        <v>2043.1578947368225</v>
      </c>
      <c r="O8" s="81">
        <f>N8/M8</f>
        <v>157.1659919028325</v>
      </c>
      <c r="P8" s="74">
        <f>M8-J8</f>
        <v>0</v>
      </c>
      <c r="Q8" s="83">
        <f>O8-L8</f>
        <v>-5.7570850202444319</v>
      </c>
      <c r="R8" s="72">
        <f>O8/L8</f>
        <v>0.96466378410614839</v>
      </c>
      <c r="S8" s="416"/>
      <c r="T8" s="16">
        <v>0.53819444444444398</v>
      </c>
      <c r="U8" s="16">
        <v>0.63055555555555598</v>
      </c>
      <c r="V8" s="30">
        <f>(T8-U7)*24*60</f>
        <v>84.99999999999882</v>
      </c>
      <c r="W8" s="73">
        <f t="shared" si="0"/>
        <v>133.00000000000128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-74.842105263177473</v>
      </c>
      <c r="AG8" s="72">
        <f t="shared" si="2"/>
        <v>0.9646637841061485</v>
      </c>
      <c r="AH8" s="405"/>
    </row>
    <row r="9" spans="1:34" ht="15" customHeight="1">
      <c r="A9" s="490"/>
      <c r="B9" s="75" t="s">
        <v>81</v>
      </c>
      <c r="C9" s="76"/>
      <c r="D9" s="59" t="s">
        <v>147</v>
      </c>
      <c r="E9" s="77"/>
      <c r="F9" s="75">
        <f>VLOOKUP(D9,廠價表!$C$1:$E$43,3,0)</f>
        <v>56.87</v>
      </c>
      <c r="G9" s="66">
        <v>1039</v>
      </c>
      <c r="H9" s="78">
        <f>F9*G9</f>
        <v>59087.93</v>
      </c>
      <c r="I9" s="73"/>
      <c r="J9" s="79">
        <f>VLOOKUP(D9,產線配置圖!$A$3:$C$38,2,0)</f>
        <v>14</v>
      </c>
      <c r="K9" s="80">
        <f>VLOOKUP(D9,產線配置圖!$A$3:$C$38,3,0)</f>
        <v>2118</v>
      </c>
      <c r="L9" s="81">
        <f>K9/J9</f>
        <v>151.28571428571428</v>
      </c>
      <c r="M9" s="82">
        <v>14</v>
      </c>
      <c r="N9" s="80">
        <f>G9/W9*60</f>
        <v>2010.9677419355532</v>
      </c>
      <c r="O9" s="81">
        <f>N9/M9</f>
        <v>143.64055299539666</v>
      </c>
      <c r="P9" s="74">
        <f>M9-J9</f>
        <v>0</v>
      </c>
      <c r="Q9" s="83">
        <f>O9-L9</f>
        <v>-7.6451612903176169</v>
      </c>
      <c r="R9" s="72">
        <f>O9/L9</f>
        <v>0.94946541167873155</v>
      </c>
      <c r="S9" s="417"/>
      <c r="T9" s="16">
        <v>0.63680555555555596</v>
      </c>
      <c r="U9" s="16">
        <v>0.65833333333333299</v>
      </c>
      <c r="V9" s="30">
        <f>(T9-U8)*24*60</f>
        <v>8.999999999999968</v>
      </c>
      <c r="W9" s="73">
        <f t="shared" si="0"/>
        <v>30.999999999998931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-107.03225806444675</v>
      </c>
      <c r="AG9" s="72">
        <f t="shared" si="2"/>
        <v>0.94946541167873144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13.2</v>
      </c>
      <c r="K15" s="120">
        <f t="shared" si="3"/>
        <v>2118</v>
      </c>
      <c r="L15" s="117">
        <f t="shared" si="3"/>
        <v>160.9835164835165</v>
      </c>
      <c r="M15" s="120">
        <f t="shared" si="3"/>
        <v>13.2</v>
      </c>
      <c r="N15" s="120">
        <f t="shared" si="3"/>
        <v>2037.5633091526556</v>
      </c>
      <c r="O15" s="117">
        <f t="shared" si="3"/>
        <v>154.8804831388199</v>
      </c>
      <c r="P15" s="121">
        <f>M15-J15</f>
        <v>0</v>
      </c>
      <c r="Q15" s="122">
        <f>O15-L15</f>
        <v>-6.1030333446965983</v>
      </c>
      <c r="R15" s="123">
        <f>O15/L15</f>
        <v>0.96208907919264208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-80.43669084734438</v>
      </c>
      <c r="AG15" s="124">
        <f>N15/K15</f>
        <v>0.96202233671041337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6070</v>
      </c>
      <c r="H16" s="134">
        <f>F16*G16</f>
        <v>345200.89999999997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2012.1546961326039</v>
      </c>
      <c r="O16" s="141">
        <f>N16/M16</f>
        <v>143.72533543804315</v>
      </c>
      <c r="P16" s="142">
        <f>M16-J16</f>
        <v>0</v>
      </c>
      <c r="Q16" s="143">
        <f>O16-L16</f>
        <v>-7.5603788476711316</v>
      </c>
      <c r="R16" s="144">
        <f>O16/L16</f>
        <v>0.95002582442521444</v>
      </c>
      <c r="S16" s="443">
        <f>R26</f>
        <v>0.9511790177809416</v>
      </c>
      <c r="T16" s="145">
        <v>0.29166666666666702</v>
      </c>
      <c r="U16" s="145">
        <v>0.41736111111111102</v>
      </c>
      <c r="V16" s="135"/>
      <c r="W16" s="146">
        <f t="shared" ref="W16:W78" si="4">(U16-T16)*24*60</f>
        <v>180.99999999999935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-105.84530386739607</v>
      </c>
      <c r="AG16" s="52">
        <f>N16/K16</f>
        <v>0.95002582442521433</v>
      </c>
      <c r="AH16" s="403">
        <f>AG26</f>
        <v>0.94903700336342278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2522</v>
      </c>
      <c r="H17" s="78">
        <f>F17*G17</f>
        <v>127083.58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2072.8767123287425</v>
      </c>
      <c r="O17" s="96">
        <f>N17/M17</f>
        <v>188.44333748443114</v>
      </c>
      <c r="P17" s="97">
        <f>M17-J17</f>
        <v>0</v>
      </c>
      <c r="Q17" s="98">
        <f>O17-L17</f>
        <v>-4.1021170610233924</v>
      </c>
      <c r="R17" s="99">
        <f>O17/L17</f>
        <v>0.97869533159997291</v>
      </c>
      <c r="S17" s="444"/>
      <c r="T17" s="19">
        <v>0.42847222222222198</v>
      </c>
      <c r="U17" s="19">
        <v>0.47916666666666702</v>
      </c>
      <c r="V17" s="30">
        <f>(T17-U16)*24*60</f>
        <v>15.999999999999783</v>
      </c>
      <c r="W17" s="149">
        <f t="shared" si="4"/>
        <v>73.000000000000853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-45.123287671257458</v>
      </c>
      <c r="AG17" s="72">
        <f>N17/K17</f>
        <v>0.97869533159997291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3304</v>
      </c>
      <c r="H18" s="78">
        <f>F18*G18</f>
        <v>166488.56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2022.8571428571302</v>
      </c>
      <c r="O18" s="96">
        <f>N18/M18</f>
        <v>183.89610389610274</v>
      </c>
      <c r="P18" s="97">
        <f>M18-J18</f>
        <v>0</v>
      </c>
      <c r="Q18" s="98">
        <f>O18-L18</f>
        <v>-8.6493506493517884</v>
      </c>
      <c r="R18" s="99">
        <f>O18/L18</f>
        <v>0.95507891541885281</v>
      </c>
      <c r="S18" s="444"/>
      <c r="T18" s="19">
        <v>0.53819444444444398</v>
      </c>
      <c r="U18" s="19">
        <v>0.60624999999999996</v>
      </c>
      <c r="V18" s="30">
        <f>(T18-U17)*24*60</f>
        <v>84.99999999999882</v>
      </c>
      <c r="W18" s="149">
        <f t="shared" si="4"/>
        <v>98.000000000000611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-95.142857142869843</v>
      </c>
      <c r="AG18" s="72">
        <f>N18/K18</f>
        <v>0.95507891541885281</v>
      </c>
      <c r="AH18" s="405"/>
    </row>
    <row r="19" spans="1:34" ht="15" customHeight="1">
      <c r="A19" s="450"/>
      <c r="B19" s="75" t="s">
        <v>81</v>
      </c>
      <c r="C19" s="76"/>
      <c r="D19" s="59" t="s">
        <v>147</v>
      </c>
      <c r="E19" s="77"/>
      <c r="F19" s="75">
        <f>VLOOKUP(D19,廠價表!$C$1:$E$43,3,0)</f>
        <v>56.87</v>
      </c>
      <c r="G19" s="147">
        <v>2190</v>
      </c>
      <c r="H19" s="78">
        <f>F19*G19</f>
        <v>124545.29999999999</v>
      </c>
      <c r="I19" s="30"/>
      <c r="J19" s="79">
        <f>VLOOKUP(D19,產線配置圖!$A$3:$C$38,2,0)</f>
        <v>14</v>
      </c>
      <c r="K19" s="80">
        <f>VLOOKUP(D19,產線配置圖!$A$3:$C$38,3,0)</f>
        <v>2118</v>
      </c>
      <c r="L19" s="81">
        <f>K19/J19</f>
        <v>151.28571428571428</v>
      </c>
      <c r="M19" s="148">
        <v>14</v>
      </c>
      <c r="N19" s="95">
        <f>G19/W19*60</f>
        <v>1932.3529411764409</v>
      </c>
      <c r="O19" s="96">
        <f>N19/M19</f>
        <v>138.0252100840315</v>
      </c>
      <c r="P19" s="97">
        <f>M19-J19</f>
        <v>0</v>
      </c>
      <c r="Q19" s="98">
        <f>O19-L19</f>
        <v>-13.260504201682778</v>
      </c>
      <c r="R19" s="99">
        <f>O19/L19</f>
        <v>0.91234794200965108</v>
      </c>
      <c r="S19" s="444"/>
      <c r="T19" s="19">
        <v>0.61319444444444404</v>
      </c>
      <c r="U19" s="19">
        <v>0.66041666666666698</v>
      </c>
      <c r="V19" s="30">
        <f>(T19-U18)*24*60</f>
        <v>9.9999999999994849</v>
      </c>
      <c r="W19" s="149">
        <f t="shared" si="4"/>
        <v>68.000000000001037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-185.64705882355906</v>
      </c>
      <c r="AG19" s="72">
        <f>N19/K19</f>
        <v>0.91234794200965108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12.5</v>
      </c>
      <c r="K26" s="155">
        <f t="shared" si="5"/>
        <v>2118</v>
      </c>
      <c r="L26" s="158">
        <f t="shared" si="5"/>
        <v>171.91558441558442</v>
      </c>
      <c r="M26" s="155">
        <f t="shared" si="5"/>
        <v>12.5</v>
      </c>
      <c r="N26" s="155">
        <f t="shared" si="5"/>
        <v>2010.0603731237295</v>
      </c>
      <c r="O26" s="158">
        <f t="shared" si="5"/>
        <v>163.52249672565213</v>
      </c>
      <c r="P26" s="159">
        <f t="shared" ref="P26:P31" si="6">M26-J26</f>
        <v>0</v>
      </c>
      <c r="Q26" s="160">
        <f t="shared" ref="Q26:Q31" si="7">O26-L26</f>
        <v>-8.3930876899322868</v>
      </c>
      <c r="R26" s="161">
        <f t="shared" ref="R26:R31" si="8">O26/L26</f>
        <v>0.9511790177809416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-107.93962687627049</v>
      </c>
      <c r="AG26" s="124">
        <f t="shared" ref="AG26:AG31" si="10">N26/K26</f>
        <v>0.94903700336342278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2513</v>
      </c>
      <c r="H27" s="134">
        <f>F27*G27</f>
        <v>124443.76000000001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17</v>
      </c>
      <c r="N27" s="140">
        <f>G27/W27*60</f>
        <v>1370.7272727272705</v>
      </c>
      <c r="O27" s="141">
        <f>N27/M27</f>
        <v>80.631016042780615</v>
      </c>
      <c r="P27" s="142">
        <f t="shared" si="6"/>
        <v>0</v>
      </c>
      <c r="Q27" s="143">
        <f t="shared" si="7"/>
        <v>-4.0748663101605587</v>
      </c>
      <c r="R27" s="144">
        <f t="shared" si="8"/>
        <v>0.95189393939393785</v>
      </c>
      <c r="S27" s="443">
        <f>R37</f>
        <v>0.70304585189807156</v>
      </c>
      <c r="T27" s="171">
        <v>0.29166666666666702</v>
      </c>
      <c r="U27" s="171">
        <v>0.36805555555555602</v>
      </c>
      <c r="V27" s="135"/>
      <c r="W27" s="146">
        <f t="shared" si="4"/>
        <v>110.00000000000017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-69.272727272729526</v>
      </c>
      <c r="AG27" s="172">
        <f t="shared" si="10"/>
        <v>0.95189393939393785</v>
      </c>
      <c r="AH27" s="403">
        <f>AG37</f>
        <v>0.69466268942696707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1391</v>
      </c>
      <c r="H28" s="91">
        <f>F28*G28</f>
        <v>70481.97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981.8823529411726</v>
      </c>
      <c r="O28" s="96">
        <f>N28/M28</f>
        <v>75.529411764705586</v>
      </c>
      <c r="P28" s="97">
        <f t="shared" si="6"/>
        <v>0</v>
      </c>
      <c r="Q28" s="98">
        <f t="shared" si="7"/>
        <v>-35.239819004525188</v>
      </c>
      <c r="R28" s="99">
        <f t="shared" si="8"/>
        <v>0.68186274509803646</v>
      </c>
      <c r="S28" s="444"/>
      <c r="T28" s="19">
        <v>0.375</v>
      </c>
      <c r="U28" s="19">
        <v>0.43402777777777801</v>
      </c>
      <c r="V28" s="92">
        <f>(T28-U27)*24*60</f>
        <v>9.999999999999325</v>
      </c>
      <c r="W28" s="149">
        <f t="shared" si="4"/>
        <v>85.000000000000341</v>
      </c>
      <c r="X28" s="174"/>
      <c r="Y28" s="301"/>
      <c r="Z28" s="335"/>
      <c r="AA28" s="335"/>
      <c r="AB28" s="409" t="s">
        <v>121</v>
      </c>
      <c r="AC28" s="409"/>
      <c r="AD28" s="92"/>
      <c r="AE28" s="92"/>
      <c r="AF28" s="311">
        <f t="shared" si="9"/>
        <v>-458.1176470588274</v>
      </c>
      <c r="AG28" s="99">
        <f t="shared" si="10"/>
        <v>0.68186274509803657</v>
      </c>
      <c r="AH28" s="404"/>
    </row>
    <row r="29" spans="1:34" ht="15" customHeight="1">
      <c r="A29" s="441"/>
      <c r="B29" s="75" t="s">
        <v>81</v>
      </c>
      <c r="C29" s="173"/>
      <c r="D29" s="59" t="s">
        <v>122</v>
      </c>
      <c r="E29" s="104"/>
      <c r="F29" s="75">
        <f>VLOOKUP(D29,廠價表!$C$1:$E$43,3,0)</f>
        <v>56.43</v>
      </c>
      <c r="G29" s="90">
        <v>772</v>
      </c>
      <c r="H29" s="91">
        <f>F29*G29</f>
        <v>43563.96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>K29/J29</f>
        <v>87.875</v>
      </c>
      <c r="M29" s="94">
        <v>15</v>
      </c>
      <c r="N29" s="95">
        <f>G29/W29*60</f>
        <v>842.18181818180517</v>
      </c>
      <c r="O29" s="96">
        <f>N29/M29</f>
        <v>56.145454545453681</v>
      </c>
      <c r="P29" s="97">
        <f t="shared" si="6"/>
        <v>-1</v>
      </c>
      <c r="Q29" s="98">
        <f t="shared" si="7"/>
        <v>-31.729545454546319</v>
      </c>
      <c r="R29" s="99">
        <f t="shared" si="8"/>
        <v>0.63892409155566066</v>
      </c>
      <c r="S29" s="444"/>
      <c r="T29" s="19">
        <v>0.44097222222222199</v>
      </c>
      <c r="U29" s="19">
        <v>0.47916666666666702</v>
      </c>
      <c r="V29" s="92">
        <f>(T29-U28)*24*60</f>
        <v>9.999999999999325</v>
      </c>
      <c r="W29" s="149">
        <f t="shared" si="4"/>
        <v>55.000000000000846</v>
      </c>
      <c r="X29" s="22"/>
      <c r="Y29" s="84"/>
      <c r="Z29" s="90">
        <v>2</v>
      </c>
      <c r="AA29" s="90">
        <v>16</v>
      </c>
      <c r="AB29" s="409" t="s">
        <v>148</v>
      </c>
      <c r="AC29" s="409"/>
      <c r="AD29" s="92"/>
      <c r="AE29" s="92"/>
      <c r="AF29" s="312">
        <f t="shared" si="9"/>
        <v>-563.81818181819483</v>
      </c>
      <c r="AG29" s="99">
        <f t="shared" si="10"/>
        <v>0.59899133583343189</v>
      </c>
      <c r="AH29" s="404"/>
    </row>
    <row r="30" spans="1:34" ht="15" customHeight="1">
      <c r="A30" s="441"/>
      <c r="B30" s="75" t="s">
        <v>81</v>
      </c>
      <c r="C30" s="88"/>
      <c r="D30" s="59" t="s">
        <v>122</v>
      </c>
      <c r="E30" s="89"/>
      <c r="F30" s="75">
        <f>VLOOKUP(D30,廠價表!$C$1:$E$43,3,0)</f>
        <v>56.43</v>
      </c>
      <c r="G30" s="90">
        <v>500</v>
      </c>
      <c r="H30" s="91">
        <f>F30*G30</f>
        <v>28215</v>
      </c>
      <c r="I30" s="92"/>
      <c r="J30" s="79">
        <f>VLOOKUP(D30,產線配置圖!$A$3:$C$38,2,0)</f>
        <v>16</v>
      </c>
      <c r="K30" s="80">
        <f>VLOOKUP(D30,產線配置圖!$A$3:$C$38,3,0)</f>
        <v>1406</v>
      </c>
      <c r="L30" s="93">
        <f>K30/J30</f>
        <v>87.875</v>
      </c>
      <c r="M30" s="94">
        <v>15</v>
      </c>
      <c r="N30" s="95">
        <f>G30/W30*60</f>
        <v>857.14285714287598</v>
      </c>
      <c r="O30" s="96">
        <f>N30/M30</f>
        <v>57.142857142858396</v>
      </c>
      <c r="P30" s="97">
        <f t="shared" si="6"/>
        <v>-1</v>
      </c>
      <c r="Q30" s="98">
        <f t="shared" si="7"/>
        <v>-30.732142857141604</v>
      </c>
      <c r="R30" s="99">
        <f t="shared" si="8"/>
        <v>0.65027433448487504</v>
      </c>
      <c r="S30" s="444"/>
      <c r="T30" s="19">
        <v>0.54027777777777797</v>
      </c>
      <c r="U30" s="19">
        <v>0.56458333333333299</v>
      </c>
      <c r="V30" s="92">
        <f>(T30-U29)*24*60</f>
        <v>87.999999999999773</v>
      </c>
      <c r="W30" s="149">
        <f t="shared" si="4"/>
        <v>34.999999999999233</v>
      </c>
      <c r="X30" s="174">
        <v>0.49652777777777801</v>
      </c>
      <c r="Y30" s="301">
        <v>0.53819444444444398</v>
      </c>
      <c r="Z30" s="335"/>
      <c r="AA30" s="335"/>
      <c r="AB30" s="409" t="s">
        <v>121</v>
      </c>
      <c r="AC30" s="409"/>
      <c r="AD30" s="92"/>
      <c r="AE30" s="92"/>
      <c r="AF30" s="312">
        <f t="shared" si="9"/>
        <v>-548.85714285712402</v>
      </c>
      <c r="AG30" s="99">
        <f t="shared" si="10"/>
        <v>0.60963218857957036</v>
      </c>
      <c r="AH30" s="439"/>
    </row>
    <row r="31" spans="1:34" ht="15" customHeight="1">
      <c r="A31" s="441"/>
      <c r="B31" s="75" t="s">
        <v>81</v>
      </c>
      <c r="C31" s="88"/>
      <c r="D31" s="59" t="s">
        <v>120</v>
      </c>
      <c r="E31" s="89"/>
      <c r="F31" s="75">
        <f>VLOOKUP(D31,廠價表!$C$1:$E$43,3,0)</f>
        <v>50.67</v>
      </c>
      <c r="G31" s="90">
        <v>1128</v>
      </c>
      <c r="H31" s="91">
        <f>F31*G31</f>
        <v>57155.76</v>
      </c>
      <c r="I31" s="92"/>
      <c r="J31" s="79">
        <f>VLOOKUP(D31,產線配置圖!$A$3:$C$38,2,0)</f>
        <v>13</v>
      </c>
      <c r="K31" s="80">
        <f>VLOOKUP(D31,產線配置圖!$A$3:$C$38,3,0)</f>
        <v>1440</v>
      </c>
      <c r="L31" s="93">
        <f>K31/J31</f>
        <v>110.76923076923077</v>
      </c>
      <c r="M31" s="94">
        <v>13</v>
      </c>
      <c r="N31" s="95">
        <f>G31/W31*60</f>
        <v>902.40000000000521</v>
      </c>
      <c r="O31" s="96">
        <f>N31/M31</f>
        <v>69.415384615385022</v>
      </c>
      <c r="P31" s="97">
        <f t="shared" si="6"/>
        <v>0</v>
      </c>
      <c r="Q31" s="98">
        <f t="shared" si="7"/>
        <v>-41.353846153845751</v>
      </c>
      <c r="R31" s="99">
        <f t="shared" si="8"/>
        <v>0.62666666666667037</v>
      </c>
      <c r="S31" s="444"/>
      <c r="T31" s="19">
        <v>0.57291666666666696</v>
      </c>
      <c r="U31" s="19">
        <v>0.625</v>
      </c>
      <c r="V31" s="92">
        <f>(T31-U30)*24*60</f>
        <v>12.000000000000917</v>
      </c>
      <c r="W31" s="149">
        <f t="shared" si="4"/>
        <v>74.999999999999574</v>
      </c>
      <c r="X31" s="174"/>
      <c r="Y31" s="301"/>
      <c r="Z31" s="335"/>
      <c r="AA31" s="335"/>
      <c r="AB31" s="409" t="s">
        <v>121</v>
      </c>
      <c r="AC31" s="409"/>
      <c r="AD31" s="92"/>
      <c r="AE31" s="92"/>
      <c r="AF31" s="312">
        <f t="shared" si="9"/>
        <v>-537.59999999999479</v>
      </c>
      <c r="AG31" s="99">
        <f t="shared" si="10"/>
        <v>0.62666666666667026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</v>
      </c>
      <c r="K37" s="155">
        <f t="shared" si="11"/>
        <v>1426.4</v>
      </c>
      <c r="L37" s="158">
        <f t="shared" si="11"/>
        <v>96.398868778280544</v>
      </c>
      <c r="M37" s="155">
        <f t="shared" si="11"/>
        <v>14.6</v>
      </c>
      <c r="N37" s="155">
        <f t="shared" si="11"/>
        <v>990.86686019862589</v>
      </c>
      <c r="O37" s="158">
        <f t="shared" si="11"/>
        <v>67.772824822236657</v>
      </c>
      <c r="P37" s="159">
        <f>M37-J37</f>
        <v>-0.40000000000000036</v>
      </c>
      <c r="Q37" s="160">
        <f>N37-K37</f>
        <v>-435.5331398013742</v>
      </c>
      <c r="R37" s="161">
        <f>O37/L37</f>
        <v>0.70304585189807156</v>
      </c>
      <c r="S37" s="445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16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-435.5331398013742</v>
      </c>
      <c r="AG37" s="124">
        <f>N37/K37</f>
        <v>0.69466268942696707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2071</v>
      </c>
      <c r="H38" s="134">
        <f>F38*G38</f>
        <v>103363.60999999999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1380.6666666666667</v>
      </c>
      <c r="O38" s="141">
        <f>N38/M38</f>
        <v>92.044444444444451</v>
      </c>
      <c r="P38" s="142">
        <f>M38-J38</f>
        <v>0</v>
      </c>
      <c r="Q38" s="143">
        <f>O38-L38</f>
        <v>-22.222222222222214</v>
      </c>
      <c r="R38" s="144">
        <f>O38/L38</f>
        <v>0.80552314274601333</v>
      </c>
      <c r="S38" s="433">
        <f>R48</f>
        <v>0.8969084417911557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-333.33333333333326</v>
      </c>
      <c r="AG38" s="195">
        <f>N38/K38</f>
        <v>0.80552314274601322</v>
      </c>
      <c r="AH38" s="436">
        <f>AG48</f>
        <v>0.86902284613267522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3346</v>
      </c>
      <c r="H39" s="91">
        <f>F39*G39</f>
        <v>148227.79999999999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1434.0000000000036</v>
      </c>
      <c r="O39" s="203">
        <f>N39/M39</f>
        <v>84.352941176470807</v>
      </c>
      <c r="P39" s="97">
        <f>M39-J39</f>
        <v>-1</v>
      </c>
      <c r="Q39" s="98">
        <f>O39-L39</f>
        <v>-2.5915032679736356</v>
      </c>
      <c r="R39" s="99">
        <f>O39/L39</f>
        <v>0.97019357263672501</v>
      </c>
      <c r="S39" s="434"/>
      <c r="T39" s="20">
        <v>0.40277777777777801</v>
      </c>
      <c r="U39" s="20">
        <v>0.5</v>
      </c>
      <c r="V39" s="92">
        <f>(T39-U38)*24*60</f>
        <v>10.000000000000844</v>
      </c>
      <c r="W39" s="205">
        <f t="shared" si="4"/>
        <v>139.99999999999966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-130.99999999999636</v>
      </c>
      <c r="AG39" s="206">
        <f>N39/K39</f>
        <v>0.91629392971246237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2906</v>
      </c>
      <c r="H40" s="91">
        <f>F40*G40</f>
        <v>128735.79999999999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1394.8800000000085</v>
      </c>
      <c r="O40" s="203">
        <f>N40/M40</f>
        <v>82.05176470588286</v>
      </c>
      <c r="P40" s="97">
        <f>M40-J40</f>
        <v>-1</v>
      </c>
      <c r="Q40" s="98">
        <f>O40-L40</f>
        <v>-4.8926797385615828</v>
      </c>
      <c r="R40" s="99">
        <f>O40/L40</f>
        <v>0.94372636722421188</v>
      </c>
      <c r="S40" s="416"/>
      <c r="T40" s="20">
        <v>0.55555555555555602</v>
      </c>
      <c r="U40" s="20">
        <v>0.64236111111111105</v>
      </c>
      <c r="V40" s="92">
        <f>(T40-U39)*24*60</f>
        <v>80.000000000000682</v>
      </c>
      <c r="W40" s="205">
        <f t="shared" si="4"/>
        <v>124.99999999999923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-170.11999999999148</v>
      </c>
      <c r="AG40" s="206">
        <f>N40/K40</f>
        <v>0.89129712460064447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1403.1822222222263</v>
      </c>
      <c r="O48" s="158">
        <f t="shared" si="13"/>
        <v>86.149716775599373</v>
      </c>
      <c r="P48" s="221">
        <f>M48-J48</f>
        <v>-0.66666666666666785</v>
      </c>
      <c r="Q48" s="222">
        <f>N48-K48</f>
        <v>-211.48444444444044</v>
      </c>
      <c r="R48" s="223">
        <f t="shared" ref="R48:R53" si="14">O48/L48</f>
        <v>0.8969084417911557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5">N48-K48</f>
        <v>-211.48444444444044</v>
      </c>
      <c r="AG48" s="162">
        <f t="shared" ref="AG48:AG53" si="16">N48/K48</f>
        <v>0.86902284613267522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115</v>
      </c>
      <c r="E49" s="132"/>
      <c r="F49" s="129">
        <f>VLOOKUP(D49,廠價表!$C$1:$E$43,3,0)</f>
        <v>56.28</v>
      </c>
      <c r="G49" s="228">
        <v>763</v>
      </c>
      <c r="H49" s="134">
        <f>F49*G49</f>
        <v>42941.64</v>
      </c>
      <c r="I49" s="135"/>
      <c r="J49" s="136"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1526.0000000000257</v>
      </c>
      <c r="O49" s="141">
        <f>N49/M49</f>
        <v>89.764705882354448</v>
      </c>
      <c r="P49" s="229">
        <f>M49-J49</f>
        <v>0</v>
      </c>
      <c r="Q49" s="230">
        <f>O49-L49</f>
        <v>-16.117647058822016</v>
      </c>
      <c r="R49" s="52">
        <f t="shared" si="14"/>
        <v>0.84777777777779206</v>
      </c>
      <c r="S49" s="415">
        <f>R58</f>
        <v>0.88541437853631466</v>
      </c>
      <c r="T49" s="191">
        <v>0.29027777777777802</v>
      </c>
      <c r="U49" s="191">
        <v>0.31111111111111101</v>
      </c>
      <c r="V49" s="55"/>
      <c r="W49" s="193">
        <f t="shared" si="4"/>
        <v>29.999999999999496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5"/>
        <v>-273.99999999997431</v>
      </c>
      <c r="AG49" s="52">
        <f t="shared" si="16"/>
        <v>0.84777777777779206</v>
      </c>
      <c r="AH49" s="403">
        <f>AG58</f>
        <v>0.86217135196455008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5588</v>
      </c>
      <c r="H50" s="231">
        <f>F50*G50</f>
        <v>279232.36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1574.0845070422497</v>
      </c>
      <c r="O50" s="235">
        <f>N50/M50</f>
        <v>104.93896713614998</v>
      </c>
      <c r="P50" s="74">
        <f>M50-J50</f>
        <v>-1</v>
      </c>
      <c r="Q50" s="83">
        <f>O50-L50</f>
        <v>-7.5610328638500164</v>
      </c>
      <c r="R50" s="72">
        <f t="shared" si="14"/>
        <v>0.93279081898799987</v>
      </c>
      <c r="S50" s="416"/>
      <c r="T50" s="21">
        <v>0.31736111111111098</v>
      </c>
      <c r="U50" s="21">
        <v>0.46527777777777801</v>
      </c>
      <c r="V50" s="30">
        <f>(T50-U49)*24*60</f>
        <v>8.999999999999968</v>
      </c>
      <c r="W50" s="236">
        <f t="shared" si="4"/>
        <v>213.00000000000051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5"/>
        <v>-225.9154929577503</v>
      </c>
      <c r="AG50" s="72">
        <f t="shared" si="16"/>
        <v>0.87449139280124988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893</v>
      </c>
      <c r="H51" s="231">
        <f>F51*G51</f>
        <v>44623.21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1575.8823529411898</v>
      </c>
      <c r="O51" s="235">
        <f>N51/M51</f>
        <v>105.05882352941265</v>
      </c>
      <c r="P51" s="74">
        <f>M51-J51</f>
        <v>-1</v>
      </c>
      <c r="Q51" s="83">
        <f>O51-L51</f>
        <v>-7.4411764705873509</v>
      </c>
      <c r="R51" s="72">
        <f t="shared" si="14"/>
        <v>0.93385620915033463</v>
      </c>
      <c r="S51" s="416"/>
      <c r="T51" s="21">
        <v>0.52152777777777803</v>
      </c>
      <c r="U51" s="21">
        <v>0.54513888888888895</v>
      </c>
      <c r="V51" s="30">
        <f>(T51-U50)*24*60</f>
        <v>81.000000000000028</v>
      </c>
      <c r="W51" s="236">
        <f t="shared" si="4"/>
        <v>33.999999999999716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5"/>
        <v>-224.11764705881023</v>
      </c>
      <c r="AG51" s="72">
        <f t="shared" si="16"/>
        <v>0.87549019607843881</v>
      </c>
      <c r="AH51" s="405"/>
    </row>
    <row r="52" spans="1:34" ht="15" customHeight="1">
      <c r="A52" s="428"/>
      <c r="B52" s="101" t="s">
        <v>118</v>
      </c>
      <c r="C52" s="102"/>
      <c r="D52" s="103" t="s">
        <v>123</v>
      </c>
      <c r="E52" s="104"/>
      <c r="F52" s="75">
        <f>VLOOKUP(D52,廠價表!$C$1:$E$43,3,0)</f>
        <v>49.91</v>
      </c>
      <c r="G52" s="202">
        <v>765</v>
      </c>
      <c r="H52" s="231">
        <f>F52*G52</f>
        <v>38181.149999999994</v>
      </c>
      <c r="I52" s="232"/>
      <c r="J52" s="79">
        <f>VLOOKUP(D52,產線配置圖!$A$3:$C$38,2,0)</f>
        <v>15</v>
      </c>
      <c r="K52" s="80">
        <f>VLOOKUP(D52,產線配置圖!$A$3:$C$38,3,0)</f>
        <v>1714</v>
      </c>
      <c r="L52" s="81">
        <f>K52/J52</f>
        <v>114.26666666666667</v>
      </c>
      <c r="M52" s="233">
        <v>15</v>
      </c>
      <c r="N52" s="234">
        <f>G52/W52*60</f>
        <v>1529.9999999999566</v>
      </c>
      <c r="O52" s="235">
        <f>N52/M52</f>
        <v>101.9999999999971</v>
      </c>
      <c r="P52" s="74">
        <f>M52-J52</f>
        <v>0</v>
      </c>
      <c r="Q52" s="83">
        <f>O52-L52</f>
        <v>-12.266666666669565</v>
      </c>
      <c r="R52" s="72">
        <f t="shared" si="14"/>
        <v>0.89264877479577398</v>
      </c>
      <c r="S52" s="416"/>
      <c r="T52" s="21">
        <v>0.55208333333333304</v>
      </c>
      <c r="U52" s="21">
        <v>0.57291666666666696</v>
      </c>
      <c r="V52" s="30">
        <f>(T52-U51)*24*60</f>
        <v>9.9999999999994849</v>
      </c>
      <c r="W52" s="236">
        <f t="shared" si="4"/>
        <v>30.000000000000853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5"/>
        <v>-184.00000000004343</v>
      </c>
      <c r="AG52" s="72">
        <f t="shared" si="16"/>
        <v>0.89264877479577398</v>
      </c>
      <c r="AH52" s="405"/>
    </row>
    <row r="53" spans="1:34" ht="15" customHeight="1">
      <c r="A53" s="428"/>
      <c r="B53" s="101" t="s">
        <v>81</v>
      </c>
      <c r="C53" s="102"/>
      <c r="D53" s="103" t="s">
        <v>116</v>
      </c>
      <c r="E53" s="104"/>
      <c r="F53" s="75">
        <f>VLOOKUP(D53,廠價表!$C$1:$E$43,3,0)</f>
        <v>50.67</v>
      </c>
      <c r="G53" s="202">
        <v>1726</v>
      </c>
      <c r="H53" s="231">
        <f>F53*G53</f>
        <v>87456.42</v>
      </c>
      <c r="I53" s="232"/>
      <c r="J53" s="79">
        <v>15</v>
      </c>
      <c r="K53" s="80">
        <v>1800</v>
      </c>
      <c r="L53" s="81">
        <f>K53/J53</f>
        <v>120</v>
      </c>
      <c r="M53" s="108">
        <v>15</v>
      </c>
      <c r="N53" s="234">
        <f>G53/W53*60</f>
        <v>1479.4285714285768</v>
      </c>
      <c r="O53" s="235">
        <f>N53/M53</f>
        <v>98.628571428571789</v>
      </c>
      <c r="P53" s="74">
        <f>M53-J53</f>
        <v>0</v>
      </c>
      <c r="Q53" s="83">
        <f>O53-L53</f>
        <v>-21.371428571428211</v>
      </c>
      <c r="R53" s="72">
        <f t="shared" si="14"/>
        <v>0.82190476190476491</v>
      </c>
      <c r="S53" s="416"/>
      <c r="T53" s="21">
        <v>0.58333333333333304</v>
      </c>
      <c r="U53" s="21">
        <v>0.63194444444444398</v>
      </c>
      <c r="V53" s="30"/>
      <c r="W53" s="236">
        <f t="shared" si="4"/>
        <v>69.999999999999744</v>
      </c>
      <c r="X53" s="30"/>
      <c r="Y53" s="151"/>
      <c r="Z53" s="90"/>
      <c r="AA53" s="90"/>
      <c r="AB53" s="409" t="s">
        <v>149</v>
      </c>
      <c r="AC53" s="409"/>
      <c r="AD53" s="92"/>
      <c r="AE53" s="92"/>
      <c r="AF53" s="307">
        <f t="shared" si="15"/>
        <v>-320.57142857142321</v>
      </c>
      <c r="AG53" s="72">
        <f t="shared" si="16"/>
        <v>0.82190476190476491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7">AVERAGE(J49:J57)</f>
        <v>15.8</v>
      </c>
      <c r="K58" s="120">
        <f t="shared" si="17"/>
        <v>1782.8</v>
      </c>
      <c r="L58" s="117">
        <f t="shared" si="17"/>
        <v>113.02980392156863</v>
      </c>
      <c r="M58" s="120">
        <f t="shared" si="17"/>
        <v>15.4</v>
      </c>
      <c r="N58" s="120">
        <f t="shared" si="17"/>
        <v>1537.0790862823999</v>
      </c>
      <c r="O58" s="117">
        <f t="shared" si="17"/>
        <v>100.07821359529719</v>
      </c>
      <c r="P58" s="121">
        <f>M58-J58</f>
        <v>-0.40000000000000036</v>
      </c>
      <c r="Q58" s="122">
        <f>N58-K58</f>
        <v>-245.72091371760007</v>
      </c>
      <c r="R58" s="123">
        <f t="shared" ref="R58:R63" si="18">O58/L58</f>
        <v>0.88541437853631466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-245.72091371760007</v>
      </c>
      <c r="AG58" s="124">
        <f>N58/K58</f>
        <v>0.86217135196455008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3003</v>
      </c>
      <c r="H59" s="243">
        <f>F59*G59</f>
        <v>81050.97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1441.4400000000096</v>
      </c>
      <c r="O59" s="138">
        <f>N59/M59</f>
        <v>110.88000000000073</v>
      </c>
      <c r="P59" s="56">
        <f>M59-J59</f>
        <v>0</v>
      </c>
      <c r="Q59" s="230">
        <f>O59-L59</f>
        <v>-9.5046153846146524</v>
      </c>
      <c r="R59" s="52">
        <f t="shared" si="18"/>
        <v>0.92104792332268981</v>
      </c>
      <c r="S59" s="415">
        <f>R69</f>
        <v>0.85804256448666105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-123.5599999999904</v>
      </c>
      <c r="AG59" s="246">
        <f>N59/K59</f>
        <v>0.92104792332268981</v>
      </c>
      <c r="AH59" s="403">
        <f>AG69</f>
        <v>0.93880256056232148</v>
      </c>
    </row>
    <row r="60" spans="1:34" ht="15" customHeight="1">
      <c r="A60" s="422"/>
      <c r="B60" s="75" t="s">
        <v>128</v>
      </c>
      <c r="C60" s="86"/>
      <c r="D60" s="175" t="s">
        <v>131</v>
      </c>
      <c r="E60" s="87"/>
      <c r="F60" s="75">
        <f>VLOOKUP(D60,廠價表!$C$1:$E$43,3,0)</f>
        <v>28.26</v>
      </c>
      <c r="G60" s="30">
        <v>1862</v>
      </c>
      <c r="H60" s="78">
        <f>F60*G60</f>
        <v>52620.12</v>
      </c>
      <c r="I60" s="30"/>
      <c r="J60" s="79">
        <f>VLOOKUP(D60,產線配置圖!$A$3:$C$38,2,0)</f>
        <v>9</v>
      </c>
      <c r="K60" s="80">
        <f>VLOOKUP(D60,產線配置圖!$A$3:$C$38,3,0)</f>
        <v>1636</v>
      </c>
      <c r="L60" s="81">
        <f>K60/J60</f>
        <v>181.77777777777777</v>
      </c>
      <c r="M60" s="82">
        <v>11</v>
      </c>
      <c r="N60" s="80">
        <f>G60/W60*60</f>
        <v>1596.0000000000039</v>
      </c>
      <c r="O60" s="81">
        <f>N60/M60</f>
        <v>145.09090909090943</v>
      </c>
      <c r="P60" s="74">
        <f>M60-J60</f>
        <v>2</v>
      </c>
      <c r="Q60" s="83">
        <f>O60-L60</f>
        <v>-36.686868686868337</v>
      </c>
      <c r="R60" s="72">
        <f t="shared" si="18"/>
        <v>0.79817737274950185</v>
      </c>
      <c r="S60" s="425"/>
      <c r="T60" s="22">
        <v>0.39930555555555602</v>
      </c>
      <c r="U60" s="22">
        <v>0.44791666666666702</v>
      </c>
      <c r="V60" s="30">
        <f>(T60-U59)*24*60</f>
        <v>30.000000000001013</v>
      </c>
      <c r="W60" s="248">
        <f t="shared" si="4"/>
        <v>69.999999999999829</v>
      </c>
      <c r="X60" s="232"/>
      <c r="Y60" s="177"/>
      <c r="Z60" s="90"/>
      <c r="AA60" s="90"/>
      <c r="AB60" s="409" t="s">
        <v>132</v>
      </c>
      <c r="AC60" s="495"/>
      <c r="AD60" s="92"/>
      <c r="AE60" s="92"/>
      <c r="AF60" s="316">
        <f>N60-K60</f>
        <v>-39.999999999996135</v>
      </c>
      <c r="AG60" s="249">
        <f>N60/K60</f>
        <v>0.97555012224939108</v>
      </c>
      <c r="AH60" s="426"/>
    </row>
    <row r="61" spans="1:34" ht="15" customHeight="1">
      <c r="A61" s="423"/>
      <c r="B61" s="250" t="s">
        <v>128</v>
      </c>
      <c r="C61" s="251"/>
      <c r="D61" s="252" t="s">
        <v>130</v>
      </c>
      <c r="E61" s="253"/>
      <c r="F61" s="250">
        <f>VLOOKUP(D61,廠價表!$C$1:$E$43,3,0)</f>
        <v>28.26</v>
      </c>
      <c r="G61" s="38">
        <v>1638</v>
      </c>
      <c r="H61" s="254">
        <f>F61*G61</f>
        <v>46289.880000000005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>K61/J61</f>
        <v>130.41666666666666</v>
      </c>
      <c r="M61" s="108">
        <v>12</v>
      </c>
      <c r="N61" s="107">
        <f>G61/W61*60</f>
        <v>1404.0000000000034</v>
      </c>
      <c r="O61" s="238">
        <f>N61/M61</f>
        <v>117.00000000000028</v>
      </c>
      <c r="P61" s="111">
        <f>M61-J61</f>
        <v>0</v>
      </c>
      <c r="Q61" s="255">
        <f>O61-L61</f>
        <v>-13.416666666666373</v>
      </c>
      <c r="R61" s="85">
        <f t="shared" si="18"/>
        <v>0.89712460063897992</v>
      </c>
      <c r="S61" s="416"/>
      <c r="T61" s="22">
        <v>0.45833333333333298</v>
      </c>
      <c r="U61" s="22">
        <v>0.50694444444444398</v>
      </c>
      <c r="V61" s="30">
        <f>(T61-U60)*24*60</f>
        <v>14.999999999998987</v>
      </c>
      <c r="W61" s="256">
        <f t="shared" si="4"/>
        <v>69.999999999999829</v>
      </c>
      <c r="X61" s="22"/>
      <c r="Y61" s="84"/>
      <c r="Z61" s="90"/>
      <c r="AA61" s="90"/>
      <c r="AB61" s="409"/>
      <c r="AC61" s="409"/>
      <c r="AD61" s="92"/>
      <c r="AE61" s="92"/>
      <c r="AF61" s="317">
        <f>N61-K61</f>
        <v>-160.99999999999659</v>
      </c>
      <c r="AG61" s="247">
        <f>N61/K61</f>
        <v>0.89712460063897981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2125</v>
      </c>
      <c r="H62" s="254">
        <f>F62*G62</f>
        <v>60052.5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1700.0000000000098</v>
      </c>
      <c r="O62" s="238">
        <f>N62/M62</f>
        <v>154.54545454545544</v>
      </c>
      <c r="P62" s="111">
        <f>M62-J62</f>
        <v>2</v>
      </c>
      <c r="Q62" s="255">
        <f>O62-L62</f>
        <v>-27.232323232322329</v>
      </c>
      <c r="R62" s="85">
        <f t="shared" si="18"/>
        <v>0.85018893087353242</v>
      </c>
      <c r="S62" s="416"/>
      <c r="T62" s="22">
        <v>0.55902777777777801</v>
      </c>
      <c r="U62" s="22">
        <v>0.61111111111111105</v>
      </c>
      <c r="V62" s="30">
        <f>(T62-U61)*24*60</f>
        <v>75.000000000001009</v>
      </c>
      <c r="W62" s="248">
        <f t="shared" si="4"/>
        <v>74.999999999999574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64.000000000009777</v>
      </c>
      <c r="AG62" s="247">
        <f>N62/K62</f>
        <v>1.0391198044009839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892</v>
      </c>
      <c r="H63" s="254">
        <f>F63*G63</f>
        <v>24075.079999999998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1337.9999999999886</v>
      </c>
      <c r="O63" s="238">
        <f>N63/M63</f>
        <v>102.92307692307605</v>
      </c>
      <c r="P63" s="111">
        <f>M63-J63</f>
        <v>0</v>
      </c>
      <c r="Q63" s="255">
        <f>O63-L63</f>
        <v>-17.461538461539334</v>
      </c>
      <c r="R63" s="85">
        <f t="shared" si="18"/>
        <v>0.8549520766773091</v>
      </c>
      <c r="S63" s="416"/>
      <c r="T63" s="22">
        <v>0.62152777777777801</v>
      </c>
      <c r="U63" s="22">
        <v>0.64930555555555602</v>
      </c>
      <c r="V63" s="30">
        <f>(T63-U62)*24*60</f>
        <v>15.000000000000426</v>
      </c>
      <c r="W63" s="248">
        <f t="shared" si="4"/>
        <v>40.000000000000341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9">AVERAGE(J59:J68)</f>
        <v>11.2</v>
      </c>
      <c r="K69" s="240">
        <f t="shared" si="19"/>
        <v>1593.4</v>
      </c>
      <c r="L69" s="268">
        <f t="shared" si="19"/>
        <v>146.94829059829061</v>
      </c>
      <c r="M69" s="240">
        <f t="shared" si="19"/>
        <v>12</v>
      </c>
      <c r="N69" s="240">
        <f t="shared" si="19"/>
        <v>1495.8880000000031</v>
      </c>
      <c r="O69" s="268">
        <f t="shared" si="19"/>
        <v>126.08788811188838</v>
      </c>
      <c r="P69" s="269">
        <f>M69-J69</f>
        <v>0.80000000000000071</v>
      </c>
      <c r="Q69" s="222">
        <f>N69-K69</f>
        <v>-97.511999999996988</v>
      </c>
      <c r="R69" s="123">
        <f>O69/L69</f>
        <v>0.85804256448666105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-97.511999999996988</v>
      </c>
      <c r="AG69" s="124">
        <f>N69/K69</f>
        <v>0.93880256056232148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Z3:AA3"/>
    <mergeCell ref="AB3:AC4"/>
    <mergeCell ref="M1:O2"/>
    <mergeCell ref="J1:L2"/>
    <mergeCell ref="AF1:AH2"/>
    <mergeCell ref="W3:W4"/>
    <mergeCell ref="X3:Y3"/>
    <mergeCell ref="A2:B2"/>
    <mergeCell ref="A3:A4"/>
    <mergeCell ref="B3:B4"/>
    <mergeCell ref="D3:E4"/>
    <mergeCell ref="F3:F4"/>
    <mergeCell ref="H3:H4"/>
    <mergeCell ref="I3:I4"/>
    <mergeCell ref="P1:S2"/>
    <mergeCell ref="T3:U3"/>
    <mergeCell ref="T1:Y2"/>
    <mergeCell ref="R3:R4"/>
    <mergeCell ref="S3:S4"/>
    <mergeCell ref="G3:G4"/>
    <mergeCell ref="AD3:AE3"/>
    <mergeCell ref="AF3:AF4"/>
    <mergeCell ref="N3:N4"/>
    <mergeCell ref="O3:O4"/>
    <mergeCell ref="P3:P4"/>
    <mergeCell ref="J3:J4"/>
    <mergeCell ref="K3:K4"/>
    <mergeCell ref="V3:V4"/>
    <mergeCell ref="L3:L4"/>
    <mergeCell ref="M3:M4"/>
    <mergeCell ref="AG3:AG4"/>
    <mergeCell ref="AH5:AH15"/>
    <mergeCell ref="AB6:AC6"/>
    <mergeCell ref="AB7:AC7"/>
    <mergeCell ref="AB8:AC8"/>
    <mergeCell ref="AB9:AC9"/>
    <mergeCell ref="AB10:AC10"/>
    <mergeCell ref="AB11:AC11"/>
    <mergeCell ref="AB13:AC13"/>
    <mergeCell ref="AH3:AH4"/>
    <mergeCell ref="Q3:Q4"/>
    <mergeCell ref="A5:A15"/>
    <mergeCell ref="S5:S15"/>
    <mergeCell ref="AB5:AC5"/>
    <mergeCell ref="D15:E15"/>
    <mergeCell ref="AB14:AC14"/>
    <mergeCell ref="AB12:AC12"/>
    <mergeCell ref="AB15:AC15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24:AC24"/>
    <mergeCell ref="AB25:AC25"/>
    <mergeCell ref="AB19:AC19"/>
    <mergeCell ref="AB20:AC20"/>
    <mergeCell ref="AB21:AC21"/>
    <mergeCell ref="AB22:AC22"/>
    <mergeCell ref="AB23:AC23"/>
    <mergeCell ref="D37:E37"/>
    <mergeCell ref="AB37:AC37"/>
    <mergeCell ref="AB51:AC51"/>
    <mergeCell ref="AB52:AC52"/>
    <mergeCell ref="AB53:AC53"/>
    <mergeCell ref="AB54:AC54"/>
    <mergeCell ref="AB55:AC55"/>
    <mergeCell ref="AB36:AC36"/>
    <mergeCell ref="A27:A37"/>
    <mergeCell ref="S27:S37"/>
    <mergeCell ref="AB27:AC27"/>
    <mergeCell ref="AH49:AH58"/>
    <mergeCell ref="AB50:AC50"/>
    <mergeCell ref="AH38:AH48"/>
    <mergeCell ref="AB39:AC39"/>
    <mergeCell ref="AB40:AC40"/>
    <mergeCell ref="AB41:AC41"/>
    <mergeCell ref="AH27:AH37"/>
    <mergeCell ref="AB45:AC45"/>
    <mergeCell ref="AB46:AC46"/>
    <mergeCell ref="AB47:AC4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56:AC56"/>
    <mergeCell ref="AB57:AC5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70:A79"/>
    <mergeCell ref="S70:S79"/>
    <mergeCell ref="AB70:AC70"/>
    <mergeCell ref="AB38:AC38"/>
    <mergeCell ref="D48:E48"/>
    <mergeCell ref="AB48:AC48"/>
    <mergeCell ref="AB42:AC42"/>
    <mergeCell ref="AB43:AC43"/>
    <mergeCell ref="AB44:AC44"/>
    <mergeCell ref="D79:E79"/>
    <mergeCell ref="A59:A69"/>
    <mergeCell ref="S59:S69"/>
    <mergeCell ref="AB59:AC59"/>
    <mergeCell ref="D69:E69"/>
    <mergeCell ref="AB69:AC69"/>
    <mergeCell ref="A49:A58"/>
    <mergeCell ref="D58:E58"/>
    <mergeCell ref="AB58:AC58"/>
    <mergeCell ref="S49:S58"/>
    <mergeCell ref="AB49:AC49"/>
    <mergeCell ref="A38:A48"/>
    <mergeCell ref="S38:S48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1DE50-0742-4121-B28E-D0410433B67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D47F-8851-44E0-9E76-279892BF9A8B}">
  <dimension ref="B1:O26"/>
  <sheetViews>
    <sheetView topLeftCell="A8" zoomScale="70" zoomScaleNormal="70" workbookViewId="0">
      <selection activeCell="O90" sqref="O9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46120</v>
      </c>
      <c r="E3" s="399"/>
      <c r="F3" s="3" t="s">
        <v>72</v>
      </c>
      <c r="G3" s="400">
        <f>'0408'!E1</f>
        <v>55758</v>
      </c>
      <c r="H3" s="400"/>
      <c r="I3" s="3" t="s">
        <v>2</v>
      </c>
      <c r="J3" s="401">
        <f>'0408'!G1</f>
        <v>2627364.0699999994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133.7844826673871</v>
      </c>
      <c r="G6" s="397"/>
      <c r="H6" s="382">
        <f>AVERAGE(D13:H13)</f>
        <v>129.9907381752235</v>
      </c>
      <c r="I6" s="382"/>
      <c r="J6" s="382">
        <f>AVERAGE(I13)</f>
        <v>152.75320512820511</v>
      </c>
      <c r="K6" s="382"/>
      <c r="L6" s="383">
        <f>SUM(D18:J18)</f>
        <v>2</v>
      </c>
      <c r="M6" s="385">
        <f>SUM(D19:J19)</f>
        <v>13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115.95805991303662</v>
      </c>
      <c r="G7" s="389"/>
      <c r="H7" s="390">
        <f>AVERAGE(D14:H14)</f>
        <v>117.87691827245548</v>
      </c>
      <c r="I7" s="390"/>
      <c r="J7" s="390">
        <f>AVERAGE(I14)</f>
        <v>106.36376811594226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0.86675268761422619</v>
      </c>
      <c r="G8" s="374"/>
      <c r="H8" s="374">
        <f>H7/H6</f>
        <v>0.90681013068454952</v>
      </c>
      <c r="I8" s="374"/>
      <c r="J8" s="374">
        <f>J7/J6</f>
        <v>0.69631120359583687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VALUE('0408'!L15)</f>
        <v>163.40796703296704</v>
      </c>
      <c r="E13" s="13">
        <f>VALUE('0408'!L26)</f>
        <v>178.21915584415584</v>
      </c>
      <c r="F13" s="13">
        <f>VALUE('0408'!L37)</f>
        <v>98.529835972850677</v>
      </c>
      <c r="G13" s="13">
        <f>VALUE('0408'!L48)</f>
        <v>100.60555555555555</v>
      </c>
      <c r="H13" s="13">
        <f>VALUE('0408'!L58)</f>
        <v>109.19117647058823</v>
      </c>
      <c r="I13" s="13">
        <f>VALUE('0408'!L69)</f>
        <v>152.75320512820511</v>
      </c>
      <c r="J13" s="13">
        <f>'0408'!L79</f>
        <v>0</v>
      </c>
    </row>
    <row r="14" spans="2:15" ht="39.950000000000003" customHeight="1">
      <c r="B14" s="368"/>
      <c r="C14" s="12" t="s">
        <v>100</v>
      </c>
      <c r="D14" s="13">
        <f>VALUE('0408'!O15)</f>
        <v>159.67851172123068</v>
      </c>
      <c r="E14" s="13">
        <f>VALUE('0408'!O26)</f>
        <v>163.39888533164421</v>
      </c>
      <c r="F14" s="13">
        <f>VALUE('0408'!O37)</f>
        <v>72.066060845357043</v>
      </c>
      <c r="G14" s="13">
        <f>VALUE('0408'!O48)</f>
        <v>89.390043377658642</v>
      </c>
      <c r="H14" s="13">
        <f>VALUE('0408'!O58)</f>
        <v>104.85109008638688</v>
      </c>
      <c r="I14" s="13">
        <f>VALUE('0408'!O69)</f>
        <v>106.36376811594226</v>
      </c>
      <c r="J14" s="13">
        <f>'0408'!O79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0.97717702888388569</v>
      </c>
      <c r="E15" s="14">
        <f t="shared" si="1"/>
        <v>0.9168424379393243</v>
      </c>
      <c r="F15" s="14">
        <f t="shared" si="1"/>
        <v>0.7314135879127458</v>
      </c>
      <c r="G15" s="14">
        <f t="shared" si="1"/>
        <v>0.88851995184596366</v>
      </c>
      <c r="H15" s="14">
        <f t="shared" si="1"/>
        <v>0.96025240752515928</v>
      </c>
      <c r="I15" s="14">
        <f t="shared" si="1"/>
        <v>0.69631120359583687</v>
      </c>
      <c r="J15" s="15">
        <f>'0408'!S70</f>
        <v>0</v>
      </c>
    </row>
    <row r="16" spans="2:15" ht="17.25" customHeight="1">
      <c r="B16" s="370" t="s">
        <v>101</v>
      </c>
      <c r="C16" s="10" t="s">
        <v>34</v>
      </c>
      <c r="D16" s="16">
        <f>'0408'!T5</f>
        <v>0.29166666666666702</v>
      </c>
      <c r="E16" s="16">
        <f>'0408'!T16</f>
        <v>0.29097222222222202</v>
      </c>
      <c r="F16" s="16">
        <f>'0408'!T27</f>
        <v>0.29027777777777802</v>
      </c>
      <c r="G16" s="16">
        <f>'0408'!T38</f>
        <v>0.33333333333333298</v>
      </c>
      <c r="H16" s="16">
        <f>'0408'!T49</f>
        <v>0.29166666666666702</v>
      </c>
      <c r="I16" s="16">
        <f>'0408'!T59</f>
        <v>0.29166666666666702</v>
      </c>
      <c r="J16" s="16">
        <f>'0408'!T70</f>
        <v>0</v>
      </c>
    </row>
    <row r="17" spans="2:10" ht="17.25" customHeight="1">
      <c r="B17" s="371"/>
      <c r="C17" s="10" t="s">
        <v>35</v>
      </c>
      <c r="D17" s="16">
        <v>0.63680555555555596</v>
      </c>
      <c r="E17" s="19">
        <v>0.65972222222222199</v>
      </c>
      <c r="F17" s="19">
        <v>0.59583333333333299</v>
      </c>
      <c r="G17" s="210">
        <v>0.66319444444444398</v>
      </c>
      <c r="H17" s="21">
        <v>0.47569444444444398</v>
      </c>
      <c r="I17" s="22">
        <v>0.66666666666666696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'0408'!Z15</f>
        <v>0</v>
      </c>
      <c r="E18" s="359">
        <f>'0408'!Z26</f>
        <v>0</v>
      </c>
      <c r="F18" s="359">
        <f>'0408'!Z37</f>
        <v>2</v>
      </c>
      <c r="G18" s="360">
        <f>'0408'!Z48</f>
        <v>0</v>
      </c>
      <c r="H18" s="360">
        <f>'0408'!Z58</f>
        <v>0</v>
      </c>
      <c r="I18" s="359">
        <f>'0408'!Z69</f>
        <v>0</v>
      </c>
      <c r="J18" s="359">
        <f>'0408'!AA79</f>
        <v>0</v>
      </c>
    </row>
    <row r="19" spans="2:10" ht="17.25" customHeight="1">
      <c r="B19" s="373"/>
      <c r="C19" s="330" t="s">
        <v>37</v>
      </c>
      <c r="D19" s="358">
        <f>'0408'!AA15</f>
        <v>0</v>
      </c>
      <c r="E19" s="359">
        <f>'0408'!AA26</f>
        <v>0</v>
      </c>
      <c r="F19" s="359">
        <f>'0408'!AA37</f>
        <v>13</v>
      </c>
      <c r="G19" s="360">
        <f>'0408'!AA48</f>
        <v>0</v>
      </c>
      <c r="H19" s="360">
        <f>'0408'!AA58</f>
        <v>0</v>
      </c>
      <c r="I19" s="359">
        <f>'0408'!AA69</f>
        <v>0</v>
      </c>
      <c r="J19" s="359">
        <f>'0408'!AB79</f>
        <v>0</v>
      </c>
    </row>
    <row r="20" spans="2:10" ht="17.25" customHeight="1">
      <c r="B20" s="372" t="s">
        <v>103</v>
      </c>
      <c r="C20" s="330" t="s">
        <v>36</v>
      </c>
      <c r="D20" s="358">
        <f>'0408'!AD15</f>
        <v>0</v>
      </c>
      <c r="E20" s="359">
        <f>'0408'!AD26</f>
        <v>0</v>
      </c>
      <c r="F20" s="359">
        <f>'0408'!AD37</f>
        <v>0</v>
      </c>
      <c r="G20" s="360">
        <f>'0408'!AD48</f>
        <v>0</v>
      </c>
      <c r="H20" s="360">
        <f>'0408'!AD58</f>
        <v>0</v>
      </c>
      <c r="I20" s="359">
        <f>'0408'!AD69</f>
        <v>0</v>
      </c>
      <c r="J20" s="359">
        <f>'0408'!AD79</f>
        <v>0</v>
      </c>
    </row>
    <row r="21" spans="2:10" ht="17.25" customHeight="1">
      <c r="B21" s="373"/>
      <c r="C21" s="330" t="s">
        <v>85</v>
      </c>
      <c r="D21" s="358">
        <f>'0408'!AE15</f>
        <v>0</v>
      </c>
      <c r="E21" s="359">
        <f>'0408'!AE26</f>
        <v>0</v>
      </c>
      <c r="F21" s="359">
        <f>'0408'!AE37</f>
        <v>0</v>
      </c>
      <c r="G21" s="360">
        <f>'0408'!AE48</f>
        <v>0</v>
      </c>
      <c r="H21" s="360">
        <f>'0408'!AE58</f>
        <v>0</v>
      </c>
      <c r="I21" s="359">
        <f>'0408'!AE69</f>
        <v>0</v>
      </c>
      <c r="J21" s="359">
        <f>'0408'!AE79</f>
        <v>0</v>
      </c>
    </row>
    <row r="22" spans="2:10" ht="17.25" customHeight="1">
      <c r="B22" s="364" t="s">
        <v>104</v>
      </c>
      <c r="C22" s="365"/>
      <c r="D22" s="23">
        <f>VALUE('0408'!M15)</f>
        <v>12.75</v>
      </c>
      <c r="E22" s="23">
        <f>VALUE('0408'!M26)</f>
        <v>12</v>
      </c>
      <c r="F22" s="23">
        <f>VALUE('0408'!M37)</f>
        <v>14.5</v>
      </c>
      <c r="G22" s="23">
        <f>VALUE('0408'!M48)</f>
        <v>15.5</v>
      </c>
      <c r="H22" s="23">
        <f>VALUE('0408'!M58)</f>
        <v>16</v>
      </c>
      <c r="I22" s="23">
        <f>VALUE('0408'!M69)</f>
        <v>11.833333333333334</v>
      </c>
      <c r="J22" s="23">
        <f>'0408'!M79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1F03-2D33-4E70-BE2E-5ED96B5C91F6}">
  <sheetPr>
    <tabColor theme="9" tint="0.79998168889431442"/>
  </sheetPr>
  <dimension ref="A1:AJ92"/>
  <sheetViews>
    <sheetView zoomScale="86" zoomScaleNormal="86" workbookViewId="0">
      <pane xSplit="5" ySplit="4" topLeftCell="L61" activePane="bottomRight" state="frozen"/>
      <selection activeCell="O90" sqref="O90"/>
      <selection pane="topRight" activeCell="O90" sqref="O90"/>
      <selection pane="bottomLeft" activeCell="O90" sqref="O90"/>
      <selection pane="bottomRight" activeCell="AB64" sqref="AB64:AC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48.4257812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55758</v>
      </c>
      <c r="F1" s="30" t="s">
        <v>2</v>
      </c>
      <c r="G1" s="31">
        <f>SUM(H5:H79)</f>
        <v>2627364.0699999994</v>
      </c>
      <c r="H1" s="32" t="s">
        <v>3</v>
      </c>
      <c r="I1" s="33">
        <f>M15+M26+M48+M58+M69+M79+M37</f>
        <v>82.583333333333329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150</v>
      </c>
      <c r="B2" s="483"/>
      <c r="C2" s="28"/>
      <c r="D2" s="28" t="s">
        <v>14</v>
      </c>
      <c r="E2" s="35">
        <f>AVERAGE(O15,O26,O37,O48,O58,O69,O79)</f>
        <v>115.95805991303662</v>
      </c>
      <c r="F2" s="36" t="s">
        <v>15</v>
      </c>
      <c r="G2" s="37">
        <f>G1/E1</f>
        <v>47.120844901180085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2</v>
      </c>
      <c r="AA2" s="339">
        <f>AA15+AA26+AA37+AA48+AA58+AA69+AA79</f>
        <v>13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3668</v>
      </c>
      <c r="H5" s="43">
        <f>F5*G5</f>
        <v>209846.28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13</v>
      </c>
      <c r="N5" s="46">
        <f>G5/W5*60</f>
        <v>1965.0000000000196</v>
      </c>
      <c r="O5" s="47">
        <f>N5/M5</f>
        <v>151.15384615384767</v>
      </c>
      <c r="P5" s="49">
        <f>M5-J5</f>
        <v>-1</v>
      </c>
      <c r="Q5" s="50">
        <f>O5-L5</f>
        <v>-0.13186813186661084</v>
      </c>
      <c r="R5" s="51">
        <f>O5/L5</f>
        <v>0.99912835040314796</v>
      </c>
      <c r="S5" s="415">
        <f>R15</f>
        <v>0.97717702888388569</v>
      </c>
      <c r="T5" s="319">
        <v>0.29166666666666702</v>
      </c>
      <c r="U5" s="320">
        <v>0.36944444444444402</v>
      </c>
      <c r="V5" s="53"/>
      <c r="W5" s="54">
        <f t="shared" ref="W5:W14" si="0">(U5-T5)*24*60</f>
        <v>111.99999999999888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-152.99999999998045</v>
      </c>
      <c r="AG5" s="52">
        <f t="shared" ref="AG5:AG11" si="2">N5/K5</f>
        <v>0.92776203966006587</v>
      </c>
      <c r="AH5" s="403">
        <f>AG15</f>
        <v>0.95988900712081238</v>
      </c>
    </row>
    <row r="6" spans="1:34" ht="15" customHeight="1">
      <c r="A6" s="489"/>
      <c r="B6" s="57" t="s">
        <v>81</v>
      </c>
      <c r="C6" s="58"/>
      <c r="D6" s="59" t="s">
        <v>116</v>
      </c>
      <c r="E6" s="60"/>
      <c r="F6" s="61">
        <f>VLOOKUP(D6,廠價表!$C$1:$E$43,3,0)</f>
        <v>50.67</v>
      </c>
      <c r="G6" s="62">
        <v>2327</v>
      </c>
      <c r="H6" s="63">
        <f>F6*G6</f>
        <v>117909.09000000001</v>
      </c>
      <c r="I6" s="64"/>
      <c r="J6" s="65">
        <f>VLOOKUP(D6,產線配置圖!$A$3:$C$38,2,0)</f>
        <v>12</v>
      </c>
      <c r="K6" s="66">
        <f>VLOOKUP(D6,產線配置圖!$A$3:$C$38,3,0)</f>
        <v>2118</v>
      </c>
      <c r="L6" s="67">
        <f>K6/J6</f>
        <v>176.5</v>
      </c>
      <c r="M6" s="68">
        <v>12</v>
      </c>
      <c r="N6" s="66">
        <f>G6/W6*60</f>
        <v>2053.2352941176568</v>
      </c>
      <c r="O6" s="67">
        <f>N6/M6</f>
        <v>171.1029411764714</v>
      </c>
      <c r="P6" s="69">
        <f>M6-J6</f>
        <v>0</v>
      </c>
      <c r="Q6" s="70">
        <f>O6-L6</f>
        <v>-5.3970588235285959</v>
      </c>
      <c r="R6" s="71">
        <f>O6/L6</f>
        <v>0.96942176303949801</v>
      </c>
      <c r="S6" s="416"/>
      <c r="T6" s="16">
        <v>0.37638888888888899</v>
      </c>
      <c r="U6" s="16">
        <v>0.42361111111111099</v>
      </c>
      <c r="V6" s="30">
        <f>(T6-U5)*24*60</f>
        <v>10.000000000000764</v>
      </c>
      <c r="W6" s="73">
        <f t="shared" si="0"/>
        <v>67.999999999999673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-64.764705882343151</v>
      </c>
      <c r="AG6" s="72">
        <f t="shared" si="2"/>
        <v>0.96942176303949801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2375</v>
      </c>
      <c r="H7" s="78">
        <f>F7*G7</f>
        <v>116707.5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2035.7142857142906</v>
      </c>
      <c r="O7" s="81">
        <f>N7/M7</f>
        <v>156.59340659340697</v>
      </c>
      <c r="P7" s="74">
        <f>M7-J7</f>
        <v>0</v>
      </c>
      <c r="Q7" s="83">
        <f>O7-L7</f>
        <v>-6.3296703296699661</v>
      </c>
      <c r="R7" s="72">
        <f>O7/L7</f>
        <v>0.96114933225415033</v>
      </c>
      <c r="S7" s="416"/>
      <c r="T7" s="18">
        <v>0.43055555555555602</v>
      </c>
      <c r="U7" s="18">
        <v>0.47916666666666702</v>
      </c>
      <c r="V7" s="30">
        <f>(T7-U6)*24*60</f>
        <v>10.000000000000844</v>
      </c>
      <c r="W7" s="73">
        <f t="shared" si="0"/>
        <v>69.999999999999829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-82.285714285709446</v>
      </c>
      <c r="AG7" s="72">
        <f t="shared" si="2"/>
        <v>0.96114933225415045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3914</v>
      </c>
      <c r="H8" s="78">
        <f>F8*G8</f>
        <v>192333.96</v>
      </c>
      <c r="I8" s="73"/>
      <c r="J8" s="79">
        <f>VLOOKUP(D8,產線配置圖!$A$3:$C$38,2,0)</f>
        <v>13</v>
      </c>
      <c r="K8" s="80">
        <f>VLOOKUP(D8,產線配置圖!$A$3:$C$38,3,0)</f>
        <v>2118</v>
      </c>
      <c r="L8" s="81">
        <f>K8/J8</f>
        <v>162.92307692307693</v>
      </c>
      <c r="M8" s="82">
        <v>13</v>
      </c>
      <c r="N8" s="80">
        <f>G8/W8*60</f>
        <v>2078.2300884955562</v>
      </c>
      <c r="O8" s="81">
        <f>N8/M8</f>
        <v>159.86385296119664</v>
      </c>
      <c r="P8" s="74">
        <f>M8-J8</f>
        <v>0</v>
      </c>
      <c r="Q8" s="83">
        <f>O8-L8</f>
        <v>-3.0592239618802921</v>
      </c>
      <c r="R8" s="72">
        <f>O8/L8</f>
        <v>0.98122289352953551</v>
      </c>
      <c r="S8" s="416"/>
      <c r="T8" s="16">
        <v>0.55833333333333302</v>
      </c>
      <c r="U8" s="16">
        <v>0.63680555555555596</v>
      </c>
      <c r="V8" s="30">
        <f>(T8-U7)*24*60</f>
        <v>113.99999999999903</v>
      </c>
      <c r="W8" s="73">
        <f t="shared" si="0"/>
        <v>113.00000000000104</v>
      </c>
      <c r="X8" s="22">
        <v>0.48611111111111099</v>
      </c>
      <c r="Y8" s="84">
        <v>0.52777777777777801</v>
      </c>
      <c r="Z8" s="90"/>
      <c r="AA8" s="90"/>
      <c r="AB8" s="453" t="s">
        <v>151</v>
      </c>
      <c r="AC8" s="453"/>
      <c r="AD8" s="149"/>
      <c r="AE8" s="149"/>
      <c r="AF8" s="307">
        <f t="shared" si="1"/>
        <v>-39.769911504443826</v>
      </c>
      <c r="AG8" s="72">
        <f t="shared" si="2"/>
        <v>0.98122289352953551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</v>
      </c>
      <c r="K15" s="120">
        <f t="shared" si="3"/>
        <v>2118</v>
      </c>
      <c r="L15" s="117">
        <f t="shared" si="3"/>
        <v>163.40796703296704</v>
      </c>
      <c r="M15" s="120">
        <f t="shared" si="3"/>
        <v>12.75</v>
      </c>
      <c r="N15" s="120">
        <f t="shared" si="3"/>
        <v>2033.0449170818806</v>
      </c>
      <c r="O15" s="117">
        <f t="shared" si="3"/>
        <v>159.67851172123068</v>
      </c>
      <c r="P15" s="121">
        <f>M15-J15</f>
        <v>-0.25</v>
      </c>
      <c r="Q15" s="122">
        <f>O15-L15</f>
        <v>-3.7294553117363591</v>
      </c>
      <c r="R15" s="123">
        <f>O15/L15</f>
        <v>0.97717702888388569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-84.955082918119388</v>
      </c>
      <c r="AG15" s="124">
        <f>N15/K15</f>
        <v>0.95988900712081238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5812</v>
      </c>
      <c r="H16" s="134">
        <f>F16*G16</f>
        <v>330528.44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2051.2941176470517</v>
      </c>
      <c r="O16" s="141">
        <f>N16/M16</f>
        <v>146.52100840336084</v>
      </c>
      <c r="P16" s="142">
        <f>M16-J16</f>
        <v>0</v>
      </c>
      <c r="Q16" s="143">
        <f>O16-L16</f>
        <v>-4.7647058823534394</v>
      </c>
      <c r="R16" s="144">
        <f>O16/L16</f>
        <v>0.96850524912514246</v>
      </c>
      <c r="S16" s="443">
        <f>R26</f>
        <v>0.9168424379393243</v>
      </c>
      <c r="T16" s="145">
        <v>0.29097222222222202</v>
      </c>
      <c r="U16" s="145">
        <v>0.40902777777777799</v>
      </c>
      <c r="V16" s="135"/>
      <c r="W16" s="146">
        <f t="shared" ref="W16:W78" si="4">(U16-T16)*24*60</f>
        <v>170.0000000000006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-66.705882352948265</v>
      </c>
      <c r="AG16" s="52">
        <f>N16/K16</f>
        <v>0.96850524912514246</v>
      </c>
      <c r="AH16" s="403">
        <f>AG26</f>
        <v>0.91778249120829936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3052</v>
      </c>
      <c r="H17" s="78">
        <f>F17*G17</f>
        <v>153790.28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2034.6666666666667</v>
      </c>
      <c r="O17" s="96">
        <f>N17/M17</f>
        <v>184.96969696969697</v>
      </c>
      <c r="P17" s="97">
        <f>M17-J17</f>
        <v>0</v>
      </c>
      <c r="Q17" s="98">
        <f>O17-L17</f>
        <v>-7.5757575757575637</v>
      </c>
      <c r="R17" s="99">
        <f>O17/L17</f>
        <v>0.96065470569719869</v>
      </c>
      <c r="S17" s="444"/>
      <c r="T17" s="19">
        <v>0.41666666666666702</v>
      </c>
      <c r="U17" s="19">
        <v>0.47916666666666702</v>
      </c>
      <c r="V17" s="30">
        <f>(T17-U16)*24*60</f>
        <v>11.000000000000201</v>
      </c>
      <c r="W17" s="149">
        <f t="shared" si="4"/>
        <v>90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-83.333333333333258</v>
      </c>
      <c r="AG17" s="72">
        <f>N17/K17</f>
        <v>0.96065470569719869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2449</v>
      </c>
      <c r="H18" s="78">
        <f>F18*G18</f>
        <v>123405.11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1933.4210526315696</v>
      </c>
      <c r="O18" s="96">
        <f>N18/M18</f>
        <v>175.76555023923359</v>
      </c>
      <c r="P18" s="97">
        <f>M18-J18</f>
        <v>0</v>
      </c>
      <c r="Q18" s="98">
        <f>O18-L18</f>
        <v>-16.779904306220942</v>
      </c>
      <c r="R18" s="99">
        <f>O18/L18</f>
        <v>0.91285224392425379</v>
      </c>
      <c r="S18" s="444"/>
      <c r="T18" s="19">
        <v>0.56111111111111101</v>
      </c>
      <c r="U18" s="19">
        <v>0.61388888888888904</v>
      </c>
      <c r="V18" s="30">
        <f>(T18-U17)*24*60</f>
        <v>117.99999999999935</v>
      </c>
      <c r="W18" s="149">
        <f t="shared" si="4"/>
        <v>76.000000000000369</v>
      </c>
      <c r="X18" s="22">
        <v>0.48611111111111099</v>
      </c>
      <c r="Y18" s="84">
        <v>0.52777777777777801</v>
      </c>
      <c r="Z18" s="90"/>
      <c r="AA18" s="90"/>
      <c r="AB18" s="453" t="s">
        <v>152</v>
      </c>
      <c r="AC18" s="453"/>
      <c r="AD18" s="92"/>
      <c r="AE18" s="92"/>
      <c r="AF18" s="307">
        <f>N18-K18</f>
        <v>-184.57894736843036</v>
      </c>
      <c r="AG18" s="72">
        <f>N18/K18</f>
        <v>0.91285224392425379</v>
      </c>
      <c r="AH18" s="405"/>
    </row>
    <row r="19" spans="1:34" ht="15" customHeight="1">
      <c r="A19" s="450"/>
      <c r="B19" s="75" t="s">
        <v>81</v>
      </c>
      <c r="C19" s="76"/>
      <c r="D19" s="59" t="s">
        <v>116</v>
      </c>
      <c r="E19" s="77"/>
      <c r="F19" s="75">
        <f>VLOOKUP(D19,廠價表!$C$1:$E$43,3,0)</f>
        <v>50.67</v>
      </c>
      <c r="G19" s="147">
        <v>1639</v>
      </c>
      <c r="H19" s="78">
        <f>F19*G19</f>
        <v>83048.13</v>
      </c>
      <c r="I19" s="30"/>
      <c r="J19" s="79">
        <f>VLOOKUP(D19,產線配置圖!$A$3:$C$38,2,0)</f>
        <v>12</v>
      </c>
      <c r="K19" s="80">
        <f>VLOOKUP(D19,產線配置圖!$A$3:$C$38,3,0)</f>
        <v>2118</v>
      </c>
      <c r="L19" s="81">
        <f>K19/J19</f>
        <v>176.5</v>
      </c>
      <c r="M19" s="148">
        <v>12</v>
      </c>
      <c r="N19" s="95">
        <f>G19/W19*60</f>
        <v>1756.0714285714248</v>
      </c>
      <c r="O19" s="96">
        <f>N19/M19</f>
        <v>146.33928571428541</v>
      </c>
      <c r="P19" s="97">
        <f>M19-J19</f>
        <v>0</v>
      </c>
      <c r="Q19" s="98">
        <f>O19-L19</f>
        <v>-30.16071428571459</v>
      </c>
      <c r="R19" s="99">
        <f>O19/L19</f>
        <v>0.82911776608660293</v>
      </c>
      <c r="S19" s="444"/>
      <c r="T19" s="19">
        <v>0.62083333333333302</v>
      </c>
      <c r="U19" s="19">
        <v>0.65972222222222199</v>
      </c>
      <c r="V19" s="30">
        <f>(T19-U18)*24*60</f>
        <v>9.999999999999325</v>
      </c>
      <c r="W19" s="149">
        <f t="shared" si="4"/>
        <v>56.000000000000121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-361.9285714285752</v>
      </c>
      <c r="AG19" s="72">
        <f>N19/K19</f>
        <v>0.82911776608660281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</v>
      </c>
      <c r="K26" s="155">
        <f t="shared" si="5"/>
        <v>2118</v>
      </c>
      <c r="L26" s="158">
        <f t="shared" si="5"/>
        <v>178.21915584415584</v>
      </c>
      <c r="M26" s="155">
        <f t="shared" si="5"/>
        <v>12</v>
      </c>
      <c r="N26" s="155">
        <f t="shared" si="5"/>
        <v>1943.8633163791781</v>
      </c>
      <c r="O26" s="158">
        <f t="shared" si="5"/>
        <v>163.39888533164421</v>
      </c>
      <c r="P26" s="159">
        <f>M26-J26</f>
        <v>0</v>
      </c>
      <c r="Q26" s="160">
        <f>O26-L26</f>
        <v>-14.820270512511627</v>
      </c>
      <c r="R26" s="161">
        <f>O26/L26</f>
        <v>0.9168424379393243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-174.13668362082194</v>
      </c>
      <c r="AG26" s="124">
        <f t="shared" ref="AG26:AG31" si="7">N26/K26</f>
        <v>0.91778249120829936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2505</v>
      </c>
      <c r="H27" s="134">
        <f>F27*G27</f>
        <v>124047.6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17</v>
      </c>
      <c r="N27" s="140">
        <f>G27/W27*60</f>
        <v>1354.0540540540599</v>
      </c>
      <c r="O27" s="141">
        <f>N27/M27</f>
        <v>79.650238473768226</v>
      </c>
      <c r="P27" s="142">
        <f>M27-J27</f>
        <v>0</v>
      </c>
      <c r="Q27" s="143">
        <f>O27-L27</f>
        <v>-5.0556438791729477</v>
      </c>
      <c r="R27" s="144">
        <f>O27/L27</f>
        <v>0.94031531531531931</v>
      </c>
      <c r="S27" s="443">
        <f>R37</f>
        <v>0.7314135879127458</v>
      </c>
      <c r="T27" s="171">
        <v>0.29027777777777802</v>
      </c>
      <c r="U27" s="171">
        <v>0.36736111111111103</v>
      </c>
      <c r="V27" s="135"/>
      <c r="W27" s="146">
        <f t="shared" si="4"/>
        <v>110.99999999999953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6"/>
        <v>-85.945945945940139</v>
      </c>
      <c r="AG27" s="172">
        <f t="shared" si="7"/>
        <v>0.94031531531531931</v>
      </c>
      <c r="AH27" s="403">
        <f>AG37</f>
        <v>0.73048016961001971</v>
      </c>
    </row>
    <row r="28" spans="1:34" ht="15" customHeight="1">
      <c r="A28" s="441"/>
      <c r="B28" s="75" t="s">
        <v>81</v>
      </c>
      <c r="C28" s="173"/>
      <c r="D28" s="59" t="s">
        <v>122</v>
      </c>
      <c r="E28" s="104"/>
      <c r="F28" s="75">
        <f>VLOOKUP(D28,廠價表!$C$1:$E$43,3,0)</f>
        <v>56.43</v>
      </c>
      <c r="G28" s="90">
        <v>1094</v>
      </c>
      <c r="H28" s="91">
        <f>F28*G28</f>
        <v>61734.42</v>
      </c>
      <c r="I28" s="92"/>
      <c r="J28" s="79">
        <f>VLOOKUP(D28,產線配置圖!$A$3:$C$38,2,0)</f>
        <v>16</v>
      </c>
      <c r="K28" s="80">
        <f>VLOOKUP(D28,產線配置圖!$A$3:$C$38,3,0)</f>
        <v>1406</v>
      </c>
      <c r="L28" s="93">
        <f>K28/J28</f>
        <v>87.875</v>
      </c>
      <c r="M28" s="94">
        <v>15</v>
      </c>
      <c r="N28" s="95">
        <f>G28/W28*60</f>
        <v>875.20000000000596</v>
      </c>
      <c r="O28" s="96">
        <f>N28/M28</f>
        <v>58.346666666667062</v>
      </c>
      <c r="P28" s="97">
        <f>M28-J28</f>
        <v>-1</v>
      </c>
      <c r="Q28" s="98">
        <f>O28-L28</f>
        <v>-29.528333333332938</v>
      </c>
      <c r="R28" s="99">
        <f>O28/L28</f>
        <v>0.66397344713134632</v>
      </c>
      <c r="S28" s="444"/>
      <c r="T28" s="19">
        <v>0.374305555555556</v>
      </c>
      <c r="U28" s="19">
        <v>0.42638888888888898</v>
      </c>
      <c r="V28" s="92">
        <f>(T28-U27)*24*60</f>
        <v>10.000000000000764</v>
      </c>
      <c r="W28" s="149">
        <f t="shared" si="4"/>
        <v>74.999999999999488</v>
      </c>
      <c r="X28" s="174"/>
      <c r="Y28" s="301"/>
      <c r="Z28" s="335"/>
      <c r="AA28" s="335"/>
      <c r="AB28" s="409" t="s">
        <v>153</v>
      </c>
      <c r="AC28" s="409"/>
      <c r="AD28" s="92"/>
      <c r="AE28" s="92"/>
      <c r="AF28" s="311">
        <f t="shared" si="6"/>
        <v>-530.79999999999404</v>
      </c>
      <c r="AG28" s="99">
        <f t="shared" si="7"/>
        <v>0.62247510668563721</v>
      </c>
      <c r="AH28" s="404"/>
    </row>
    <row r="29" spans="1:34" ht="15" customHeight="1">
      <c r="A29" s="441"/>
      <c r="B29" s="75" t="s">
        <v>81</v>
      </c>
      <c r="C29" s="173"/>
      <c r="D29" s="59" t="s">
        <v>120</v>
      </c>
      <c r="E29" s="104"/>
      <c r="F29" s="75">
        <f>VLOOKUP(D29,廠價表!$C$1:$E$43,3,0)</f>
        <v>50.67</v>
      </c>
      <c r="G29" s="90">
        <v>1400</v>
      </c>
      <c r="H29" s="91">
        <f>F29*G29</f>
        <v>70938</v>
      </c>
      <c r="I29" s="92"/>
      <c r="J29" s="79">
        <f>VLOOKUP(D29,產線配置圖!$A$3:$C$38,2,0)</f>
        <v>13</v>
      </c>
      <c r="K29" s="80">
        <f>VLOOKUP(D29,產線配置圖!$A$3:$C$38,3,0)</f>
        <v>1440</v>
      </c>
      <c r="L29" s="93">
        <f>K29/J29</f>
        <v>110.76923076923077</v>
      </c>
      <c r="M29" s="94">
        <v>13</v>
      </c>
      <c r="N29" s="95">
        <f>G29/W29*60</f>
        <v>943.82022471909431</v>
      </c>
      <c r="O29" s="96">
        <f>N29/M29</f>
        <v>72.601555747622641</v>
      </c>
      <c r="P29" s="97">
        <f>M29-J29</f>
        <v>0</v>
      </c>
      <c r="Q29" s="98">
        <f>O29-L29</f>
        <v>-38.167675021608133</v>
      </c>
      <c r="R29" s="99">
        <f>O29/L29</f>
        <v>0.65543071161048216</v>
      </c>
      <c r="S29" s="444"/>
      <c r="T29" s="19">
        <v>0.43333333333333302</v>
      </c>
      <c r="U29" s="19">
        <v>0.49513888888888902</v>
      </c>
      <c r="V29" s="92">
        <f>(T29-U28)*24*60</f>
        <v>9.9999999999994049</v>
      </c>
      <c r="W29" s="149">
        <f t="shared" si="4"/>
        <v>89.000000000000639</v>
      </c>
      <c r="X29" s="22"/>
      <c r="Y29" s="84"/>
      <c r="Z29" s="90">
        <v>2</v>
      </c>
      <c r="AA29" s="90">
        <v>13</v>
      </c>
      <c r="AB29" s="409" t="s">
        <v>154</v>
      </c>
      <c r="AC29" s="409"/>
      <c r="AD29" s="92"/>
      <c r="AE29" s="92"/>
      <c r="AF29" s="312">
        <f t="shared" si="6"/>
        <v>-496.17977528090569</v>
      </c>
      <c r="AG29" s="99">
        <f t="shared" si="7"/>
        <v>0.65543071161048216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976</v>
      </c>
      <c r="H30" s="91">
        <f>F30*G30</f>
        <v>49453.919999999998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1009.6551724138134</v>
      </c>
      <c r="O30" s="96">
        <f>N30/M30</f>
        <v>77.665782493370259</v>
      </c>
      <c r="P30" s="97">
        <f>M30-J30</f>
        <v>0</v>
      </c>
      <c r="Q30" s="98">
        <f>O30-L30</f>
        <v>-33.103448275860515</v>
      </c>
      <c r="R30" s="99">
        <f>O30/L30</f>
        <v>0.70114942528737034</v>
      </c>
      <c r="S30" s="444"/>
      <c r="T30" s="19">
        <v>0.55555555555555602</v>
      </c>
      <c r="U30" s="19">
        <v>0.59583333333333299</v>
      </c>
      <c r="V30" s="92">
        <f>(T30-U29)*24*60</f>
        <v>87.000000000000483</v>
      </c>
      <c r="W30" s="149">
        <f t="shared" si="4"/>
        <v>57.999999999998835</v>
      </c>
      <c r="X30" s="174">
        <v>0.49652777777777801</v>
      </c>
      <c r="Y30" s="301">
        <v>0.53819444444444398</v>
      </c>
      <c r="Z30" s="335"/>
      <c r="AA30" s="335"/>
      <c r="AB30" s="409" t="s">
        <v>153</v>
      </c>
      <c r="AC30" s="409"/>
      <c r="AD30" s="92"/>
      <c r="AE30" s="92"/>
      <c r="AF30" s="312">
        <f t="shared" si="6"/>
        <v>-430.34482758618663</v>
      </c>
      <c r="AG30" s="99">
        <f t="shared" si="7"/>
        <v>0.70114942528737045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14.75</v>
      </c>
      <c r="K37" s="155">
        <f t="shared" si="8"/>
        <v>1431.5</v>
      </c>
      <c r="L37" s="158">
        <f t="shared" si="8"/>
        <v>98.529835972850677</v>
      </c>
      <c r="M37" s="155">
        <f t="shared" si="8"/>
        <v>14.5</v>
      </c>
      <c r="N37" s="155">
        <f t="shared" si="8"/>
        <v>1045.6823627967433</v>
      </c>
      <c r="O37" s="158">
        <f t="shared" si="8"/>
        <v>72.066060845357043</v>
      </c>
      <c r="P37" s="159">
        <f>M37-J37</f>
        <v>-0.25</v>
      </c>
      <c r="Q37" s="160">
        <f>N37-K37</f>
        <v>-385.81763720325671</v>
      </c>
      <c r="R37" s="161">
        <f>O37/L37</f>
        <v>0.7314135879127458</v>
      </c>
      <c r="S37" s="445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13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-385.81763720325671</v>
      </c>
      <c r="AG37" s="124">
        <f>N37/K37</f>
        <v>0.73048016961001971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2025</v>
      </c>
      <c r="H38" s="134">
        <f>F38*G38</f>
        <v>101067.75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1380.6818181818205</v>
      </c>
      <c r="O38" s="141">
        <f>N38/M38</f>
        <v>92.045454545454703</v>
      </c>
      <c r="P38" s="142">
        <f>M38-J38</f>
        <v>0</v>
      </c>
      <c r="Q38" s="143">
        <f>O38-L38</f>
        <v>-22.221212121211963</v>
      </c>
      <c r="R38" s="144">
        <f>O38/L38</f>
        <v>0.8055319826031625</v>
      </c>
      <c r="S38" s="433">
        <f>R48</f>
        <v>0.88851995184596366</v>
      </c>
      <c r="T38" s="191">
        <v>0.33333333333333298</v>
      </c>
      <c r="U38" s="191">
        <v>0.39444444444444399</v>
      </c>
      <c r="V38" s="192"/>
      <c r="W38" s="193">
        <f t="shared" si="4"/>
        <v>87.999999999999844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-333.31818181817948</v>
      </c>
      <c r="AG38" s="195">
        <f>N38/K38</f>
        <v>0.8055319826031625</v>
      </c>
      <c r="AH38" s="436">
        <f>AG48</f>
        <v>0.84367006547219192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3345</v>
      </c>
      <c r="H39" s="91">
        <f>F39*G39</f>
        <v>148183.5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16</v>
      </c>
      <c r="N39" s="202">
        <f>G39/W39*60</f>
        <v>1365.3061224489845</v>
      </c>
      <c r="O39" s="203">
        <f>N39/M39</f>
        <v>85.331632653061533</v>
      </c>
      <c r="P39" s="97">
        <f>M39-J39</f>
        <v>-2</v>
      </c>
      <c r="Q39" s="98">
        <f>O39-L39</f>
        <v>-1.6128117913829101</v>
      </c>
      <c r="R39" s="99">
        <f>O39/L39</f>
        <v>0.98145008802243294</v>
      </c>
      <c r="S39" s="434"/>
      <c r="T39" s="20">
        <v>0.40138888888888902</v>
      </c>
      <c r="U39" s="20">
        <v>0.50347222222222199</v>
      </c>
      <c r="V39" s="92">
        <f>(T39-U38)*24*60</f>
        <v>10.000000000000844</v>
      </c>
      <c r="W39" s="205">
        <f t="shared" si="4"/>
        <v>146.99999999999949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-199.69387755101548</v>
      </c>
      <c r="AG39" s="206">
        <f>N39/K39</f>
        <v>0.87240007824216259</v>
      </c>
      <c r="AH39" s="437"/>
    </row>
    <row r="40" spans="1:34" ht="15" customHeight="1">
      <c r="A40" s="431"/>
      <c r="B40" s="75" t="s">
        <v>118</v>
      </c>
      <c r="C40" s="207"/>
      <c r="D40" s="198" t="s">
        <v>123</v>
      </c>
      <c r="E40" s="178"/>
      <c r="F40" s="75">
        <f>VLOOKUP(D40,廠價表!$C$1:$E$43,3,0)</f>
        <v>49.91</v>
      </c>
      <c r="G40" s="199">
        <v>745</v>
      </c>
      <c r="H40" s="91">
        <f>F40*G40</f>
        <v>37182.949999999997</v>
      </c>
      <c r="I40" s="200"/>
      <c r="J40" s="148">
        <f>VLOOKUP(D40,產線配置圖!$A$3:$C$38,2,0)</f>
        <v>15</v>
      </c>
      <c r="K40" s="95">
        <f>VLOOKUP(D40,產線配置圖!$A$3:$C$38,3,0)</f>
        <v>1714</v>
      </c>
      <c r="L40" s="96">
        <f>K40/J40</f>
        <v>114.26666666666667</v>
      </c>
      <c r="M40" s="201">
        <v>15</v>
      </c>
      <c r="N40" s="202">
        <f>G40/W40*60</f>
        <v>1441.935483870958</v>
      </c>
      <c r="O40" s="203">
        <f>N40/M40</f>
        <v>96.129032258063873</v>
      </c>
      <c r="P40" s="97">
        <f>M40-J40</f>
        <v>0</v>
      </c>
      <c r="Q40" s="98">
        <f>O40-L40</f>
        <v>-18.137634408602793</v>
      </c>
      <c r="R40" s="99">
        <f>O40/L40</f>
        <v>0.84126924379869206</v>
      </c>
      <c r="S40" s="416"/>
      <c r="T40" s="20">
        <v>0.55486111111111103</v>
      </c>
      <c r="U40" s="20">
        <v>0.57638888888888895</v>
      </c>
      <c r="V40" s="92">
        <f>(T40-U39)*24*60</f>
        <v>74.000000000000213</v>
      </c>
      <c r="W40" s="205">
        <f t="shared" si="4"/>
        <v>31.00000000000021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-272.06451612904198</v>
      </c>
      <c r="AG40" s="206">
        <f>N40/K40</f>
        <v>0.84126924379869195</v>
      </c>
      <c r="AH40" s="437"/>
    </row>
    <row r="41" spans="1:34" ht="15" customHeight="1">
      <c r="A41" s="431"/>
      <c r="B41" s="75" t="s">
        <v>118</v>
      </c>
      <c r="C41" s="207"/>
      <c r="D41" s="198" t="s">
        <v>124</v>
      </c>
      <c r="E41" s="178"/>
      <c r="F41" s="75">
        <f>VLOOKUP(D41,廠價表!$C$1:$E$43,3,0)</f>
        <v>44.3</v>
      </c>
      <c r="G41" s="199">
        <v>2488</v>
      </c>
      <c r="H41" s="91">
        <f>F41*G41</f>
        <v>110218.4</v>
      </c>
      <c r="I41" s="200"/>
      <c r="J41" s="148">
        <f>VLOOKUP(D41,產線配置圖!$A$3:$C$38,2,0)</f>
        <v>18</v>
      </c>
      <c r="K41" s="95">
        <f>VLOOKUP(D41,產線配置圖!$A$3:$C$38,3,0)</f>
        <v>1565</v>
      </c>
      <c r="L41" s="96">
        <f>K41/J41</f>
        <v>86.944444444444443</v>
      </c>
      <c r="M41" s="201">
        <v>16</v>
      </c>
      <c r="N41" s="202">
        <f>G41/W41*60</f>
        <v>1344.8648648648716</v>
      </c>
      <c r="O41" s="203">
        <f>N41/M41</f>
        <v>84.054054054054475</v>
      </c>
      <c r="P41" s="97">
        <f>M41-J41</f>
        <v>-2</v>
      </c>
      <c r="Q41" s="98">
        <f>O41-L41</f>
        <v>-2.8903903903899675</v>
      </c>
      <c r="R41" s="99">
        <f>O41/L41</f>
        <v>0.96675589327347</v>
      </c>
      <c r="S41" s="416"/>
      <c r="T41" s="20">
        <v>0.58611111111111103</v>
      </c>
      <c r="U41" s="210">
        <v>0.66319444444444398</v>
      </c>
      <c r="V41" s="92">
        <f>(T41-U40)*24*60</f>
        <v>13.99999999999979</v>
      </c>
      <c r="W41" s="205">
        <f t="shared" si="4"/>
        <v>110.99999999999945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-220.13513513512839</v>
      </c>
      <c r="AG41" s="206">
        <f>N41/K41</f>
        <v>0.85933857179864004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16.5</v>
      </c>
      <c r="K48" s="155">
        <f t="shared" si="10"/>
        <v>1639.5</v>
      </c>
      <c r="L48" s="158">
        <f t="shared" si="10"/>
        <v>100.60555555555555</v>
      </c>
      <c r="M48" s="155">
        <f t="shared" si="10"/>
        <v>15.5</v>
      </c>
      <c r="N48" s="155">
        <f t="shared" si="10"/>
        <v>1383.1970723416587</v>
      </c>
      <c r="O48" s="158">
        <f t="shared" si="10"/>
        <v>89.390043377658642</v>
      </c>
      <c r="P48" s="221">
        <f>M48-J48</f>
        <v>-1</v>
      </c>
      <c r="Q48" s="222">
        <f>N48-K48</f>
        <v>-256.30292765834133</v>
      </c>
      <c r="R48" s="223">
        <f>O48/L48</f>
        <v>0.88851995184596366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-256.30292765834133</v>
      </c>
      <c r="AG48" s="162">
        <f t="shared" ref="AG48:AG53" si="12">N48/K48</f>
        <v>0.84367006547219192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115</v>
      </c>
      <c r="E49" s="132"/>
      <c r="F49" s="129">
        <f>VLOOKUP(D49,廠價表!$C$1:$E$43,3,0)</f>
        <v>56.28</v>
      </c>
      <c r="G49" s="228">
        <v>656</v>
      </c>
      <c r="H49" s="134">
        <f>F49*G49</f>
        <v>36919.68</v>
      </c>
      <c r="I49" s="135"/>
      <c r="J49" s="136"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1789.0909090909997</v>
      </c>
      <c r="O49" s="141">
        <f>N49/M49</f>
        <v>105.24064171123528</v>
      </c>
      <c r="P49" s="229">
        <f>M49-J49</f>
        <v>0</v>
      </c>
      <c r="Q49" s="230">
        <f>O49-L49</f>
        <v>-0.64171122994117979</v>
      </c>
      <c r="R49" s="52">
        <f>O49/L49</f>
        <v>0.99393939393944442</v>
      </c>
      <c r="S49" s="415">
        <f>R58</f>
        <v>0.96025240752515928</v>
      </c>
      <c r="T49" s="191">
        <v>0.29166666666666702</v>
      </c>
      <c r="U49" s="191">
        <v>0.30694444444444402</v>
      </c>
      <c r="V49" s="55"/>
      <c r="W49" s="193">
        <f t="shared" si="4"/>
        <v>21.999999999998884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1"/>
        <v>-10.90909090900027</v>
      </c>
      <c r="AG49" s="52">
        <f t="shared" si="12"/>
        <v>0.9939393939394443</v>
      </c>
      <c r="AH49" s="403">
        <f>AG58</f>
        <v>0.93222610722613253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6111</v>
      </c>
      <c r="H50" s="231">
        <f>F50*G50</f>
        <v>305366.67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1566.9230769230771</v>
      </c>
      <c r="O50" s="235">
        <f>N50/M50</f>
        <v>104.46153846153848</v>
      </c>
      <c r="P50" s="74">
        <f>M50-J50</f>
        <v>-1</v>
      </c>
      <c r="Q50" s="83">
        <f>O50-L50</f>
        <v>-8.0384615384615188</v>
      </c>
      <c r="R50" s="72">
        <f>O50/L50</f>
        <v>0.92854700854700867</v>
      </c>
      <c r="S50" s="416"/>
      <c r="T50" s="21">
        <v>0.313194444444444</v>
      </c>
      <c r="U50" s="21">
        <v>0.47569444444444398</v>
      </c>
      <c r="V50" s="30">
        <f>(T50-U49)*24*60</f>
        <v>8.999999999999968</v>
      </c>
      <c r="W50" s="236">
        <f t="shared" si="4"/>
        <v>233.99999999999997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-233.07692307692287</v>
      </c>
      <c r="AG50" s="72">
        <f t="shared" si="12"/>
        <v>0.87051282051282064</v>
      </c>
      <c r="AH50" s="405"/>
    </row>
    <row r="51" spans="1:34" ht="15" customHeight="1">
      <c r="A51" s="428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16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0</v>
      </c>
      <c r="AG51" s="72" t="e">
        <f t="shared" si="12"/>
        <v>#DIV/0!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1800</v>
      </c>
      <c r="L58" s="117">
        <f t="shared" si="13"/>
        <v>109.19117647058823</v>
      </c>
      <c r="M58" s="120">
        <f t="shared" si="13"/>
        <v>16</v>
      </c>
      <c r="N58" s="120">
        <f t="shared" si="13"/>
        <v>1678.0069930070385</v>
      </c>
      <c r="O58" s="117">
        <f t="shared" si="13"/>
        <v>104.85109008638688</v>
      </c>
      <c r="P58" s="121">
        <f>M58-J58</f>
        <v>-0.5</v>
      </c>
      <c r="Q58" s="122">
        <f>N58-K58</f>
        <v>-121.99300699296145</v>
      </c>
      <c r="R58" s="123">
        <f t="shared" ref="R58:R64" si="14">O58/L58</f>
        <v>0.96025240752515928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-121.99300699296145</v>
      </c>
      <c r="AG58" s="124">
        <f>N58/K58</f>
        <v>0.93222610722613253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2883</v>
      </c>
      <c r="H59" s="243">
        <f t="shared" ref="H59:H64" si="15">F59*G59</f>
        <v>77812.17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16">K59/J59</f>
        <v>120.38461538461539</v>
      </c>
      <c r="M59" s="244">
        <v>13</v>
      </c>
      <c r="N59" s="137">
        <f t="shared" ref="N59:N64" si="17">G59/W59*60</f>
        <v>1504.1739130434805</v>
      </c>
      <c r="O59" s="138">
        <f t="shared" ref="O59:O64" si="18">N59/M59</f>
        <v>115.70568561872928</v>
      </c>
      <c r="P59" s="56">
        <f t="shared" ref="P59:P64" si="19">M59-J59</f>
        <v>0</v>
      </c>
      <c r="Q59" s="230">
        <f t="shared" ref="Q59:Q64" si="20">O59-L59</f>
        <v>-4.6789297658861102</v>
      </c>
      <c r="R59" s="52">
        <f t="shared" si="14"/>
        <v>0.96113349076260735</v>
      </c>
      <c r="S59" s="415">
        <f>R69</f>
        <v>0.69631120359583687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-60.826086956519475</v>
      </c>
      <c r="AG59" s="246">
        <f>N59/K59</f>
        <v>0.96113349076260735</v>
      </c>
      <c r="AH59" s="403">
        <f>AG69</f>
        <v>0.78358414333313642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1667</v>
      </c>
      <c r="H60" s="78">
        <f t="shared" si="15"/>
        <v>47109.420000000006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16"/>
        <v>130.41666666666666</v>
      </c>
      <c r="M60" s="82">
        <v>12</v>
      </c>
      <c r="N60" s="80">
        <f t="shared" si="17"/>
        <v>1538.7692307692269</v>
      </c>
      <c r="O60" s="81">
        <f t="shared" si="18"/>
        <v>128.23076923076891</v>
      </c>
      <c r="P60" s="74">
        <f t="shared" si="19"/>
        <v>0</v>
      </c>
      <c r="Q60" s="83">
        <f t="shared" si="20"/>
        <v>-2.1858974358977434</v>
      </c>
      <c r="R60" s="72">
        <f t="shared" si="14"/>
        <v>0.98323912509215783</v>
      </c>
      <c r="S60" s="425"/>
      <c r="T60" s="22">
        <v>0.38194444444444398</v>
      </c>
      <c r="U60" s="22">
        <v>0.42708333333333298</v>
      </c>
      <c r="V60" s="30">
        <f>(T60-U59)*24*60</f>
        <v>14.999999999998987</v>
      </c>
      <c r="W60" s="248">
        <f t="shared" si="4"/>
        <v>65.000000000000171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-26.230769230773149</v>
      </c>
      <c r="AG60" s="249">
        <f>N60/K60</f>
        <v>0.98323912509215772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2050</v>
      </c>
      <c r="H61" s="254">
        <f t="shared" si="15"/>
        <v>57933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 t="shared" si="16"/>
        <v>181.77777777777777</v>
      </c>
      <c r="M61" s="108">
        <v>11</v>
      </c>
      <c r="N61" s="107">
        <f t="shared" si="17"/>
        <v>1230.0000000000084</v>
      </c>
      <c r="O61" s="238">
        <f t="shared" si="18"/>
        <v>111.81818181818258</v>
      </c>
      <c r="P61" s="111">
        <f t="shared" si="19"/>
        <v>2</v>
      </c>
      <c r="Q61" s="255">
        <f t="shared" si="20"/>
        <v>-69.959595959595191</v>
      </c>
      <c r="R61" s="85">
        <f t="shared" si="14"/>
        <v>0.6151366970437917</v>
      </c>
      <c r="S61" s="416"/>
      <c r="T61" s="22">
        <v>0.43402777777777801</v>
      </c>
      <c r="U61" s="22">
        <v>0.50347222222222199</v>
      </c>
      <c r="V61" s="30">
        <f>(T61-U60)*24*60</f>
        <v>10.000000000000844</v>
      </c>
      <c r="W61" s="256">
        <f t="shared" si="4"/>
        <v>99.999999999999318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-405.99999999999159</v>
      </c>
      <c r="AG61" s="247">
        <f>N61/K61</f>
        <v>0.75183374083130095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1578</v>
      </c>
      <c r="H62" s="254">
        <f t="shared" si="15"/>
        <v>44594.28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16"/>
        <v>181.77777777777777</v>
      </c>
      <c r="M62" s="108">
        <v>11</v>
      </c>
      <c r="N62" s="107">
        <f t="shared" si="17"/>
        <v>1456.6153846154148</v>
      </c>
      <c r="O62" s="238">
        <f t="shared" si="18"/>
        <v>132.41958041958316</v>
      </c>
      <c r="P62" s="111">
        <f t="shared" si="19"/>
        <v>2</v>
      </c>
      <c r="Q62" s="255">
        <f t="shared" si="20"/>
        <v>-49.358197358194616</v>
      </c>
      <c r="R62" s="85">
        <f t="shared" si="14"/>
        <v>0.72846957443535965</v>
      </c>
      <c r="S62" s="416"/>
      <c r="T62" s="22">
        <v>0.55555555555555602</v>
      </c>
      <c r="U62" s="22">
        <v>0.60069444444444398</v>
      </c>
      <c r="V62" s="30">
        <f>(T62-U61)*24*60</f>
        <v>75.000000000001009</v>
      </c>
      <c r="W62" s="248">
        <f t="shared" si="4"/>
        <v>64.99999999999865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-179.38461538458523</v>
      </c>
      <c r="AG62" s="247">
        <f>N62/K62</f>
        <v>0.89035170208766179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786</v>
      </c>
      <c r="H63" s="254">
        <f t="shared" si="15"/>
        <v>21214.14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16"/>
        <v>120.38461538461539</v>
      </c>
      <c r="M63" s="68">
        <v>13</v>
      </c>
      <c r="N63" s="107">
        <f t="shared" si="17"/>
        <v>943.20000000000334</v>
      </c>
      <c r="O63" s="238">
        <f t="shared" si="18"/>
        <v>72.553846153846408</v>
      </c>
      <c r="P63" s="111">
        <f t="shared" si="19"/>
        <v>0</v>
      </c>
      <c r="Q63" s="255">
        <f t="shared" si="20"/>
        <v>-47.830769230768979</v>
      </c>
      <c r="R63" s="85">
        <f t="shared" si="14"/>
        <v>0.60268370607028965</v>
      </c>
      <c r="S63" s="416"/>
      <c r="T63" s="22">
        <v>0.60763888888888895</v>
      </c>
      <c r="U63" s="22">
        <v>0.64236111111111105</v>
      </c>
      <c r="V63" s="30">
        <f>(T63-U62)*24*60</f>
        <v>10.000000000000764</v>
      </c>
      <c r="W63" s="248">
        <f t="shared" si="4"/>
        <v>49.999999999999822</v>
      </c>
      <c r="X63" s="261"/>
      <c r="Y63" s="291"/>
      <c r="Z63" s="335"/>
      <c r="AA63" s="335"/>
      <c r="AB63" s="409" t="s">
        <v>155</v>
      </c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 t="s">
        <v>128</v>
      </c>
      <c r="C64" s="76"/>
      <c r="D64" s="175" t="s">
        <v>131</v>
      </c>
      <c r="E64" s="77"/>
      <c r="F64" s="250">
        <f>VLOOKUP(D64,廠價表!$C$1:$E$43,3,0)</f>
        <v>28.26</v>
      </c>
      <c r="G64" s="30">
        <v>213</v>
      </c>
      <c r="H64" s="254">
        <f t="shared" si="15"/>
        <v>6019.38</v>
      </c>
      <c r="I64" s="182"/>
      <c r="J64" s="106">
        <f>VLOOKUP(D64,產線配置圖!$A$3:$C$38,2,0)</f>
        <v>9</v>
      </c>
      <c r="K64" s="107">
        <f>VLOOKUP(D64,產線配置圖!$A$3:$C$38,3,0)</f>
        <v>1636</v>
      </c>
      <c r="L64" s="238">
        <f t="shared" si="16"/>
        <v>181.77777777777777</v>
      </c>
      <c r="M64" s="82">
        <v>11</v>
      </c>
      <c r="N64" s="107">
        <f t="shared" si="17"/>
        <v>851.99999999997578</v>
      </c>
      <c r="O64" s="238">
        <f t="shared" si="18"/>
        <v>77.454545454543251</v>
      </c>
      <c r="P64" s="111">
        <f t="shared" si="19"/>
        <v>2</v>
      </c>
      <c r="Q64" s="255">
        <f t="shared" si="20"/>
        <v>-104.32323232323452</v>
      </c>
      <c r="R64" s="85">
        <f t="shared" si="14"/>
        <v>0.4260946877083675</v>
      </c>
      <c r="S64" s="416"/>
      <c r="T64" s="22">
        <v>0.65625</v>
      </c>
      <c r="U64" s="22">
        <v>0.66666666666666696</v>
      </c>
      <c r="V64" s="30">
        <f>(T64-U63)*24*60</f>
        <v>20.000000000000089</v>
      </c>
      <c r="W64" s="73">
        <f t="shared" si="4"/>
        <v>15.000000000000426</v>
      </c>
      <c r="X64" s="261"/>
      <c r="Y64" s="291"/>
      <c r="Z64" s="335"/>
      <c r="AA64" s="335"/>
      <c r="AB64" s="409" t="s">
        <v>132</v>
      </c>
      <c r="AC64" s="495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21">AVERAGE(J59:J68)</f>
        <v>10.833333333333334</v>
      </c>
      <c r="K69" s="240">
        <f t="shared" si="21"/>
        <v>1600.5</v>
      </c>
      <c r="L69" s="268">
        <f t="shared" si="21"/>
        <v>152.75320512820511</v>
      </c>
      <c r="M69" s="240">
        <f t="shared" si="21"/>
        <v>11.833333333333334</v>
      </c>
      <c r="N69" s="240">
        <f t="shared" si="21"/>
        <v>1254.1264214046848</v>
      </c>
      <c r="O69" s="268">
        <f t="shared" si="21"/>
        <v>106.36376811594226</v>
      </c>
      <c r="P69" s="269">
        <f>M69-J69</f>
        <v>1</v>
      </c>
      <c r="Q69" s="222">
        <f>N69-K69</f>
        <v>-346.37357859531517</v>
      </c>
      <c r="R69" s="123">
        <f>O69/L69</f>
        <v>0.69631120359583687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-346.37357859531517</v>
      </c>
      <c r="AG69" s="124">
        <f>N69/K69</f>
        <v>0.78358414333313642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Z3:AA3"/>
    <mergeCell ref="AB3:AC4"/>
    <mergeCell ref="M1:O2"/>
    <mergeCell ref="J1:L2"/>
    <mergeCell ref="AF1:AH2"/>
    <mergeCell ref="W3:W4"/>
    <mergeCell ref="X3:Y3"/>
    <mergeCell ref="A2:B2"/>
    <mergeCell ref="A3:A4"/>
    <mergeCell ref="B3:B4"/>
    <mergeCell ref="D3:E4"/>
    <mergeCell ref="F3:F4"/>
    <mergeCell ref="H3:H4"/>
    <mergeCell ref="I3:I4"/>
    <mergeCell ref="P1:S2"/>
    <mergeCell ref="T3:U3"/>
    <mergeCell ref="T1:Y2"/>
    <mergeCell ref="R3:R4"/>
    <mergeCell ref="S3:S4"/>
    <mergeCell ref="G3:G4"/>
    <mergeCell ref="AD3:AE3"/>
    <mergeCell ref="AF3:AF4"/>
    <mergeCell ref="N3:N4"/>
    <mergeCell ref="O3:O4"/>
    <mergeCell ref="P3:P4"/>
    <mergeCell ref="J3:J4"/>
    <mergeCell ref="K3:K4"/>
    <mergeCell ref="V3:V4"/>
    <mergeCell ref="L3:L4"/>
    <mergeCell ref="M3:M4"/>
    <mergeCell ref="AG3:AG4"/>
    <mergeCell ref="AH5:AH15"/>
    <mergeCell ref="AB6:AC6"/>
    <mergeCell ref="AB7:AC7"/>
    <mergeCell ref="AB8:AC8"/>
    <mergeCell ref="AB9:AC9"/>
    <mergeCell ref="AB10:AC10"/>
    <mergeCell ref="AB11:AC11"/>
    <mergeCell ref="AB13:AC13"/>
    <mergeCell ref="AH3:AH4"/>
    <mergeCell ref="Q3:Q4"/>
    <mergeCell ref="A5:A15"/>
    <mergeCell ref="S5:S15"/>
    <mergeCell ref="AB5:AC5"/>
    <mergeCell ref="D15:E15"/>
    <mergeCell ref="AB14:AC14"/>
    <mergeCell ref="AB12:AC12"/>
    <mergeCell ref="AB15:AC15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24:AC24"/>
    <mergeCell ref="AB25:AC25"/>
    <mergeCell ref="AB19:AC19"/>
    <mergeCell ref="AB20:AC20"/>
    <mergeCell ref="AB21:AC21"/>
    <mergeCell ref="AB22:AC22"/>
    <mergeCell ref="AB23:AC23"/>
    <mergeCell ref="D37:E37"/>
    <mergeCell ref="AB37:AC37"/>
    <mergeCell ref="AB51:AC51"/>
    <mergeCell ref="AB52:AC52"/>
    <mergeCell ref="AB53:AC53"/>
    <mergeCell ref="AB54:AC54"/>
    <mergeCell ref="AB55:AC55"/>
    <mergeCell ref="AB36:AC36"/>
    <mergeCell ref="A27:A37"/>
    <mergeCell ref="S27:S37"/>
    <mergeCell ref="AB27:AC27"/>
    <mergeCell ref="AH49:AH58"/>
    <mergeCell ref="AB50:AC50"/>
    <mergeCell ref="AH38:AH48"/>
    <mergeCell ref="AB39:AC39"/>
    <mergeCell ref="AB40:AC40"/>
    <mergeCell ref="AB41:AC41"/>
    <mergeCell ref="AH27:AH37"/>
    <mergeCell ref="AB45:AC45"/>
    <mergeCell ref="AB46:AC46"/>
    <mergeCell ref="AB47:AC4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56:AC56"/>
    <mergeCell ref="AB57:AC5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70:A79"/>
    <mergeCell ref="S70:S79"/>
    <mergeCell ref="AB70:AC70"/>
    <mergeCell ref="AB38:AC38"/>
    <mergeCell ref="D48:E48"/>
    <mergeCell ref="AB48:AC48"/>
    <mergeCell ref="AB42:AC42"/>
    <mergeCell ref="AB43:AC43"/>
    <mergeCell ref="AB44:AC44"/>
    <mergeCell ref="D79:E79"/>
    <mergeCell ref="A59:A69"/>
    <mergeCell ref="S59:S69"/>
    <mergeCell ref="AB59:AC59"/>
    <mergeCell ref="D69:E69"/>
    <mergeCell ref="AB69:AC69"/>
    <mergeCell ref="A49:A58"/>
    <mergeCell ref="D58:E58"/>
    <mergeCell ref="AB58:AC58"/>
    <mergeCell ref="S49:S58"/>
    <mergeCell ref="AB49:AC49"/>
    <mergeCell ref="A38:A48"/>
    <mergeCell ref="S38:S4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C45CFE-1503-4584-812B-904D8AEC6DF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E92-AE70-46A1-8207-E5E6C633C96D}">
  <dimension ref="B1:O26"/>
  <sheetViews>
    <sheetView topLeftCell="A2" zoomScale="70" zoomScaleNormal="70" workbookViewId="0">
      <selection activeCell="U50" sqref="U5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46121</v>
      </c>
      <c r="E3" s="399"/>
      <c r="F3" s="3" t="s">
        <v>72</v>
      </c>
      <c r="G3" s="400">
        <f>'0409'!E1</f>
        <v>49964</v>
      </c>
      <c r="H3" s="400"/>
      <c r="I3" s="3" t="s">
        <v>2</v>
      </c>
      <c r="J3" s="401">
        <f>'0409'!G1</f>
        <v>2358407.84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134.45572646988089</v>
      </c>
      <c r="G6" s="397"/>
      <c r="H6" s="382">
        <f>AVERAGE(D13:H13)</f>
        <v>130.62902988351516</v>
      </c>
      <c r="I6" s="382"/>
      <c r="J6" s="382">
        <f>AVERAGE(I13)</f>
        <v>153.58920940170941</v>
      </c>
      <c r="K6" s="382"/>
      <c r="L6" s="383">
        <f>SUM(D18:J18)</f>
        <v>3</v>
      </c>
      <c r="M6" s="385">
        <f>SUM(D19:J19)</f>
        <v>56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115.18209897214365</v>
      </c>
      <c r="G7" s="389"/>
      <c r="H7" s="390">
        <f>AVERAGE(D14:H14)</f>
        <v>115.58125602930963</v>
      </c>
      <c r="I7" s="390"/>
      <c r="J7" s="390">
        <f>AVERAGE(I14)</f>
        <v>113.18631368631374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0.85665446906752107</v>
      </c>
      <c r="G8" s="374"/>
      <c r="H8" s="374">
        <f>H7/H6</f>
        <v>0.88480528510681</v>
      </c>
      <c r="I8" s="374"/>
      <c r="J8" s="374">
        <f>J7/J6</f>
        <v>0.73694183417714765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VALUE('0409'!L15)</f>
        <v>166.02637362637364</v>
      </c>
      <c r="E13" s="13">
        <f>VALUE('0409'!L26)</f>
        <v>178.79220779220779</v>
      </c>
      <c r="F13" s="13">
        <f>VALUE('0409'!L37)</f>
        <v>98.529835972850677</v>
      </c>
      <c r="G13" s="13">
        <f>VALUE('0409'!L48)</f>
        <v>100.60555555555555</v>
      </c>
      <c r="H13" s="13">
        <f>VALUE('0409'!L58)</f>
        <v>109.19117647058823</v>
      </c>
      <c r="I13" s="13">
        <f>VALUE('0409'!L69)</f>
        <v>153.58920940170941</v>
      </c>
      <c r="J13" s="13">
        <f>'0409'!L79</f>
        <v>0</v>
      </c>
    </row>
    <row r="14" spans="2:15" ht="39.950000000000003" customHeight="1">
      <c r="B14" s="368"/>
      <c r="C14" s="12" t="s">
        <v>100</v>
      </c>
      <c r="D14" s="13">
        <f>VALUE('0409'!O15)</f>
        <v>154.13410229228984</v>
      </c>
      <c r="E14" s="13">
        <f>VALUE('0409'!O26)</f>
        <v>168.99913883153317</v>
      </c>
      <c r="F14" s="13">
        <f>VALUE('0409'!O37)</f>
        <v>65.050371000851172</v>
      </c>
      <c r="G14" s="13">
        <f>VALUE('0409'!O48)</f>
        <v>87.803726748092885</v>
      </c>
      <c r="H14" s="13">
        <f>VALUE('0409'!O58)</f>
        <v>101.91894127378106</v>
      </c>
      <c r="I14" s="13">
        <f>VALUE('0409'!O69)</f>
        <v>113.18631368631374</v>
      </c>
      <c r="J14" s="13">
        <f>'0409'!O79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0.92837119142982538</v>
      </c>
      <c r="E15" s="14">
        <f t="shared" si="1"/>
        <v>0.94522653374214094</v>
      </c>
      <c r="F15" s="14">
        <f t="shared" si="1"/>
        <v>0.66020987814062149</v>
      </c>
      <c r="G15" s="14">
        <f t="shared" si="1"/>
        <v>0.87275226763800984</v>
      </c>
      <c r="H15" s="14">
        <f t="shared" si="1"/>
        <v>0.93339905813025081</v>
      </c>
      <c r="I15" s="14">
        <f t="shared" si="1"/>
        <v>0.73694183417714765</v>
      </c>
      <c r="J15" s="15">
        <f>'0409'!S70</f>
        <v>0</v>
      </c>
    </row>
    <row r="16" spans="2:15" ht="17.25" customHeight="1">
      <c r="B16" s="370" t="s">
        <v>101</v>
      </c>
      <c r="C16" s="10" t="s">
        <v>34</v>
      </c>
      <c r="D16" s="16">
        <f>'0409'!T5</f>
        <v>0.29513888888888901</v>
      </c>
      <c r="E16" s="16">
        <f>'0409'!T16</f>
        <v>0.29513888888888901</v>
      </c>
      <c r="F16" s="16">
        <f>'0409'!T27</f>
        <v>0.29166666666666702</v>
      </c>
      <c r="G16" s="16">
        <f>'0409'!T38</f>
        <v>0.33333333333333298</v>
      </c>
      <c r="H16" s="16">
        <f>'0409'!T49</f>
        <v>0.29027777777777802</v>
      </c>
      <c r="I16" s="16">
        <f>'0409'!T59</f>
        <v>0.29166666666666702</v>
      </c>
      <c r="J16" s="16">
        <f>'0409'!T70</f>
        <v>0</v>
      </c>
    </row>
    <row r="17" spans="2:10" ht="17.25" customHeight="1">
      <c r="B17" s="371"/>
      <c r="C17" s="10" t="s">
        <v>35</v>
      </c>
      <c r="D17" s="16">
        <v>0.64236111111111105</v>
      </c>
      <c r="E17" s="19">
        <v>0.58402777777777803</v>
      </c>
      <c r="F17" s="19">
        <v>0.66041666666666698</v>
      </c>
      <c r="G17" s="210">
        <v>0.61944444444444402</v>
      </c>
      <c r="H17" s="21">
        <v>0.44722222222222202</v>
      </c>
      <c r="I17" s="22">
        <v>0.63888888888888895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'0409'!Z15</f>
        <v>0</v>
      </c>
      <c r="E18" s="359">
        <f>'0409'!Z26</f>
        <v>0</v>
      </c>
      <c r="F18" s="359">
        <f>'0409'!Z37</f>
        <v>3</v>
      </c>
      <c r="G18" s="360">
        <f>'0409'!Z48</f>
        <v>0</v>
      </c>
      <c r="H18" s="360">
        <f>'0409'!Z58</f>
        <v>0</v>
      </c>
      <c r="I18" s="359">
        <f>'0409'!Z69</f>
        <v>0</v>
      </c>
      <c r="J18" s="359">
        <f>'0409'!AA79</f>
        <v>0</v>
      </c>
    </row>
    <row r="19" spans="2:10" ht="17.25" customHeight="1">
      <c r="B19" s="373"/>
      <c r="C19" s="330" t="s">
        <v>37</v>
      </c>
      <c r="D19" s="358">
        <f>'0409'!AA15</f>
        <v>0</v>
      </c>
      <c r="E19" s="359">
        <f>'0409'!AA26</f>
        <v>0</v>
      </c>
      <c r="F19" s="359">
        <f>'0409'!AA37</f>
        <v>56</v>
      </c>
      <c r="G19" s="360">
        <f>'0409'!AA48</f>
        <v>0</v>
      </c>
      <c r="H19" s="360">
        <f>'0409'!AA58</f>
        <v>0</v>
      </c>
      <c r="I19" s="359">
        <f>'0409'!AA69</f>
        <v>0</v>
      </c>
      <c r="J19" s="359">
        <f>'0409'!AB79</f>
        <v>0</v>
      </c>
    </row>
    <row r="20" spans="2:10" ht="17.25" customHeight="1">
      <c r="B20" s="372" t="s">
        <v>103</v>
      </c>
      <c r="C20" s="330" t="s">
        <v>36</v>
      </c>
      <c r="D20" s="358">
        <f>'0409'!AD15</f>
        <v>0</v>
      </c>
      <c r="E20" s="359">
        <f>'0409'!AD26</f>
        <v>0</v>
      </c>
      <c r="F20" s="359">
        <f>'0409'!AD37</f>
        <v>0</v>
      </c>
      <c r="G20" s="360">
        <f>'0409'!AD48</f>
        <v>0</v>
      </c>
      <c r="H20" s="360">
        <f>'0409'!AD58</f>
        <v>0</v>
      </c>
      <c r="I20" s="359">
        <f>'0409'!AD69</f>
        <v>0</v>
      </c>
      <c r="J20" s="359">
        <f>'0409'!AD79</f>
        <v>0</v>
      </c>
    </row>
    <row r="21" spans="2:10" ht="17.25" customHeight="1">
      <c r="B21" s="373"/>
      <c r="C21" s="330" t="s">
        <v>85</v>
      </c>
      <c r="D21" s="358">
        <f>'0409'!AE15</f>
        <v>0</v>
      </c>
      <c r="E21" s="359">
        <f>'0409'!AE26</f>
        <v>0</v>
      </c>
      <c r="F21" s="359">
        <f>'0409'!AE37</f>
        <v>0</v>
      </c>
      <c r="G21" s="360">
        <f>'0409'!AE48</f>
        <v>0</v>
      </c>
      <c r="H21" s="360">
        <f>'0409'!AE58</f>
        <v>0</v>
      </c>
      <c r="I21" s="359">
        <f>'0409'!AE69</f>
        <v>0</v>
      </c>
      <c r="J21" s="359">
        <f>'0409'!AE79</f>
        <v>0</v>
      </c>
    </row>
    <row r="22" spans="2:10" ht="17.25" customHeight="1">
      <c r="B22" s="364" t="s">
        <v>104</v>
      </c>
      <c r="C22" s="365"/>
      <c r="D22" s="23">
        <f>VALUE('0409'!M15)</f>
        <v>12.8</v>
      </c>
      <c r="E22" s="23">
        <f>VALUE('0409'!M26)</f>
        <v>12</v>
      </c>
      <c r="F22" s="23">
        <f>VALUE('0409'!M37)</f>
        <v>13.25</v>
      </c>
      <c r="G22" s="23">
        <f>VALUE('0409'!M48)</f>
        <v>15.75</v>
      </c>
      <c r="H22" s="23">
        <f>VALUE('0409'!M58)</f>
        <v>14</v>
      </c>
      <c r="I22" s="23">
        <f>VALUE('0409'!M69)</f>
        <v>11.75</v>
      </c>
      <c r="J22" s="23">
        <f>'0409'!M79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6D14-07E2-4BD6-8DC6-34A8DFA43CB6}">
  <sheetPr>
    <tabColor theme="9" tint="0.79998168889431442"/>
  </sheetPr>
  <dimension ref="A1:AJ92"/>
  <sheetViews>
    <sheetView zoomScale="73" zoomScaleNormal="73" workbookViewId="0">
      <pane xSplit="5" ySplit="4" topLeftCell="J41" activePane="bottomRight" state="frozen"/>
      <selection activeCell="U50" sqref="U50"/>
      <selection pane="topRight" activeCell="U50" sqref="U50"/>
      <selection pane="bottomLeft" activeCell="U50" sqref="U50"/>
      <selection pane="bottomRight" activeCell="AB62" sqref="AB62:AC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49964</v>
      </c>
      <c r="F1" s="30" t="s">
        <v>2</v>
      </c>
      <c r="G1" s="31">
        <f>SUM(H5:H79)</f>
        <v>2358407.84</v>
      </c>
      <c r="H1" s="32" t="s">
        <v>3</v>
      </c>
      <c r="I1" s="33">
        <f>M15+M26+M48+M58+M69+M79+M37</f>
        <v>79.55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156</v>
      </c>
      <c r="B2" s="483"/>
      <c r="C2" s="28"/>
      <c r="D2" s="28" t="s">
        <v>14</v>
      </c>
      <c r="E2" s="35">
        <f>AVERAGE(O15,O26,O37,O48,O58,O69,O79)</f>
        <v>115.18209897214365</v>
      </c>
      <c r="F2" s="36" t="s">
        <v>15</v>
      </c>
      <c r="G2" s="37">
        <f>G1/E1</f>
        <v>47.202142342486589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3</v>
      </c>
      <c r="AA2" s="339">
        <f>AA15+AA26+AA37+AA48+AA58+AA69+AA79</f>
        <v>56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3799</v>
      </c>
      <c r="H5" s="43">
        <f>F5*G5</f>
        <v>217340.79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1982.086956521742</v>
      </c>
      <c r="O5" s="47">
        <f>N5/M5</f>
        <v>141.57763975155299</v>
      </c>
      <c r="P5" s="49">
        <f>M5-J5</f>
        <v>0</v>
      </c>
      <c r="Q5" s="50">
        <f>O5-L5</f>
        <v>-9.708074534161284</v>
      </c>
      <c r="R5" s="51">
        <f>O5/L5</f>
        <v>0.93582953565710203</v>
      </c>
      <c r="S5" s="415">
        <f>R15</f>
        <v>0.92837119142982538</v>
      </c>
      <c r="T5" s="319">
        <v>0.29513888888888901</v>
      </c>
      <c r="U5" s="320">
        <v>0.375</v>
      </c>
      <c r="V5" s="53"/>
      <c r="W5" s="54">
        <f t="shared" ref="W5:W14" si="0">(U5-T5)*24*60</f>
        <v>114.99999999999983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-135.91304347825803</v>
      </c>
      <c r="AG5" s="52">
        <f t="shared" ref="AG5:AG11" si="2">N5/K5</f>
        <v>0.93582953565710192</v>
      </c>
      <c r="AH5" s="403">
        <f>AG15</f>
        <v>0.92819381093148978</v>
      </c>
    </row>
    <row r="6" spans="1:34" ht="15" customHeight="1">
      <c r="A6" s="489"/>
      <c r="B6" s="57" t="s">
        <v>81</v>
      </c>
      <c r="C6" s="58"/>
      <c r="D6" s="59" t="s">
        <v>116</v>
      </c>
      <c r="E6" s="60"/>
      <c r="F6" s="61">
        <f>VLOOKUP(D6,廠價表!$C$1:$E$43,3,0)</f>
        <v>50.67</v>
      </c>
      <c r="G6" s="62">
        <v>2371</v>
      </c>
      <c r="H6" s="63">
        <f>F6*G6</f>
        <v>120138.57</v>
      </c>
      <c r="I6" s="64"/>
      <c r="J6" s="65">
        <f>VLOOKUP(D6,產線配置圖!$A$3:$C$38,2,0)</f>
        <v>12</v>
      </c>
      <c r="K6" s="66">
        <f>VLOOKUP(D6,產線配置圖!$A$3:$C$38,3,0)</f>
        <v>2118</v>
      </c>
      <c r="L6" s="67">
        <f>K6/J6</f>
        <v>176.5</v>
      </c>
      <c r="M6" s="68">
        <v>12</v>
      </c>
      <c r="N6" s="66">
        <f>G6/W6*60</f>
        <v>2003.6619718309682</v>
      </c>
      <c r="O6" s="67">
        <f>N6/M6</f>
        <v>166.97183098591401</v>
      </c>
      <c r="P6" s="69">
        <f>M6-J6</f>
        <v>0</v>
      </c>
      <c r="Q6" s="70">
        <f>O6-L6</f>
        <v>-9.5281690140859894</v>
      </c>
      <c r="R6" s="71">
        <f>O6/L6</f>
        <v>0.94601603958024938</v>
      </c>
      <c r="S6" s="416"/>
      <c r="T6" s="16">
        <v>0.38333333333333303</v>
      </c>
      <c r="U6" s="16">
        <v>0.43263888888888902</v>
      </c>
      <c r="V6" s="30">
        <f>(T6-U5)*24*60</f>
        <v>11.999999999999558</v>
      </c>
      <c r="W6" s="73">
        <f t="shared" si="0"/>
        <v>71.000000000000625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-114.33802816903176</v>
      </c>
      <c r="AG6" s="72">
        <f t="shared" si="2"/>
        <v>0.94601603958024938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1881</v>
      </c>
      <c r="H7" s="78">
        <f>F7*G7</f>
        <v>92432.34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1979.9999999999654</v>
      </c>
      <c r="O7" s="81">
        <f>N7/M7</f>
        <v>152.30769230768965</v>
      </c>
      <c r="P7" s="74">
        <f>M7-J7</f>
        <v>0</v>
      </c>
      <c r="Q7" s="83">
        <f>O7-L7</f>
        <v>-10.615384615387285</v>
      </c>
      <c r="R7" s="72">
        <f>O7/L7</f>
        <v>0.93484419263454455</v>
      </c>
      <c r="S7" s="416"/>
      <c r="T7" s="18">
        <v>0.438194444444444</v>
      </c>
      <c r="U7" s="18">
        <v>0.47777777777777802</v>
      </c>
      <c r="V7" s="30">
        <f>(T7-U6)*24*60</f>
        <v>7.9999999999991722</v>
      </c>
      <c r="W7" s="73">
        <f t="shared" si="0"/>
        <v>57.000000000000995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-138.00000000003456</v>
      </c>
      <c r="AG7" s="72">
        <f t="shared" si="2"/>
        <v>0.93484419263454455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2690</v>
      </c>
      <c r="H8" s="78">
        <f>F8*G8</f>
        <v>132186.6</v>
      </c>
      <c r="I8" s="73"/>
      <c r="J8" s="79">
        <f>VLOOKUP(D8,產線配置圖!$A$3:$C$38,2,0)</f>
        <v>13</v>
      </c>
      <c r="K8" s="80">
        <f>VLOOKUP(D8,產線配置圖!$A$3:$C$38,3,0)</f>
        <v>2118</v>
      </c>
      <c r="L8" s="81">
        <f>K8/J8</f>
        <v>162.92307692307693</v>
      </c>
      <c r="M8" s="82">
        <v>13</v>
      </c>
      <c r="N8" s="80">
        <f>G8/W8*60</f>
        <v>1898.8235294117894</v>
      </c>
      <c r="O8" s="81">
        <f>N8/M8</f>
        <v>146.06334841629149</v>
      </c>
      <c r="P8" s="74">
        <f>M8-J8</f>
        <v>0</v>
      </c>
      <c r="Q8" s="83">
        <f>O8-L8</f>
        <v>-16.859728506785444</v>
      </c>
      <c r="R8" s="72">
        <f>O8/L8</f>
        <v>0.89651724712549064</v>
      </c>
      <c r="S8" s="416"/>
      <c r="T8" s="16">
        <v>0.54166666666666696</v>
      </c>
      <c r="U8" s="16">
        <v>0.60069444444444398</v>
      </c>
      <c r="V8" s="30">
        <f>(T8-U7)*24*60</f>
        <v>92.000000000000071</v>
      </c>
      <c r="W8" s="73">
        <f t="shared" si="0"/>
        <v>84.999999999998892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-219.17647058821058</v>
      </c>
      <c r="AG8" s="72">
        <f t="shared" si="2"/>
        <v>0.89651724712549075</v>
      </c>
      <c r="AH8" s="405"/>
    </row>
    <row r="9" spans="1:34" ht="15" customHeight="1">
      <c r="A9" s="490"/>
      <c r="B9" s="75" t="s">
        <v>81</v>
      </c>
      <c r="C9" s="76"/>
      <c r="D9" s="59" t="s">
        <v>116</v>
      </c>
      <c r="E9" s="77"/>
      <c r="F9" s="75">
        <f>VLOOKUP(D9,廠價表!$C$1:$E$43,3,0)</f>
        <v>50.67</v>
      </c>
      <c r="G9" s="66">
        <v>1572</v>
      </c>
      <c r="H9" s="78">
        <f>F9*G9</f>
        <v>79653.240000000005</v>
      </c>
      <c r="I9" s="73"/>
      <c r="J9" s="79">
        <f>VLOOKUP(D9,產線配置圖!$A$3:$C$38,2,0)</f>
        <v>12</v>
      </c>
      <c r="K9" s="80">
        <f>VLOOKUP(D9,產線配置圖!$A$3:$C$38,3,0)</f>
        <v>2118</v>
      </c>
      <c r="L9" s="81">
        <f>K9/J9</f>
        <v>176.5</v>
      </c>
      <c r="M9" s="82">
        <v>12</v>
      </c>
      <c r="N9" s="80">
        <f>G9/W9*60</f>
        <v>1965.0000000000132</v>
      </c>
      <c r="O9" s="81">
        <f>N9/M9</f>
        <v>163.75000000000111</v>
      </c>
      <c r="P9" s="74">
        <f>M9-J9</f>
        <v>0</v>
      </c>
      <c r="Q9" s="83">
        <f>O9-L9</f>
        <v>-12.749999999998892</v>
      </c>
      <c r="R9" s="72">
        <f>O9/L9</f>
        <v>0.92776203966006299</v>
      </c>
      <c r="S9" s="417"/>
      <c r="T9" s="16">
        <v>0.60902777777777795</v>
      </c>
      <c r="U9" s="16">
        <v>0.64236111111111105</v>
      </c>
      <c r="V9" s="30">
        <f>(T9-U8)*24*60</f>
        <v>12.000000000000917</v>
      </c>
      <c r="W9" s="73">
        <f t="shared" si="0"/>
        <v>47.999999999999673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-152.99999999998681</v>
      </c>
      <c r="AG9" s="72">
        <f t="shared" si="2"/>
        <v>0.92776203966006288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12.8</v>
      </c>
      <c r="K15" s="120">
        <f t="shared" si="3"/>
        <v>2118</v>
      </c>
      <c r="L15" s="117">
        <f t="shared" si="3"/>
        <v>166.02637362637364</v>
      </c>
      <c r="M15" s="120">
        <f t="shared" si="3"/>
        <v>12.8</v>
      </c>
      <c r="N15" s="120">
        <f t="shared" si="3"/>
        <v>1965.9144915528955</v>
      </c>
      <c r="O15" s="117">
        <f t="shared" si="3"/>
        <v>154.13410229228984</v>
      </c>
      <c r="P15" s="121">
        <f>M15-J15</f>
        <v>0</v>
      </c>
      <c r="Q15" s="122">
        <f>O15-L15</f>
        <v>-11.892271334083802</v>
      </c>
      <c r="R15" s="123">
        <f>O15/L15</f>
        <v>0.92837119142982538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-152.08550844710453</v>
      </c>
      <c r="AG15" s="124">
        <f>N15/K15</f>
        <v>0.92819381093148978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5349</v>
      </c>
      <c r="H16" s="134">
        <f>F16*G16</f>
        <v>304197.63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2070.580645161288</v>
      </c>
      <c r="O16" s="141">
        <f>N16/M16</f>
        <v>147.89861751152057</v>
      </c>
      <c r="P16" s="142">
        <f>M16-J16</f>
        <v>0</v>
      </c>
      <c r="Q16" s="143">
        <f>O16-L16</f>
        <v>-3.3870967741937079</v>
      </c>
      <c r="R16" s="144">
        <f>O16/L16</f>
        <v>0.97761125833866291</v>
      </c>
      <c r="S16" s="443">
        <f>R26</f>
        <v>0.94522653374214094</v>
      </c>
      <c r="T16" s="145">
        <v>0.29513888888888901</v>
      </c>
      <c r="U16" s="145">
        <v>0.40277777777777801</v>
      </c>
      <c r="V16" s="135"/>
      <c r="W16" s="146">
        <f t="shared" ref="W16:W78" si="4">(U16-T16)*24*60</f>
        <v>155.00000000000017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-47.419354838712025</v>
      </c>
      <c r="AG16" s="52">
        <f>N16/K16</f>
        <v>0.97761125833866291</v>
      </c>
      <c r="AH16" s="403">
        <f>AG26</f>
        <v>0.94753972835617817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3508</v>
      </c>
      <c r="H17" s="78">
        <f>F17*G17</f>
        <v>176768.12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2063.5294117646858</v>
      </c>
      <c r="O17" s="96">
        <f>N17/M17</f>
        <v>187.59358288769872</v>
      </c>
      <c r="P17" s="97">
        <f>M17-J17</f>
        <v>0</v>
      </c>
      <c r="Q17" s="98">
        <f>O17-L17</f>
        <v>-4.9518716577558166</v>
      </c>
      <c r="R17" s="99">
        <f>O17/L17</f>
        <v>0.97428206410041829</v>
      </c>
      <c r="S17" s="444"/>
      <c r="T17" s="19">
        <v>0.40833333333333299</v>
      </c>
      <c r="U17" s="19">
        <v>0.47916666666666702</v>
      </c>
      <c r="V17" s="30">
        <f>(T17-U16)*24*60</f>
        <v>7.9999999999991722</v>
      </c>
      <c r="W17" s="149">
        <f t="shared" si="4"/>
        <v>102.00000000000099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-54.470588235314153</v>
      </c>
      <c r="AG17" s="72">
        <f>N17/K17</f>
        <v>0.97428206410041829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1918</v>
      </c>
      <c r="H18" s="78">
        <f>F18*G18</f>
        <v>96648.02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1886.5573770491819</v>
      </c>
      <c r="O18" s="96">
        <f>N18/M18</f>
        <v>171.50521609538018</v>
      </c>
      <c r="P18" s="97">
        <f>M18-J18</f>
        <v>0</v>
      </c>
      <c r="Q18" s="98">
        <f>O18-L18</f>
        <v>-21.040238450074355</v>
      </c>
      <c r="R18" s="99">
        <f>O18/L18</f>
        <v>0.8907258626294533</v>
      </c>
      <c r="S18" s="444"/>
      <c r="T18" s="19">
        <v>0.54166666666666696</v>
      </c>
      <c r="U18" s="19">
        <v>0.58402777777777803</v>
      </c>
      <c r="V18" s="30">
        <f>(T18-U17)*24*60</f>
        <v>89.999999999999915</v>
      </c>
      <c r="W18" s="149">
        <f t="shared" si="4"/>
        <v>60.999999999999943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-231.44262295081808</v>
      </c>
      <c r="AG18" s="72">
        <f>N18/K18</f>
        <v>0.89072586262945319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</v>
      </c>
      <c r="K26" s="155">
        <f t="shared" si="5"/>
        <v>2118</v>
      </c>
      <c r="L26" s="158">
        <f t="shared" si="5"/>
        <v>178.79220779220779</v>
      </c>
      <c r="M26" s="155">
        <f t="shared" si="5"/>
        <v>12</v>
      </c>
      <c r="N26" s="155">
        <f t="shared" si="5"/>
        <v>2006.8891446583855</v>
      </c>
      <c r="O26" s="158">
        <f t="shared" si="5"/>
        <v>168.99913883153317</v>
      </c>
      <c r="P26" s="159">
        <f>M26-J26</f>
        <v>0</v>
      </c>
      <c r="Q26" s="160">
        <f>O26-L26</f>
        <v>-9.7930689606746171</v>
      </c>
      <c r="R26" s="161">
        <f>O26/L26</f>
        <v>0.94522653374214094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-111.11085534161452</v>
      </c>
      <c r="AG26" s="124">
        <f t="shared" ref="AG26:AG31" si="7">N26/K26</f>
        <v>0.94753972835617817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2412</v>
      </c>
      <c r="H27" s="134">
        <f>F27*G27</f>
        <v>119442.24000000001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14</v>
      </c>
      <c r="N27" s="140">
        <f>G27/W27*60</f>
        <v>998.06896551724594</v>
      </c>
      <c r="O27" s="141">
        <f>N27/M27</f>
        <v>71.290640394088996</v>
      </c>
      <c r="P27" s="142">
        <f>M27-J27</f>
        <v>-3</v>
      </c>
      <c r="Q27" s="143">
        <f>O27-L27</f>
        <v>-13.415241958852178</v>
      </c>
      <c r="R27" s="144">
        <f>O27/L27</f>
        <v>0.84162561576355066</v>
      </c>
      <c r="S27" s="443">
        <f>R37</f>
        <v>0.66020987814062149</v>
      </c>
      <c r="T27" s="171">
        <v>0.29166666666666702</v>
      </c>
      <c r="U27" s="171">
        <v>0.39236111111111099</v>
      </c>
      <c r="V27" s="135"/>
      <c r="W27" s="146">
        <f t="shared" si="4"/>
        <v>144.99999999999932</v>
      </c>
      <c r="X27" s="135"/>
      <c r="Y27" s="300" t="s">
        <v>46</v>
      </c>
      <c r="Z27" s="169">
        <v>1</v>
      </c>
      <c r="AA27" s="169">
        <v>8</v>
      </c>
      <c r="AB27" s="420" t="s">
        <v>157</v>
      </c>
      <c r="AC27" s="420"/>
      <c r="AD27" s="135"/>
      <c r="AE27" s="135"/>
      <c r="AF27" s="310">
        <f t="shared" si="6"/>
        <v>-441.93103448275406</v>
      </c>
      <c r="AG27" s="172">
        <f t="shared" si="7"/>
        <v>0.69310344827586523</v>
      </c>
      <c r="AH27" s="403">
        <f>AG37</f>
        <v>0.6031976829267115</v>
      </c>
    </row>
    <row r="28" spans="1:34" ht="15" customHeight="1">
      <c r="A28" s="441"/>
      <c r="B28" s="75" t="s">
        <v>81</v>
      </c>
      <c r="C28" s="173"/>
      <c r="D28" s="59" t="s">
        <v>122</v>
      </c>
      <c r="E28" s="104"/>
      <c r="F28" s="75">
        <f>VLOOKUP(D28,廠價表!$C$1:$E$43,3,0)</f>
        <v>56.43</v>
      </c>
      <c r="G28" s="90">
        <v>1213</v>
      </c>
      <c r="H28" s="91">
        <f>F28*G28</f>
        <v>68449.59</v>
      </c>
      <c r="I28" s="92"/>
      <c r="J28" s="79">
        <f>VLOOKUP(D28,產線配置圖!$A$3:$C$38,2,0)</f>
        <v>16</v>
      </c>
      <c r="K28" s="80">
        <f>VLOOKUP(D28,產線配置圖!$A$3:$C$38,3,0)</f>
        <v>1406</v>
      </c>
      <c r="L28" s="93">
        <f>K28/J28</f>
        <v>87.875</v>
      </c>
      <c r="M28" s="94">
        <v>13</v>
      </c>
      <c r="N28" s="95">
        <f>G28/W28*60</f>
        <v>1010.8333333333335</v>
      </c>
      <c r="O28" s="96">
        <f>N28/M28</f>
        <v>77.756410256410263</v>
      </c>
      <c r="P28" s="97">
        <f>M28-J28</f>
        <v>-3</v>
      </c>
      <c r="Q28" s="98">
        <f>O28-L28</f>
        <v>-10.118589743589737</v>
      </c>
      <c r="R28" s="99">
        <f>O28/L28</f>
        <v>0.88485246379983229</v>
      </c>
      <c r="S28" s="444"/>
      <c r="T28" s="19">
        <v>0.40138888888888902</v>
      </c>
      <c r="U28" s="19">
        <v>0.45138888888888901</v>
      </c>
      <c r="V28" s="92">
        <f>(T28-U27)*24*60</f>
        <v>13.000000000000353</v>
      </c>
      <c r="W28" s="149">
        <f t="shared" si="4"/>
        <v>71.999999999999986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6"/>
        <v>-395.16666666666652</v>
      </c>
      <c r="AG28" s="99">
        <f t="shared" si="7"/>
        <v>0.71894262683736376</v>
      </c>
      <c r="AH28" s="404"/>
    </row>
    <row r="29" spans="1:34" ht="15" customHeight="1">
      <c r="A29" s="441"/>
      <c r="B29" s="75" t="s">
        <v>81</v>
      </c>
      <c r="C29" s="173"/>
      <c r="D29" s="59" t="s">
        <v>120</v>
      </c>
      <c r="E29" s="104"/>
      <c r="F29" s="75">
        <f>VLOOKUP(D29,廠價表!$C$1:$E$43,3,0)</f>
        <v>50.67</v>
      </c>
      <c r="G29" s="90">
        <v>995</v>
      </c>
      <c r="H29" s="91">
        <f>F29*G29</f>
        <v>50416.65</v>
      </c>
      <c r="I29" s="92"/>
      <c r="J29" s="79">
        <f>VLOOKUP(D29,產線配置圖!$A$3:$C$38,2,0)</f>
        <v>13</v>
      </c>
      <c r="K29" s="80">
        <f>VLOOKUP(D29,產線配置圖!$A$3:$C$38,3,0)</f>
        <v>1440</v>
      </c>
      <c r="L29" s="93">
        <f>K29/J29</f>
        <v>110.76923076923077</v>
      </c>
      <c r="M29" s="94">
        <v>13</v>
      </c>
      <c r="N29" s="95">
        <f>G29/W29*60</f>
        <v>795.99999999999</v>
      </c>
      <c r="O29" s="96">
        <f>N29/M29</f>
        <v>61.230769230768459</v>
      </c>
      <c r="P29" s="97">
        <f>M29-J29</f>
        <v>0</v>
      </c>
      <c r="Q29" s="98">
        <f>O29-L29</f>
        <v>-49.538461538462315</v>
      </c>
      <c r="R29" s="99">
        <f>O29/L29</f>
        <v>0.55277777777777082</v>
      </c>
      <c r="S29" s="444"/>
      <c r="T29" s="19">
        <v>0.45833333333333298</v>
      </c>
      <c r="U29" s="19">
        <v>0.51041666666666696</v>
      </c>
      <c r="V29" s="92">
        <f>(T29-U28)*24*60</f>
        <v>9.999999999999325</v>
      </c>
      <c r="W29" s="149">
        <f t="shared" si="4"/>
        <v>75.000000000000938</v>
      </c>
      <c r="X29" s="22"/>
      <c r="Y29" s="84"/>
      <c r="Z29" s="90">
        <v>1</v>
      </c>
      <c r="AA29" s="90">
        <v>25</v>
      </c>
      <c r="AB29" s="409" t="s">
        <v>158</v>
      </c>
      <c r="AC29" s="409"/>
      <c r="AD29" s="92"/>
      <c r="AE29" s="92"/>
      <c r="AF29" s="312">
        <f t="shared" si="6"/>
        <v>-644.00000000001</v>
      </c>
      <c r="AG29" s="99">
        <f t="shared" si="7"/>
        <v>0.55277777777777082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1417</v>
      </c>
      <c r="H30" s="91">
        <f>F30*G30</f>
        <v>71799.39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649.00763358778067</v>
      </c>
      <c r="O30" s="96">
        <f>N30/M30</f>
        <v>49.923664122136977</v>
      </c>
      <c r="P30" s="97">
        <f>M30-J30</f>
        <v>0</v>
      </c>
      <c r="Q30" s="98">
        <f>O30-L30</f>
        <v>-60.845566647093797</v>
      </c>
      <c r="R30" s="99">
        <f>O30/L30</f>
        <v>0.45069974554706993</v>
      </c>
      <c r="S30" s="444"/>
      <c r="T30" s="19">
        <v>0.56944444444444398</v>
      </c>
      <c r="U30" s="19">
        <v>0.66041666666666698</v>
      </c>
      <c r="V30" s="92">
        <f>(T30-U29)*24*60</f>
        <v>84.999999999998892</v>
      </c>
      <c r="W30" s="149">
        <f t="shared" si="4"/>
        <v>131.00000000000114</v>
      </c>
      <c r="X30" s="174">
        <v>0.49652777777777801</v>
      </c>
      <c r="Y30" s="301">
        <v>0.53819444444444398</v>
      </c>
      <c r="Z30" s="335">
        <v>1</v>
      </c>
      <c r="AA30" s="335">
        <v>23</v>
      </c>
      <c r="AB30" s="409" t="s">
        <v>159</v>
      </c>
      <c r="AC30" s="409"/>
      <c r="AD30" s="92"/>
      <c r="AE30" s="92"/>
      <c r="AF30" s="312">
        <f t="shared" si="6"/>
        <v>-790.99236641221933</v>
      </c>
      <c r="AG30" s="99">
        <f t="shared" si="7"/>
        <v>0.45069974554706993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14.75</v>
      </c>
      <c r="K37" s="155">
        <f t="shared" si="8"/>
        <v>1431.5</v>
      </c>
      <c r="L37" s="158">
        <f t="shared" si="8"/>
        <v>98.529835972850677</v>
      </c>
      <c r="M37" s="155">
        <f t="shared" si="8"/>
        <v>13.25</v>
      </c>
      <c r="N37" s="155">
        <f t="shared" si="8"/>
        <v>863.47748310958752</v>
      </c>
      <c r="O37" s="158">
        <f t="shared" si="8"/>
        <v>65.050371000851172</v>
      </c>
      <c r="P37" s="159">
        <f>M37-J37</f>
        <v>-1.5</v>
      </c>
      <c r="Q37" s="160">
        <f>N37-K37</f>
        <v>-568.02251689041248</v>
      </c>
      <c r="R37" s="161">
        <f>O37/L37</f>
        <v>0.66020987814062149</v>
      </c>
      <c r="S37" s="445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56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-568.02251689041248</v>
      </c>
      <c r="AG37" s="124">
        <f>N37/K37</f>
        <v>0.6031976829267115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1972</v>
      </c>
      <c r="H38" s="134">
        <f>F38*G38</f>
        <v>98422.51999999999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1425.5421686746956</v>
      </c>
      <c r="O38" s="141">
        <f>N38/M38</f>
        <v>95.036144578313042</v>
      </c>
      <c r="P38" s="142">
        <f>M38-J38</f>
        <v>0</v>
      </c>
      <c r="Q38" s="143">
        <f>O38-L38</f>
        <v>-19.230522088353624</v>
      </c>
      <c r="R38" s="144">
        <f>O38/L38</f>
        <v>0.83170488254066255</v>
      </c>
      <c r="S38" s="433">
        <f>R48</f>
        <v>0.87275226763800984</v>
      </c>
      <c r="T38" s="191">
        <v>0.33333333333333298</v>
      </c>
      <c r="U38" s="191">
        <v>0.390972222222222</v>
      </c>
      <c r="V38" s="192"/>
      <c r="W38" s="193">
        <f t="shared" si="4"/>
        <v>83.000000000000185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-288.45783132530437</v>
      </c>
      <c r="AG38" s="195">
        <f>N38/K38</f>
        <v>0.83170488254066255</v>
      </c>
      <c r="AH38" s="436">
        <f>AG48</f>
        <v>0.84045707431382299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3285</v>
      </c>
      <c r="H39" s="91">
        <f>F39*G39</f>
        <v>145525.5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1407.8571428571463</v>
      </c>
      <c r="O39" s="203">
        <f>N39/M39</f>
        <v>82.815126050420375</v>
      </c>
      <c r="P39" s="97">
        <f>M39-J39</f>
        <v>-1</v>
      </c>
      <c r="Q39" s="98">
        <f>O39-L39</f>
        <v>-4.1293183940240681</v>
      </c>
      <c r="R39" s="99">
        <f>O39/L39</f>
        <v>0.95250624211346124</v>
      </c>
      <c r="S39" s="434"/>
      <c r="T39" s="20">
        <v>0.4</v>
      </c>
      <c r="U39" s="20">
        <v>0.49722222222222201</v>
      </c>
      <c r="V39" s="92">
        <f>(T39-U38)*24*60</f>
        <v>13.000000000000353</v>
      </c>
      <c r="W39" s="205">
        <f t="shared" si="4"/>
        <v>139.99999999999966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-157.1428571428537</v>
      </c>
      <c r="AG39" s="206">
        <f>N39/K39</f>
        <v>0.89958922866271329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1142</v>
      </c>
      <c r="H40" s="91">
        <f>F40*G40</f>
        <v>50590.6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16</v>
      </c>
      <c r="N40" s="202">
        <f>G40/W40*60</f>
        <v>1245.818181818197</v>
      </c>
      <c r="O40" s="203">
        <f>N40/M40</f>
        <v>77.863636363637312</v>
      </c>
      <c r="P40" s="97">
        <f>M40-J40</f>
        <v>-2</v>
      </c>
      <c r="Q40" s="98">
        <f>O40-L40</f>
        <v>-9.080808080807131</v>
      </c>
      <c r="R40" s="99">
        <f>O40/L40</f>
        <v>0.89555620098752187</v>
      </c>
      <c r="S40" s="416"/>
      <c r="T40" s="20">
        <v>0.55416666666666703</v>
      </c>
      <c r="U40" s="20">
        <v>0.59236111111111101</v>
      </c>
      <c r="V40" s="92">
        <f>(T40-U39)*24*60</f>
        <v>82.000000000000824</v>
      </c>
      <c r="W40" s="205">
        <f t="shared" si="4"/>
        <v>54.999999999999325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-319.18181818180301</v>
      </c>
      <c r="AG40" s="206">
        <f>N40/K40</f>
        <v>0.79604995643335275</v>
      </c>
      <c r="AH40" s="437"/>
    </row>
    <row r="41" spans="1:34" ht="15" customHeight="1">
      <c r="A41" s="431"/>
      <c r="B41" s="75" t="s">
        <v>118</v>
      </c>
      <c r="C41" s="207"/>
      <c r="D41" s="198" t="s">
        <v>123</v>
      </c>
      <c r="E41" s="178"/>
      <c r="F41" s="75">
        <f>VLOOKUP(D41,廠價表!$C$1:$E$43,3,0)</f>
        <v>49.91</v>
      </c>
      <c r="G41" s="199">
        <v>764</v>
      </c>
      <c r="H41" s="91">
        <f>F41*G41</f>
        <v>38131.24</v>
      </c>
      <c r="I41" s="200"/>
      <c r="J41" s="148">
        <f>VLOOKUP(D41,產線配置圖!$A$3:$C$38,2,0)</f>
        <v>15</v>
      </c>
      <c r="K41" s="95">
        <f>VLOOKUP(D41,產線配置圖!$A$3:$C$38,3,0)</f>
        <v>1714</v>
      </c>
      <c r="L41" s="96">
        <f>K41/J41</f>
        <v>114.26666666666667</v>
      </c>
      <c r="M41" s="201">
        <v>15</v>
      </c>
      <c r="N41" s="202">
        <f>G41/W41*60</f>
        <v>1432.5000000000121</v>
      </c>
      <c r="O41" s="203">
        <f>N41/M41</f>
        <v>95.50000000000081</v>
      </c>
      <c r="P41" s="97">
        <f>M41-J41</f>
        <v>0</v>
      </c>
      <c r="Q41" s="98">
        <f>O41-L41</f>
        <v>-18.766666666665856</v>
      </c>
      <c r="R41" s="99">
        <f>O41/L41</f>
        <v>0.83576429404901531</v>
      </c>
      <c r="S41" s="416"/>
      <c r="T41" s="20">
        <v>0.59722222222222199</v>
      </c>
      <c r="U41" s="210">
        <v>0.61944444444444402</v>
      </c>
      <c r="V41" s="92">
        <f>(T41-U40)*24*60</f>
        <v>6.9999999999998153</v>
      </c>
      <c r="W41" s="205">
        <f t="shared" si="4"/>
        <v>31.999999999999726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-281.49999999998795</v>
      </c>
      <c r="AG41" s="206">
        <f>N41/K41</f>
        <v>0.8357642940490152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16.5</v>
      </c>
      <c r="K48" s="155">
        <f t="shared" si="10"/>
        <v>1639.5</v>
      </c>
      <c r="L48" s="158">
        <f t="shared" si="10"/>
        <v>100.60555555555555</v>
      </c>
      <c r="M48" s="155">
        <f t="shared" si="10"/>
        <v>15.75</v>
      </c>
      <c r="N48" s="155">
        <f t="shared" si="10"/>
        <v>1377.9293733375127</v>
      </c>
      <c r="O48" s="158">
        <f t="shared" si="10"/>
        <v>87.803726748092885</v>
      </c>
      <c r="P48" s="221">
        <f>M48-J48</f>
        <v>-0.75</v>
      </c>
      <c r="Q48" s="222">
        <f>N48-K48</f>
        <v>-261.57062666248726</v>
      </c>
      <c r="R48" s="223">
        <f>O48/L48</f>
        <v>0.87275226763800984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-261.57062666248726</v>
      </c>
      <c r="AG48" s="162">
        <f t="shared" ref="AG48:AG53" si="12">N48/K48</f>
        <v>0.84045707431382299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115</v>
      </c>
      <c r="E49" s="132"/>
      <c r="F49" s="129">
        <f>VLOOKUP(D49,廠價表!$C$1:$E$43,3,0)</f>
        <v>56.28</v>
      </c>
      <c r="G49" s="228">
        <v>725</v>
      </c>
      <c r="H49" s="134">
        <f>F49*G49</f>
        <v>40803</v>
      </c>
      <c r="I49" s="135"/>
      <c r="J49" s="136">
        <v>17</v>
      </c>
      <c r="K49" s="137">
        <f>VLOOKUP(D49,產線配置圖!$A$3:$C$38,3,0)</f>
        <v>1800</v>
      </c>
      <c r="L49" s="138">
        <f>K49/J49</f>
        <v>105.88235294117646</v>
      </c>
      <c r="M49" s="170">
        <v>15</v>
      </c>
      <c r="N49" s="140">
        <f>G49/W49*60</f>
        <v>1450.0000000000243</v>
      </c>
      <c r="O49" s="141">
        <f>N49/M49</f>
        <v>96.666666666668291</v>
      </c>
      <c r="P49" s="229">
        <f>M49-J49</f>
        <v>-2</v>
      </c>
      <c r="Q49" s="230">
        <f>O49-L49</f>
        <v>-9.2156862745081725</v>
      </c>
      <c r="R49" s="52">
        <f>O49/L49</f>
        <v>0.91296296296297841</v>
      </c>
      <c r="S49" s="415">
        <f>R58</f>
        <v>0.93339905813025081</v>
      </c>
      <c r="T49" s="191">
        <v>0.29027777777777802</v>
      </c>
      <c r="U49" s="191">
        <v>0.31111111111111101</v>
      </c>
      <c r="V49" s="55"/>
      <c r="W49" s="193">
        <f t="shared" si="4"/>
        <v>29.999999999999496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1"/>
        <v>-349.99999999997567</v>
      </c>
      <c r="AG49" s="52">
        <f t="shared" si="12"/>
        <v>0.80555555555556912</v>
      </c>
      <c r="AH49" s="403">
        <f>AG58</f>
        <v>0.7897849462365677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4319</v>
      </c>
      <c r="H50" s="231">
        <f>F50*G50</f>
        <v>215820.43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13</v>
      </c>
      <c r="N50" s="234">
        <f>G50/W50*60</f>
        <v>1393.2258064516195</v>
      </c>
      <c r="O50" s="235">
        <f>N50/M50</f>
        <v>107.17121588089381</v>
      </c>
      <c r="P50" s="74">
        <f>M50-J50</f>
        <v>-3</v>
      </c>
      <c r="Q50" s="83">
        <f>O50-L50</f>
        <v>-5.3287841191061887</v>
      </c>
      <c r="R50" s="72">
        <f>O50/L50</f>
        <v>0.95263303005238942</v>
      </c>
      <c r="S50" s="416"/>
      <c r="T50" s="21">
        <v>0.31805555555555598</v>
      </c>
      <c r="U50" s="21">
        <v>0.44722222222222202</v>
      </c>
      <c r="V50" s="30">
        <f>(T50-U49)*24*60</f>
        <v>10.000000000000764</v>
      </c>
      <c r="W50" s="236">
        <f t="shared" si="4"/>
        <v>185.99999999999909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-406.77419354838048</v>
      </c>
      <c r="AG50" s="72">
        <f t="shared" si="12"/>
        <v>0.77401433691756638</v>
      </c>
      <c r="AH50" s="405"/>
    </row>
    <row r="51" spans="1:34" ht="15" customHeight="1">
      <c r="A51" s="428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16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0</v>
      </c>
      <c r="AG51" s="72" t="e">
        <f t="shared" si="12"/>
        <v>#DIV/0!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1800</v>
      </c>
      <c r="L58" s="117">
        <f t="shared" si="13"/>
        <v>109.19117647058823</v>
      </c>
      <c r="M58" s="120">
        <f t="shared" si="13"/>
        <v>14</v>
      </c>
      <c r="N58" s="120">
        <f t="shared" si="13"/>
        <v>1421.6129032258218</v>
      </c>
      <c r="O58" s="117">
        <f t="shared" si="13"/>
        <v>101.91894127378106</v>
      </c>
      <c r="P58" s="121">
        <f>M58-J58</f>
        <v>-2.5</v>
      </c>
      <c r="Q58" s="122">
        <f>N58-K58</f>
        <v>-378.38709677417819</v>
      </c>
      <c r="R58" s="123">
        <f>O58/L58</f>
        <v>0.93339905813025081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-378.38709677417819</v>
      </c>
      <c r="AG58" s="124">
        <f>N58/K58</f>
        <v>0.7897849462365677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3385</v>
      </c>
      <c r="H59" s="243">
        <f>F59*G59</f>
        <v>91361.15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1450.7142857142892</v>
      </c>
      <c r="O59" s="138">
        <f>N59/M59</f>
        <v>111.59340659340685</v>
      </c>
      <c r="P59" s="56">
        <f>M59-J59</f>
        <v>0</v>
      </c>
      <c r="Q59" s="230">
        <f>O59-L59</f>
        <v>-8.7912087912085326</v>
      </c>
      <c r="R59" s="52">
        <f>O59/L59</f>
        <v>0.92697398448197388</v>
      </c>
      <c r="S59" s="415">
        <f>R69</f>
        <v>0.73694183417714765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-114.28571428571081</v>
      </c>
      <c r="AG59" s="246">
        <f>N59/K59</f>
        <v>0.92697398448197388</v>
      </c>
      <c r="AH59" s="403">
        <f>AG69</f>
        <v>0.83172325955831161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1577</v>
      </c>
      <c r="H60" s="78">
        <f>F60*G60</f>
        <v>44566.020000000004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1455.6923076923038</v>
      </c>
      <c r="O60" s="81">
        <f>N60/M60</f>
        <v>121.30769230769198</v>
      </c>
      <c r="P60" s="74">
        <f>M60-J60</f>
        <v>0</v>
      </c>
      <c r="Q60" s="83">
        <f>O60-L60</f>
        <v>-9.1089743589746774</v>
      </c>
      <c r="R60" s="72">
        <f>O60/L60</f>
        <v>0.93015482919636028</v>
      </c>
      <c r="S60" s="425"/>
      <c r="T60" s="22">
        <v>0.40625</v>
      </c>
      <c r="U60" s="22">
        <v>0.45138888888888901</v>
      </c>
      <c r="V60" s="30">
        <f>(T60-U59)*24*60</f>
        <v>24.999999999999829</v>
      </c>
      <c r="W60" s="248">
        <f t="shared" si="4"/>
        <v>65.000000000000171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-109.30769230769624</v>
      </c>
      <c r="AG60" s="249">
        <f>N60/K60</f>
        <v>0.93015482919636028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1405</v>
      </c>
      <c r="H61" s="254">
        <f>F61*G61</f>
        <v>39705.300000000003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1124.0000000000089</v>
      </c>
      <c r="O61" s="238">
        <f>N61/M61</f>
        <v>102.18181818181898</v>
      </c>
      <c r="P61" s="111">
        <f>M61-J61</f>
        <v>2</v>
      </c>
      <c r="Q61" s="255">
        <f>O61-L61</f>
        <v>-79.595959595958789</v>
      </c>
      <c r="R61" s="85">
        <f>O61/L61</f>
        <v>0.56212491664814845</v>
      </c>
      <c r="S61" s="416"/>
      <c r="T61" s="22">
        <v>0.46180555555555602</v>
      </c>
      <c r="U61" s="22">
        <v>0.51388888888888895</v>
      </c>
      <c r="V61" s="30">
        <f>(T61-U60)*24*60</f>
        <v>15.000000000000506</v>
      </c>
      <c r="W61" s="256">
        <f t="shared" si="4"/>
        <v>74.999999999999417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-511.99999999999113</v>
      </c>
      <c r="AG61" s="247">
        <f>N61/K61</f>
        <v>0.68704156479218148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2265</v>
      </c>
      <c r="H62" s="254">
        <f>F62*G62</f>
        <v>64008.9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1294.285714285709</v>
      </c>
      <c r="O62" s="238">
        <f>N62/M62</f>
        <v>117.66233766233718</v>
      </c>
      <c r="P62" s="111">
        <f>M62-J62</f>
        <v>2</v>
      </c>
      <c r="Q62" s="255">
        <f>O62-L62</f>
        <v>-64.115440115440592</v>
      </c>
      <c r="R62" s="85">
        <f>O62/L62</f>
        <v>0.64728669863143928</v>
      </c>
      <c r="S62" s="416"/>
      <c r="T62" s="22">
        <v>0.56597222222222199</v>
      </c>
      <c r="U62" s="22">
        <v>0.63888888888888895</v>
      </c>
      <c r="V62" s="30"/>
      <c r="W62" s="248">
        <f t="shared" si="4"/>
        <v>105.00000000000043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-341.71428571429101</v>
      </c>
      <c r="AG62" s="247">
        <f>N62/K62</f>
        <v>0.79112818721620359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4">AVERAGE(J59:J68)</f>
        <v>10.75</v>
      </c>
      <c r="K69" s="240">
        <f t="shared" si="14"/>
        <v>1600.5</v>
      </c>
      <c r="L69" s="268">
        <f t="shared" si="14"/>
        <v>153.58920940170941</v>
      </c>
      <c r="M69" s="240">
        <f t="shared" si="14"/>
        <v>11.75</v>
      </c>
      <c r="N69" s="240">
        <f t="shared" si="14"/>
        <v>1331.1730769230778</v>
      </c>
      <c r="O69" s="268">
        <f t="shared" si="14"/>
        <v>113.18631368631374</v>
      </c>
      <c r="P69" s="269">
        <f>M69-J69</f>
        <v>1</v>
      </c>
      <c r="Q69" s="222">
        <f>N69-K69</f>
        <v>-269.32692307692218</v>
      </c>
      <c r="R69" s="123">
        <f>O69/L69</f>
        <v>0.73694183417714765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-269.32692307692218</v>
      </c>
      <c r="AG69" s="124">
        <f>N69/K69</f>
        <v>0.83172325955831161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H3:AH4"/>
    <mergeCell ref="AB15:AC15"/>
    <mergeCell ref="AB1:AC2"/>
    <mergeCell ref="W3:W4"/>
    <mergeCell ref="X3:Y3"/>
    <mergeCell ref="Z3:AA3"/>
    <mergeCell ref="A2:B2"/>
    <mergeCell ref="A3:A4"/>
    <mergeCell ref="B3:B4"/>
    <mergeCell ref="D3:E4"/>
    <mergeCell ref="F3:F4"/>
    <mergeCell ref="A16:A26"/>
    <mergeCell ref="S16:S26"/>
    <mergeCell ref="AB16:AC16"/>
    <mergeCell ref="D26:E26"/>
    <mergeCell ref="AB26:AC26"/>
    <mergeCell ref="P3:P4"/>
    <mergeCell ref="Q3:Q4"/>
    <mergeCell ref="R3:R4"/>
    <mergeCell ref="T3:U3"/>
    <mergeCell ref="A5:A15"/>
    <mergeCell ref="S5:S15"/>
    <mergeCell ref="AB13:AC13"/>
    <mergeCell ref="AB5:AC5"/>
    <mergeCell ref="D15:E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27:A37"/>
    <mergeCell ref="S27:S37"/>
    <mergeCell ref="AB27:AC2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95A0F4-1292-40BB-A2DC-E6D671237C3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A106-2E04-4552-A826-8E43D738C351}">
  <dimension ref="B1:O26"/>
  <sheetViews>
    <sheetView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46122</v>
      </c>
      <c r="E3" s="399"/>
      <c r="F3" s="3" t="s">
        <v>72</v>
      </c>
      <c r="G3" s="400">
        <f>'0410'!E1</f>
        <v>47559</v>
      </c>
      <c r="H3" s="400"/>
      <c r="I3" s="3" t="s">
        <v>2</v>
      </c>
      <c r="J3" s="401">
        <f>'0410'!G1</f>
        <v>2244411.39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133.12428825486424</v>
      </c>
      <c r="G6" s="397"/>
      <c r="H6" s="382">
        <f>AVERAGE(D13:H13)</f>
        <v>129.03130402549522</v>
      </c>
      <c r="I6" s="382"/>
      <c r="J6" s="382">
        <f>AVERAGE(I13)</f>
        <v>153.58920940170941</v>
      </c>
      <c r="K6" s="382"/>
      <c r="L6" s="383">
        <f>SUM(D18:J18)</f>
        <v>0</v>
      </c>
      <c r="M6" s="385">
        <f>SUM(D19:J19)</f>
        <v>0</v>
      </c>
      <c r="N6" s="386">
        <f>SUM(D20:J20)</f>
        <v>2</v>
      </c>
      <c r="O6" s="385">
        <f>SUM(D20:J20)</f>
        <v>2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113.11573262554379</v>
      </c>
      <c r="G7" s="389"/>
      <c r="H7" s="390">
        <f>AVERAGE(D14:H14)</f>
        <v>111.42323902155053</v>
      </c>
      <c r="I7" s="390"/>
      <c r="J7" s="390">
        <f>AVERAGE(I14)</f>
        <v>121.57820064551001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0.84970018700859151</v>
      </c>
      <c r="G8" s="374"/>
      <c r="H8" s="374">
        <f>H7/H6</f>
        <v>0.86353648723517884</v>
      </c>
      <c r="I8" s="374"/>
      <c r="J8" s="374">
        <f>J7/J6</f>
        <v>0.7915803533275878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VALUE('0410'!L15)</f>
        <v>166.02637362637364</v>
      </c>
      <c r="E13" s="13">
        <f>VALUE('0410'!L26)</f>
        <v>178.21915584415584</v>
      </c>
      <c r="F13" s="13">
        <f>VALUE('0410'!L37)</f>
        <v>98.529835972850677</v>
      </c>
      <c r="G13" s="13">
        <f>VALUE('0410'!L48)</f>
        <v>100.60555555555555</v>
      </c>
      <c r="H13" s="13">
        <f>VALUE('0410'!L58)</f>
        <v>101.77559912854031</v>
      </c>
      <c r="I13" s="13">
        <f>VALUE('0410'!L69)</f>
        <v>153.58920940170941</v>
      </c>
      <c r="J13" s="13">
        <f>'0410'!L79</f>
        <v>0</v>
      </c>
    </row>
    <row r="14" spans="2:15" ht="39.950000000000003" customHeight="1">
      <c r="B14" s="368"/>
      <c r="C14" s="12" t="s">
        <v>100</v>
      </c>
      <c r="D14" s="13">
        <f>VALUE('0410'!O15)</f>
        <v>145.11027442250341</v>
      </c>
      <c r="E14" s="13">
        <f>VALUE('0410'!O26)</f>
        <v>162.47390684278889</v>
      </c>
      <c r="F14" s="13">
        <f>VALUE('0410'!O37)</f>
        <v>68.658899824723022</v>
      </c>
      <c r="G14" s="13">
        <f>VALUE('0410'!O48)</f>
        <v>90.531063829786689</v>
      </c>
      <c r="H14" s="13">
        <f>VALUE('0410'!O58)</f>
        <v>90.342050187950676</v>
      </c>
      <c r="I14" s="13">
        <f>VALUE('0410'!O69)</f>
        <v>121.57820064551001</v>
      </c>
      <c r="J14" s="13">
        <f>'0410'!O79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0.87401941783695225</v>
      </c>
      <c r="E15" s="14">
        <f t="shared" si="1"/>
        <v>0.91165231971396266</v>
      </c>
      <c r="F15" s="14">
        <f t="shared" si="1"/>
        <v>0.69683359509135467</v>
      </c>
      <c r="G15" s="14">
        <f t="shared" si="1"/>
        <v>0.89986147713079712</v>
      </c>
      <c r="H15" s="14">
        <f t="shared" si="1"/>
        <v>0.88765923228661803</v>
      </c>
      <c r="I15" s="14">
        <f t="shared" si="1"/>
        <v>0.7915803533275878</v>
      </c>
      <c r="J15" s="15">
        <f>'0410'!S70</f>
        <v>0</v>
      </c>
    </row>
    <row r="16" spans="2:15" ht="17.25" customHeight="1">
      <c r="B16" s="370" t="s">
        <v>101</v>
      </c>
      <c r="C16" s="10" t="s">
        <v>34</v>
      </c>
      <c r="D16" s="16">
        <f>'0410'!T5</f>
        <v>0.29166666666666702</v>
      </c>
      <c r="E16" s="16">
        <f>'0410'!T16</f>
        <v>0.29097222222222202</v>
      </c>
      <c r="F16" s="16">
        <f>'0410'!T27</f>
        <v>0.29166666666666702</v>
      </c>
      <c r="G16" s="16">
        <f>'0410'!T38</f>
        <v>0.33333333333333298</v>
      </c>
      <c r="H16" s="16">
        <f>'0410'!T49</f>
        <v>0.29166666666666702</v>
      </c>
      <c r="I16" s="16">
        <f>'0410'!T59</f>
        <v>0.29166666666666702</v>
      </c>
      <c r="J16" s="16">
        <f>'0410'!T70</f>
        <v>0</v>
      </c>
    </row>
    <row r="17" spans="2:10" ht="17.25" customHeight="1">
      <c r="B17" s="371"/>
      <c r="C17" s="10" t="s">
        <v>35</v>
      </c>
      <c r="D17" s="16">
        <v>0.61805555555555602</v>
      </c>
      <c r="E17" s="19">
        <v>0.59513888888888899</v>
      </c>
      <c r="F17" s="19">
        <v>0.60624999999999996</v>
      </c>
      <c r="G17" s="210">
        <v>0.51041666666666696</v>
      </c>
      <c r="H17" s="21">
        <v>0.68055555555555602</v>
      </c>
      <c r="I17" s="22">
        <v>0.59722222222222199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'0410'!Z15</f>
        <v>0</v>
      </c>
      <c r="E18" s="359">
        <f>'0410'!Z26</f>
        <v>0</v>
      </c>
      <c r="F18" s="359">
        <f>'0410'!Z37</f>
        <v>0</v>
      </c>
      <c r="G18" s="360">
        <f>'0410'!Z48</f>
        <v>0</v>
      </c>
      <c r="H18" s="360">
        <f>'0410'!Z58</f>
        <v>0</v>
      </c>
      <c r="I18" s="359">
        <f>'0410'!Z69</f>
        <v>0</v>
      </c>
      <c r="J18" s="359">
        <f>'0410'!AA79</f>
        <v>0</v>
      </c>
    </row>
    <row r="19" spans="2:10" ht="17.25" customHeight="1">
      <c r="B19" s="373"/>
      <c r="C19" s="330" t="s">
        <v>37</v>
      </c>
      <c r="D19" s="358">
        <f>'0410'!AA15</f>
        <v>0</v>
      </c>
      <c r="E19" s="359">
        <f>'0410'!AA26</f>
        <v>0</v>
      </c>
      <c r="F19" s="359">
        <f>'0410'!AA37</f>
        <v>0</v>
      </c>
      <c r="G19" s="360">
        <f>'0410'!AA48</f>
        <v>0</v>
      </c>
      <c r="H19" s="360">
        <f>'0410'!AA58</f>
        <v>0</v>
      </c>
      <c r="I19" s="359">
        <f>'0410'!AA69</f>
        <v>0</v>
      </c>
      <c r="J19" s="359">
        <f>'0410'!AB79</f>
        <v>0</v>
      </c>
    </row>
    <row r="20" spans="2:10" ht="17.25" customHeight="1">
      <c r="B20" s="372" t="s">
        <v>103</v>
      </c>
      <c r="C20" s="330" t="s">
        <v>36</v>
      </c>
      <c r="D20" s="358">
        <f>'0410'!AD15</f>
        <v>0</v>
      </c>
      <c r="E20" s="359">
        <f>'0410'!AD26</f>
        <v>0</v>
      </c>
      <c r="F20" s="359">
        <f>'0410'!AD37</f>
        <v>1</v>
      </c>
      <c r="G20" s="360">
        <f>'0410'!AD48</f>
        <v>1</v>
      </c>
      <c r="H20" s="360">
        <f>'0410'!AD58</f>
        <v>0</v>
      </c>
      <c r="I20" s="359">
        <f>'0410'!AD69</f>
        <v>0</v>
      </c>
      <c r="J20" s="359">
        <f>'0410'!AD79</f>
        <v>0</v>
      </c>
    </row>
    <row r="21" spans="2:10" ht="17.25" customHeight="1">
      <c r="B21" s="373"/>
      <c r="C21" s="330" t="s">
        <v>85</v>
      </c>
      <c r="D21" s="358">
        <f>'0410'!AE15</f>
        <v>0</v>
      </c>
      <c r="E21" s="359">
        <f>'0410'!AE26</f>
        <v>0</v>
      </c>
      <c r="F21" s="359">
        <f>'0410'!AE37</f>
        <v>1</v>
      </c>
      <c r="G21" s="360">
        <f>'0410'!AE48</f>
        <v>1</v>
      </c>
      <c r="H21" s="360">
        <f>'0410'!AE58</f>
        <v>0</v>
      </c>
      <c r="I21" s="359">
        <f>'0410'!AE69</f>
        <v>0</v>
      </c>
      <c r="J21" s="359">
        <f>'0410'!AE79</f>
        <v>0</v>
      </c>
    </row>
    <row r="22" spans="2:10" ht="17.25" customHeight="1">
      <c r="B22" s="364" t="s">
        <v>104</v>
      </c>
      <c r="C22" s="365"/>
      <c r="D22" s="23">
        <f>VALUE('0410'!M15)</f>
        <v>12.8</v>
      </c>
      <c r="E22" s="23">
        <f>VALUE('0410'!M26)</f>
        <v>12</v>
      </c>
      <c r="F22" s="23">
        <f>VALUE('0410'!M37)</f>
        <v>14.25</v>
      </c>
      <c r="G22" s="23">
        <f>VALUE('0410'!M48)</f>
        <v>15.5</v>
      </c>
      <c r="H22" s="23">
        <f>VALUE('0410'!M58)</f>
        <v>16.333333333333332</v>
      </c>
      <c r="I22" s="23">
        <f>VALUE('0410'!M69)</f>
        <v>11.75</v>
      </c>
      <c r="J22" s="23">
        <f>'0410'!M79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0FE5-2518-4C4C-B8B6-53C8DECAAAC2}">
  <sheetPr>
    <tabColor theme="9" tint="0.79998168889431442"/>
  </sheetPr>
  <dimension ref="A1:AJ92"/>
  <sheetViews>
    <sheetView zoomScale="73" zoomScaleNormal="73" workbookViewId="0">
      <pane xSplit="5" ySplit="4" topLeftCell="H44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47559</v>
      </c>
      <c r="F1" s="30" t="s">
        <v>2</v>
      </c>
      <c r="G1" s="31">
        <f>SUM(H5:H79)</f>
        <v>2244411.39</v>
      </c>
      <c r="H1" s="32" t="s">
        <v>3</v>
      </c>
      <c r="I1" s="33">
        <f>M15+M26+M48+M58+M69+M79+M37</f>
        <v>82.633333333333326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13</v>
      </c>
      <c r="B2" s="483"/>
      <c r="C2" s="28"/>
      <c r="D2" s="28" t="s">
        <v>14</v>
      </c>
      <c r="E2" s="35">
        <f>AVERAGE(O15,O26,O37,O48,O58,O69,O79)</f>
        <v>113.11573262554379</v>
      </c>
      <c r="F2" s="36" t="s">
        <v>15</v>
      </c>
      <c r="G2" s="37">
        <f>G1/E1</f>
        <v>47.192148489244943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2</v>
      </c>
      <c r="AE2" s="340">
        <f>AE15+AE26+AE37+AE48+AE58+AE69+AE79</f>
        <v>2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3261</v>
      </c>
      <c r="H5" s="43">
        <f>F5*G5</f>
        <v>186561.81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1918.2352941176571</v>
      </c>
      <c r="O5" s="47">
        <f>N5/M5</f>
        <v>137.01680672268978</v>
      </c>
      <c r="P5" s="49">
        <f>M5-J5</f>
        <v>0</v>
      </c>
      <c r="Q5" s="50">
        <f>O5-L5</f>
        <v>-14.268907563024499</v>
      </c>
      <c r="R5" s="51">
        <f>O5/L5</f>
        <v>0.90568238626895992</v>
      </c>
      <c r="S5" s="415">
        <f>R15</f>
        <v>0.87401941783695225</v>
      </c>
      <c r="T5" s="319">
        <v>0.29166666666666702</v>
      </c>
      <c r="U5" s="320">
        <v>0.36249999999999999</v>
      </c>
      <c r="V5" s="53"/>
      <c r="W5" s="54">
        <f t="shared" ref="W5:W14" si="0">(U5-T5)*24*60</f>
        <v>101.99999999999947</v>
      </c>
      <c r="X5" s="55"/>
      <c r="Y5" s="290"/>
      <c r="Z5" s="169"/>
      <c r="AA5" s="169"/>
      <c r="AB5" s="420"/>
      <c r="AC5" s="420"/>
      <c r="AD5" s="135"/>
      <c r="AE5" s="135"/>
      <c r="AF5" s="229">
        <f>N5-K5</f>
        <v>-199.76470588234292</v>
      </c>
      <c r="AG5" s="52">
        <f>N5/K5</f>
        <v>0.90568238626895992</v>
      </c>
      <c r="AH5" s="403">
        <f>AG15</f>
        <v>0.87524610130433145</v>
      </c>
    </row>
    <row r="6" spans="1:34" ht="15" customHeight="1">
      <c r="A6" s="489"/>
      <c r="B6" s="57" t="s">
        <v>81</v>
      </c>
      <c r="C6" s="58"/>
      <c r="D6" s="59" t="s">
        <v>116</v>
      </c>
      <c r="E6" s="60"/>
      <c r="F6" s="61">
        <f>VLOOKUP(D6,廠價表!$C$1:$E$43,3,0)</f>
        <v>50.67</v>
      </c>
      <c r="G6" s="62">
        <v>1811</v>
      </c>
      <c r="H6" s="63">
        <f>F6*G6</f>
        <v>91763.37000000001</v>
      </c>
      <c r="I6" s="64"/>
      <c r="J6" s="65">
        <f>VLOOKUP(D6,產線配置圖!$A$3:$C$38,2,0)</f>
        <v>12</v>
      </c>
      <c r="K6" s="66">
        <f>VLOOKUP(D6,產線配置圖!$A$3:$C$38,3,0)</f>
        <v>2118</v>
      </c>
      <c r="L6" s="67">
        <f>K6/J6</f>
        <v>176.5</v>
      </c>
      <c r="M6" s="68">
        <v>12</v>
      </c>
      <c r="N6" s="66">
        <f>G6/W6*60</f>
        <v>1810.9999999999873</v>
      </c>
      <c r="O6" s="67">
        <f>N6/M6</f>
        <v>150.91666666666561</v>
      </c>
      <c r="P6" s="69">
        <f>M6-J6</f>
        <v>0</v>
      </c>
      <c r="Q6" s="70">
        <f>O6-L6</f>
        <v>-25.583333333334394</v>
      </c>
      <c r="R6" s="71">
        <f>O6/L6</f>
        <v>0.85505193578847372</v>
      </c>
      <c r="S6" s="416"/>
      <c r="T6" s="16">
        <v>0.37083333333333302</v>
      </c>
      <c r="U6" s="16">
        <v>0.41249999999999998</v>
      </c>
      <c r="V6" s="30">
        <f>(T6-U5)*24*60</f>
        <v>11.999999999999558</v>
      </c>
      <c r="W6" s="73">
        <f t="shared" si="0"/>
        <v>60.000000000000426</v>
      </c>
      <c r="X6" s="22"/>
      <c r="Y6" s="84"/>
      <c r="Z6" s="90"/>
      <c r="AA6" s="90"/>
      <c r="AB6" s="453"/>
      <c r="AC6" s="453"/>
      <c r="AD6" s="149"/>
      <c r="AE6" s="149"/>
      <c r="AF6" s="307">
        <f>N6-K6</f>
        <v>-307.00000000001273</v>
      </c>
      <c r="AG6" s="72">
        <f>N6/K6</f>
        <v>0.85505193578847372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2635</v>
      </c>
      <c r="H7" s="78">
        <f>F7*G7</f>
        <v>129483.90000000001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1904.8192771084293</v>
      </c>
      <c r="O7" s="81">
        <f>N7/M7</f>
        <v>146.52455977757148</v>
      </c>
      <c r="P7" s="74">
        <f>M7-J7</f>
        <v>0</v>
      </c>
      <c r="Q7" s="83">
        <f>O7-L7</f>
        <v>-16.398517145505451</v>
      </c>
      <c r="R7" s="72">
        <f>O7/L7</f>
        <v>0.89934810061776638</v>
      </c>
      <c r="S7" s="416"/>
      <c r="T7" s="18">
        <v>0.41944444444444401</v>
      </c>
      <c r="U7" s="18">
        <v>0.47708333333333303</v>
      </c>
      <c r="V7" s="30">
        <f>(T7-U6)*24*60</f>
        <v>9.9999999999994049</v>
      </c>
      <c r="W7" s="73">
        <f t="shared" si="0"/>
        <v>83.000000000000185</v>
      </c>
      <c r="X7" s="22"/>
      <c r="Y7" s="84"/>
      <c r="Z7" s="90"/>
      <c r="AA7" s="90"/>
      <c r="AB7" s="409"/>
      <c r="AC7" s="409"/>
      <c r="AD7" s="92"/>
      <c r="AE7" s="92"/>
      <c r="AF7" s="307">
        <f>N7-K7</f>
        <v>-213.18072289157067</v>
      </c>
      <c r="AG7" s="72">
        <f>N7/K7</f>
        <v>0.89934810061776649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2640</v>
      </c>
      <c r="H8" s="78">
        <f>F8*G8</f>
        <v>129729.60000000001</v>
      </c>
      <c r="I8" s="73"/>
      <c r="J8" s="79">
        <f>VLOOKUP(D8,產線配置圖!$A$3:$C$38,2,0)</f>
        <v>13</v>
      </c>
      <c r="K8" s="80">
        <f>VLOOKUP(D8,產線配置圖!$A$3:$C$38,3,0)</f>
        <v>2118</v>
      </c>
      <c r="L8" s="81">
        <f>K8/J8</f>
        <v>162.92307692307693</v>
      </c>
      <c r="M8" s="82">
        <v>13</v>
      </c>
      <c r="N8" s="66">
        <f>G8/W8*60</f>
        <v>1841.8604651162857</v>
      </c>
      <c r="O8" s="67">
        <f>N8/M8</f>
        <v>141.68157423971428</v>
      </c>
      <c r="P8" s="69">
        <f>M8-J8</f>
        <v>0</v>
      </c>
      <c r="Q8" s="70">
        <f>O8-L8</f>
        <v>-21.241502683362654</v>
      </c>
      <c r="R8" s="71">
        <f>O8/L8</f>
        <v>0.86962250477633873</v>
      </c>
      <c r="S8" s="416"/>
      <c r="T8" s="16">
        <v>0.54305555555555596</v>
      </c>
      <c r="U8" s="16">
        <v>0.60277777777777797</v>
      </c>
      <c r="V8" s="30"/>
      <c r="W8" s="73">
        <f t="shared" si="0"/>
        <v>85.999999999999687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>N8-K8</f>
        <v>-276.1395348837143</v>
      </c>
      <c r="AG8" s="72">
        <f>N8/K8</f>
        <v>0.86962250477633884</v>
      </c>
      <c r="AH8" s="405"/>
    </row>
    <row r="9" spans="1:34" ht="15" customHeight="1">
      <c r="A9" s="490"/>
      <c r="B9" s="75" t="s">
        <v>81</v>
      </c>
      <c r="C9" s="76"/>
      <c r="D9" s="59" t="s">
        <v>116</v>
      </c>
      <c r="E9" s="77"/>
      <c r="F9" s="75">
        <f>VLOOKUP(D9,廠價表!$C$1:$E$43,3,0)</f>
        <v>50.67</v>
      </c>
      <c r="G9" s="66">
        <v>508</v>
      </c>
      <c r="H9" s="78">
        <f>F9*G9</f>
        <v>25740.36</v>
      </c>
      <c r="I9" s="73"/>
      <c r="J9" s="79">
        <f>VLOOKUP(D9,產線配置圖!$A$3:$C$38,2,0)</f>
        <v>12</v>
      </c>
      <c r="K9" s="80">
        <f>VLOOKUP(D9,產線配置圖!$A$3:$C$38,3,0)</f>
        <v>2118</v>
      </c>
      <c r="L9" s="81">
        <f>K9/J9</f>
        <v>176.5</v>
      </c>
      <c r="M9" s="82">
        <v>12</v>
      </c>
      <c r="N9" s="80">
        <f>G9/W9*60</f>
        <v>1792.9411764705103</v>
      </c>
      <c r="O9" s="81">
        <f>N9/M9</f>
        <v>149.41176470587587</v>
      </c>
      <c r="P9" s="74">
        <f>M9-J9</f>
        <v>0</v>
      </c>
      <c r="Q9" s="83">
        <f>O9-L9</f>
        <v>-27.088235294124132</v>
      </c>
      <c r="R9" s="72">
        <f>O9/L9</f>
        <v>0.84652557907011827</v>
      </c>
      <c r="S9" s="417"/>
      <c r="T9" s="16">
        <v>0.60624999999999996</v>
      </c>
      <c r="U9" s="16">
        <v>0.61805555555555602</v>
      </c>
      <c r="V9" s="30"/>
      <c r="W9" s="73">
        <f t="shared" si="0"/>
        <v>17.000000000000739</v>
      </c>
      <c r="X9" s="22"/>
      <c r="Y9" s="84"/>
      <c r="Z9" s="90"/>
      <c r="AA9" s="90"/>
      <c r="AB9" s="453"/>
      <c r="AC9" s="453"/>
      <c r="AD9" s="149"/>
      <c r="AE9" s="149"/>
      <c r="AF9" s="307">
        <f>N9-K9</f>
        <v>-325.0588235294897</v>
      </c>
      <c r="AG9" s="72">
        <f>N9/K9</f>
        <v>0.84652557907011816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/>
      <c r="AG10" s="72"/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/>
      <c r="AG11" s="72"/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">AVERAGE(J5:J14)</f>
        <v>12.8</v>
      </c>
      <c r="K15" s="120">
        <f t="shared" si="1"/>
        <v>2118</v>
      </c>
      <c r="L15" s="117">
        <f t="shared" si="1"/>
        <v>166.02637362637364</v>
      </c>
      <c r="M15" s="120">
        <f t="shared" si="1"/>
        <v>12.8</v>
      </c>
      <c r="N15" s="120">
        <f t="shared" si="1"/>
        <v>1853.7712425625741</v>
      </c>
      <c r="O15" s="117">
        <f t="shared" si="1"/>
        <v>145.11027442250341</v>
      </c>
      <c r="P15" s="121">
        <f>M15-J15</f>
        <v>0</v>
      </c>
      <c r="Q15" s="122">
        <f>O15-L15</f>
        <v>-20.916099203870232</v>
      </c>
      <c r="R15" s="123">
        <f>O15/L15</f>
        <v>0.87401941783695225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-264.22875743742588</v>
      </c>
      <c r="AG15" s="124">
        <f>N15/K15</f>
        <v>0.87524610130433145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4293</v>
      </c>
      <c r="H16" s="134">
        <f>F16*G16</f>
        <v>244142.91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1996.7441860464976</v>
      </c>
      <c r="O16" s="141">
        <f>N16/M16</f>
        <v>142.62458471760698</v>
      </c>
      <c r="P16" s="142">
        <f>M16-J16</f>
        <v>0</v>
      </c>
      <c r="Q16" s="143">
        <f>O16-L16</f>
        <v>-8.6611295681072988</v>
      </c>
      <c r="R16" s="144">
        <f>O16/L16</f>
        <v>0.94274985176888471</v>
      </c>
      <c r="S16" s="443">
        <f>R26</f>
        <v>0.91165231971396266</v>
      </c>
      <c r="T16" s="145">
        <v>0.29097222222222202</v>
      </c>
      <c r="U16" s="145">
        <v>0.38055555555555598</v>
      </c>
      <c r="V16" s="135"/>
      <c r="W16" s="146">
        <f t="shared" ref="W16:W78" si="2">(U16-T16)*24*60</f>
        <v>129.00000000000091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-121.25581395350241</v>
      </c>
      <c r="AG16" s="52">
        <f>N16/K16</f>
        <v>0.94274985176888459</v>
      </c>
      <c r="AH16" s="403">
        <f>AG26</f>
        <v>0.91289049385401111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4461</v>
      </c>
      <c r="H17" s="78">
        <f>F17*G17</f>
        <v>224789.79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2043.206106870234</v>
      </c>
      <c r="O17" s="96">
        <f>N17/M17</f>
        <v>185.74600971547582</v>
      </c>
      <c r="P17" s="97">
        <f>M17-J17</f>
        <v>0</v>
      </c>
      <c r="Q17" s="98">
        <f>O17-L17</f>
        <v>-6.7994448299787109</v>
      </c>
      <c r="R17" s="99">
        <f>O17/L17</f>
        <v>0.96468654715308511</v>
      </c>
      <c r="S17" s="444"/>
      <c r="T17" s="19">
        <v>0.38750000000000001</v>
      </c>
      <c r="U17" s="19">
        <v>0.47847222222222202</v>
      </c>
      <c r="V17" s="30">
        <f>(T17-U16)*24*60</f>
        <v>9.9999999999994049</v>
      </c>
      <c r="W17" s="149">
        <f t="shared" si="2"/>
        <v>130.99999999999969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-74.793893129766047</v>
      </c>
      <c r="AG17" s="72">
        <f>N17/K17</f>
        <v>0.96468654715308499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542</v>
      </c>
      <c r="H18" s="78">
        <f>F18*G18</f>
        <v>27311.38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1806.666666666657</v>
      </c>
      <c r="O18" s="96">
        <f>N18/M18</f>
        <v>164.24242424242337</v>
      </c>
      <c r="P18" s="97">
        <f>M18-J18</f>
        <v>0</v>
      </c>
      <c r="Q18" s="98">
        <f>O18-L18</f>
        <v>-28.303030303031164</v>
      </c>
      <c r="R18" s="99">
        <f>O18/L18</f>
        <v>0.85300598048472953</v>
      </c>
      <c r="S18" s="444"/>
      <c r="T18" s="19">
        <v>0.54166666666666696</v>
      </c>
      <c r="U18" s="19">
        <v>0.55416666666666703</v>
      </c>
      <c r="V18" s="30">
        <f>(T18-U17)*24*60</f>
        <v>91.000000000000711</v>
      </c>
      <c r="W18" s="149">
        <f t="shared" si="2"/>
        <v>18.000000000000096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-311.33333333334303</v>
      </c>
      <c r="AG18" s="72">
        <f>N18/K18</f>
        <v>0.85300598048472942</v>
      </c>
      <c r="AH18" s="405"/>
    </row>
    <row r="19" spans="1:34" ht="15" customHeight="1">
      <c r="A19" s="450"/>
      <c r="B19" s="75" t="s">
        <v>81</v>
      </c>
      <c r="C19" s="76"/>
      <c r="D19" s="59" t="s">
        <v>116</v>
      </c>
      <c r="E19" s="77"/>
      <c r="F19" s="75">
        <f>VLOOKUP(D19,廠價表!$C$1:$E$43,3,0)</f>
        <v>50.67</v>
      </c>
      <c r="G19" s="147">
        <v>1447</v>
      </c>
      <c r="H19" s="78">
        <f>F19*G19</f>
        <v>73319.490000000005</v>
      </c>
      <c r="I19" s="30"/>
      <c r="J19" s="79">
        <f>VLOOKUP(D19,產線配置圖!$A$3:$C$38,2,0)</f>
        <v>12</v>
      </c>
      <c r="K19" s="80">
        <f>VLOOKUP(D19,產線配置圖!$A$3:$C$38,3,0)</f>
        <v>2118</v>
      </c>
      <c r="L19" s="81">
        <f>K19/J19</f>
        <v>176.5</v>
      </c>
      <c r="M19" s="148">
        <v>12</v>
      </c>
      <c r="N19" s="95">
        <f>G19/W19*60</f>
        <v>1887.3913043477935</v>
      </c>
      <c r="O19" s="96">
        <f>N19/M19</f>
        <v>157.28260869564946</v>
      </c>
      <c r="P19" s="97">
        <f>M19-J19</f>
        <v>0</v>
      </c>
      <c r="Q19" s="98">
        <f>O19-L19</f>
        <v>-19.217391304350542</v>
      </c>
      <c r="R19" s="99">
        <f>O19/L19</f>
        <v>0.89111959600934532</v>
      </c>
      <c r="S19" s="444"/>
      <c r="T19" s="19">
        <v>0.563194444444444</v>
      </c>
      <c r="U19" s="19">
        <v>0.59513888888888899</v>
      </c>
      <c r="V19" s="30">
        <f>(T19-U18)*24*60</f>
        <v>12.999999999998835</v>
      </c>
      <c r="W19" s="149">
        <f t="shared" si="2"/>
        <v>46.000000000000796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-230.60869565220651</v>
      </c>
      <c r="AG19" s="72">
        <f>N19/K19</f>
        <v>0.89111959600934532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2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3">AVERAGE(J16:J25)</f>
        <v>12</v>
      </c>
      <c r="K26" s="155">
        <f t="shared" si="3"/>
        <v>2118</v>
      </c>
      <c r="L26" s="158">
        <f t="shared" si="3"/>
        <v>178.21915584415584</v>
      </c>
      <c r="M26" s="155">
        <f t="shared" si="3"/>
        <v>12</v>
      </c>
      <c r="N26" s="155">
        <f t="shared" si="3"/>
        <v>1933.5020659827956</v>
      </c>
      <c r="O26" s="158">
        <f t="shared" si="3"/>
        <v>162.47390684278889</v>
      </c>
      <c r="P26" s="159">
        <f>M26-J26</f>
        <v>0</v>
      </c>
      <c r="Q26" s="160">
        <f>O26-L26</f>
        <v>-15.745249001366943</v>
      </c>
      <c r="R26" s="161">
        <f>O26/L26</f>
        <v>0.91165231971396266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4">N26-K26</f>
        <v>-184.49793401720444</v>
      </c>
      <c r="AG26" s="124">
        <f>N26/K26</f>
        <v>0.91289049385401111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2151</v>
      </c>
      <c r="H27" s="134">
        <f>F27*G27</f>
        <v>106517.52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16</v>
      </c>
      <c r="N27" s="140">
        <f>G27/W27*60</f>
        <v>1290.6000000000088</v>
      </c>
      <c r="O27" s="141">
        <f>N27/M27</f>
        <v>80.662500000000549</v>
      </c>
      <c r="P27" s="142">
        <f>M27-J27</f>
        <v>-1</v>
      </c>
      <c r="Q27" s="143">
        <f>O27-L27</f>
        <v>-4.0433823529406254</v>
      </c>
      <c r="R27" s="144">
        <f>O27/L27</f>
        <v>0.95226562500000655</v>
      </c>
      <c r="S27" s="443">
        <f>R37</f>
        <v>0.69683359509135467</v>
      </c>
      <c r="T27" s="171">
        <v>0.29166666666666702</v>
      </c>
      <c r="U27" s="171">
        <v>0.36111111111111099</v>
      </c>
      <c r="V27" s="135"/>
      <c r="W27" s="146">
        <f t="shared" si="2"/>
        <v>99.999999999999318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4"/>
        <v>-149.39999999999122</v>
      </c>
      <c r="AG27" s="172">
        <f>N27/K27</f>
        <v>0.8962500000000061</v>
      </c>
      <c r="AH27" s="403">
        <f>AG37</f>
        <v>0.68553844708844813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1284</v>
      </c>
      <c r="H28" s="91">
        <f>F28*G28</f>
        <v>65060.28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987.6923076923191</v>
      </c>
      <c r="O28" s="96">
        <f>N28/M28</f>
        <v>75.976331360947626</v>
      </c>
      <c r="P28" s="97">
        <f>M28-J28</f>
        <v>0</v>
      </c>
      <c r="Q28" s="98">
        <f>O28-L28</f>
        <v>-34.792899408283148</v>
      </c>
      <c r="R28" s="99">
        <f>O28/L28</f>
        <v>0.68589743589744379</v>
      </c>
      <c r="S28" s="444"/>
      <c r="T28" s="19">
        <v>0.36666666666666697</v>
      </c>
      <c r="U28" s="19">
        <v>0.420833333333333</v>
      </c>
      <c r="V28" s="92">
        <f>(T28-U27)*24*60</f>
        <v>8.0000000000006111</v>
      </c>
      <c r="W28" s="149">
        <f t="shared" si="2"/>
        <v>77.999999999999091</v>
      </c>
      <c r="X28" s="174"/>
      <c r="Y28" s="301"/>
      <c r="Z28" s="335"/>
      <c r="AA28" s="335"/>
      <c r="AB28" s="409" t="s">
        <v>160</v>
      </c>
      <c r="AC28" s="409"/>
      <c r="AD28" s="92"/>
      <c r="AE28" s="92"/>
      <c r="AF28" s="311">
        <f t="shared" si="4"/>
        <v>-452.3076923076809</v>
      </c>
      <c r="AG28" s="99">
        <f>N28/K28</f>
        <v>0.68589743589744379</v>
      </c>
      <c r="AH28" s="404"/>
    </row>
    <row r="29" spans="1:34" ht="15" customHeight="1">
      <c r="A29" s="441"/>
      <c r="B29" s="75" t="s">
        <v>81</v>
      </c>
      <c r="C29" s="88"/>
      <c r="D29" s="59" t="s">
        <v>122</v>
      </c>
      <c r="E29" s="89"/>
      <c r="F29" s="75">
        <f>VLOOKUP(D29,廠價表!$C$1:$E$43,3,0)</f>
        <v>56.43</v>
      </c>
      <c r="G29" s="90">
        <v>1089</v>
      </c>
      <c r="H29" s="91">
        <f>F29*G29</f>
        <v>61452.27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>K29/J29</f>
        <v>87.875</v>
      </c>
      <c r="M29" s="94">
        <v>15</v>
      </c>
      <c r="N29" s="95">
        <f>G29/W29*60</f>
        <v>848.57142857141571</v>
      </c>
      <c r="O29" s="96">
        <f>N29/M29</f>
        <v>56.571428571427717</v>
      </c>
      <c r="P29" s="97">
        <f>M29-J29</f>
        <v>-1</v>
      </c>
      <c r="Q29" s="98">
        <f>O29-L29</f>
        <v>-31.303571428572283</v>
      </c>
      <c r="R29" s="99">
        <f>O29/L29</f>
        <v>0.64377159114000249</v>
      </c>
      <c r="S29" s="444"/>
      <c r="T29" s="19">
        <v>0.42708333333333298</v>
      </c>
      <c r="U29" s="19">
        <v>0.48055555555555601</v>
      </c>
      <c r="V29" s="92">
        <f>(T29-U28)*24*60</f>
        <v>8.999999999999968</v>
      </c>
      <c r="W29" s="149">
        <f t="shared" si="2"/>
        <v>77.000000000001165</v>
      </c>
      <c r="X29" s="22"/>
      <c r="Y29" s="84"/>
      <c r="Z29" s="90"/>
      <c r="AA29" s="90"/>
      <c r="AB29" s="409" t="s">
        <v>161</v>
      </c>
      <c r="AC29" s="409"/>
      <c r="AD29" s="92"/>
      <c r="AE29" s="92"/>
      <c r="AF29" s="312">
        <f t="shared" si="4"/>
        <v>-557.42857142858429</v>
      </c>
      <c r="AG29" s="99">
        <f>N29/K29</f>
        <v>0.60353586669375225</v>
      </c>
      <c r="AH29" s="404"/>
    </row>
    <row r="30" spans="1:34" ht="15" customHeight="1">
      <c r="A30" s="441"/>
      <c r="B30" s="75" t="s">
        <v>81</v>
      </c>
      <c r="C30" s="88"/>
      <c r="D30" s="59" t="s">
        <v>120</v>
      </c>
      <c r="E30" s="89"/>
      <c r="F30" s="75">
        <f>VLOOKUP(D30,廠價表!$C$1:$E$43,3,0)</f>
        <v>50.67</v>
      </c>
      <c r="G30" s="90">
        <v>905</v>
      </c>
      <c r="H30" s="91">
        <f>F30*G30</f>
        <v>45856.35</v>
      </c>
      <c r="I30" s="92"/>
      <c r="J30" s="79">
        <f>VLOOKUP(D30,產線配置圖!$A$3:$C$38,2,0)</f>
        <v>13</v>
      </c>
      <c r="K30" s="80">
        <f>VLOOKUP(D30,產線配置圖!$A$3:$C$38,3,0)</f>
        <v>1440</v>
      </c>
      <c r="L30" s="93">
        <f>K30/J30</f>
        <v>110.76923076923077</v>
      </c>
      <c r="M30" s="94">
        <v>13</v>
      </c>
      <c r="N30" s="95">
        <f>G30/W30*60</f>
        <v>798.52941176471052</v>
      </c>
      <c r="O30" s="96">
        <f>N30/M30</f>
        <v>61.425339366516191</v>
      </c>
      <c r="P30" s="97">
        <f>M30-J30</f>
        <v>0</v>
      </c>
      <c r="Q30" s="98">
        <f>O30-L30</f>
        <v>-49.343891402714583</v>
      </c>
      <c r="R30" s="99">
        <f>O30/L30</f>
        <v>0.55453431372549333</v>
      </c>
      <c r="S30" s="444"/>
      <c r="T30" s="19">
        <v>0.55902777777777801</v>
      </c>
      <c r="U30" s="19">
        <v>0.60624999999999996</v>
      </c>
      <c r="V30" s="92">
        <f>(T30-U29)*24*60</f>
        <v>112.99999999999967</v>
      </c>
      <c r="W30" s="149">
        <f t="shared" si="2"/>
        <v>67.999999999999602</v>
      </c>
      <c r="X30" s="174">
        <v>0.49652777777777801</v>
      </c>
      <c r="Y30" s="301">
        <v>0.53819444444444398</v>
      </c>
      <c r="Z30" s="335"/>
      <c r="AA30" s="335"/>
      <c r="AB30" s="409" t="s">
        <v>162</v>
      </c>
      <c r="AC30" s="409"/>
      <c r="AD30" s="92">
        <v>1</v>
      </c>
      <c r="AE30" s="92">
        <v>1</v>
      </c>
      <c r="AF30" s="312">
        <f t="shared" si="4"/>
        <v>-641.47058823528948</v>
      </c>
      <c r="AG30" s="99">
        <f>N30/K30</f>
        <v>0.55453431372549344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4"/>
        <v>0</v>
      </c>
      <c r="AG31" s="99"/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9"/>
      <c r="U33" s="19"/>
      <c r="V33" s="92"/>
      <c r="W33" s="149">
        <f t="shared" si="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9"/>
      <c r="U34" s="19"/>
      <c r="V34" s="92"/>
      <c r="W34" s="149">
        <f t="shared" si="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5">AVERAGE(J27:J36)</f>
        <v>14.75</v>
      </c>
      <c r="K37" s="155">
        <f t="shared" si="5"/>
        <v>1431.5</v>
      </c>
      <c r="L37" s="158">
        <f t="shared" si="5"/>
        <v>98.529835972850677</v>
      </c>
      <c r="M37" s="155">
        <f t="shared" si="5"/>
        <v>14.25</v>
      </c>
      <c r="N37" s="155">
        <f t="shared" si="5"/>
        <v>981.34828700711353</v>
      </c>
      <c r="O37" s="158">
        <f t="shared" si="5"/>
        <v>68.658899824723022</v>
      </c>
      <c r="P37" s="159">
        <f>M37-J37</f>
        <v>-0.5</v>
      </c>
      <c r="Q37" s="160">
        <f>N37-K37</f>
        <v>-450.15171299288647</v>
      </c>
      <c r="R37" s="161">
        <f>O37/L37</f>
        <v>0.69683359509135467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1</v>
      </c>
      <c r="AE37" s="324">
        <f>SUM(AE27:AE36)</f>
        <v>1</v>
      </c>
      <c r="AF37" s="309">
        <f>N37-K37</f>
        <v>-450.15171299288647</v>
      </c>
      <c r="AG37" s="124">
        <f>N37/K37</f>
        <v>0.68553844708844813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2484</v>
      </c>
      <c r="H38" s="134">
        <f>F38*G38</f>
        <v>123976.43999999999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1490.3999999999874</v>
      </c>
      <c r="O38" s="141">
        <f>N38/M38</f>
        <v>99.359999999999161</v>
      </c>
      <c r="P38" s="142">
        <f>M38-J38</f>
        <v>0</v>
      </c>
      <c r="Q38" s="143">
        <f>O38-L38</f>
        <v>-14.906666666667505</v>
      </c>
      <c r="R38" s="144">
        <f>O38/L38</f>
        <v>0.86954492415401829</v>
      </c>
      <c r="S38" s="433">
        <f>R48</f>
        <v>0.89986147713079712</v>
      </c>
      <c r="T38" s="191">
        <v>0.33333333333333298</v>
      </c>
      <c r="U38" s="191">
        <v>0.40277777777777801</v>
      </c>
      <c r="V38" s="192"/>
      <c r="W38" s="193">
        <f t="shared" si="2"/>
        <v>100.00000000000084</v>
      </c>
      <c r="X38" s="194"/>
      <c r="Y38" s="302"/>
      <c r="Z38" s="336"/>
      <c r="AA38" s="336"/>
      <c r="AB38" s="435" t="s">
        <v>163</v>
      </c>
      <c r="AC38" s="435"/>
      <c r="AD38" s="192">
        <v>1</v>
      </c>
      <c r="AE38" s="192">
        <v>1</v>
      </c>
      <c r="AF38" s="313">
        <f>N38-K38</f>
        <v>-223.60000000001264</v>
      </c>
      <c r="AG38" s="195">
        <f>N38/K38</f>
        <v>0.86954492415401829</v>
      </c>
      <c r="AH38" s="436">
        <f>AG48</f>
        <v>0.85319732923244107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3072</v>
      </c>
      <c r="H39" s="91">
        <f>F39*G39</f>
        <v>136089.59999999998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16</v>
      </c>
      <c r="N39" s="202">
        <f>G39/W39*60</f>
        <v>1307.2340425531872</v>
      </c>
      <c r="O39" s="203">
        <f>N39/M39</f>
        <v>81.702127659574202</v>
      </c>
      <c r="P39" s="97">
        <f>M39-J39</f>
        <v>-2</v>
      </c>
      <c r="Q39" s="98">
        <f>O39-L39</f>
        <v>-5.2423167848702406</v>
      </c>
      <c r="R39" s="99">
        <f>O39/L39</f>
        <v>0.9397049826660292</v>
      </c>
      <c r="S39" s="434"/>
      <c r="T39" s="20">
        <v>0.41249999999999998</v>
      </c>
      <c r="U39" s="20">
        <v>0.51041666666666696</v>
      </c>
      <c r="V39" s="92">
        <f>(T39-U38)*24*60</f>
        <v>13.999999999999631</v>
      </c>
      <c r="W39" s="205">
        <f t="shared" si="2"/>
        <v>141.00000000000045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-257.76595744681276</v>
      </c>
      <c r="AG39" s="206">
        <f>N39/K39</f>
        <v>0.83529331792535921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2"/>
        <v>0</v>
      </c>
      <c r="X40" s="208"/>
      <c r="Y40" s="209"/>
      <c r="Z40" s="337"/>
      <c r="AA40" s="337"/>
      <c r="AB40" s="409"/>
      <c r="AC40" s="409"/>
      <c r="AD40" s="92"/>
      <c r="AE40" s="92"/>
      <c r="AF40" s="314"/>
      <c r="AG40" s="206"/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2"/>
        <v>0</v>
      </c>
      <c r="X41" s="208"/>
      <c r="Y41" s="209"/>
      <c r="Z41" s="337"/>
      <c r="AA41" s="337"/>
      <c r="AB41" s="409"/>
      <c r="AC41" s="409"/>
      <c r="AD41" s="92"/>
      <c r="AE41" s="92"/>
      <c r="AF41" s="314"/>
      <c r="AG41" s="206"/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6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6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6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7">AVERAGE(J38:J47)</f>
        <v>16.5</v>
      </c>
      <c r="K48" s="155">
        <f t="shared" si="7"/>
        <v>1639.5</v>
      </c>
      <c r="L48" s="158">
        <f t="shared" si="7"/>
        <v>100.60555555555555</v>
      </c>
      <c r="M48" s="155">
        <f t="shared" si="7"/>
        <v>15.5</v>
      </c>
      <c r="N48" s="155">
        <f t="shared" si="7"/>
        <v>1398.8170212765872</v>
      </c>
      <c r="O48" s="158">
        <f t="shared" si="7"/>
        <v>90.531063829786689</v>
      </c>
      <c r="P48" s="221">
        <f>M48-J48</f>
        <v>-1</v>
      </c>
      <c r="Q48" s="222">
        <f>N48-K48</f>
        <v>-240.68297872341282</v>
      </c>
      <c r="R48" s="223">
        <f>O48/L48</f>
        <v>0.89986147713079712</v>
      </c>
      <c r="S48" s="419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1</v>
      </c>
      <c r="AE48" s="323">
        <f>SUM(AE38:AE47)</f>
        <v>1</v>
      </c>
      <c r="AF48" s="315">
        <f>N48-K48</f>
        <v>-240.68297872341282</v>
      </c>
      <c r="AG48" s="162">
        <f>N48/K48</f>
        <v>0.85319732923244107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115</v>
      </c>
      <c r="E49" s="132"/>
      <c r="F49" s="129">
        <f>VLOOKUP(D49,廠價表!$C$1:$E$43,3,0)</f>
        <v>56.28</v>
      </c>
      <c r="G49" s="228">
        <v>675</v>
      </c>
      <c r="H49" s="134">
        <f>F49*G49</f>
        <v>37989</v>
      </c>
      <c r="I49" s="135"/>
      <c r="J49" s="136">
        <v>17</v>
      </c>
      <c r="K49" s="137">
        <f>VLOOKUP(D49,產線配置圖!$A$3:$C$38,3,0)</f>
        <v>1800</v>
      </c>
      <c r="L49" s="138">
        <f>K49/J49</f>
        <v>105.88235294117646</v>
      </c>
      <c r="M49" s="170">
        <v>17</v>
      </c>
      <c r="N49" s="140">
        <f>G49/W49*60</f>
        <v>1620.0000000000111</v>
      </c>
      <c r="O49" s="141">
        <f>N49/M49</f>
        <v>95.29411764705948</v>
      </c>
      <c r="P49" s="229">
        <f>M49-J49</f>
        <v>0</v>
      </c>
      <c r="Q49" s="230">
        <f>O49-L49</f>
        <v>-10.588235294116984</v>
      </c>
      <c r="R49" s="52">
        <f>O49/L49</f>
        <v>0.90000000000000624</v>
      </c>
      <c r="S49" s="415">
        <f>R58</f>
        <v>0.88765923228661803</v>
      </c>
      <c r="T49" s="191">
        <v>0.29166666666666702</v>
      </c>
      <c r="U49" s="191">
        <v>0.30902777777777801</v>
      </c>
      <c r="V49" s="55"/>
      <c r="W49" s="193">
        <f t="shared" si="2"/>
        <v>24.999999999999829</v>
      </c>
      <c r="X49" s="55"/>
      <c r="Y49" s="290"/>
      <c r="Z49" s="169"/>
      <c r="AA49" s="169"/>
      <c r="AB49" s="420"/>
      <c r="AC49" s="420"/>
      <c r="AD49" s="135"/>
      <c r="AE49" s="135"/>
      <c r="AF49" s="229">
        <f>N49-K49</f>
        <v>-179.99999999998886</v>
      </c>
      <c r="AG49" s="52">
        <f>N49/K49</f>
        <v>0.90000000000000624</v>
      </c>
      <c r="AH49" s="403">
        <f>AG58</f>
        <v>0.85128259659224703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5080</v>
      </c>
      <c r="H50" s="231">
        <f>F50*G50</f>
        <v>253847.6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1579.274611398961</v>
      </c>
      <c r="O50" s="235">
        <f>N50/M50</f>
        <v>105.28497409326407</v>
      </c>
      <c r="P50" s="74">
        <f>M50-J50</f>
        <v>-1</v>
      </c>
      <c r="Q50" s="83">
        <f>O50-L50</f>
        <v>-7.2150259067359315</v>
      </c>
      <c r="R50" s="72">
        <f>O50/L50</f>
        <v>0.93586643638456946</v>
      </c>
      <c r="S50" s="416"/>
      <c r="T50" s="21">
        <v>0.31597222222222199</v>
      </c>
      <c r="U50" s="21">
        <v>0.45</v>
      </c>
      <c r="V50" s="30">
        <f>(T50-U49)*24*60</f>
        <v>9.999999999999325</v>
      </c>
      <c r="W50" s="236">
        <f t="shared" si="2"/>
        <v>193.00000000000034</v>
      </c>
      <c r="X50" s="22"/>
      <c r="Y50" s="84"/>
      <c r="Z50" s="90"/>
      <c r="AA50" s="90"/>
      <c r="AB50" s="409" t="s">
        <v>164</v>
      </c>
      <c r="AC50" s="409"/>
      <c r="AD50" s="92"/>
      <c r="AE50" s="92"/>
      <c r="AF50" s="307">
        <f>N50-K50</f>
        <v>-220.72538860103896</v>
      </c>
      <c r="AG50" s="72">
        <f>N50/K50</f>
        <v>0.87737478411053393</v>
      </c>
      <c r="AH50" s="405"/>
    </row>
    <row r="51" spans="1:34" ht="15" customHeight="1">
      <c r="A51" s="428"/>
      <c r="B51" s="75" t="s">
        <v>118</v>
      </c>
      <c r="C51" s="86"/>
      <c r="D51" s="59" t="s">
        <v>124</v>
      </c>
      <c r="E51" s="87"/>
      <c r="F51" s="75">
        <f>VLOOKUP(D51,廠價表!$C$1:$E$43,3,0)</f>
        <v>44.3</v>
      </c>
      <c r="G51" s="202">
        <v>1497</v>
      </c>
      <c r="H51" s="231">
        <f>F51*G51</f>
        <v>66317.099999999991</v>
      </c>
      <c r="I51" s="232"/>
      <c r="J51" s="79">
        <f>VLOOKUP(D51,產線配置圖!$A$3:$C$38,2,0)</f>
        <v>18</v>
      </c>
      <c r="K51" s="80">
        <f>VLOOKUP(D51,產線配置圖!$A$3:$C$38,3,0)</f>
        <v>1565</v>
      </c>
      <c r="L51" s="81">
        <f>K51/J51</f>
        <v>86.944444444444443</v>
      </c>
      <c r="M51" s="233">
        <v>17</v>
      </c>
      <c r="N51" s="234">
        <f>G51/W51*60</f>
        <v>1197.5999999999838</v>
      </c>
      <c r="O51" s="235">
        <f>N51/M51</f>
        <v>70.447058823528451</v>
      </c>
      <c r="P51" s="74">
        <f>M51-J51</f>
        <v>-1</v>
      </c>
      <c r="Q51" s="83">
        <f>O51-L51</f>
        <v>-16.497385620915992</v>
      </c>
      <c r="R51" s="72">
        <f>O51/L51</f>
        <v>0.81025371170831451</v>
      </c>
      <c r="S51" s="416"/>
      <c r="T51" s="21">
        <v>0.62847222222222199</v>
      </c>
      <c r="U51" s="21">
        <v>0.68055555555555602</v>
      </c>
      <c r="V51" s="30">
        <f>(T51-U50)*24*60</f>
        <v>256.99999999999966</v>
      </c>
      <c r="W51" s="236">
        <f t="shared" si="2"/>
        <v>75.000000000001009</v>
      </c>
      <c r="X51" s="22"/>
      <c r="Y51" s="84"/>
      <c r="Z51" s="90"/>
      <c r="AA51" s="90"/>
      <c r="AB51" s="409"/>
      <c r="AC51" s="409"/>
      <c r="AD51" s="92"/>
      <c r="AE51" s="92"/>
      <c r="AF51" s="307">
        <f>N51-K51</f>
        <v>-367.40000000001623</v>
      </c>
      <c r="AG51" s="72">
        <f>N51/K51</f>
        <v>0.76523961661340811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2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/>
      <c r="AG52" s="72"/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2"/>
        <v>0</v>
      </c>
      <c r="X53" s="30"/>
      <c r="Y53" s="151"/>
      <c r="Z53" s="90"/>
      <c r="AA53" s="90"/>
      <c r="AB53" s="409"/>
      <c r="AC53" s="409"/>
      <c r="AD53" s="92"/>
      <c r="AE53" s="92"/>
      <c r="AF53" s="307"/>
      <c r="AG53" s="72"/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8">AVERAGE(J49:J57)</f>
        <v>17</v>
      </c>
      <c r="K58" s="120">
        <f t="shared" si="8"/>
        <v>1721.6666666666667</v>
      </c>
      <c r="L58" s="117">
        <f t="shared" si="8"/>
        <v>101.77559912854031</v>
      </c>
      <c r="M58" s="120">
        <f t="shared" si="8"/>
        <v>16.333333333333332</v>
      </c>
      <c r="N58" s="120">
        <f t="shared" si="8"/>
        <v>1465.6248704663187</v>
      </c>
      <c r="O58" s="117">
        <f t="shared" si="8"/>
        <v>90.342050187950676</v>
      </c>
      <c r="P58" s="121">
        <f>M58-J58</f>
        <v>-0.66666666666666785</v>
      </c>
      <c r="Q58" s="122">
        <f>N58-K58</f>
        <v>-256.04179620034802</v>
      </c>
      <c r="R58" s="123">
        <f>O58/L58</f>
        <v>0.88765923228661803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-256.04179620034802</v>
      </c>
      <c r="AG58" s="124">
        <f>N58/K58</f>
        <v>0.85128259659224703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3006</v>
      </c>
      <c r="H59" s="243">
        <f>F59*G59</f>
        <v>81131.94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1387.3846153846282</v>
      </c>
      <c r="O59" s="138">
        <f>N59/M59</f>
        <v>106.72189349112524</v>
      </c>
      <c r="P59" s="56">
        <f>M59-J59</f>
        <v>0</v>
      </c>
      <c r="Q59" s="230">
        <f>O59-L59</f>
        <v>-13.662721893490144</v>
      </c>
      <c r="R59" s="52">
        <f>O59/L59</f>
        <v>0.88650774145982625</v>
      </c>
      <c r="S59" s="415">
        <f>R69</f>
        <v>0.7915803533275878</v>
      </c>
      <c r="T59" s="245">
        <v>0.29166666666666702</v>
      </c>
      <c r="U59" s="245">
        <v>0.38194444444444398</v>
      </c>
      <c r="V59" s="55"/>
      <c r="W59" s="54">
        <f t="shared" si="2"/>
        <v>129.99999999999881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-177.6153846153718</v>
      </c>
      <c r="AG59" s="246">
        <f>N59/K59</f>
        <v>0.88650774145982636</v>
      </c>
      <c r="AH59" s="403">
        <f>AG69</f>
        <v>0.88857148006633735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1509</v>
      </c>
      <c r="H60" s="78">
        <f>F60*G60</f>
        <v>42644.340000000004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1509.0000000000252</v>
      </c>
      <c r="O60" s="81">
        <f>N60/M60</f>
        <v>125.7500000000021</v>
      </c>
      <c r="P60" s="74">
        <f>M60-J60</f>
        <v>0</v>
      </c>
      <c r="Q60" s="83">
        <f>O60-L60</f>
        <v>-4.666666666664554</v>
      </c>
      <c r="R60" s="72">
        <f>O60/L60</f>
        <v>0.96421725239618228</v>
      </c>
      <c r="S60" s="425"/>
      <c r="T60" s="22">
        <v>0.39930555555555602</v>
      </c>
      <c r="U60" s="22">
        <v>0.44097222222222199</v>
      </c>
      <c r="V60" s="30">
        <f>(T60-U59)*24*60</f>
        <v>25.00000000000135</v>
      </c>
      <c r="W60" s="248">
        <f t="shared" si="2"/>
        <v>59.999999999998991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-55.999999999974762</v>
      </c>
      <c r="AG60" s="249">
        <f>N60/K60</f>
        <v>0.96421725239618228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1667</v>
      </c>
      <c r="H61" s="254">
        <f>F61*G61</f>
        <v>47109.420000000006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1250.2500000000132</v>
      </c>
      <c r="O61" s="238">
        <f>N61/M61</f>
        <v>113.65909090909211</v>
      </c>
      <c r="P61" s="111">
        <f>M61-J61</f>
        <v>2</v>
      </c>
      <c r="Q61" s="255">
        <f>O61-L61</f>
        <v>-68.118686868685657</v>
      </c>
      <c r="R61" s="85">
        <f>O61/L61</f>
        <v>0.62526394754390535</v>
      </c>
      <c r="S61" s="416"/>
      <c r="T61" s="22">
        <v>0.44791666666666702</v>
      </c>
      <c r="U61" s="22">
        <v>0.50347222222222199</v>
      </c>
      <c r="V61" s="30">
        <f>(T61-U60)*24*60</f>
        <v>10.000000000000844</v>
      </c>
      <c r="W61" s="256">
        <f t="shared" si="2"/>
        <v>79.999999999999162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-385.74999999998681</v>
      </c>
      <c r="AG61" s="247">
        <f>N61/K61</f>
        <v>0.76421149144255085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1542</v>
      </c>
      <c r="H62" s="254">
        <f>F62*G62</f>
        <v>43576.920000000006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1542.0000000000259</v>
      </c>
      <c r="O62" s="238">
        <f>N62/M62</f>
        <v>140.18181818182055</v>
      </c>
      <c r="P62" s="111">
        <f>M62-J62</f>
        <v>2</v>
      </c>
      <c r="Q62" s="255">
        <f>O62-L62</f>
        <v>-41.595959595957225</v>
      </c>
      <c r="R62" s="85">
        <f>O62/L62</f>
        <v>0.77117137141588321</v>
      </c>
      <c r="S62" s="416"/>
      <c r="T62" s="22">
        <v>0.55555555555555602</v>
      </c>
      <c r="U62" s="22">
        <v>0.59722222222222199</v>
      </c>
      <c r="V62" s="30"/>
      <c r="W62" s="248">
        <f t="shared" si="2"/>
        <v>59.999999999998991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-93.999999999974079</v>
      </c>
      <c r="AG62" s="247">
        <f>N62/K62</f>
        <v>0.94254278728607943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2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9">AVERAGE(J59:J68)</f>
        <v>10.75</v>
      </c>
      <c r="K69" s="240">
        <f t="shared" si="9"/>
        <v>1600.5</v>
      </c>
      <c r="L69" s="268">
        <f t="shared" si="9"/>
        <v>153.58920940170941</v>
      </c>
      <c r="M69" s="240">
        <f t="shared" si="9"/>
        <v>11.75</v>
      </c>
      <c r="N69" s="240">
        <f t="shared" si="9"/>
        <v>1422.1586538461729</v>
      </c>
      <c r="O69" s="268">
        <f t="shared" si="9"/>
        <v>121.57820064551001</v>
      </c>
      <c r="P69" s="269">
        <f>M69-J69</f>
        <v>1</v>
      </c>
      <c r="Q69" s="222">
        <f>N69-K69</f>
        <v>-178.34134615382709</v>
      </c>
      <c r="R69" s="123">
        <f>O69/L69</f>
        <v>0.7915803533275878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-178.34134615382709</v>
      </c>
      <c r="AG69" s="124">
        <f>N69/K69</f>
        <v>0.88857148006633735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2"/>
        <v>0</v>
      </c>
      <c r="X70" s="270"/>
      <c r="Y70" s="292"/>
      <c r="Z70" s="169"/>
      <c r="AA70" s="169"/>
      <c r="AB70" s="420"/>
      <c r="AC70" s="420"/>
      <c r="AD70" s="135"/>
      <c r="AE70" s="135"/>
      <c r="AF70" s="310"/>
      <c r="AG70" s="246"/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2"/>
        <v>0</v>
      </c>
      <c r="X71" s="271"/>
      <c r="Y71" s="293"/>
      <c r="Z71" s="90"/>
      <c r="AA71" s="90"/>
      <c r="AB71" s="408"/>
      <c r="AC71" s="408"/>
      <c r="AD71" s="200"/>
      <c r="AE71" s="200"/>
      <c r="AF71" s="311"/>
      <c r="AG71" s="99"/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2"/>
        <v>0</v>
      </c>
      <c r="X72" s="272"/>
      <c r="Y72" s="288"/>
      <c r="Z72" s="90"/>
      <c r="AA72" s="90"/>
      <c r="AB72" s="409"/>
      <c r="AC72" s="409"/>
      <c r="AD72" s="92"/>
      <c r="AE72" s="92"/>
      <c r="AF72" s="311"/>
      <c r="AG72" s="99"/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5:A15"/>
    <mergeCell ref="S5:S15"/>
    <mergeCell ref="AB5:AC5"/>
    <mergeCell ref="D15:E15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W3:W4"/>
    <mergeCell ref="Q3:Q4"/>
    <mergeCell ref="P1:S2"/>
    <mergeCell ref="N3:N4"/>
    <mergeCell ref="O3:O4"/>
    <mergeCell ref="P3:P4"/>
    <mergeCell ref="R3:R4"/>
    <mergeCell ref="A2:B2"/>
    <mergeCell ref="A3:A4"/>
    <mergeCell ref="B3:B4"/>
    <mergeCell ref="D3:E4"/>
    <mergeCell ref="F3:F4"/>
    <mergeCell ref="T1:Y2"/>
    <mergeCell ref="AB1:AC2"/>
    <mergeCell ref="S3:S4"/>
    <mergeCell ref="T3:U3"/>
    <mergeCell ref="V3:V4"/>
    <mergeCell ref="AB3:AC4"/>
    <mergeCell ref="H3:H4"/>
    <mergeCell ref="I3:I4"/>
    <mergeCell ref="G3:G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1D715C-1AD5-4E1A-B16C-3D06B4BC245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EA04-CE63-48CF-89E7-45306BF11EBE}">
  <dimension ref="B1:O26"/>
  <sheetViews>
    <sheetView topLeftCell="A2"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46123</v>
      </c>
      <c r="E3" s="399"/>
      <c r="F3" s="3" t="s">
        <v>72</v>
      </c>
      <c r="G3" s="400">
        <f>'0411'!E1</f>
        <v>50950</v>
      </c>
      <c r="H3" s="400"/>
      <c r="I3" s="3" t="s">
        <v>2</v>
      </c>
      <c r="J3" s="401">
        <f>'0411'!G1</f>
        <v>2394764.2599999998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133.08775034424545</v>
      </c>
      <c r="G6" s="397"/>
      <c r="H6" s="382">
        <f>AVERAGE(D13:H13)</f>
        <v>128.98745853275264</v>
      </c>
      <c r="I6" s="382"/>
      <c r="J6" s="382">
        <f>AVERAGE(I13)</f>
        <v>153.58920940170941</v>
      </c>
      <c r="K6" s="382"/>
      <c r="L6" s="383">
        <f>SUM(D18:J18)</f>
        <v>5</v>
      </c>
      <c r="M6" s="385">
        <f>SUM(D19:J19)</f>
        <v>48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113.02495414018433</v>
      </c>
      <c r="G7" s="389"/>
      <c r="H7" s="390">
        <f>AVERAGE(D14:H14)</f>
        <v>111.81332044186281</v>
      </c>
      <c r="I7" s="390"/>
      <c r="J7" s="390">
        <f>AVERAGE(I14)</f>
        <v>119.08312263179198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0.84925136872351825</v>
      </c>
      <c r="G8" s="374"/>
      <c r="H8" s="374">
        <f>H7/H6</f>
        <v>0.86685420205772212</v>
      </c>
      <c r="I8" s="374"/>
      <c r="J8" s="374">
        <f>J7/J6</f>
        <v>0.77533521460047705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VALUE('0411'!L15)</f>
        <v>166.02637362637364</v>
      </c>
      <c r="E13" s="13">
        <f>VALUE('0411'!L26)</f>
        <v>178.79220779220779</v>
      </c>
      <c r="F13" s="13">
        <f>VALUE('0411'!L37)</f>
        <v>97.737556561085967</v>
      </c>
      <c r="G13" s="13">
        <f>VALUE('0411'!L48)</f>
        <v>100.60555555555555</v>
      </c>
      <c r="H13" s="13">
        <f>VALUE('0411'!L58)</f>
        <v>101.77559912854031</v>
      </c>
      <c r="I13" s="13">
        <f>VALUE('0411'!L69)</f>
        <v>153.58920940170941</v>
      </c>
      <c r="J13" s="13">
        <f>'0411'!L79</f>
        <v>0</v>
      </c>
    </row>
    <row r="14" spans="2:15" ht="39.950000000000003" customHeight="1">
      <c r="B14" s="368"/>
      <c r="C14" s="12" t="s">
        <v>100</v>
      </c>
      <c r="D14" s="13">
        <f>VALUE('0411'!O15)</f>
        <v>153.83572983015375</v>
      </c>
      <c r="E14" s="13">
        <f>VALUE('0411'!O26)</f>
        <v>159.38189775850924</v>
      </c>
      <c r="F14" s="13">
        <f>VALUE('0411'!O37)</f>
        <v>66.092957555379868</v>
      </c>
      <c r="G14" s="13">
        <f>VALUE('0411'!O48)</f>
        <v>92.72613351560716</v>
      </c>
      <c r="H14" s="13">
        <f>VALUE('0411'!O58)</f>
        <v>87.029883549663978</v>
      </c>
      <c r="I14" s="13">
        <f>VALUE('0411'!O69)</f>
        <v>119.08312263179198</v>
      </c>
      <c r="J14" s="13">
        <f>'0411'!O79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0.92657405248365088</v>
      </c>
      <c r="E15" s="14">
        <f t="shared" si="1"/>
        <v>0.89143648779002049</v>
      </c>
      <c r="F15" s="14">
        <f t="shared" si="1"/>
        <v>0.67622887128421072</v>
      </c>
      <c r="G15" s="14">
        <f t="shared" si="1"/>
        <v>0.92168005040638845</v>
      </c>
      <c r="H15" s="14">
        <f t="shared" si="1"/>
        <v>0.85511541366361477</v>
      </c>
      <c r="I15" s="14">
        <f t="shared" si="1"/>
        <v>0.77533521460047705</v>
      </c>
      <c r="J15" s="15">
        <f>'0411'!S70</f>
        <v>0</v>
      </c>
    </row>
    <row r="16" spans="2:15" ht="17.25" customHeight="1">
      <c r="B16" s="370" t="s">
        <v>101</v>
      </c>
      <c r="C16" s="10" t="s">
        <v>34</v>
      </c>
      <c r="D16" s="16">
        <f>'0411'!T5</f>
        <v>0.29166666666666702</v>
      </c>
      <c r="E16" s="16">
        <f>'0411'!T16</f>
        <v>0.29027777777777802</v>
      </c>
      <c r="F16" s="16">
        <f>'0411'!T27</f>
        <v>0.29166666666666702</v>
      </c>
      <c r="G16" s="16">
        <f>'0411'!T38</f>
        <v>0.33333333333333298</v>
      </c>
      <c r="H16" s="16">
        <f>'0411'!T49</f>
        <v>0.29166666666666702</v>
      </c>
      <c r="I16" s="16">
        <f>'0411'!T59</f>
        <v>0.29375000000000001</v>
      </c>
      <c r="J16" s="16">
        <f>'0411'!T70</f>
        <v>0</v>
      </c>
    </row>
    <row r="17" spans="2:10" ht="17.25" customHeight="1">
      <c r="B17" s="371"/>
      <c r="C17" s="10" t="s">
        <v>35</v>
      </c>
      <c r="D17" s="16">
        <v>0.64930555555555602</v>
      </c>
      <c r="E17" s="19">
        <v>0.59027777777777801</v>
      </c>
      <c r="F17" s="19">
        <v>0.52569444444444402</v>
      </c>
      <c r="G17" s="20">
        <v>0.47361111111111098</v>
      </c>
      <c r="H17" s="21">
        <v>0.63333333333333297</v>
      </c>
      <c r="I17" s="22">
        <v>0.62152777777777801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'0411'!Z15</f>
        <v>0</v>
      </c>
      <c r="E18" s="359">
        <f>'0411'!Z26</f>
        <v>0</v>
      </c>
      <c r="F18" s="359">
        <f>'0411'!Z37</f>
        <v>5</v>
      </c>
      <c r="G18" s="360">
        <f>'0411'!Z48</f>
        <v>0</v>
      </c>
      <c r="H18" s="360">
        <f>'0411'!Z58</f>
        <v>0</v>
      </c>
      <c r="I18" s="359">
        <f>'0411'!Z69</f>
        <v>0</v>
      </c>
      <c r="J18" s="359">
        <f>'0411'!AA79</f>
        <v>0</v>
      </c>
    </row>
    <row r="19" spans="2:10" ht="17.25" customHeight="1">
      <c r="B19" s="373"/>
      <c r="C19" s="330" t="s">
        <v>37</v>
      </c>
      <c r="D19" s="358">
        <f>'0411'!AA15</f>
        <v>0</v>
      </c>
      <c r="E19" s="359">
        <f>'0411'!AA26</f>
        <v>0</v>
      </c>
      <c r="F19" s="359">
        <f>'0411'!AA37</f>
        <v>48</v>
      </c>
      <c r="G19" s="360">
        <f>'0411'!AA48</f>
        <v>0</v>
      </c>
      <c r="H19" s="360">
        <f>'0411'!AA58</f>
        <v>0</v>
      </c>
      <c r="I19" s="359">
        <f>'0411'!AA69</f>
        <v>0</v>
      </c>
      <c r="J19" s="359">
        <f>'0411'!AB79</f>
        <v>0</v>
      </c>
    </row>
    <row r="20" spans="2:10" ht="17.25" customHeight="1">
      <c r="B20" s="372" t="s">
        <v>103</v>
      </c>
      <c r="C20" s="330" t="s">
        <v>36</v>
      </c>
      <c r="D20" s="358">
        <f>'0411'!AD15</f>
        <v>0</v>
      </c>
      <c r="E20" s="359">
        <f>'0411'!AD26</f>
        <v>0</v>
      </c>
      <c r="F20" s="359">
        <f>'0411'!AD37</f>
        <v>0</v>
      </c>
      <c r="G20" s="360">
        <f>'0411'!AD48</f>
        <v>0</v>
      </c>
      <c r="H20" s="360">
        <f>'0411'!AD58</f>
        <v>0</v>
      </c>
      <c r="I20" s="359">
        <f>'0411'!AD69</f>
        <v>0</v>
      </c>
      <c r="J20" s="359">
        <f>'0411'!AD79</f>
        <v>0</v>
      </c>
    </row>
    <row r="21" spans="2:10" ht="17.25" customHeight="1">
      <c r="B21" s="373"/>
      <c r="C21" s="330" t="s">
        <v>85</v>
      </c>
      <c r="D21" s="358">
        <f>'0411'!AE15</f>
        <v>0</v>
      </c>
      <c r="E21" s="359">
        <f>'0411'!AE26</f>
        <v>0</v>
      </c>
      <c r="F21" s="359">
        <f>'0411'!AE37</f>
        <v>0</v>
      </c>
      <c r="G21" s="360">
        <f>'0411'!AE48</f>
        <v>0</v>
      </c>
      <c r="H21" s="360">
        <f>'0411'!AE58</f>
        <v>0</v>
      </c>
      <c r="I21" s="359">
        <f>'0411'!AE69</f>
        <v>0</v>
      </c>
      <c r="J21" s="359">
        <f>'0411'!AE79</f>
        <v>0</v>
      </c>
    </row>
    <row r="22" spans="2:10" ht="17.25" customHeight="1">
      <c r="B22" s="364" t="s">
        <v>104</v>
      </c>
      <c r="C22" s="365"/>
      <c r="D22" s="23">
        <f>VALUE('0411'!M15)</f>
        <v>12.8</v>
      </c>
      <c r="E22" s="23">
        <f>VALUE('0411'!M26)</f>
        <v>12</v>
      </c>
      <c r="F22" s="23">
        <f>VALUE('0411'!M37)</f>
        <v>14.5</v>
      </c>
      <c r="G22" s="23">
        <f>VALUE('0411'!M48)</f>
        <v>16</v>
      </c>
      <c r="H22" s="23">
        <f>VALUE('0411'!M58)</f>
        <v>16.666666666666668</v>
      </c>
      <c r="I22" s="23">
        <f>VALUE('0411'!M69)</f>
        <v>11.75</v>
      </c>
      <c r="J22" s="23">
        <f>'0411'!M79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EA83-5626-4A67-8065-BA8AC5AC184F}">
  <sheetPr>
    <tabColor theme="9" tint="0.79998168889431442"/>
  </sheetPr>
  <dimension ref="A1:AJ92"/>
  <sheetViews>
    <sheetView zoomScale="73" zoomScaleNormal="73" workbookViewId="0">
      <pane xSplit="5" ySplit="4" topLeftCell="H62" activePane="bottomRight" state="frozen"/>
      <selection activeCell="U18" sqref="U18"/>
      <selection pane="topRight" activeCell="U18" sqref="U18"/>
      <selection pane="bottomLeft" activeCell="U18" sqref="U18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50950</v>
      </c>
      <c r="F1" s="30" t="s">
        <v>2</v>
      </c>
      <c r="G1" s="31">
        <f>SUM(H5:H79)</f>
        <v>2394764.2599999998</v>
      </c>
      <c r="H1" s="32" t="s">
        <v>3</v>
      </c>
      <c r="I1" s="33">
        <f>M15+M26+M48+M58+M69+M79+M37</f>
        <v>83.716666666666669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165</v>
      </c>
      <c r="B2" s="483"/>
      <c r="C2" s="28"/>
      <c r="D2" s="28" t="s">
        <v>14</v>
      </c>
      <c r="E2" s="35">
        <f>AVERAGE(O15,O26,O37,O48,O58,O69,O79)</f>
        <v>113.02495414018433</v>
      </c>
      <c r="F2" s="36" t="s">
        <v>15</v>
      </c>
      <c r="G2" s="37">
        <f>G1/E1</f>
        <v>47.002242590775268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5</v>
      </c>
      <c r="AA2" s="339">
        <f>AA15+AA26+AA37+AA48+AA58+AA69+AA79</f>
        <v>48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3118</v>
      </c>
      <c r="H5" s="43">
        <f>F5*G5</f>
        <v>178380.78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2033.4782608695618</v>
      </c>
      <c r="O5" s="47">
        <f>N5/M5</f>
        <v>145.2484472049687</v>
      </c>
      <c r="P5" s="49">
        <f>M5-J5</f>
        <v>0</v>
      </c>
      <c r="Q5" s="50">
        <f>O5-L5</f>
        <v>-6.0372670807455791</v>
      </c>
      <c r="R5" s="51">
        <f>O5/L5</f>
        <v>0.96009360758713969</v>
      </c>
      <c r="S5" s="415">
        <f>R15</f>
        <v>0.92657405248365088</v>
      </c>
      <c r="T5" s="319">
        <v>0.29166666666666702</v>
      </c>
      <c r="U5" s="320">
        <v>0.35555555555555601</v>
      </c>
      <c r="V5" s="53"/>
      <c r="W5" s="54">
        <f t="shared" ref="W5:W14" si="0">(U5-T5)*24*60</f>
        <v>92.000000000000156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-84.521739130438164</v>
      </c>
      <c r="AG5" s="52">
        <f t="shared" ref="AG5:AG11" si="2">N5/K5</f>
        <v>0.96009360758713969</v>
      </c>
      <c r="AH5" s="403">
        <f>AG15</f>
        <v>0.92891759158014131</v>
      </c>
    </row>
    <row r="6" spans="1:34" ht="15" customHeight="1">
      <c r="A6" s="489"/>
      <c r="B6" s="57" t="s">
        <v>81</v>
      </c>
      <c r="C6" s="58"/>
      <c r="D6" s="59" t="s">
        <v>116</v>
      </c>
      <c r="E6" s="60"/>
      <c r="F6" s="61">
        <f>VLOOKUP(D6,廠價表!$C$1:$E$43,3,0)</f>
        <v>50.67</v>
      </c>
      <c r="G6" s="62">
        <v>2463</v>
      </c>
      <c r="H6" s="63">
        <f>F6*G6</f>
        <v>124800.21</v>
      </c>
      <c r="I6" s="64"/>
      <c r="J6" s="65">
        <f>VLOOKUP(D6,產線配置圖!$A$3:$C$38,2,0)</f>
        <v>12</v>
      </c>
      <c r="K6" s="66">
        <f>VLOOKUP(D6,產線配置圖!$A$3:$C$38,3,0)</f>
        <v>2118</v>
      </c>
      <c r="L6" s="67">
        <f>K6/J6</f>
        <v>176.5</v>
      </c>
      <c r="M6" s="68">
        <v>12</v>
      </c>
      <c r="N6" s="66">
        <f>G6/W6*60</f>
        <v>1944.4736842105167</v>
      </c>
      <c r="O6" s="67">
        <f>N6/M6</f>
        <v>162.03947368420972</v>
      </c>
      <c r="P6" s="69">
        <f>M6-J6</f>
        <v>0</v>
      </c>
      <c r="Q6" s="70">
        <f>O6-L6</f>
        <v>-14.460526315790275</v>
      </c>
      <c r="R6" s="71">
        <f>O6/L6</f>
        <v>0.9180706724317832</v>
      </c>
      <c r="S6" s="416"/>
      <c r="T6" s="16">
        <v>0.36388888888888898</v>
      </c>
      <c r="U6" s="16">
        <v>0.41666666666666702</v>
      </c>
      <c r="V6" s="30">
        <f>(T6-U5)*24*60</f>
        <v>11.999999999999478</v>
      </c>
      <c r="W6" s="73">
        <f t="shared" si="0"/>
        <v>76.000000000000369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-173.52631578948331</v>
      </c>
      <c r="AG6" s="72">
        <f t="shared" si="2"/>
        <v>0.9180706724317832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2631</v>
      </c>
      <c r="H7" s="78">
        <f>F7*G7</f>
        <v>129287.34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1998.2278481012688</v>
      </c>
      <c r="O7" s="81">
        <f>N7/M7</f>
        <v>153.70983446932837</v>
      </c>
      <c r="P7" s="74">
        <f>M7-J7</f>
        <v>0</v>
      </c>
      <c r="Q7" s="83">
        <f>O7-L7</f>
        <v>-9.2132424537485633</v>
      </c>
      <c r="R7" s="72">
        <f>O7/L7</f>
        <v>0.94345035321117499</v>
      </c>
      <c r="S7" s="416"/>
      <c r="T7" s="18">
        <v>0.42430555555555599</v>
      </c>
      <c r="U7" s="18">
        <v>0.47916666666666702</v>
      </c>
      <c r="V7" s="30">
        <f>(T7-U6)*24*60</f>
        <v>11.000000000000121</v>
      </c>
      <c r="W7" s="73">
        <f t="shared" si="0"/>
        <v>78.999999999999886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-119.77215189873118</v>
      </c>
      <c r="AG7" s="72">
        <f t="shared" si="2"/>
        <v>0.9434503532111751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3141</v>
      </c>
      <c r="H8" s="78">
        <f>F8*G8</f>
        <v>154348.74</v>
      </c>
      <c r="I8" s="73"/>
      <c r="J8" s="79">
        <f>VLOOKUP(D8,產線配置圖!$A$3:$C$38,2,0)</f>
        <v>13</v>
      </c>
      <c r="K8" s="80">
        <f>VLOOKUP(D8,產線配置圖!$A$3:$C$38,3,0)</f>
        <v>2118</v>
      </c>
      <c r="L8" s="81">
        <f>K8/J8</f>
        <v>162.92307692307693</v>
      </c>
      <c r="M8" s="82">
        <v>13</v>
      </c>
      <c r="N8" s="80">
        <f>G8/W8*60</f>
        <v>2117.5280898876595</v>
      </c>
      <c r="O8" s="81">
        <f>N8/M8</f>
        <v>162.88677614520458</v>
      </c>
      <c r="P8" s="74">
        <f>M8-J8</f>
        <v>0</v>
      </c>
      <c r="Q8" s="83">
        <f>O8-L8</f>
        <v>-3.6300777872355638E-2</v>
      </c>
      <c r="R8" s="72">
        <f>O8/L8</f>
        <v>0.99977719069294591</v>
      </c>
      <c r="S8" s="416"/>
      <c r="T8" s="16">
        <v>0.54166666666666696</v>
      </c>
      <c r="U8" s="16">
        <v>0.60347222222222197</v>
      </c>
      <c r="V8" s="30">
        <f>(T8-U7)*24*60</f>
        <v>89.999999999999915</v>
      </c>
      <c r="W8" s="73">
        <f t="shared" si="0"/>
        <v>88.999999999999204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-0.47191011234053803</v>
      </c>
      <c r="AG8" s="72">
        <f t="shared" si="2"/>
        <v>0.99977719069294591</v>
      </c>
      <c r="AH8" s="405"/>
    </row>
    <row r="9" spans="1:34" ht="15" customHeight="1">
      <c r="A9" s="490"/>
      <c r="B9" s="75" t="s">
        <v>81</v>
      </c>
      <c r="C9" s="76"/>
      <c r="D9" s="59" t="s">
        <v>116</v>
      </c>
      <c r="E9" s="77"/>
      <c r="F9" s="75">
        <f>VLOOKUP(D9,廠價表!$C$1:$E$43,3,0)</f>
        <v>50.67</v>
      </c>
      <c r="G9" s="66">
        <v>1482</v>
      </c>
      <c r="H9" s="78">
        <f>F9*G9</f>
        <v>75092.94</v>
      </c>
      <c r="I9" s="73"/>
      <c r="J9" s="79">
        <f>VLOOKUP(D9,產線配置圖!$A$3:$C$38,2,0)</f>
        <v>12</v>
      </c>
      <c r="K9" s="80">
        <f>VLOOKUP(D9,產線配置圖!$A$3:$C$38,3,0)</f>
        <v>2118</v>
      </c>
      <c r="L9" s="81">
        <f>K9/J9</f>
        <v>176.5</v>
      </c>
      <c r="M9" s="82">
        <v>12</v>
      </c>
      <c r="N9" s="80">
        <f>G9/W9*60</f>
        <v>1743.5294117646904</v>
      </c>
      <c r="O9" s="81">
        <f>N9/M9</f>
        <v>145.29411764705753</v>
      </c>
      <c r="P9" s="74">
        <f>M9-J9</f>
        <v>0</v>
      </c>
      <c r="Q9" s="83">
        <f>O9-L9</f>
        <v>-31.205882352942467</v>
      </c>
      <c r="R9" s="72">
        <f>O9/L9</f>
        <v>0.82319613397766311</v>
      </c>
      <c r="S9" s="417"/>
      <c r="T9" s="16">
        <v>0.61388888888888904</v>
      </c>
      <c r="U9" s="16">
        <v>0.64930555555555602</v>
      </c>
      <c r="V9" s="30">
        <f>(T9-U8)*24*60</f>
        <v>15.000000000000586</v>
      </c>
      <c r="W9" s="73">
        <f t="shared" si="0"/>
        <v>51.000000000000455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-374.47058823530961</v>
      </c>
      <c r="AG9" s="72">
        <f t="shared" si="2"/>
        <v>0.82319613397766311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12.8</v>
      </c>
      <c r="K15" s="120">
        <f t="shared" si="3"/>
        <v>2118</v>
      </c>
      <c r="L15" s="117">
        <f t="shared" si="3"/>
        <v>166.02637362637364</v>
      </c>
      <c r="M15" s="120">
        <f t="shared" si="3"/>
        <v>12.8</v>
      </c>
      <c r="N15" s="120">
        <f t="shared" si="3"/>
        <v>1967.4474589667393</v>
      </c>
      <c r="O15" s="117">
        <f t="shared" si="3"/>
        <v>153.83572983015375</v>
      </c>
      <c r="P15" s="121">
        <f>M15-J15</f>
        <v>0</v>
      </c>
      <c r="Q15" s="122">
        <f>O15-L15</f>
        <v>-12.190643796219888</v>
      </c>
      <c r="R15" s="123">
        <f>O15/L15</f>
        <v>0.92657405248365088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-150.5525410332607</v>
      </c>
      <c r="AG15" s="124">
        <f>N15/K15</f>
        <v>0.92891759158014131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5223</v>
      </c>
      <c r="H16" s="134">
        <f>F16*G16</f>
        <v>297032.01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1970.943396226427</v>
      </c>
      <c r="O16" s="141">
        <f>N16/M16</f>
        <v>140.78167115903051</v>
      </c>
      <c r="P16" s="142">
        <f>M16-J16</f>
        <v>0</v>
      </c>
      <c r="Q16" s="143">
        <f>O16-L16</f>
        <v>-10.504043126683769</v>
      </c>
      <c r="R16" s="144">
        <f>O16/L16</f>
        <v>0.93056817574429995</v>
      </c>
      <c r="S16" s="443">
        <f>R26</f>
        <v>0.89143648779002049</v>
      </c>
      <c r="T16" s="145">
        <v>0.29027777777777802</v>
      </c>
      <c r="U16" s="145">
        <v>0.40069444444444402</v>
      </c>
      <c r="V16" s="135"/>
      <c r="W16" s="146">
        <f t="shared" ref="W16:W78" si="4">(U16-T16)*24*60</f>
        <v>158.99999999999903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-147.05660377357299</v>
      </c>
      <c r="AG16" s="52">
        <f>N16/K16</f>
        <v>0.93056817574429984</v>
      </c>
      <c r="AH16" s="403">
        <f>AG26</f>
        <v>0.89423160835818327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3390</v>
      </c>
      <c r="H17" s="78">
        <f>F17*G17</f>
        <v>170822.1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2013.8613861386098</v>
      </c>
      <c r="O17" s="96">
        <f>N17/M17</f>
        <v>183.07830783078271</v>
      </c>
      <c r="P17" s="97">
        <f>M17-J17</f>
        <v>0</v>
      </c>
      <c r="Q17" s="98">
        <f>O17-L17</f>
        <v>-9.4671467146718271</v>
      </c>
      <c r="R17" s="99">
        <f>O17/L17</f>
        <v>0.95083162707205382</v>
      </c>
      <c r="S17" s="444"/>
      <c r="T17" s="19">
        <v>0.40902777777777799</v>
      </c>
      <c r="U17" s="19">
        <v>0.47916666666666702</v>
      </c>
      <c r="V17" s="30">
        <f>(T17-U16)*24*60</f>
        <v>12.000000000000917</v>
      </c>
      <c r="W17" s="149">
        <f t="shared" si="4"/>
        <v>101.0000000000002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-104.13861386139024</v>
      </c>
      <c r="AG17" s="72">
        <f>N17/K17</f>
        <v>0.95083162707205371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1980</v>
      </c>
      <c r="H18" s="78">
        <f>F18*G18</f>
        <v>99772.2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1697.1428571428592</v>
      </c>
      <c r="O18" s="96">
        <f>N18/M18</f>
        <v>154.28571428571448</v>
      </c>
      <c r="P18" s="97">
        <f>M18-J18</f>
        <v>0</v>
      </c>
      <c r="Q18" s="98">
        <f>O18-L18</f>
        <v>-38.259740259740056</v>
      </c>
      <c r="R18" s="99">
        <f>O18/L18</f>
        <v>0.80129502225819615</v>
      </c>
      <c r="S18" s="444"/>
      <c r="T18" s="19">
        <v>0.54166666666666696</v>
      </c>
      <c r="U18" s="19">
        <v>0.59027777777777801</v>
      </c>
      <c r="V18" s="30">
        <f>(T18-U17)*24*60</f>
        <v>89.999999999999915</v>
      </c>
      <c r="W18" s="149">
        <f t="shared" si="4"/>
        <v>69.999999999999915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-420.85714285714084</v>
      </c>
      <c r="AG18" s="72">
        <f>N18/K18</f>
        <v>0.80129502225819604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</v>
      </c>
      <c r="K26" s="155">
        <f t="shared" si="5"/>
        <v>2118</v>
      </c>
      <c r="L26" s="158">
        <f t="shared" si="5"/>
        <v>178.79220779220779</v>
      </c>
      <c r="M26" s="155">
        <f t="shared" si="5"/>
        <v>12</v>
      </c>
      <c r="N26" s="155">
        <f t="shared" si="5"/>
        <v>1893.9825465026322</v>
      </c>
      <c r="O26" s="158">
        <f t="shared" si="5"/>
        <v>159.38189775850924</v>
      </c>
      <c r="P26" s="159">
        <f>M26-J26</f>
        <v>0</v>
      </c>
      <c r="Q26" s="160">
        <f>O26-L26</f>
        <v>-19.410310033698551</v>
      </c>
      <c r="R26" s="161">
        <f>O26/L26</f>
        <v>0.89143648779002049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-224.0174534973678</v>
      </c>
      <c r="AG26" s="124">
        <f t="shared" ref="AG26:AG31" si="7">N26/K26</f>
        <v>0.89423160835818327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2482</v>
      </c>
      <c r="H27" s="134">
        <f>F27*G27</f>
        <v>122908.64000000001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16</v>
      </c>
      <c r="N27" s="140">
        <f>G27/W27*60</f>
        <v>1262.0338983050917</v>
      </c>
      <c r="O27" s="141">
        <f>N27/M27</f>
        <v>78.877118644068233</v>
      </c>
      <c r="P27" s="142">
        <f>M27-J27</f>
        <v>-1</v>
      </c>
      <c r="Q27" s="143">
        <f>O27-L27</f>
        <v>-5.8287637088729412</v>
      </c>
      <c r="R27" s="144">
        <f>O27/L27</f>
        <v>0.93118820621469445</v>
      </c>
      <c r="S27" s="443">
        <f>R37</f>
        <v>0.67622887128421072</v>
      </c>
      <c r="T27" s="171">
        <v>0.29166666666666702</v>
      </c>
      <c r="U27" s="171">
        <v>0.37361111111111101</v>
      </c>
      <c r="V27" s="135"/>
      <c r="W27" s="146">
        <f t="shared" si="4"/>
        <v>117.99999999999935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6"/>
        <v>-177.96610169490828</v>
      </c>
      <c r="AG27" s="172">
        <f t="shared" si="7"/>
        <v>0.87641242937853592</v>
      </c>
      <c r="AH27" s="403">
        <f>AG37</f>
        <v>0.67883619874030598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2414</v>
      </c>
      <c r="H28" s="91">
        <f>F28*G28</f>
        <v>122317.38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693.01435406698965</v>
      </c>
      <c r="O28" s="96">
        <f>N28/M28</f>
        <v>53.308796466691511</v>
      </c>
      <c r="P28" s="97">
        <f>M28-J28</f>
        <v>0</v>
      </c>
      <c r="Q28" s="98">
        <f>O28-L28</f>
        <v>-57.460434302539262</v>
      </c>
      <c r="R28" s="99">
        <f>O28/L28</f>
        <v>0.48125996810207611</v>
      </c>
      <c r="S28" s="444"/>
      <c r="T28" s="19">
        <v>0.38055555555555598</v>
      </c>
      <c r="U28" s="19">
        <v>0.52569444444444402</v>
      </c>
      <c r="V28" s="92">
        <f>(T28-U27)*24*60</f>
        <v>10.000000000000764</v>
      </c>
      <c r="W28" s="149">
        <f t="shared" si="4"/>
        <v>208.99999999999878</v>
      </c>
      <c r="X28" s="174"/>
      <c r="Y28" s="301"/>
      <c r="Z28" s="335">
        <v>5</v>
      </c>
      <c r="AA28" s="335">
        <v>48</v>
      </c>
      <c r="AB28" s="409" t="s">
        <v>166</v>
      </c>
      <c r="AC28" s="409"/>
      <c r="AD28" s="92"/>
      <c r="AE28" s="92"/>
      <c r="AF28" s="311">
        <f t="shared" si="6"/>
        <v>-746.98564593301035</v>
      </c>
      <c r="AG28" s="99">
        <f t="shared" si="7"/>
        <v>0.48125996810207616</v>
      </c>
      <c r="AH28" s="404"/>
    </row>
    <row r="29" spans="1:34" ht="15" customHeight="1">
      <c r="A29" s="44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44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6"/>
        <v>0</v>
      </c>
      <c r="AG29" s="99" t="e">
        <f t="shared" si="7"/>
        <v>#DIV/0!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6"/>
        <v>0</v>
      </c>
      <c r="AG30" s="99" t="e">
        <f t="shared" si="7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15</v>
      </c>
      <c r="K37" s="155">
        <f t="shared" si="8"/>
        <v>1440</v>
      </c>
      <c r="L37" s="158">
        <f t="shared" si="8"/>
        <v>97.737556561085967</v>
      </c>
      <c r="M37" s="155">
        <f t="shared" si="8"/>
        <v>14.5</v>
      </c>
      <c r="N37" s="155">
        <f t="shared" si="8"/>
        <v>977.52412618604069</v>
      </c>
      <c r="O37" s="158">
        <f t="shared" si="8"/>
        <v>66.092957555379868</v>
      </c>
      <c r="P37" s="159">
        <f>M37-J37</f>
        <v>-0.5</v>
      </c>
      <c r="Q37" s="160">
        <f>N37-K37</f>
        <v>-462.47587381395931</v>
      </c>
      <c r="R37" s="161">
        <f>O37/L37</f>
        <v>0.67622887128421072</v>
      </c>
      <c r="S37" s="445"/>
      <c r="T37" s="163"/>
      <c r="U37" s="163"/>
      <c r="V37" s="164"/>
      <c r="W37" s="164"/>
      <c r="X37" s="321"/>
      <c r="Y37" s="322"/>
      <c r="Z37" s="334">
        <f>SUM(Z27:Z36)</f>
        <v>5</v>
      </c>
      <c r="AA37" s="334">
        <f>SUM(AA27:AA36)</f>
        <v>48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-462.47587381395931</v>
      </c>
      <c r="AG37" s="124">
        <f>N37/K37</f>
        <v>0.67883619874030598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2782</v>
      </c>
      <c r="H38" s="134">
        <f>F38*G38</f>
        <v>138849.62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14</v>
      </c>
      <c r="N38" s="140">
        <f>G38/W38*60</f>
        <v>1464.2105263157835</v>
      </c>
      <c r="O38" s="141">
        <f>N38/M38</f>
        <v>104.5864661654131</v>
      </c>
      <c r="P38" s="142">
        <f>M38-J38</f>
        <v>-1</v>
      </c>
      <c r="Q38" s="143">
        <f>O38-L38</f>
        <v>-9.6802005012535659</v>
      </c>
      <c r="R38" s="144">
        <f>O38/L38</f>
        <v>0.91528412630174827</v>
      </c>
      <c r="S38" s="433">
        <f>R48</f>
        <v>0.92168005040638845</v>
      </c>
      <c r="T38" s="191">
        <v>0.33333333333333298</v>
      </c>
      <c r="U38" s="191">
        <v>0.41249999999999998</v>
      </c>
      <c r="V38" s="192"/>
      <c r="W38" s="193">
        <f t="shared" si="4"/>
        <v>114.00000000000047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-249.78947368421655</v>
      </c>
      <c r="AG38" s="195">
        <f>N38/K38</f>
        <v>0.85426518454829836</v>
      </c>
      <c r="AH38" s="436">
        <f>AG48</f>
        <v>0.89045286425745829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1868</v>
      </c>
      <c r="H39" s="91">
        <f>F39*G39</f>
        <v>82752.399999999994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1455.5844155844222</v>
      </c>
      <c r="O39" s="203">
        <f>N39/M39</f>
        <v>80.865800865801233</v>
      </c>
      <c r="P39" s="97">
        <f>M39-J39</f>
        <v>0</v>
      </c>
      <c r="Q39" s="98">
        <f>O39-L39</f>
        <v>-6.0786435786432094</v>
      </c>
      <c r="R39" s="99">
        <f>O39/L39</f>
        <v>0.93008588855234642</v>
      </c>
      <c r="S39" s="434"/>
      <c r="T39" s="20">
        <v>0.42013888888888901</v>
      </c>
      <c r="U39" s="20">
        <v>0.47361111111111098</v>
      </c>
      <c r="V39" s="92">
        <f>(T39-U38)*24*60</f>
        <v>11.000000000000201</v>
      </c>
      <c r="W39" s="205">
        <f t="shared" si="4"/>
        <v>76.999999999999645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-109.41558441557777</v>
      </c>
      <c r="AG39" s="206">
        <f>N39/K39</f>
        <v>0.93008588855234653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0</v>
      </c>
      <c r="AG40" s="206" t="e">
        <f>N40/K40</f>
        <v>#DIV/0!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16.5</v>
      </c>
      <c r="K48" s="155">
        <f t="shared" si="10"/>
        <v>1639.5</v>
      </c>
      <c r="L48" s="158">
        <f t="shared" si="10"/>
        <v>100.60555555555555</v>
      </c>
      <c r="M48" s="155">
        <f t="shared" si="10"/>
        <v>16</v>
      </c>
      <c r="N48" s="155">
        <f t="shared" si="10"/>
        <v>1459.8974709501028</v>
      </c>
      <c r="O48" s="158">
        <f t="shared" si="10"/>
        <v>92.72613351560716</v>
      </c>
      <c r="P48" s="221">
        <f>M48-J48</f>
        <v>-0.5</v>
      </c>
      <c r="Q48" s="222">
        <f>N48-K48</f>
        <v>-179.60252904989716</v>
      </c>
      <c r="R48" s="223">
        <f>O48/L48</f>
        <v>0.92168005040638845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-179.60252904989716</v>
      </c>
      <c r="AG48" s="162">
        <f t="shared" ref="AG48:AG53" si="12">N48/K48</f>
        <v>0.89045286425745829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115</v>
      </c>
      <c r="E49" s="132"/>
      <c r="F49" s="129">
        <f>VLOOKUP(D49,廠價表!$C$1:$E$43,3,0)</f>
        <v>56.28</v>
      </c>
      <c r="G49" s="228">
        <v>804</v>
      </c>
      <c r="H49" s="134">
        <f>F49*G49</f>
        <v>45249.120000000003</v>
      </c>
      <c r="I49" s="135"/>
      <c r="J49" s="136">
        <v>17</v>
      </c>
      <c r="K49" s="137">
        <f>VLOOKUP(D49,產線配置圖!$A$3:$C$38,3,0)</f>
        <v>1800</v>
      </c>
      <c r="L49" s="138">
        <f>K49/J49</f>
        <v>105.88235294117646</v>
      </c>
      <c r="M49" s="170">
        <v>16</v>
      </c>
      <c r="N49" s="140">
        <f>G49/W49*60</f>
        <v>1340.0000000000018</v>
      </c>
      <c r="O49" s="141">
        <f>N49/M49</f>
        <v>83.750000000000114</v>
      </c>
      <c r="P49" s="229">
        <f>M49-J49</f>
        <v>-1</v>
      </c>
      <c r="Q49" s="230">
        <f>O49-L49</f>
        <v>-22.13235294117635</v>
      </c>
      <c r="R49" s="52">
        <f>O49/L49</f>
        <v>0.7909722222222233</v>
      </c>
      <c r="S49" s="415">
        <f>R58</f>
        <v>0.85511541366361477</v>
      </c>
      <c r="T49" s="191">
        <v>0.29166666666666702</v>
      </c>
      <c r="U49" s="191">
        <v>0.31666666666666698</v>
      </c>
      <c r="V49" s="55"/>
      <c r="W49" s="193">
        <f t="shared" si="4"/>
        <v>35.99999999999995</v>
      </c>
      <c r="X49" s="55"/>
      <c r="Y49" s="290"/>
      <c r="Z49" s="169"/>
      <c r="AA49" s="169"/>
      <c r="AB49" s="420" t="s">
        <v>134</v>
      </c>
      <c r="AC49" s="420"/>
      <c r="AD49" s="135"/>
      <c r="AE49" s="135"/>
      <c r="AF49" s="229">
        <f t="shared" si="11"/>
        <v>-459.99999999999818</v>
      </c>
      <c r="AG49" s="52">
        <f t="shared" si="12"/>
        <v>0.74444444444444546</v>
      </c>
      <c r="AH49" s="403">
        <f>AG58</f>
        <v>0.83784731050158356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5566</v>
      </c>
      <c r="H50" s="231">
        <f>F50*G50</f>
        <v>278133.02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1637.0588235294081</v>
      </c>
      <c r="O50" s="235">
        <f>N50/M50</f>
        <v>102.316176470588</v>
      </c>
      <c r="P50" s="74">
        <f>M50-J50</f>
        <v>0</v>
      </c>
      <c r="Q50" s="83">
        <f>O50-L50</f>
        <v>-10.183823529411995</v>
      </c>
      <c r="R50" s="72">
        <f>O50/L50</f>
        <v>0.90947712418300453</v>
      </c>
      <c r="S50" s="416"/>
      <c r="T50" s="21">
        <v>0.32361111111111102</v>
      </c>
      <c r="U50" s="21">
        <v>0.46527777777777801</v>
      </c>
      <c r="V50" s="30">
        <f>(T50-U49)*24*60</f>
        <v>9.9999999999994049</v>
      </c>
      <c r="W50" s="236">
        <f t="shared" si="4"/>
        <v>204.00000000000048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-162.94117647059193</v>
      </c>
      <c r="AG50" s="72">
        <f t="shared" si="12"/>
        <v>0.90947712418300453</v>
      </c>
      <c r="AH50" s="405"/>
    </row>
    <row r="51" spans="1:34" ht="15" customHeight="1">
      <c r="A51" s="428"/>
      <c r="B51" s="75" t="s">
        <v>118</v>
      </c>
      <c r="C51" s="76"/>
      <c r="D51" s="59" t="s">
        <v>124</v>
      </c>
      <c r="E51" s="77"/>
      <c r="F51" s="75">
        <f>VLOOKUP(D51,廠價表!$C$1:$E$43,3,0)</f>
        <v>44.3</v>
      </c>
      <c r="G51" s="202">
        <v>3196</v>
      </c>
      <c r="H51" s="231">
        <f>F51*G51</f>
        <v>141582.79999999999</v>
      </c>
      <c r="I51" s="232"/>
      <c r="J51" s="79">
        <f>VLOOKUP(D51,產線配置圖!$A$3:$C$38,2,0)</f>
        <v>18</v>
      </c>
      <c r="K51" s="80">
        <f>VLOOKUP(D51,產線配置圖!$A$3:$C$38,3,0)</f>
        <v>1565</v>
      </c>
      <c r="L51" s="81">
        <f>K51/J51</f>
        <v>86.944444444444443</v>
      </c>
      <c r="M51" s="233">
        <v>18</v>
      </c>
      <c r="N51" s="234">
        <f>G51/W51*60</f>
        <v>1350.4225352112692</v>
      </c>
      <c r="O51" s="235">
        <f>N51/M51</f>
        <v>75.023474178403845</v>
      </c>
      <c r="P51" s="74">
        <f>M51-J51</f>
        <v>0</v>
      </c>
      <c r="Q51" s="83">
        <f>O51-L51</f>
        <v>-11.920970266040598</v>
      </c>
      <c r="R51" s="72">
        <f>O51/L51</f>
        <v>0.86288979885704109</v>
      </c>
      <c r="S51" s="416"/>
      <c r="T51" s="21">
        <v>0.53472222222222199</v>
      </c>
      <c r="U51" s="19">
        <v>0.63333333333333297</v>
      </c>
      <c r="V51" s="30">
        <f>(T51-U50)*24*60</f>
        <v>99.999999999999318</v>
      </c>
      <c r="W51" s="236">
        <f t="shared" si="4"/>
        <v>141.99999999999983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-214.57746478873082</v>
      </c>
      <c r="AG51" s="72">
        <f t="shared" si="12"/>
        <v>0.86288979885704098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1721.6666666666667</v>
      </c>
      <c r="L58" s="117">
        <f t="shared" si="13"/>
        <v>101.77559912854031</v>
      </c>
      <c r="M58" s="120">
        <f t="shared" si="13"/>
        <v>16.666666666666668</v>
      </c>
      <c r="N58" s="120">
        <f t="shared" si="13"/>
        <v>1442.493786246893</v>
      </c>
      <c r="O58" s="117">
        <f t="shared" si="13"/>
        <v>87.029883549663978</v>
      </c>
      <c r="P58" s="121">
        <f>M58-J58</f>
        <v>-0.33333333333333215</v>
      </c>
      <c r="Q58" s="122">
        <f>N58-K58</f>
        <v>-279.17288041977372</v>
      </c>
      <c r="R58" s="123">
        <f>O58/L58</f>
        <v>0.85511541366361477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-279.17288041977372</v>
      </c>
      <c r="AG58" s="124">
        <f>N58/K58</f>
        <v>0.83784731050158356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3332</v>
      </c>
      <c r="H59" s="243">
        <f>F59*G59</f>
        <v>89930.68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1459.2700729926992</v>
      </c>
      <c r="O59" s="138">
        <f>N59/M59</f>
        <v>112.25154407636147</v>
      </c>
      <c r="P59" s="56">
        <f>M59-J59</f>
        <v>0</v>
      </c>
      <c r="Q59" s="230">
        <f>O59-L59</f>
        <v>-8.1330713082539177</v>
      </c>
      <c r="R59" s="52">
        <f>O59/L59</f>
        <v>0.93244094120939236</v>
      </c>
      <c r="S59" s="415">
        <f>R69</f>
        <v>0.77533521460047705</v>
      </c>
      <c r="T59" s="245">
        <v>0.29375000000000001</v>
      </c>
      <c r="U59" s="245">
        <v>0.38888888888888901</v>
      </c>
      <c r="V59" s="55"/>
      <c r="W59" s="54">
        <f t="shared" si="4"/>
        <v>137.00000000000014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-105.72992700730083</v>
      </c>
      <c r="AG59" s="246">
        <f>N59/K59</f>
        <v>0.93244094120939247</v>
      </c>
      <c r="AH59" s="403">
        <f>AG69</f>
        <v>0.87303350264785529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1725</v>
      </c>
      <c r="H60" s="78">
        <f>F60*G60</f>
        <v>48748.5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1499.9999999999898</v>
      </c>
      <c r="O60" s="81">
        <f>N60/M60</f>
        <v>124.99999999999915</v>
      </c>
      <c r="P60" s="74">
        <f>M60-J60</f>
        <v>0</v>
      </c>
      <c r="Q60" s="83">
        <f>O60-L60</f>
        <v>-5.4166666666675098</v>
      </c>
      <c r="R60" s="72">
        <f>O60/L60</f>
        <v>0.95846645367411498</v>
      </c>
      <c r="S60" s="425"/>
      <c r="T60" s="22">
        <v>0.40625</v>
      </c>
      <c r="U60" s="22">
        <v>0.454166666666667</v>
      </c>
      <c r="V60" s="30">
        <f>(T60-U59)*24*60</f>
        <v>24.999999999999829</v>
      </c>
      <c r="W60" s="248">
        <f t="shared" si="4"/>
        <v>69.000000000000469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-65.000000000010232</v>
      </c>
      <c r="AG60" s="249">
        <f>N60/K60</f>
        <v>0.95846645367411487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1601</v>
      </c>
      <c r="H61" s="254">
        <f>F61*G61</f>
        <v>45244.26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1315.8904109588916</v>
      </c>
      <c r="O61" s="238">
        <f>N61/M61</f>
        <v>119.62640099626287</v>
      </c>
      <c r="P61" s="111">
        <f>M61-J61</f>
        <v>2</v>
      </c>
      <c r="Q61" s="255">
        <f>O61-L61</f>
        <v>-62.151376781514898</v>
      </c>
      <c r="R61" s="85">
        <f>O61/L61</f>
        <v>0.65809144802345099</v>
      </c>
      <c r="S61" s="416"/>
      <c r="T61" s="22">
        <v>0.46319444444444402</v>
      </c>
      <c r="U61" s="22">
        <v>0.51388888888888895</v>
      </c>
      <c r="V61" s="30">
        <f>(T61-U60)*24*60</f>
        <v>12.999999999998915</v>
      </c>
      <c r="W61" s="256">
        <f t="shared" si="4"/>
        <v>73.000000000000696</v>
      </c>
      <c r="X61" s="22"/>
      <c r="Y61" s="84"/>
      <c r="Z61" s="90"/>
      <c r="AA61" s="90"/>
      <c r="AB61" s="409" t="s">
        <v>132</v>
      </c>
      <c r="AC61" s="495"/>
      <c r="AD61" s="92"/>
      <c r="AE61" s="92"/>
      <c r="AF61" s="317">
        <f>N61-K61</f>
        <v>-320.10958904110839</v>
      </c>
      <c r="AG61" s="247">
        <f>N61/K61</f>
        <v>0.8043339920286624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1752</v>
      </c>
      <c r="H62" s="254">
        <f>F62*G62</f>
        <v>49511.520000000004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1313.9999999999889</v>
      </c>
      <c r="O62" s="238">
        <f>N62/M62</f>
        <v>119.45454545454444</v>
      </c>
      <c r="P62" s="111">
        <f>M62-J62</f>
        <v>2</v>
      </c>
      <c r="Q62" s="255">
        <f>O62-L62</f>
        <v>-62.323232323233327</v>
      </c>
      <c r="R62" s="85">
        <f>O62/L62</f>
        <v>0.65714603245165037</v>
      </c>
      <c r="S62" s="416"/>
      <c r="T62" s="22">
        <v>0.56597222222222199</v>
      </c>
      <c r="U62" s="22">
        <v>0.62152777777777801</v>
      </c>
      <c r="V62" s="30"/>
      <c r="W62" s="248">
        <f t="shared" si="4"/>
        <v>80.000000000000682</v>
      </c>
      <c r="X62" s="22">
        <v>0.50347222222222199</v>
      </c>
      <c r="Y62" s="84">
        <v>0.54513888888888895</v>
      </c>
      <c r="Z62" s="90"/>
      <c r="AA62" s="90"/>
      <c r="AB62" s="409" t="s">
        <v>132</v>
      </c>
      <c r="AC62" s="495"/>
      <c r="AD62" s="92"/>
      <c r="AE62" s="92"/>
      <c r="AF62" s="317">
        <f>N62-K62</f>
        <v>-322.00000000001114</v>
      </c>
      <c r="AG62" s="247">
        <f>N62/K62</f>
        <v>0.80317848410757264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4">AVERAGE(J59:J68)</f>
        <v>10.75</v>
      </c>
      <c r="K69" s="240">
        <f t="shared" si="14"/>
        <v>1600.5</v>
      </c>
      <c r="L69" s="268">
        <f t="shared" si="14"/>
        <v>153.58920940170941</v>
      </c>
      <c r="M69" s="240">
        <f t="shared" si="14"/>
        <v>11.75</v>
      </c>
      <c r="N69" s="240">
        <f t="shared" si="14"/>
        <v>1397.2901209878924</v>
      </c>
      <c r="O69" s="268">
        <f t="shared" si="14"/>
        <v>119.08312263179198</v>
      </c>
      <c r="P69" s="269">
        <f>M69-J69</f>
        <v>1</v>
      </c>
      <c r="Q69" s="222">
        <f>N69-K69</f>
        <v>-203.20987901210765</v>
      </c>
      <c r="R69" s="123">
        <f>O69/L69</f>
        <v>0.77533521460047705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-203.20987901210765</v>
      </c>
      <c r="AG69" s="124">
        <f>N69/K69</f>
        <v>0.87303350264785529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A5:A15"/>
    <mergeCell ref="S5:S15"/>
    <mergeCell ref="AB5:AC5"/>
    <mergeCell ref="T1:Y2"/>
    <mergeCell ref="AB1:AC2"/>
    <mergeCell ref="D15:E15"/>
    <mergeCell ref="G3:G4"/>
    <mergeCell ref="AB3:AC4"/>
    <mergeCell ref="N3:N4"/>
    <mergeCell ref="O3:O4"/>
    <mergeCell ref="P3:P4"/>
    <mergeCell ref="Q3:Q4"/>
    <mergeCell ref="A2:B2"/>
    <mergeCell ref="A3:A4"/>
    <mergeCell ref="B3:B4"/>
    <mergeCell ref="V3:V4"/>
    <mergeCell ref="R3:R4"/>
    <mergeCell ref="P1:S2"/>
    <mergeCell ref="F3:F4"/>
    <mergeCell ref="D3:E4"/>
    <mergeCell ref="AH5:AH15"/>
    <mergeCell ref="AB6:AC6"/>
    <mergeCell ref="AB7:AC7"/>
    <mergeCell ref="H3:H4"/>
    <mergeCell ref="I3:I4"/>
    <mergeCell ref="AB14:AC14"/>
    <mergeCell ref="AB15:AC15"/>
    <mergeCell ref="AB8:AC8"/>
    <mergeCell ref="AB9:AC9"/>
    <mergeCell ref="AB10:AC10"/>
    <mergeCell ref="AB11:AC11"/>
    <mergeCell ref="AB12:AC12"/>
    <mergeCell ref="AB13:AC13"/>
    <mergeCell ref="W3:W4"/>
    <mergeCell ref="X3:Y3"/>
    <mergeCell ref="T3:U3"/>
    <mergeCell ref="Z3:AA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8:AC3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B26:AC2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37:E37"/>
    <mergeCell ref="AB37:AC37"/>
    <mergeCell ref="A38:A48"/>
    <mergeCell ref="S38:S48"/>
    <mergeCell ref="D48:E48"/>
    <mergeCell ref="A27:A37"/>
    <mergeCell ref="S27:S37"/>
    <mergeCell ref="AB27:AC2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8FFE20-E8B7-4FEC-B348-F7EA65D61FC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30B-99AB-4067-8312-27DFEED041D3}">
  <dimension ref="B1:O26"/>
  <sheetViews>
    <sheetView topLeftCell="A2" zoomScale="70" zoomScaleNormal="70" workbookViewId="0">
      <selection activeCell="AB62" sqref="AB62:AC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46124</v>
      </c>
      <c r="E3" s="399"/>
      <c r="F3" s="3" t="s">
        <v>72</v>
      </c>
      <c r="G3" s="400">
        <f>'0412'!E1</f>
        <v>66670</v>
      </c>
      <c r="H3" s="400"/>
      <c r="I3" s="3" t="s">
        <v>2</v>
      </c>
      <c r="J3" s="401">
        <f>'0412'!G1</f>
        <v>3151146.4699999997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131.70612733308812</v>
      </c>
      <c r="G6" s="397"/>
      <c r="H6" s="382">
        <f>AVERAGE(D13:H13)</f>
        <v>128.65769468004763</v>
      </c>
      <c r="I6" s="382"/>
      <c r="J6" s="382">
        <f>AVERAGE(I13)</f>
        <v>146.94829059829061</v>
      </c>
      <c r="K6" s="382"/>
      <c r="L6" s="383">
        <f>SUM(D18:J18)</f>
        <v>3</v>
      </c>
      <c r="M6" s="385">
        <f>SUM(D19:J19)</f>
        <v>52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116.9522556870495</v>
      </c>
      <c r="G7" s="389"/>
      <c r="H7" s="390">
        <f>AVERAGE(D14:H14)</f>
        <v>116.33010216204107</v>
      </c>
      <c r="I7" s="390"/>
      <c r="J7" s="390">
        <f>AVERAGE(I14)</f>
        <v>120.06302331209163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0.88797885151747191</v>
      </c>
      <c r="G8" s="374"/>
      <c r="H8" s="374">
        <f>H7/H6</f>
        <v>0.9041830140928343</v>
      </c>
      <c r="I8" s="374"/>
      <c r="J8" s="374">
        <f>J7/J6</f>
        <v>0.81704266734415676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VALUE('0412'!L15)</f>
        <v>157.10439560439562</v>
      </c>
      <c r="E13" s="13">
        <f>VALUE('0412'!L26)</f>
        <v>171.91558441558442</v>
      </c>
      <c r="F13" s="13">
        <f>VALUE('0412'!L37)</f>
        <v>105.12775263951734</v>
      </c>
      <c r="G13" s="13">
        <f>VALUE('0412'!L48)</f>
        <v>96.05185185185185</v>
      </c>
      <c r="H13" s="13">
        <f>VALUE('0412'!L58)</f>
        <v>113.08888888888889</v>
      </c>
      <c r="I13" s="13">
        <f>VALUE('0412'!L69)</f>
        <v>146.94829059829061</v>
      </c>
      <c r="J13" s="13">
        <f>'0412'!L79</f>
        <v>0</v>
      </c>
    </row>
    <row r="14" spans="2:15" ht="39.950000000000003" customHeight="1">
      <c r="B14" s="368"/>
      <c r="C14" s="12" t="s">
        <v>100</v>
      </c>
      <c r="D14" s="13">
        <f>VALUE('0412'!O15)</f>
        <v>146.47888479979306</v>
      </c>
      <c r="E14" s="13">
        <f>VALUE('0412'!O26)</f>
        <v>162.6574240912966</v>
      </c>
      <c r="F14" s="13">
        <f>VALUE('0412'!O37)</f>
        <v>78.868267820884142</v>
      </c>
      <c r="G14" s="13">
        <f>VALUE('0412'!O48)</f>
        <v>86.643650793650522</v>
      </c>
      <c r="H14" s="13">
        <f>VALUE('0412'!O58)</f>
        <v>107.00228330458098</v>
      </c>
      <c r="I14" s="13">
        <f>VALUE('0412'!O69)</f>
        <v>120.06302331209163</v>
      </c>
      <c r="J14" s="13">
        <f>'0412'!O79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0.93236655942231783</v>
      </c>
      <c r="E15" s="14">
        <f t="shared" si="1"/>
        <v>0.94614705609290561</v>
      </c>
      <c r="F15" s="14">
        <f t="shared" si="1"/>
        <v>0.75021358148236206</v>
      </c>
      <c r="G15" s="14">
        <f t="shared" si="1"/>
        <v>0.9020508102986674</v>
      </c>
      <c r="H15" s="14">
        <f t="shared" si="1"/>
        <v>0.94617857117432591</v>
      </c>
      <c r="I15" s="14">
        <f t="shared" si="1"/>
        <v>0.81704266734415676</v>
      </c>
      <c r="J15" s="15">
        <f>'0412'!S70</f>
        <v>0</v>
      </c>
    </row>
    <row r="16" spans="2:15" ht="17.25" customHeight="1">
      <c r="B16" s="370" t="s">
        <v>101</v>
      </c>
      <c r="C16" s="10" t="s">
        <v>34</v>
      </c>
      <c r="D16" s="16">
        <f>'0412'!T5</f>
        <v>0.29027777777777802</v>
      </c>
      <c r="E16" s="16">
        <f>'0412'!T16</f>
        <v>0.29027777777777802</v>
      </c>
      <c r="F16" s="16">
        <f>'0412'!T27</f>
        <v>0.29027777777777802</v>
      </c>
      <c r="G16" s="16">
        <f>'0412'!T38</f>
        <v>0.33333333333333298</v>
      </c>
      <c r="H16" s="16">
        <f>'0412'!T49</f>
        <v>0.29097222222222202</v>
      </c>
      <c r="I16" s="16">
        <f>'0412'!T59</f>
        <v>0.28819444444444398</v>
      </c>
      <c r="J16" s="16">
        <f>'0412'!T70</f>
        <v>0</v>
      </c>
    </row>
    <row r="17" spans="2:10" ht="17.25" customHeight="1">
      <c r="B17" s="371"/>
      <c r="C17" s="10" t="s">
        <v>35</v>
      </c>
      <c r="D17" s="16">
        <v>0.66805555555555596</v>
      </c>
      <c r="E17" s="19">
        <v>0.66944444444444395</v>
      </c>
      <c r="F17" s="19">
        <v>0.64513888888888904</v>
      </c>
      <c r="G17" s="20">
        <v>0.68055555555555602</v>
      </c>
      <c r="H17" s="19">
        <v>0.62083333333333302</v>
      </c>
      <c r="I17" s="22">
        <v>0.66666666666666696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'0412'!Z15</f>
        <v>0</v>
      </c>
      <c r="E18" s="359">
        <f>'0412'!Z26</f>
        <v>0</v>
      </c>
      <c r="F18" s="359">
        <f>'0412'!Z37</f>
        <v>2</v>
      </c>
      <c r="G18" s="360">
        <f>'0412'!Z48</f>
        <v>0</v>
      </c>
      <c r="H18" s="360">
        <f>'0412'!Z58</f>
        <v>0</v>
      </c>
      <c r="I18" s="359">
        <f>'0412'!Z69</f>
        <v>1</v>
      </c>
      <c r="J18" s="359">
        <f>'0412'!AA79</f>
        <v>0</v>
      </c>
    </row>
    <row r="19" spans="2:10" ht="17.25" customHeight="1">
      <c r="B19" s="373"/>
      <c r="C19" s="330" t="s">
        <v>37</v>
      </c>
      <c r="D19" s="358">
        <f>'0412'!AA15</f>
        <v>0</v>
      </c>
      <c r="E19" s="359">
        <f>'0412'!AA26</f>
        <v>0</v>
      </c>
      <c r="F19" s="359">
        <f>'0412'!AA37</f>
        <v>37</v>
      </c>
      <c r="G19" s="360">
        <f>'0412'!AA48</f>
        <v>0</v>
      </c>
      <c r="H19" s="360">
        <f>'0412'!AA58</f>
        <v>0</v>
      </c>
      <c r="I19" s="359">
        <f>'0412'!AA69</f>
        <v>15</v>
      </c>
      <c r="J19" s="359">
        <f>'0412'!AB79</f>
        <v>0</v>
      </c>
    </row>
    <row r="20" spans="2:10" ht="17.25" customHeight="1">
      <c r="B20" s="372" t="s">
        <v>103</v>
      </c>
      <c r="C20" s="330" t="s">
        <v>36</v>
      </c>
      <c r="D20" s="358">
        <f>'0412'!AD15</f>
        <v>0</v>
      </c>
      <c r="E20" s="359">
        <f>'0412'!AD26</f>
        <v>0</v>
      </c>
      <c r="F20" s="359">
        <f>'0412'!AD37</f>
        <v>0</v>
      </c>
      <c r="G20" s="360">
        <f>'0412'!AD48</f>
        <v>0</v>
      </c>
      <c r="H20" s="360">
        <f>'0412'!AD58</f>
        <v>0</v>
      </c>
      <c r="I20" s="359">
        <f>'0412'!AD69</f>
        <v>0</v>
      </c>
      <c r="J20" s="359">
        <f>'0412'!AD79</f>
        <v>0</v>
      </c>
    </row>
    <row r="21" spans="2:10" ht="17.25" customHeight="1">
      <c r="B21" s="373"/>
      <c r="C21" s="330" t="s">
        <v>85</v>
      </c>
      <c r="D21" s="358">
        <f>'0412'!AE15</f>
        <v>0</v>
      </c>
      <c r="E21" s="359">
        <f>'0412'!AE26</f>
        <v>0</v>
      </c>
      <c r="F21" s="359">
        <f>'0412'!AE37</f>
        <v>0</v>
      </c>
      <c r="G21" s="360">
        <f>'0412'!AE48</f>
        <v>0</v>
      </c>
      <c r="H21" s="360">
        <f>'0412'!AE58</f>
        <v>0</v>
      </c>
      <c r="I21" s="359">
        <f>'0412'!AE69</f>
        <v>0</v>
      </c>
      <c r="J21" s="359">
        <f>'0412'!AE79</f>
        <v>0</v>
      </c>
    </row>
    <row r="22" spans="2:10" ht="17.25" customHeight="1">
      <c r="B22" s="364" t="s">
        <v>104</v>
      </c>
      <c r="C22" s="365"/>
      <c r="D22" s="23">
        <f>VALUE('0412'!M15)</f>
        <v>13.5</v>
      </c>
      <c r="E22" s="23">
        <f>VALUE('0412'!M26)</f>
        <v>12.5</v>
      </c>
      <c r="F22" s="23">
        <f>VALUE('0412'!M37)</f>
        <v>13.75</v>
      </c>
      <c r="G22" s="23">
        <f>VALUE('0412'!M48)</f>
        <v>17</v>
      </c>
      <c r="H22" s="23">
        <f>VALUE('0412'!M58)</f>
        <v>15</v>
      </c>
      <c r="I22" s="23">
        <f>VALUE('0412'!M69)</f>
        <v>12.2</v>
      </c>
      <c r="J22" s="23">
        <f>'0412'!M79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9122-3E42-472F-A4EF-6DB90A8B1585}">
  <sheetPr>
    <tabColor theme="9" tint="0.79998168889431442"/>
  </sheetPr>
  <dimension ref="A1:AJ92"/>
  <sheetViews>
    <sheetView zoomScale="73" zoomScaleNormal="73" workbookViewId="0">
      <pane xSplit="5" ySplit="4" topLeftCell="H47" activePane="bottomRight" state="frozen"/>
      <selection activeCell="AB62" sqref="AB62:AC62"/>
      <selection pane="topRight" activeCell="AB62" sqref="AB62:AC62"/>
      <selection pane="bottomLeft" activeCell="AB62" sqref="AB62:AC62"/>
      <selection pane="bottomRight" activeCell="AB62" sqref="AB62:AC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66670</v>
      </c>
      <c r="F1" s="30" t="s">
        <v>2</v>
      </c>
      <c r="G1" s="31">
        <f>SUM(H5:H79)</f>
        <v>3151146.4699999997</v>
      </c>
      <c r="H1" s="32" t="s">
        <v>3</v>
      </c>
      <c r="I1" s="33">
        <f>M15+M26+M48+M58+M69+M79+M37</f>
        <v>83.95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167</v>
      </c>
      <c r="B2" s="483"/>
      <c r="C2" s="28"/>
      <c r="D2" s="28" t="s">
        <v>14</v>
      </c>
      <c r="E2" s="35">
        <f>AVERAGE(O15,O26,O37,O48,O58,O69,O79)</f>
        <v>116.9522556870495</v>
      </c>
      <c r="F2" s="36" t="s">
        <v>15</v>
      </c>
      <c r="G2" s="37">
        <f>G1/E1</f>
        <v>47.264833808309582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3</v>
      </c>
      <c r="AA2" s="339">
        <f>AA15+AA26+AA37+AA48+AA58+AA69+AA79</f>
        <v>52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4282</v>
      </c>
      <c r="H5" s="43">
        <f>F5*G5</f>
        <v>244973.22</v>
      </c>
      <c r="I5" s="44"/>
      <c r="J5" s="45">
        <f>VLOOKUP(D5,產線配置圖!$A$3:$C$38,2,0)</f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2022.9921259842631</v>
      </c>
      <c r="O5" s="47">
        <f>N5/M5</f>
        <v>144.49943757030451</v>
      </c>
      <c r="P5" s="49">
        <f>M5-J5</f>
        <v>0</v>
      </c>
      <c r="Q5" s="50">
        <f>O5-L5</f>
        <v>-6.7862767154097696</v>
      </c>
      <c r="R5" s="51">
        <f>O5/L5</f>
        <v>0.95514264682920835</v>
      </c>
      <c r="S5" s="415">
        <f>R15</f>
        <v>0.93236655942231783</v>
      </c>
      <c r="T5" s="319">
        <v>0.29027777777777802</v>
      </c>
      <c r="U5" s="320">
        <v>0.37847222222222199</v>
      </c>
      <c r="V5" s="53"/>
      <c r="W5" s="54">
        <f t="shared" ref="W5:W14" si="0">(U5-T5)*24*60</f>
        <v>126.9999999999993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-95.007874015736888</v>
      </c>
      <c r="AG5" s="52">
        <f t="shared" ref="AG5:AG11" si="2">N5/K5</f>
        <v>0.95514264682920824</v>
      </c>
      <c r="AH5" s="403">
        <f>AG15</f>
        <v>0.93135612207355556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4740</v>
      </c>
      <c r="H6" s="63">
        <f>F6*G6</f>
        <v>232923.6</v>
      </c>
      <c r="I6" s="64"/>
      <c r="J6" s="65">
        <f>VLOOKUP(D6,產線配置圖!$A$3:$C$38,2,0)</f>
        <v>13</v>
      </c>
      <c r="K6" s="66">
        <f>VLOOKUP(D6,產線配置圖!$A$3:$C$38,3,0)</f>
        <v>2118</v>
      </c>
      <c r="L6" s="67">
        <f>K6/J6</f>
        <v>162.92307692307693</v>
      </c>
      <c r="M6" s="68">
        <v>13</v>
      </c>
      <c r="N6" s="66">
        <f>G6/W6*60</f>
        <v>2031.4285714285763</v>
      </c>
      <c r="O6" s="67">
        <f>N6/M6</f>
        <v>156.26373626373663</v>
      </c>
      <c r="P6" s="69">
        <f>M6-J6</f>
        <v>0</v>
      </c>
      <c r="Q6" s="70">
        <f>O6-L6</f>
        <v>-6.6593406593403017</v>
      </c>
      <c r="R6" s="71">
        <f>O6/L6</f>
        <v>0.95912585997572053</v>
      </c>
      <c r="S6" s="416"/>
      <c r="T6" s="16">
        <v>0.38541666666666702</v>
      </c>
      <c r="U6" s="16">
        <v>0.48263888888888901</v>
      </c>
      <c r="V6" s="30">
        <f>(T6-U5)*24*60</f>
        <v>10.000000000000844</v>
      </c>
      <c r="W6" s="73">
        <f t="shared" si="0"/>
        <v>139.99999999999966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-86.571428571423667</v>
      </c>
      <c r="AG6" s="72">
        <f t="shared" si="2"/>
        <v>0.95912585997572064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4769</v>
      </c>
      <c r="H7" s="78">
        <f>F7*G7</f>
        <v>234348.66</v>
      </c>
      <c r="I7" s="73"/>
      <c r="J7" s="79">
        <f>VLOOKUP(D7,產線配置圖!$A$3:$C$38,2,0)</f>
        <v>13</v>
      </c>
      <c r="K7" s="80">
        <f>VLOOKUP(D7,產線配置圖!$A$3:$C$38,3,0)</f>
        <v>2118</v>
      </c>
      <c r="L7" s="81">
        <f>K7/J7</f>
        <v>162.92307692307693</v>
      </c>
      <c r="M7" s="82">
        <v>13</v>
      </c>
      <c r="N7" s="80">
        <f>G7/W7*60</f>
        <v>2029.3617021276507</v>
      </c>
      <c r="O7" s="81">
        <f>N7/M7</f>
        <v>156.1047463175116</v>
      </c>
      <c r="P7" s="74">
        <f>M7-J7</f>
        <v>0</v>
      </c>
      <c r="Q7" s="83">
        <f>O7-L7</f>
        <v>-6.8183306055653361</v>
      </c>
      <c r="R7" s="72">
        <f>O7/L7</f>
        <v>0.9581500010045565</v>
      </c>
      <c r="S7" s="416"/>
      <c r="T7" s="18">
        <v>0.54513888888888895</v>
      </c>
      <c r="U7" s="18">
        <v>0.64305555555555605</v>
      </c>
      <c r="V7" s="30">
        <f>(T7-U6)*24*60</f>
        <v>89.999999999999915</v>
      </c>
      <c r="W7" s="73">
        <f t="shared" si="0"/>
        <v>141.00000000000063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-88.638297872349312</v>
      </c>
      <c r="AG7" s="72">
        <f t="shared" si="2"/>
        <v>0.9581500010045565</v>
      </c>
      <c r="AH7" s="405"/>
    </row>
    <row r="8" spans="1:34" ht="15" customHeight="1">
      <c r="A8" s="489"/>
      <c r="B8" s="75" t="s">
        <v>81</v>
      </c>
      <c r="C8" s="76"/>
      <c r="D8" s="59" t="s">
        <v>147</v>
      </c>
      <c r="E8" s="77"/>
      <c r="F8" s="75">
        <f>VLOOKUP(D8,廠價表!$C$1:$E$43,3,0)</f>
        <v>56.87</v>
      </c>
      <c r="G8" s="66">
        <v>813</v>
      </c>
      <c r="H8" s="78">
        <f>F8*G8</f>
        <v>46235.31</v>
      </c>
      <c r="I8" s="73"/>
      <c r="J8" s="79">
        <f>VLOOKUP(D8,產線配置圖!$A$3:$C$38,2,0)</f>
        <v>14</v>
      </c>
      <c r="K8" s="80">
        <f>VLOOKUP(D8,產線配置圖!$A$3:$C$38,3,0)</f>
        <v>2118</v>
      </c>
      <c r="L8" s="81">
        <f>K8/J8</f>
        <v>151.28571428571428</v>
      </c>
      <c r="M8" s="82">
        <v>14</v>
      </c>
      <c r="N8" s="80">
        <f>G8/W8*60</f>
        <v>1806.6666666666731</v>
      </c>
      <c r="O8" s="81">
        <f>N8/M8</f>
        <v>129.04761904761952</v>
      </c>
      <c r="P8" s="74">
        <f>M8-J8</f>
        <v>0</v>
      </c>
      <c r="Q8" s="83">
        <f>O8-L8</f>
        <v>-22.238095238094758</v>
      </c>
      <c r="R8" s="72">
        <f>O8/L8</f>
        <v>0.85300598048473719</v>
      </c>
      <c r="S8" s="416"/>
      <c r="T8" s="16">
        <v>0.64930555555555602</v>
      </c>
      <c r="U8" s="16">
        <v>0.66805555555555596</v>
      </c>
      <c r="V8" s="30">
        <f>(T8-U7)*24*60</f>
        <v>8.999999999999968</v>
      </c>
      <c r="W8" s="73">
        <f t="shared" si="0"/>
        <v>26.999999999999904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-311.33333333332689</v>
      </c>
      <c r="AG8" s="72">
        <f t="shared" si="2"/>
        <v>0.85300598048473708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13.5</v>
      </c>
      <c r="K15" s="120">
        <f t="shared" si="3"/>
        <v>2118</v>
      </c>
      <c r="L15" s="117">
        <f t="shared" si="3"/>
        <v>157.10439560439562</v>
      </c>
      <c r="M15" s="120">
        <f t="shared" si="3"/>
        <v>13.5</v>
      </c>
      <c r="N15" s="120">
        <f t="shared" si="3"/>
        <v>1972.6122665517908</v>
      </c>
      <c r="O15" s="117">
        <f t="shared" si="3"/>
        <v>146.47888479979306</v>
      </c>
      <c r="P15" s="121">
        <f>M15-J15</f>
        <v>0</v>
      </c>
      <c r="Q15" s="122">
        <f>O15-L15</f>
        <v>-10.625510804602555</v>
      </c>
      <c r="R15" s="123">
        <f>O15/L15</f>
        <v>0.93236655942231783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-145.38773344820925</v>
      </c>
      <c r="AG15" s="124">
        <f>N15/K15</f>
        <v>0.93135612207355556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5157</v>
      </c>
      <c r="H16" s="134">
        <f>F16*G16</f>
        <v>293278.58999999997</v>
      </c>
      <c r="I16" s="135"/>
      <c r="J16" s="136">
        <f>VLOOKUP(D16,產線配置圖!$A$3:$C$38,2,0)</f>
        <v>14</v>
      </c>
      <c r="K16" s="137">
        <f>VLOOKUP(D16,產線配置圖!$A$3:$C$38,3,0)</f>
        <v>2118</v>
      </c>
      <c r="L16" s="138">
        <f>K16/J16</f>
        <v>151.28571428571428</v>
      </c>
      <c r="M16" s="139">
        <v>14</v>
      </c>
      <c r="N16" s="140">
        <f>G16/W16*60</f>
        <v>2049.1390728476854</v>
      </c>
      <c r="O16" s="141">
        <f>N16/M16</f>
        <v>146.36707663197754</v>
      </c>
      <c r="P16" s="142">
        <f>M16-J16</f>
        <v>0</v>
      </c>
      <c r="Q16" s="143">
        <f>O16-L16</f>
        <v>-4.918637653736738</v>
      </c>
      <c r="R16" s="144">
        <f>O16/L16</f>
        <v>0.96748775866274106</v>
      </c>
      <c r="S16" s="443">
        <f>R26</f>
        <v>0.94614705609290561</v>
      </c>
      <c r="T16" s="145">
        <v>0.29027777777777802</v>
      </c>
      <c r="U16" s="145">
        <v>0.39513888888888898</v>
      </c>
      <c r="V16" s="135"/>
      <c r="W16" s="146">
        <f t="shared" ref="W16:W78" si="4">(U16-T16)*24*60</f>
        <v>150.99999999999977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-68.860927152314616</v>
      </c>
      <c r="AG16" s="52">
        <f>N16/K16</f>
        <v>0.96748775866274095</v>
      </c>
      <c r="AH16" s="403">
        <f>AG26</f>
        <v>0.94539037035458928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3957</v>
      </c>
      <c r="H17" s="78">
        <f>F17*G17</f>
        <v>199393.23</v>
      </c>
      <c r="I17" s="30"/>
      <c r="J17" s="79">
        <f>VLOOKUP(D17,產線配置圖!$A$3:$C$38,2,0)</f>
        <v>11</v>
      </c>
      <c r="K17" s="80">
        <f>VLOOKUP(D17,產線配置圖!$A$3:$C$38,3,0)</f>
        <v>2118</v>
      </c>
      <c r="L17" s="81">
        <f>K17/J17</f>
        <v>192.54545454545453</v>
      </c>
      <c r="M17" s="148">
        <v>11</v>
      </c>
      <c r="N17" s="95">
        <f>G17/W17*60</f>
        <v>2029.2307692307695</v>
      </c>
      <c r="O17" s="96">
        <f>N17/M17</f>
        <v>184.47552447552451</v>
      </c>
      <c r="P17" s="97">
        <f>M17-J17</f>
        <v>0</v>
      </c>
      <c r="Q17" s="98">
        <f>O17-L17</f>
        <v>-8.0699300699300238</v>
      </c>
      <c r="R17" s="99">
        <f>O17/L17</f>
        <v>0.95808818188421607</v>
      </c>
      <c r="S17" s="444"/>
      <c r="T17" s="19">
        <v>0.40138888888888902</v>
      </c>
      <c r="U17" s="19">
        <v>0.48263888888888901</v>
      </c>
      <c r="V17" s="30">
        <f>(T17-U16)*24*60</f>
        <v>9.000000000000048</v>
      </c>
      <c r="W17" s="149">
        <f t="shared" si="4"/>
        <v>116.99999999999999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-88.769230769230489</v>
      </c>
      <c r="AG17" s="72">
        <f>N17/K17</f>
        <v>0.95808818188421596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4338</v>
      </c>
      <c r="H18" s="78">
        <f>F18*G18</f>
        <v>218591.82</v>
      </c>
      <c r="I18" s="30"/>
      <c r="J18" s="79">
        <f>VLOOKUP(D18,產線配置圖!$A$3:$C$38,2,0)</f>
        <v>11</v>
      </c>
      <c r="K18" s="80">
        <f>VLOOKUP(D18,產線配置圖!$A$3:$C$38,3,0)</f>
        <v>2118</v>
      </c>
      <c r="L18" s="81">
        <f>K18/J18</f>
        <v>192.54545454545453</v>
      </c>
      <c r="M18" s="148">
        <v>11</v>
      </c>
      <c r="N18" s="95">
        <f>G18/W18*60</f>
        <v>2002.1538461538435</v>
      </c>
      <c r="O18" s="96">
        <f>N18/M18</f>
        <v>182.01398601398577</v>
      </c>
      <c r="P18" s="97">
        <f>M18-J18</f>
        <v>0</v>
      </c>
      <c r="Q18" s="98">
        <f>O18-L18</f>
        <v>-10.531468531468761</v>
      </c>
      <c r="R18" s="99">
        <f>O18/L18</f>
        <v>0.9453039877969045</v>
      </c>
      <c r="S18" s="444"/>
      <c r="T18" s="19">
        <v>0.54861111111111105</v>
      </c>
      <c r="U18" s="19">
        <v>0.63888888888888895</v>
      </c>
      <c r="V18" s="30">
        <f>(T18-U17)*24*60</f>
        <v>94.999999999999744</v>
      </c>
      <c r="W18" s="149">
        <f t="shared" si="4"/>
        <v>130.00000000000017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-115.84615384615654</v>
      </c>
      <c r="AG18" s="72">
        <f>N18/K18</f>
        <v>0.94530398779690439</v>
      </c>
      <c r="AH18" s="405"/>
    </row>
    <row r="19" spans="1:34" ht="15" customHeight="1">
      <c r="A19" s="450"/>
      <c r="B19" s="75" t="s">
        <v>81</v>
      </c>
      <c r="C19" s="76"/>
      <c r="D19" s="59" t="s">
        <v>147</v>
      </c>
      <c r="E19" s="77"/>
      <c r="F19" s="75">
        <f>VLOOKUP(D19,廠價表!$C$1:$E$43,3,0)</f>
        <v>56.87</v>
      </c>
      <c r="G19" s="147">
        <v>1093</v>
      </c>
      <c r="H19" s="78">
        <f>F19*G19</f>
        <v>62158.909999999996</v>
      </c>
      <c r="I19" s="30"/>
      <c r="J19" s="79">
        <f>VLOOKUP(D19,產線配置圖!$A$3:$C$38,2,0)</f>
        <v>14</v>
      </c>
      <c r="K19" s="80">
        <f>VLOOKUP(D19,產線配置圖!$A$3:$C$38,3,0)</f>
        <v>2118</v>
      </c>
      <c r="L19" s="81">
        <f>K19/J19</f>
        <v>151.28571428571428</v>
      </c>
      <c r="M19" s="148">
        <v>14</v>
      </c>
      <c r="N19" s="95">
        <f>G19/W19*60</f>
        <v>1928.823529411781</v>
      </c>
      <c r="O19" s="96">
        <f>N19/M19</f>
        <v>137.77310924369866</v>
      </c>
      <c r="P19" s="97">
        <f>M19-J19</f>
        <v>0</v>
      </c>
      <c r="Q19" s="98">
        <f>O19-L19</f>
        <v>-13.512605042015622</v>
      </c>
      <c r="R19" s="99">
        <f>O19/L19</f>
        <v>0.91068155307449539</v>
      </c>
      <c r="S19" s="444"/>
      <c r="T19" s="19">
        <v>0.64583333333333304</v>
      </c>
      <c r="U19" s="19">
        <v>0.66944444444444395</v>
      </c>
      <c r="V19" s="30">
        <f>(T19-U18)*24*60</f>
        <v>9.9999999999994849</v>
      </c>
      <c r="W19" s="149">
        <f t="shared" si="4"/>
        <v>33.999999999999716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-189.17647058821899</v>
      </c>
      <c r="AG19" s="72">
        <f>N19/K19</f>
        <v>0.91068155307449528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12.5</v>
      </c>
      <c r="K26" s="155">
        <f t="shared" si="5"/>
        <v>2118</v>
      </c>
      <c r="L26" s="158">
        <f t="shared" si="5"/>
        <v>171.91558441558442</v>
      </c>
      <c r="M26" s="155">
        <f t="shared" si="5"/>
        <v>12.5</v>
      </c>
      <c r="N26" s="155">
        <f t="shared" si="5"/>
        <v>2002.33680441102</v>
      </c>
      <c r="O26" s="158">
        <f t="shared" si="5"/>
        <v>162.6574240912966</v>
      </c>
      <c r="P26" s="159">
        <f>M26-J26</f>
        <v>0</v>
      </c>
      <c r="Q26" s="160">
        <f>O26-L26</f>
        <v>-9.2581603242878145</v>
      </c>
      <c r="R26" s="161">
        <f>O26/L26</f>
        <v>0.94614705609290561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-115.66319558897999</v>
      </c>
      <c r="AG26" s="124">
        <f t="shared" ref="AG26:AG31" si="7">N26/K26</f>
        <v>0.94539037035458928</v>
      </c>
      <c r="AH26" s="407"/>
    </row>
    <row r="27" spans="1:34" ht="15" customHeight="1">
      <c r="A27" s="440" t="s">
        <v>45</v>
      </c>
      <c r="B27" s="167" t="s">
        <v>118</v>
      </c>
      <c r="C27" s="130"/>
      <c r="D27" s="168" t="s">
        <v>119</v>
      </c>
      <c r="E27" s="132"/>
      <c r="F27" s="129">
        <f>VLOOKUP(D27,廠價表!$C$1:$E$43,3,0)</f>
        <v>49.52</v>
      </c>
      <c r="G27" s="169">
        <v>2787</v>
      </c>
      <c r="H27" s="134">
        <f>F27*G27</f>
        <v>138012.24000000002</v>
      </c>
      <c r="I27" s="135"/>
      <c r="J27" s="136">
        <f>VLOOKUP(D27,產線配置圖!$A$3:$C$38,2,0)</f>
        <v>17</v>
      </c>
      <c r="K27" s="137">
        <f>VLOOKUP(D27,產線配置圖!$A$3:$C$38,3,0)</f>
        <v>1440</v>
      </c>
      <c r="L27" s="138">
        <f>K27/J27</f>
        <v>84.705882352941174</v>
      </c>
      <c r="M27" s="170">
        <v>15</v>
      </c>
      <c r="N27" s="140">
        <f>G27/W27*60</f>
        <v>1220.5839416058382</v>
      </c>
      <c r="O27" s="141">
        <f>N27/M27</f>
        <v>81.372262773722539</v>
      </c>
      <c r="P27" s="142">
        <f>M27-J27</f>
        <v>-2</v>
      </c>
      <c r="Q27" s="143">
        <f>O27-L27</f>
        <v>-3.3336195792186345</v>
      </c>
      <c r="R27" s="144">
        <f>O27/L27</f>
        <v>0.96064476885644667</v>
      </c>
      <c r="S27" s="443">
        <f>R37</f>
        <v>0.75021358148236206</v>
      </c>
      <c r="T27" s="171">
        <v>0.29027777777777802</v>
      </c>
      <c r="U27" s="171">
        <v>0.38541666666666702</v>
      </c>
      <c r="V27" s="135"/>
      <c r="W27" s="146">
        <f t="shared" si="4"/>
        <v>137.00000000000014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6"/>
        <v>-219.41605839416184</v>
      </c>
      <c r="AG27" s="172">
        <f t="shared" si="7"/>
        <v>0.84762773722627649</v>
      </c>
      <c r="AH27" s="403">
        <f>AG37</f>
        <v>0.72081410138071866</v>
      </c>
    </row>
    <row r="28" spans="1:34" ht="15" customHeight="1">
      <c r="A28" s="441"/>
      <c r="B28" s="75" t="s">
        <v>81</v>
      </c>
      <c r="C28" s="173"/>
      <c r="D28" s="59" t="s">
        <v>120</v>
      </c>
      <c r="E28" s="104"/>
      <c r="F28" s="75">
        <f>VLOOKUP(D28,廠價表!$C$1:$E$43,3,0)</f>
        <v>50.67</v>
      </c>
      <c r="G28" s="90">
        <v>1997</v>
      </c>
      <c r="H28" s="91">
        <f>F28*G28</f>
        <v>101187.99</v>
      </c>
      <c r="I28" s="92"/>
      <c r="J28" s="79">
        <f>VLOOKUP(D28,產線配置圖!$A$3:$C$38,2,0)</f>
        <v>13</v>
      </c>
      <c r="K28" s="80">
        <f>VLOOKUP(D28,產線配置圖!$A$3:$C$38,3,0)</f>
        <v>1440</v>
      </c>
      <c r="L28" s="93">
        <f>K28/J28</f>
        <v>110.76923076923077</v>
      </c>
      <c r="M28" s="94">
        <v>13</v>
      </c>
      <c r="N28" s="95">
        <f>G28/W28*60</f>
        <v>974.14634146341109</v>
      </c>
      <c r="O28" s="96">
        <f>N28/M28</f>
        <v>74.934333958723926</v>
      </c>
      <c r="P28" s="97">
        <f>M28-J28</f>
        <v>0</v>
      </c>
      <c r="Q28" s="98">
        <f>O28-L28</f>
        <v>-35.834896810506848</v>
      </c>
      <c r="R28" s="99">
        <f>O28/L28</f>
        <v>0.67649051490514656</v>
      </c>
      <c r="S28" s="444"/>
      <c r="T28" s="19">
        <v>0.390972222222222</v>
      </c>
      <c r="U28" s="19">
        <v>0.47638888888888897</v>
      </c>
      <c r="V28" s="92">
        <f>(T28-U27)*24*60</f>
        <v>7.9999999999991722</v>
      </c>
      <c r="W28" s="149">
        <f t="shared" si="4"/>
        <v>123.00000000000044</v>
      </c>
      <c r="X28" s="174"/>
      <c r="Y28" s="301"/>
      <c r="Z28" s="335">
        <v>2</v>
      </c>
      <c r="AA28" s="335">
        <v>37</v>
      </c>
      <c r="AB28" s="409" t="s">
        <v>168</v>
      </c>
      <c r="AC28" s="409"/>
      <c r="AD28" s="92"/>
      <c r="AE28" s="92"/>
      <c r="AF28" s="311">
        <f t="shared" si="6"/>
        <v>-465.85365853658891</v>
      </c>
      <c r="AG28" s="99">
        <f t="shared" si="7"/>
        <v>0.67649051490514656</v>
      </c>
      <c r="AH28" s="404"/>
    </row>
    <row r="29" spans="1:34" ht="15" customHeight="1">
      <c r="A29" s="441"/>
      <c r="B29" s="75" t="s">
        <v>81</v>
      </c>
      <c r="C29" s="88"/>
      <c r="D29" s="59" t="s">
        <v>120</v>
      </c>
      <c r="E29" s="104"/>
      <c r="F29" s="75">
        <f>VLOOKUP(D29,廠價表!$C$1:$E$43,3,0)</f>
        <v>50.67</v>
      </c>
      <c r="G29" s="90">
        <v>830</v>
      </c>
      <c r="H29" s="91">
        <f>F29*G29</f>
        <v>42056.1</v>
      </c>
      <c r="I29" s="92"/>
      <c r="J29" s="79">
        <f>VLOOKUP(D29,產線配置圖!$A$3:$C$38,2,0)</f>
        <v>13</v>
      </c>
      <c r="K29" s="80">
        <f>VLOOKUP(D29,產線配置圖!$A$3:$C$38,3,0)</f>
        <v>1440</v>
      </c>
      <c r="L29" s="93">
        <f>K29/J29</f>
        <v>110.76923076923077</v>
      </c>
      <c r="M29" s="94">
        <v>13</v>
      </c>
      <c r="N29" s="95">
        <f>G29/W29*60</f>
        <v>957.69230769231115</v>
      </c>
      <c r="O29" s="96">
        <f>N29/M29</f>
        <v>73.668639053254708</v>
      </c>
      <c r="P29" s="97">
        <f>M29-J29</f>
        <v>0</v>
      </c>
      <c r="Q29" s="98">
        <f>O29-L29</f>
        <v>-37.100591715976066</v>
      </c>
      <c r="R29" s="99">
        <f>O29/L29</f>
        <v>0.66506410256410498</v>
      </c>
      <c r="S29" s="444"/>
      <c r="T29" s="19">
        <v>0.53333333333333299</v>
      </c>
      <c r="U29" s="19">
        <v>0.56944444444444398</v>
      </c>
      <c r="V29" s="92">
        <f>(T29-U28)*24*60</f>
        <v>81.999999999999389</v>
      </c>
      <c r="W29" s="149">
        <f t="shared" si="4"/>
        <v>51.999999999999815</v>
      </c>
      <c r="X29" s="22"/>
      <c r="Y29" s="84"/>
      <c r="Z29" s="90"/>
      <c r="AA29" s="90"/>
      <c r="AB29" s="409" t="s">
        <v>169</v>
      </c>
      <c r="AC29" s="409"/>
      <c r="AD29" s="92"/>
      <c r="AE29" s="92"/>
      <c r="AF29" s="312">
        <f t="shared" si="6"/>
        <v>-482.30769230768885</v>
      </c>
      <c r="AG29" s="99">
        <f t="shared" si="7"/>
        <v>0.66506410256410498</v>
      </c>
      <c r="AH29" s="404"/>
    </row>
    <row r="30" spans="1:34" ht="15" customHeight="1">
      <c r="A30" s="441"/>
      <c r="B30" s="75" t="s">
        <v>81</v>
      </c>
      <c r="C30" s="102"/>
      <c r="D30" s="175" t="s">
        <v>116</v>
      </c>
      <c r="E30" s="176"/>
      <c r="F30" s="75">
        <f>VLOOKUP(D30,廠價表!$C$1:$E$43,3,0)</f>
        <v>50.67</v>
      </c>
      <c r="G30" s="90">
        <v>1975</v>
      </c>
      <c r="H30" s="91">
        <f>F30*G30</f>
        <v>100073.25</v>
      </c>
      <c r="I30" s="92"/>
      <c r="J30" s="79">
        <v>15</v>
      </c>
      <c r="K30" s="80">
        <v>1714</v>
      </c>
      <c r="L30" s="93">
        <f>K30/J30</f>
        <v>114.26666666666667</v>
      </c>
      <c r="M30" s="94">
        <v>14</v>
      </c>
      <c r="N30" s="95">
        <f>G30/W30*60</f>
        <v>1196.9696969696954</v>
      </c>
      <c r="O30" s="96">
        <f>N30/M30</f>
        <v>85.497835497835382</v>
      </c>
      <c r="P30" s="97">
        <f>M30-J30</f>
        <v>-1</v>
      </c>
      <c r="Q30" s="98">
        <f>O30-L30</f>
        <v>-28.768831168831284</v>
      </c>
      <c r="R30" s="99">
        <f>O30/L30</f>
        <v>0.74823076573368186</v>
      </c>
      <c r="S30" s="444"/>
      <c r="T30" s="19">
        <v>0.57638888888888895</v>
      </c>
      <c r="U30" s="19">
        <v>0.64513888888888904</v>
      </c>
      <c r="V30" s="92">
        <f>(T30-U29)*24*60</f>
        <v>10.000000000000764</v>
      </c>
      <c r="W30" s="149">
        <f t="shared" si="4"/>
        <v>99.000000000000128</v>
      </c>
      <c r="X30" s="174">
        <v>0.49652777777777801</v>
      </c>
      <c r="Y30" s="301">
        <v>0.53819444444444398</v>
      </c>
      <c r="Z30" s="335"/>
      <c r="AA30" s="335"/>
      <c r="AB30" s="409" t="s">
        <v>170</v>
      </c>
      <c r="AC30" s="409"/>
      <c r="AD30" s="92"/>
      <c r="AE30" s="92"/>
      <c r="AF30" s="312">
        <f t="shared" si="6"/>
        <v>-517.03030303030459</v>
      </c>
      <c r="AG30" s="99">
        <f t="shared" si="7"/>
        <v>0.69834871468476978</v>
      </c>
      <c r="AH30" s="439"/>
    </row>
    <row r="31" spans="1:34" ht="15" customHeight="1">
      <c r="A31" s="441"/>
      <c r="B31" s="75"/>
      <c r="C31" s="177"/>
      <c r="D31" s="59"/>
      <c r="E31" s="178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14.5</v>
      </c>
      <c r="K37" s="155">
        <f t="shared" si="8"/>
        <v>1508.5</v>
      </c>
      <c r="L37" s="158">
        <f t="shared" si="8"/>
        <v>105.12775263951734</v>
      </c>
      <c r="M37" s="155">
        <f t="shared" si="8"/>
        <v>13.75</v>
      </c>
      <c r="N37" s="155">
        <f t="shared" si="8"/>
        <v>1087.348071932814</v>
      </c>
      <c r="O37" s="158">
        <f t="shared" si="8"/>
        <v>78.868267820884142</v>
      </c>
      <c r="P37" s="159">
        <f>M37-J37</f>
        <v>-0.75</v>
      </c>
      <c r="Q37" s="160">
        <f>N37-K37</f>
        <v>-421.15192806718596</v>
      </c>
      <c r="R37" s="161">
        <f>O37/L37</f>
        <v>0.75021358148236206</v>
      </c>
      <c r="S37" s="445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37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-421.15192806718596</v>
      </c>
      <c r="AG37" s="124">
        <f>N37/K37</f>
        <v>0.72081410138071866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3346</v>
      </c>
      <c r="H38" s="134">
        <f>F38*G38</f>
        <v>166998.85999999999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1433.9999999999877</v>
      </c>
      <c r="O38" s="141">
        <f>N38/M38</f>
        <v>95.599999999999184</v>
      </c>
      <c r="P38" s="142">
        <f>M38-J38</f>
        <v>0</v>
      </c>
      <c r="Q38" s="143">
        <f>O38-L38</f>
        <v>-18.666666666667481</v>
      </c>
      <c r="R38" s="144">
        <f>O38/L38</f>
        <v>0.83663943990664402</v>
      </c>
      <c r="S38" s="433">
        <f>R48</f>
        <v>0.9020508102986674</v>
      </c>
      <c r="T38" s="191">
        <v>0.33333333333333298</v>
      </c>
      <c r="U38" s="191">
        <v>0.43055555555555602</v>
      </c>
      <c r="V38" s="192"/>
      <c r="W38" s="193">
        <f t="shared" si="4"/>
        <v>140.00000000000119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-280.00000000001228</v>
      </c>
      <c r="AG38" s="195">
        <f>N38/K38</f>
        <v>0.83663943990664391</v>
      </c>
      <c r="AH38" s="436">
        <f>AG48</f>
        <v>0.90667983956588138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2167</v>
      </c>
      <c r="H39" s="91">
        <f>F39*G39</f>
        <v>95998.099999999991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1477.5000000000025</v>
      </c>
      <c r="O39" s="203">
        <f>N39/M39</f>
        <v>82.083333333333471</v>
      </c>
      <c r="P39" s="97">
        <f>M39-J39</f>
        <v>0</v>
      </c>
      <c r="Q39" s="98">
        <f>O39-L39</f>
        <v>-4.8611111111109722</v>
      </c>
      <c r="R39" s="99">
        <f>O39/L39</f>
        <v>0.94408945686901113</v>
      </c>
      <c r="S39" s="434"/>
      <c r="T39" s="20">
        <v>0.4375</v>
      </c>
      <c r="U39" s="20">
        <v>0.49861111111111101</v>
      </c>
      <c r="V39" s="92">
        <f>(T39-U38)*24*60</f>
        <v>9.999999999999325</v>
      </c>
      <c r="W39" s="205">
        <f t="shared" si="4"/>
        <v>87.999999999999844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-87.499999999997499</v>
      </c>
      <c r="AG39" s="206">
        <f>N39/K39</f>
        <v>0.94408945686901113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4318</v>
      </c>
      <c r="H40" s="91">
        <f>F40*G40</f>
        <v>191287.4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18</v>
      </c>
      <c r="N40" s="202">
        <f>G40/W40*60</f>
        <v>1480.4571428571401</v>
      </c>
      <c r="O40" s="203">
        <f>N40/M40</f>
        <v>82.247619047618898</v>
      </c>
      <c r="P40" s="97">
        <f>M40-J40</f>
        <v>0</v>
      </c>
      <c r="Q40" s="98">
        <f>O40-L40</f>
        <v>-4.6968253968255453</v>
      </c>
      <c r="R40" s="99">
        <f>O40/L40</f>
        <v>0.94597900502053689</v>
      </c>
      <c r="S40" s="416"/>
      <c r="T40" s="20">
        <v>0.55902777777777801</v>
      </c>
      <c r="U40" s="20">
        <v>0.68055555555555602</v>
      </c>
      <c r="V40" s="92">
        <f>(T40-U39)*24*60</f>
        <v>87.000000000000483</v>
      </c>
      <c r="W40" s="205">
        <f t="shared" si="4"/>
        <v>175.00000000000034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-84.54285714285993</v>
      </c>
      <c r="AG40" s="206">
        <f>N40/K40</f>
        <v>0.94597900502053678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1614.6666666666667</v>
      </c>
      <c r="L48" s="158">
        <f t="shared" si="10"/>
        <v>96.05185185185185</v>
      </c>
      <c r="M48" s="155">
        <f t="shared" si="10"/>
        <v>17</v>
      </c>
      <c r="N48" s="155">
        <f t="shared" si="10"/>
        <v>1463.9857142857099</v>
      </c>
      <c r="O48" s="158">
        <f t="shared" si="10"/>
        <v>86.643650793650522</v>
      </c>
      <c r="P48" s="221">
        <f>M48-J48</f>
        <v>0</v>
      </c>
      <c r="Q48" s="222">
        <f>N48-K48</f>
        <v>-150.6809523809568</v>
      </c>
      <c r="R48" s="223">
        <f>O48/L48</f>
        <v>0.9020508102986674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-150.6809523809568</v>
      </c>
      <c r="AG48" s="162">
        <f t="shared" ref="AG48:AG53" si="12">N48/K48</f>
        <v>0.90667983956588138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116</v>
      </c>
      <c r="E49" s="132"/>
      <c r="F49" s="129">
        <f>VLOOKUP(D49,廠價表!$C$1:$E$43,3,0)</f>
        <v>50.67</v>
      </c>
      <c r="G49" s="228">
        <v>2995</v>
      </c>
      <c r="H49" s="134">
        <f>F49*G49</f>
        <v>151756.65</v>
      </c>
      <c r="I49" s="135"/>
      <c r="J49" s="136">
        <v>15</v>
      </c>
      <c r="K49" s="137">
        <v>1714</v>
      </c>
      <c r="L49" s="138">
        <f>K49/J49</f>
        <v>114.26666666666667</v>
      </c>
      <c r="M49" s="170">
        <v>15</v>
      </c>
      <c r="N49" s="140">
        <f>G49/W49*60</f>
        <v>1618.9189189189049</v>
      </c>
      <c r="O49" s="141">
        <f>N49/M49</f>
        <v>107.92792792792699</v>
      </c>
      <c r="P49" s="229">
        <f>M49-J49</f>
        <v>0</v>
      </c>
      <c r="Q49" s="230">
        <f>O49-L49</f>
        <v>-6.3387387387396785</v>
      </c>
      <c r="R49" s="52">
        <f>O49/L49</f>
        <v>0.94452679050111132</v>
      </c>
      <c r="S49" s="415">
        <f>R58</f>
        <v>0.94617857117432591</v>
      </c>
      <c r="T49" s="191">
        <v>0.29097222222222202</v>
      </c>
      <c r="U49" s="191">
        <v>0.36805555555555602</v>
      </c>
      <c r="V49" s="55"/>
      <c r="W49" s="193">
        <f t="shared" si="4"/>
        <v>111.00000000000097</v>
      </c>
      <c r="X49" s="55"/>
      <c r="Y49" s="290"/>
      <c r="Z49" s="169"/>
      <c r="AA49" s="169"/>
      <c r="AB49" s="420" t="s">
        <v>170</v>
      </c>
      <c r="AC49" s="420"/>
      <c r="AD49" s="135"/>
      <c r="AE49" s="135"/>
      <c r="AF49" s="229">
        <f t="shared" si="11"/>
        <v>-95.081081081095135</v>
      </c>
      <c r="AG49" s="52">
        <f t="shared" si="12"/>
        <v>0.94452679050111132</v>
      </c>
      <c r="AH49" s="403">
        <f>AG58</f>
        <v>0.90611643746822434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3739</v>
      </c>
      <c r="H50" s="231">
        <f>F50*G50</f>
        <v>186837.83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1591.063829787229</v>
      </c>
      <c r="O50" s="235">
        <f>N50/M50</f>
        <v>106.07092198581526</v>
      </c>
      <c r="P50" s="74">
        <f>M50-J50</f>
        <v>-1</v>
      </c>
      <c r="Q50" s="83">
        <f>O50-L50</f>
        <v>-6.4290780141847392</v>
      </c>
      <c r="R50" s="72">
        <f>O50/L50</f>
        <v>0.94285263987391343</v>
      </c>
      <c r="S50" s="416"/>
      <c r="T50" s="21">
        <v>0.375</v>
      </c>
      <c r="U50" s="21">
        <v>0.47291666666666698</v>
      </c>
      <c r="V50" s="30">
        <f>(T50-U49)*24*60</f>
        <v>9.999999999999325</v>
      </c>
      <c r="W50" s="236">
        <f t="shared" si="4"/>
        <v>141.00000000000045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-208.936170212771</v>
      </c>
      <c r="AG50" s="72">
        <f t="shared" si="12"/>
        <v>0.88392434988179391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3344</v>
      </c>
      <c r="H51" s="231">
        <f>F51*G51</f>
        <v>167099.68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1605.1200000000099</v>
      </c>
      <c r="O51" s="235">
        <f>N51/M51</f>
        <v>107.00800000000066</v>
      </c>
      <c r="P51" s="74">
        <f>M51-J51</f>
        <v>-1</v>
      </c>
      <c r="Q51" s="83">
        <f>O51-L51</f>
        <v>-5.4919999999993365</v>
      </c>
      <c r="R51" s="72">
        <f>O51/L51</f>
        <v>0.95118222222222815</v>
      </c>
      <c r="S51" s="416"/>
      <c r="T51" s="21">
        <v>0.53402777777777799</v>
      </c>
      <c r="U51" s="19">
        <v>0.62083333333333302</v>
      </c>
      <c r="V51" s="30">
        <f>(T51-U50)*24*60</f>
        <v>87.999999999999844</v>
      </c>
      <c r="W51" s="236">
        <f t="shared" si="4"/>
        <v>124.99999999999923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-194.8799999999901</v>
      </c>
      <c r="AG51" s="72">
        <f t="shared" si="12"/>
        <v>0.89173333333333882</v>
      </c>
      <c r="AH51" s="405"/>
    </row>
    <row r="52" spans="1:34" ht="15" customHeight="1">
      <c r="A52" s="428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6"/>
      <c r="T52" s="21"/>
      <c r="U52" s="21"/>
      <c r="V52" s="30"/>
      <c r="W52" s="236">
        <f t="shared" si="4"/>
        <v>0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0</v>
      </c>
      <c r="AG52" s="72" t="e">
        <f t="shared" si="12"/>
        <v>#DIV/0!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15.666666666666666</v>
      </c>
      <c r="K58" s="120">
        <f t="shared" si="13"/>
        <v>1771.3333333333333</v>
      </c>
      <c r="L58" s="117">
        <f t="shared" si="13"/>
        <v>113.08888888888889</v>
      </c>
      <c r="M58" s="120">
        <f t="shared" si="13"/>
        <v>15</v>
      </c>
      <c r="N58" s="120">
        <f t="shared" si="13"/>
        <v>1605.0342495687146</v>
      </c>
      <c r="O58" s="117">
        <f t="shared" si="13"/>
        <v>107.00228330458098</v>
      </c>
      <c r="P58" s="121">
        <f>M58-J58</f>
        <v>-0.66666666666666607</v>
      </c>
      <c r="Q58" s="122">
        <f>N58-K58</f>
        <v>-166.29908376461867</v>
      </c>
      <c r="R58" s="123">
        <f t="shared" ref="R58:R63" si="14">O58/L58</f>
        <v>0.94617857117432591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-166.29908376461867</v>
      </c>
      <c r="AG58" s="124">
        <f>N58/K58</f>
        <v>0.90611643746822434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1947</v>
      </c>
      <c r="H59" s="243">
        <f>F59*G59</f>
        <v>52549.53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1327.4999999999807</v>
      </c>
      <c r="O59" s="138">
        <f>N59/M59</f>
        <v>102.11538461538314</v>
      </c>
      <c r="P59" s="56">
        <f>M59-J59</f>
        <v>0</v>
      </c>
      <c r="Q59" s="230">
        <f>O59-L59</f>
        <v>-18.269230769232252</v>
      </c>
      <c r="R59" s="52">
        <f t="shared" si="14"/>
        <v>0.84824281150158509</v>
      </c>
      <c r="S59" s="415">
        <f>R69</f>
        <v>0.81704266734415676</v>
      </c>
      <c r="T59" s="245">
        <v>0.28819444444444398</v>
      </c>
      <c r="U59" s="245">
        <v>0.34930555555555598</v>
      </c>
      <c r="V59" s="55"/>
      <c r="W59" s="54">
        <f t="shared" si="4"/>
        <v>88.000000000001279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-237.50000000001933</v>
      </c>
      <c r="AG59" s="246">
        <f>N59/K59</f>
        <v>0.84824281150158509</v>
      </c>
      <c r="AH59" s="403">
        <f>AG69</f>
        <v>0.91025340888752604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1792</v>
      </c>
      <c r="H60" s="78">
        <f>F60*G60</f>
        <v>50641.920000000006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1344.0000000000141</v>
      </c>
      <c r="O60" s="81">
        <f>N60/M60</f>
        <v>112.00000000000118</v>
      </c>
      <c r="P60" s="74">
        <f>M60-J60</f>
        <v>0</v>
      </c>
      <c r="Q60" s="83">
        <f>O60-L60</f>
        <v>-18.416666666665478</v>
      </c>
      <c r="R60" s="72">
        <f t="shared" si="14"/>
        <v>0.85878594249202189</v>
      </c>
      <c r="S60" s="425"/>
      <c r="T60" s="22">
        <v>0.35763888888888901</v>
      </c>
      <c r="U60" s="22">
        <v>0.41319444444444398</v>
      </c>
      <c r="V60" s="30">
        <f>(T60-U59)*24*60</f>
        <v>11.999999999999558</v>
      </c>
      <c r="W60" s="248">
        <f t="shared" si="4"/>
        <v>79.999999999999162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-220.9999999999859</v>
      </c>
      <c r="AG60" s="249">
        <f>N60/K60</f>
        <v>0.85878594249202178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2992</v>
      </c>
      <c r="H61" s="254">
        <f>F61*G61</f>
        <v>84553.919999999998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12</v>
      </c>
      <c r="N61" s="107">
        <f>G61/W61*60</f>
        <v>1831.8367346938928</v>
      </c>
      <c r="O61" s="238">
        <f>N61/M61</f>
        <v>152.65306122449107</v>
      </c>
      <c r="P61" s="111">
        <f>M61-J61</f>
        <v>3</v>
      </c>
      <c r="Q61" s="255">
        <f>O61-L61</f>
        <v>-29.124716553286703</v>
      </c>
      <c r="R61" s="85">
        <f t="shared" si="14"/>
        <v>0.83977845416896069</v>
      </c>
      <c r="S61" s="416"/>
      <c r="T61" s="22">
        <v>0.42013888888888901</v>
      </c>
      <c r="U61" s="22">
        <v>0.48819444444444399</v>
      </c>
      <c r="V61" s="30">
        <f>(T61-U60)*24*60</f>
        <v>10.000000000000844</v>
      </c>
      <c r="W61" s="256">
        <f t="shared" si="4"/>
        <v>97.999999999999176</v>
      </c>
      <c r="X61" s="22"/>
      <c r="Y61" s="84"/>
      <c r="Z61" s="90"/>
      <c r="AA61" s="90"/>
      <c r="AB61" s="409" t="s">
        <v>171</v>
      </c>
      <c r="AC61" s="409"/>
      <c r="AD61" s="92"/>
      <c r="AE61" s="92"/>
      <c r="AF61" s="317">
        <f>N61-K61</f>
        <v>195.83673469389282</v>
      </c>
      <c r="AG61" s="247">
        <f>N61/K61</f>
        <v>1.1197046055586142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1054</v>
      </c>
      <c r="H62" s="254">
        <f>F62*G62</f>
        <v>29786.04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1580.9999999999864</v>
      </c>
      <c r="O62" s="238">
        <f>N62/M62</f>
        <v>143.7272727272715</v>
      </c>
      <c r="P62" s="111">
        <f>M62-J62</f>
        <v>2</v>
      </c>
      <c r="Q62" s="255">
        <f>O62-L62</f>
        <v>-38.050505050506274</v>
      </c>
      <c r="R62" s="85">
        <f t="shared" si="14"/>
        <v>0.79067570571237378</v>
      </c>
      <c r="S62" s="416"/>
      <c r="T62" s="22">
        <v>0.55208333333333304</v>
      </c>
      <c r="U62" s="22">
        <v>0.57986111111111105</v>
      </c>
      <c r="V62" s="30">
        <f>(T62-U61)*24*60</f>
        <v>92.000000000000227</v>
      </c>
      <c r="W62" s="248">
        <f t="shared" si="4"/>
        <v>40.000000000000341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-55.000000000013642</v>
      </c>
      <c r="AG62" s="247">
        <f>N62/K62</f>
        <v>0.96638141809290123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2238</v>
      </c>
      <c r="H63" s="254">
        <f>F63*G63</f>
        <v>60403.619999999995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1167.6521739130462</v>
      </c>
      <c r="O63" s="238">
        <f>N63/M63</f>
        <v>89.819397993311242</v>
      </c>
      <c r="P63" s="111">
        <f>M63-J63</f>
        <v>0</v>
      </c>
      <c r="Q63" s="255">
        <f>O63-L63</f>
        <v>-30.565217391304145</v>
      </c>
      <c r="R63" s="85">
        <f t="shared" si="14"/>
        <v>0.74610362550354381</v>
      </c>
      <c r="S63" s="416"/>
      <c r="T63" s="22">
        <v>0.58680555555555602</v>
      </c>
      <c r="U63" s="22">
        <v>0.66666666666666696</v>
      </c>
      <c r="V63" s="30">
        <f>(T63-U62)*24*60</f>
        <v>10.000000000000764</v>
      </c>
      <c r="W63" s="248">
        <f t="shared" si="4"/>
        <v>114.99999999999974</v>
      </c>
      <c r="X63" s="261"/>
      <c r="Y63" s="291"/>
      <c r="Z63" s="335">
        <v>1</v>
      </c>
      <c r="AA63" s="335">
        <v>15</v>
      </c>
      <c r="AB63" s="409" t="s">
        <v>173</v>
      </c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5">AVERAGE(J59:J68)</f>
        <v>11.2</v>
      </c>
      <c r="K69" s="240">
        <f t="shared" si="15"/>
        <v>1593.4</v>
      </c>
      <c r="L69" s="268">
        <f t="shared" si="15"/>
        <v>146.94829059829061</v>
      </c>
      <c r="M69" s="240">
        <f t="shared" si="15"/>
        <v>12.2</v>
      </c>
      <c r="N69" s="240">
        <f t="shared" si="15"/>
        <v>1450.397781721384</v>
      </c>
      <c r="O69" s="268">
        <f t="shared" si="15"/>
        <v>120.06302331209163</v>
      </c>
      <c r="P69" s="269">
        <f>M69-J69</f>
        <v>1</v>
      </c>
      <c r="Q69" s="222">
        <f>N69-K69</f>
        <v>-143.00221827861606</v>
      </c>
      <c r="R69" s="123">
        <f>O69/L69</f>
        <v>0.81704266734415676</v>
      </c>
      <c r="S69" s="419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15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-143.00221827861606</v>
      </c>
      <c r="AG69" s="124">
        <f>N69/K69</f>
        <v>0.91025340888752604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H3:AH4"/>
    <mergeCell ref="AB15:AC15"/>
    <mergeCell ref="AB1:AC2"/>
    <mergeCell ref="W3:W4"/>
    <mergeCell ref="X3:Y3"/>
    <mergeCell ref="Z3:AA3"/>
    <mergeCell ref="A2:B2"/>
    <mergeCell ref="A3:A4"/>
    <mergeCell ref="B3:B4"/>
    <mergeCell ref="D3:E4"/>
    <mergeCell ref="F3:F4"/>
    <mergeCell ref="A16:A26"/>
    <mergeCell ref="S16:S26"/>
    <mergeCell ref="AB16:AC16"/>
    <mergeCell ref="D26:E26"/>
    <mergeCell ref="AB26:AC26"/>
    <mergeCell ref="P3:P4"/>
    <mergeCell ref="Q3:Q4"/>
    <mergeCell ref="R3:R4"/>
    <mergeCell ref="T3:U3"/>
    <mergeCell ref="A5:A15"/>
    <mergeCell ref="S5:S15"/>
    <mergeCell ref="AB13:AC13"/>
    <mergeCell ref="AB5:AC5"/>
    <mergeCell ref="D15:E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D37:E3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H49:AH58"/>
    <mergeCell ref="AB50:AC50"/>
    <mergeCell ref="AB51:AC51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5:AC55"/>
    <mergeCell ref="AB56:AC56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12AE36-9BE2-4F3C-AF29-E39B6ED635A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5FE-89B3-4599-8CD9-C0018B1B696E}">
  <dimension ref="B1:O26"/>
  <sheetViews>
    <sheetView topLeftCell="A2" zoomScale="70" zoomScaleNormal="70" workbookViewId="0">
      <selection activeCell="M53" sqref="M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46125</v>
      </c>
      <c r="E3" s="399"/>
      <c r="F3" s="3" t="s">
        <v>72</v>
      </c>
      <c r="G3" s="400">
        <f>'0413'!E1</f>
        <v>63771</v>
      </c>
      <c r="H3" s="400"/>
      <c r="I3" s="3" t="s">
        <v>2</v>
      </c>
      <c r="J3" s="401">
        <f>'0413'!G1</f>
        <v>2997408.2500000005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127.32683389595154</v>
      </c>
      <c r="G6" s="397"/>
      <c r="H6" s="382">
        <f>AVERAGE(D13:H13)</f>
        <v>123.40254255548371</v>
      </c>
      <c r="I6" s="382"/>
      <c r="J6" s="382">
        <f>AVERAGE(I13)</f>
        <v>146.94829059829061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114.93164488393985</v>
      </c>
      <c r="G7" s="389"/>
      <c r="H7" s="390">
        <f>AVERAGE(D14:H14)</f>
        <v>112.99265021001932</v>
      </c>
      <c r="I7" s="390"/>
      <c r="J7" s="390">
        <f>AVERAGE(I14)</f>
        <v>124.62661825354262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0.90265061469964192</v>
      </c>
      <c r="G8" s="374"/>
      <c r="H8" s="374">
        <f>H7/H6</f>
        <v>0.91564280500311457</v>
      </c>
      <c r="I8" s="374"/>
      <c r="J8" s="374">
        <f>J7/J6</f>
        <v>0.84809845521940586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VALUE('0413'!L15)</f>
        <v>151.28571428571428</v>
      </c>
      <c r="E13" s="13">
        <f>VALUE('0413'!L26)</f>
        <v>164.73333333333332</v>
      </c>
      <c r="F13" s="13">
        <f>VALUE('0413'!L37)</f>
        <v>93.393665158371036</v>
      </c>
      <c r="G13" s="13">
        <f>VALUE('0413'!L48)</f>
        <v>93.775000000000006</v>
      </c>
      <c r="H13" s="13">
        <f>VALUE('0413'!L58)</f>
        <v>113.82499999999999</v>
      </c>
      <c r="I13" s="13">
        <f>VALUE('0413'!L69)</f>
        <v>146.94829059829061</v>
      </c>
      <c r="J13" s="13">
        <f>'0413'!L79</f>
        <v>0</v>
      </c>
    </row>
    <row r="14" spans="2:15" ht="39.950000000000003" customHeight="1">
      <c r="B14" s="368"/>
      <c r="C14" s="12" t="s">
        <v>100</v>
      </c>
      <c r="D14" s="13">
        <f>VALUE('0413'!O15)</f>
        <v>144.48673782265206</v>
      </c>
      <c r="E14" s="13">
        <f>VALUE('0413'!O26)</f>
        <v>155.67470515754349</v>
      </c>
      <c r="F14" s="13">
        <f>VALUE('0413'!O37)</f>
        <v>83.429196949839849</v>
      </c>
      <c r="G14" s="13">
        <f>VALUE('0413'!O48)</f>
        <v>77.327461287545034</v>
      </c>
      <c r="H14" s="13">
        <f>VALUE('0413'!O58)</f>
        <v>104.04514983251617</v>
      </c>
      <c r="I14" s="13">
        <f>VALUE('0413'!O69)</f>
        <v>124.62661825354262</v>
      </c>
      <c r="J14" s="13">
        <f>'0413'!O79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0.95505870137730353</v>
      </c>
      <c r="E15" s="14">
        <f t="shared" si="1"/>
        <v>0.94501035101705888</v>
      </c>
      <c r="F15" s="14">
        <f t="shared" si="1"/>
        <v>0.89330680842609533</v>
      </c>
      <c r="G15" s="14">
        <f t="shared" si="1"/>
        <v>0.82460635870482568</v>
      </c>
      <c r="H15" s="14">
        <f t="shared" si="1"/>
        <v>0.91407994581608776</v>
      </c>
      <c r="I15" s="14">
        <f t="shared" si="1"/>
        <v>0.84809845521940586</v>
      </c>
      <c r="J15" s="15">
        <f>'0413'!S70</f>
        <v>0</v>
      </c>
    </row>
    <row r="16" spans="2:15" ht="17.25" customHeight="1">
      <c r="B16" s="370" t="s">
        <v>101</v>
      </c>
      <c r="C16" s="10" t="s">
        <v>34</v>
      </c>
      <c r="D16" s="16">
        <f>'0413'!T5</f>
        <v>0.29166666666666702</v>
      </c>
      <c r="E16" s="16">
        <f>'0413'!T16</f>
        <v>0.29166666666666702</v>
      </c>
      <c r="F16" s="16">
        <f>'0413'!T27</f>
        <v>0.29166666666666702</v>
      </c>
      <c r="G16" s="16">
        <f>'0413'!T38</f>
        <v>0.33333333333333298</v>
      </c>
      <c r="H16" s="16">
        <f>'0413'!T49</f>
        <v>0.28958333333333303</v>
      </c>
      <c r="I16" s="16">
        <f>'0413'!T59</f>
        <v>0.29166666666666702</v>
      </c>
      <c r="J16" s="16">
        <f>'0413'!T70</f>
        <v>0</v>
      </c>
    </row>
    <row r="17" spans="2:10" ht="17.25" customHeight="1">
      <c r="B17" s="371"/>
      <c r="C17" s="10" t="s">
        <v>35</v>
      </c>
      <c r="D17" s="16">
        <v>0.63541666666666696</v>
      </c>
      <c r="E17" s="19">
        <v>0.63194444444444398</v>
      </c>
      <c r="F17" s="19">
        <v>0.55833333333333302</v>
      </c>
      <c r="G17" s="210">
        <v>0.68541666666666701</v>
      </c>
      <c r="H17" s="19">
        <v>0.65208333333333302</v>
      </c>
      <c r="I17" s="22">
        <v>0.65277777777777801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'0413'!Z15</f>
        <v>0</v>
      </c>
      <c r="E18" s="359">
        <f>'0413'!Z26</f>
        <v>0</v>
      </c>
      <c r="F18" s="359">
        <f>'0413'!Z37</f>
        <v>0</v>
      </c>
      <c r="G18" s="360">
        <f>'0413'!Z48</f>
        <v>0</v>
      </c>
      <c r="H18" s="360">
        <f>'0413'!Z58</f>
        <v>0</v>
      </c>
      <c r="I18" s="359">
        <f>'0413'!Z69</f>
        <v>0</v>
      </c>
      <c r="J18" s="359">
        <f>'0413'!AA79</f>
        <v>0</v>
      </c>
    </row>
    <row r="19" spans="2:10" ht="17.25" customHeight="1">
      <c r="B19" s="373"/>
      <c r="C19" s="330" t="s">
        <v>37</v>
      </c>
      <c r="D19" s="358">
        <f>'0413'!AA15</f>
        <v>0</v>
      </c>
      <c r="E19" s="359">
        <f>'0413'!AA26</f>
        <v>0</v>
      </c>
      <c r="F19" s="359">
        <f>'0413'!AA37</f>
        <v>0</v>
      </c>
      <c r="G19" s="360">
        <f>'0413'!AA48</f>
        <v>0</v>
      </c>
      <c r="H19" s="360">
        <f>'0413'!AA58</f>
        <v>0</v>
      </c>
      <c r="I19" s="359">
        <f>'0413'!AA69</f>
        <v>0</v>
      </c>
      <c r="J19" s="359">
        <f>'0413'!AB79</f>
        <v>0</v>
      </c>
    </row>
    <row r="20" spans="2:10" ht="17.25" customHeight="1">
      <c r="B20" s="372" t="s">
        <v>103</v>
      </c>
      <c r="C20" s="330" t="s">
        <v>36</v>
      </c>
      <c r="D20" s="358">
        <f>'0413'!AD15</f>
        <v>0</v>
      </c>
      <c r="E20" s="359">
        <f>'0413'!AD26</f>
        <v>0</v>
      </c>
      <c r="F20" s="359">
        <f>'0413'!AD37</f>
        <v>0</v>
      </c>
      <c r="G20" s="360">
        <f>'0413'!AD48</f>
        <v>0</v>
      </c>
      <c r="H20" s="360">
        <f>'0413'!AD58</f>
        <v>0</v>
      </c>
      <c r="I20" s="359">
        <f>'0413'!AD69</f>
        <v>0</v>
      </c>
      <c r="J20" s="359">
        <f>'0413'!AD79</f>
        <v>0</v>
      </c>
    </row>
    <row r="21" spans="2:10" ht="17.25" customHeight="1">
      <c r="B21" s="373"/>
      <c r="C21" s="330" t="s">
        <v>85</v>
      </c>
      <c r="D21" s="358">
        <f>'0413'!AE15</f>
        <v>0</v>
      </c>
      <c r="E21" s="359">
        <f>'0413'!AE26</f>
        <v>0</v>
      </c>
      <c r="F21" s="359">
        <f>'0413'!AE37</f>
        <v>0</v>
      </c>
      <c r="G21" s="360">
        <f>'0413'!AE48</f>
        <v>0</v>
      </c>
      <c r="H21" s="360">
        <f>'0413'!AE58</f>
        <v>0</v>
      </c>
      <c r="I21" s="359">
        <f>'0413'!AE69</f>
        <v>0</v>
      </c>
      <c r="J21" s="359">
        <f>'0413'!AE79</f>
        <v>0</v>
      </c>
    </row>
    <row r="22" spans="2:10" ht="17.25" customHeight="1">
      <c r="B22" s="364" t="s">
        <v>104</v>
      </c>
      <c r="C22" s="365"/>
      <c r="D22" s="23">
        <f>VALUE('0413'!M15)</f>
        <v>14</v>
      </c>
      <c r="E22" s="23">
        <f>VALUE('0413'!M26)</f>
        <v>13</v>
      </c>
      <c r="F22" s="23">
        <f>VALUE('0413'!M37)</f>
        <v>15</v>
      </c>
      <c r="G22" s="23">
        <f>VALUE('0413'!M48)</f>
        <v>16.5</v>
      </c>
      <c r="H22" s="23">
        <f>VALUE('0413'!M58)</f>
        <v>15.5</v>
      </c>
      <c r="I22" s="23">
        <f>VALUE('0413'!M69)</f>
        <v>11.8</v>
      </c>
      <c r="J22" s="23">
        <f>'0413'!M79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CAAC-E49D-4C96-BA79-B083A49E1E89}">
  <sheetPr>
    <tabColor theme="9" tint="0.79998168889431442"/>
  </sheetPr>
  <dimension ref="A1:AJ92"/>
  <sheetViews>
    <sheetView zoomScale="73" zoomScaleNormal="73" workbookViewId="0">
      <pane xSplit="5" ySplit="4" topLeftCell="F38" activePane="bottomRight" state="frozen"/>
      <selection activeCell="M53" sqref="M53"/>
      <selection pane="topRight" activeCell="M53" sqref="M53"/>
      <selection pane="bottomLeft" activeCell="M53" sqref="M53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63771</v>
      </c>
      <c r="F1" s="30" t="s">
        <v>2</v>
      </c>
      <c r="G1" s="31">
        <f>SUM(H5:H79)</f>
        <v>2997408.2500000005</v>
      </c>
      <c r="H1" s="32" t="s">
        <v>3</v>
      </c>
      <c r="I1" s="33">
        <f>M15+M26+M48+M58+M69+M79+M37</f>
        <v>85.8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174</v>
      </c>
      <c r="B2" s="483"/>
      <c r="C2" s="28"/>
      <c r="D2" s="28" t="s">
        <v>14</v>
      </c>
      <c r="E2" s="35">
        <f>AVERAGE(O15,O26,O37,O48,O58,O69,O79)</f>
        <v>114.93164488393985</v>
      </c>
      <c r="F2" s="36" t="s">
        <v>15</v>
      </c>
      <c r="G2" s="37">
        <f>G1/E1</f>
        <v>47.002685389910781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57.21</v>
      </c>
      <c r="G5" s="42">
        <v>3827</v>
      </c>
      <c r="H5" s="43">
        <f>F5*G5</f>
        <v>218942.67</v>
      </c>
      <c r="I5" s="44"/>
      <c r="J5" s="45"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1996.695652173916</v>
      </c>
      <c r="O5" s="47">
        <f>N5/M5</f>
        <v>142.62111801242256</v>
      </c>
      <c r="P5" s="49">
        <f>M5-J5</f>
        <v>0</v>
      </c>
      <c r="Q5" s="50">
        <f>O5-L5</f>
        <v>-8.6645962732917212</v>
      </c>
      <c r="R5" s="51">
        <f>O5/L5</f>
        <v>0.94272693681488007</v>
      </c>
      <c r="S5" s="415">
        <f>R15</f>
        <v>0.95505870137730353</v>
      </c>
      <c r="T5" s="319">
        <v>0.29166666666666702</v>
      </c>
      <c r="U5" s="320">
        <v>0.37152777777777801</v>
      </c>
      <c r="V5" s="53"/>
      <c r="W5" s="54">
        <f t="shared" ref="W5:W14" si="0">(U5-T5)*24*60</f>
        <v>114.99999999999983</v>
      </c>
      <c r="X5" s="55"/>
      <c r="Y5" s="290"/>
      <c r="Z5" s="169"/>
      <c r="AA5" s="169"/>
      <c r="AB5" s="420" t="s">
        <v>175</v>
      </c>
      <c r="AC5" s="420"/>
      <c r="AD5" s="135"/>
      <c r="AE5" s="135"/>
      <c r="AF5" s="229">
        <f t="shared" ref="AF5:AF11" si="1">N5-K5</f>
        <v>-121.30434782608404</v>
      </c>
      <c r="AG5" s="52">
        <f t="shared" ref="AG5:AG11" si="2">N5/K5</f>
        <v>0.94272693681488007</v>
      </c>
      <c r="AH5" s="403">
        <f>AG15</f>
        <v>0.95505870137730342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4945</v>
      </c>
      <c r="H6" s="63">
        <f>F6*G6</f>
        <v>242997.3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2032.191780821915</v>
      </c>
      <c r="O6" s="67">
        <f>N6/M6</f>
        <v>145.15655577299393</v>
      </c>
      <c r="P6" s="69">
        <f>M6-J6</f>
        <v>0</v>
      </c>
      <c r="Q6" s="70">
        <f>O6-L6</f>
        <v>-6.1291585127203518</v>
      </c>
      <c r="R6" s="71">
        <f>O6/L6</f>
        <v>0.95948620435406751</v>
      </c>
      <c r="S6" s="416"/>
      <c r="T6" s="16">
        <v>0.38124999999999998</v>
      </c>
      <c r="U6" s="16">
        <v>0.48263888888888901</v>
      </c>
      <c r="V6" s="30">
        <f>(T6-U5)*24*60</f>
        <v>13.999999999999631</v>
      </c>
      <c r="W6" s="73">
        <f t="shared" si="0"/>
        <v>146.0000000000002</v>
      </c>
      <c r="X6" s="22"/>
      <c r="Y6" s="84"/>
      <c r="Z6" s="90"/>
      <c r="AA6" s="90"/>
      <c r="AB6" s="453" t="s">
        <v>175</v>
      </c>
      <c r="AC6" s="453"/>
      <c r="AD6" s="149"/>
      <c r="AE6" s="149"/>
      <c r="AF6" s="307">
        <f t="shared" si="1"/>
        <v>-85.808219178084983</v>
      </c>
      <c r="AG6" s="72">
        <f t="shared" si="2"/>
        <v>0.95948620435406751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4589</v>
      </c>
      <c r="H7" s="78">
        <f>F7*G7</f>
        <v>225503.46</v>
      </c>
      <c r="I7" s="73"/>
      <c r="J7" s="79">
        <v>14</v>
      </c>
      <c r="K7" s="80">
        <f>VLOOKUP(D7,產線配置圖!$A$3:$C$38,3,0)</f>
        <v>2118</v>
      </c>
      <c r="L7" s="81">
        <f>K7/J7</f>
        <v>151.28571428571428</v>
      </c>
      <c r="M7" s="82">
        <v>14</v>
      </c>
      <c r="N7" s="80">
        <f>G7/W7*60</f>
        <v>2039.5555555555557</v>
      </c>
      <c r="O7" s="81">
        <f>N7/M7</f>
        <v>145.6825396825397</v>
      </c>
      <c r="P7" s="74">
        <f>M7-J7</f>
        <v>0</v>
      </c>
      <c r="Q7" s="83">
        <f>O7-L7</f>
        <v>-5.6031746031745797</v>
      </c>
      <c r="R7" s="72">
        <f>O7/L7</f>
        <v>0.96296296296296313</v>
      </c>
      <c r="S7" s="416"/>
      <c r="T7" s="18">
        <v>0.54166666666666696</v>
      </c>
      <c r="U7" s="18">
        <v>0.63541666666666696</v>
      </c>
      <c r="V7" s="30">
        <f>(T7-U6)*24*60</f>
        <v>85.000000000000256</v>
      </c>
      <c r="W7" s="73">
        <f t="shared" si="0"/>
        <v>135</v>
      </c>
      <c r="X7" s="22"/>
      <c r="Y7" s="84"/>
      <c r="Z7" s="90"/>
      <c r="AA7" s="90"/>
      <c r="AB7" s="453" t="s">
        <v>175</v>
      </c>
      <c r="AC7" s="453"/>
      <c r="AD7" s="92"/>
      <c r="AE7" s="92"/>
      <c r="AF7" s="307">
        <f t="shared" si="1"/>
        <v>-78.444444444444343</v>
      </c>
      <c r="AG7" s="72">
        <f t="shared" si="2"/>
        <v>0.96296296296296302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14</v>
      </c>
      <c r="K15" s="120">
        <f t="shared" si="3"/>
        <v>2118</v>
      </c>
      <c r="L15" s="117">
        <f t="shared" si="3"/>
        <v>151.28571428571428</v>
      </c>
      <c r="M15" s="120">
        <f t="shared" si="3"/>
        <v>14</v>
      </c>
      <c r="N15" s="120">
        <f t="shared" si="3"/>
        <v>2022.8143295171287</v>
      </c>
      <c r="O15" s="117">
        <f t="shared" si="3"/>
        <v>144.48673782265206</v>
      </c>
      <c r="P15" s="121">
        <f>M15-J15</f>
        <v>0</v>
      </c>
      <c r="Q15" s="122">
        <f>O15-L15</f>
        <v>-6.7989764630622176</v>
      </c>
      <c r="R15" s="123">
        <f>O15/L15</f>
        <v>0.95505870137730353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-95.185670482871274</v>
      </c>
      <c r="AG15" s="124">
        <f>N15/K15</f>
        <v>0.95505870137730342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147</v>
      </c>
      <c r="E16" s="132"/>
      <c r="F16" s="129">
        <f>VLOOKUP(D16,廠價表!$C$1:$E$43,3,0)</f>
        <v>56.87</v>
      </c>
      <c r="G16" s="133">
        <v>5098</v>
      </c>
      <c r="H16" s="134">
        <f>F16*G16</f>
        <v>289923.26</v>
      </c>
      <c r="I16" s="135"/>
      <c r="J16" s="136">
        <v>15</v>
      </c>
      <c r="K16" s="137">
        <f>VLOOKUP(D16,產線配置圖!$A$3:$C$38,3,0)</f>
        <v>2118</v>
      </c>
      <c r="L16" s="138">
        <f>K16/J16</f>
        <v>141.19999999999999</v>
      </c>
      <c r="M16" s="139">
        <v>15</v>
      </c>
      <c r="N16" s="140">
        <f>G16/W16*60</f>
        <v>2012.3684210526428</v>
      </c>
      <c r="O16" s="141">
        <f>N16/M16</f>
        <v>134.15789473684285</v>
      </c>
      <c r="P16" s="142">
        <f>M16-J16</f>
        <v>0</v>
      </c>
      <c r="Q16" s="143">
        <f>O16-L16</f>
        <v>-7.0421052631571399</v>
      </c>
      <c r="R16" s="144">
        <f>O16/L16</f>
        <v>0.95012673326375963</v>
      </c>
      <c r="S16" s="443">
        <f>R26</f>
        <v>0.94501035101705888</v>
      </c>
      <c r="T16" s="145">
        <v>0.29166666666666702</v>
      </c>
      <c r="U16" s="145">
        <v>0.39722222222222198</v>
      </c>
      <c r="V16" s="135"/>
      <c r="W16" s="146">
        <f t="shared" ref="W16:W78" si="4">(U16-T16)*24*60</f>
        <v>151.99999999999915</v>
      </c>
      <c r="X16" s="141"/>
      <c r="Y16" s="296"/>
      <c r="Z16" s="169"/>
      <c r="AA16" s="169"/>
      <c r="AB16" s="420" t="s">
        <v>175</v>
      </c>
      <c r="AC16" s="420"/>
      <c r="AD16" s="135"/>
      <c r="AE16" s="135"/>
      <c r="AF16" s="229">
        <f>N16-K16</f>
        <v>-105.63157894735718</v>
      </c>
      <c r="AG16" s="52">
        <f>N16/K16</f>
        <v>0.95012673326375963</v>
      </c>
      <c r="AH16" s="403">
        <f>AG26</f>
        <v>0.94535144316683883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3799</v>
      </c>
      <c r="H17" s="78">
        <f>F17*G17</f>
        <v>191431.61000000002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1982.086956521742</v>
      </c>
      <c r="O17" s="96">
        <f>N17/M17</f>
        <v>165.17391304347851</v>
      </c>
      <c r="P17" s="97">
        <f>M17-J17</f>
        <v>0</v>
      </c>
      <c r="Q17" s="98">
        <f>O17-L17</f>
        <v>-11.326086956521493</v>
      </c>
      <c r="R17" s="99">
        <f>O17/L17</f>
        <v>0.93582953565710203</v>
      </c>
      <c r="S17" s="444"/>
      <c r="T17" s="19">
        <v>0.40277777777777801</v>
      </c>
      <c r="U17" s="19">
        <v>0.48263888888888901</v>
      </c>
      <c r="V17" s="30">
        <f>(T17-U16)*24*60</f>
        <v>8.000000000000691</v>
      </c>
      <c r="W17" s="149">
        <f t="shared" si="4"/>
        <v>114.99999999999983</v>
      </c>
      <c r="X17" s="19"/>
      <c r="Y17" s="297"/>
      <c r="Z17" s="90"/>
      <c r="AA17" s="90"/>
      <c r="AB17" s="409" t="s">
        <v>175</v>
      </c>
      <c r="AC17" s="409"/>
      <c r="AD17" s="92"/>
      <c r="AE17" s="92"/>
      <c r="AF17" s="307">
        <f>N17-K17</f>
        <v>-135.91304347825803</v>
      </c>
      <c r="AG17" s="72">
        <f>N17/K17</f>
        <v>0.93582953565710192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4360</v>
      </c>
      <c r="H18" s="78">
        <f>F18*G18</f>
        <v>219700.4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2012.3076923077094</v>
      </c>
      <c r="O18" s="96">
        <f>N18/M18</f>
        <v>167.69230769230913</v>
      </c>
      <c r="P18" s="97">
        <f>M18-J18</f>
        <v>0</v>
      </c>
      <c r="Q18" s="98">
        <f>O18-L18</f>
        <v>-8.8076923076908713</v>
      </c>
      <c r="R18" s="99">
        <f>O18/L18</f>
        <v>0.95009806057965507</v>
      </c>
      <c r="S18" s="444"/>
      <c r="T18" s="19">
        <v>0.54166666666666696</v>
      </c>
      <c r="U18" s="19">
        <v>0.63194444444444398</v>
      </c>
      <c r="V18" s="30">
        <f>(T18-U17)*24*60</f>
        <v>85.000000000000256</v>
      </c>
      <c r="W18" s="149">
        <f t="shared" si="4"/>
        <v>129.99999999999889</v>
      </c>
      <c r="X18" s="22">
        <v>0.48611111111111099</v>
      </c>
      <c r="Y18" s="84">
        <v>0.52777777777777801</v>
      </c>
      <c r="Z18" s="90"/>
      <c r="AA18" s="90"/>
      <c r="AB18" s="409" t="s">
        <v>175</v>
      </c>
      <c r="AC18" s="409"/>
      <c r="AD18" s="92"/>
      <c r="AE18" s="92"/>
      <c r="AF18" s="307">
        <f>N18-K18</f>
        <v>-105.69230769229057</v>
      </c>
      <c r="AG18" s="72">
        <f>N18/K18</f>
        <v>0.95009806057965507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2118</v>
      </c>
      <c r="L26" s="158">
        <f t="shared" si="5"/>
        <v>164.73333333333332</v>
      </c>
      <c r="M26" s="155">
        <f t="shared" si="5"/>
        <v>13</v>
      </c>
      <c r="N26" s="155">
        <f t="shared" si="5"/>
        <v>2002.2543566273646</v>
      </c>
      <c r="O26" s="158">
        <f t="shared" si="5"/>
        <v>155.67470515754349</v>
      </c>
      <c r="P26" s="159">
        <f>M26-J26</f>
        <v>0</v>
      </c>
      <c r="Q26" s="160">
        <f>O26-L26</f>
        <v>-9.0586281757898348</v>
      </c>
      <c r="R26" s="161">
        <f>O26/L26</f>
        <v>0.94501035101705888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-115.74564337263541</v>
      </c>
      <c r="AG26" s="124">
        <f t="shared" ref="AG26:AG31" si="7">N26/K26</f>
        <v>0.94535144316683883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120</v>
      </c>
      <c r="E27" s="132"/>
      <c r="F27" s="129">
        <f>VLOOKUP(D27,廠價表!$C$1:$E$43,3,0)</f>
        <v>50.67</v>
      </c>
      <c r="G27" s="169">
        <v>3692</v>
      </c>
      <c r="H27" s="134">
        <f>F27*G27</f>
        <v>187073.64</v>
      </c>
      <c r="I27" s="135"/>
      <c r="J27" s="136">
        <f>VLOOKUP(D27,產線配置圖!$A$3:$C$38,2,0)</f>
        <v>13</v>
      </c>
      <c r="K27" s="137">
        <f>VLOOKUP(D27,產線配置圖!$A$3:$C$38,3,0)</f>
        <v>1440</v>
      </c>
      <c r="L27" s="138">
        <f>K27/J27</f>
        <v>110.76923076923077</v>
      </c>
      <c r="M27" s="170">
        <v>13</v>
      </c>
      <c r="N27" s="140">
        <f>G27/W27*60</f>
        <v>1438.4415584415642</v>
      </c>
      <c r="O27" s="141">
        <f>N27/M27</f>
        <v>110.64935064935109</v>
      </c>
      <c r="P27" s="142">
        <f>M27-J27</f>
        <v>0</v>
      </c>
      <c r="Q27" s="143">
        <f>O27-L27</f>
        <v>-0.1198801198796815</v>
      </c>
      <c r="R27" s="144">
        <f>O27/L27</f>
        <v>0.99891774891775287</v>
      </c>
      <c r="S27" s="443">
        <f>R37</f>
        <v>0.89330680842609533</v>
      </c>
      <c r="T27" s="171">
        <v>0.29166666666666702</v>
      </c>
      <c r="U27" s="171">
        <v>0.39861111111111103</v>
      </c>
      <c r="V27" s="135"/>
      <c r="W27" s="146">
        <f t="shared" si="4"/>
        <v>153.99999999999937</v>
      </c>
      <c r="X27" s="135"/>
      <c r="Y27" s="300" t="s">
        <v>46</v>
      </c>
      <c r="Z27" s="169"/>
      <c r="AA27" s="169"/>
      <c r="AB27" s="420" t="s">
        <v>176</v>
      </c>
      <c r="AC27" s="420"/>
      <c r="AD27" s="135"/>
      <c r="AE27" s="135"/>
      <c r="AF27" s="310">
        <f t="shared" si="6"/>
        <v>-1.5584415584357885</v>
      </c>
      <c r="AG27" s="172">
        <f t="shared" si="7"/>
        <v>0.99891774891775298</v>
      </c>
      <c r="AH27" s="403">
        <f>AG37</f>
        <v>0.85015125038061556</v>
      </c>
    </row>
    <row r="28" spans="1:34" ht="15" customHeight="1">
      <c r="A28" s="441"/>
      <c r="B28" s="75" t="s">
        <v>118</v>
      </c>
      <c r="C28" s="173"/>
      <c r="D28" s="59" t="s">
        <v>119</v>
      </c>
      <c r="E28" s="104"/>
      <c r="F28" s="75">
        <f>VLOOKUP(D28,廠價表!$C$1:$E$43,3,0)</f>
        <v>49.52</v>
      </c>
      <c r="G28" s="90">
        <v>2077</v>
      </c>
      <c r="H28" s="91">
        <f>F28*G28</f>
        <v>102853.04000000001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>K28/J28</f>
        <v>84.705882352941174</v>
      </c>
      <c r="M28" s="94">
        <v>16</v>
      </c>
      <c r="N28" s="95">
        <f>G28/W28*60</f>
        <v>1143.3027522935845</v>
      </c>
      <c r="O28" s="96">
        <f>N28/M28</f>
        <v>71.456422018349031</v>
      </c>
      <c r="P28" s="97">
        <f>M28-J28</f>
        <v>-1</v>
      </c>
      <c r="Q28" s="98">
        <f>O28-L28</f>
        <v>-13.249460334592143</v>
      </c>
      <c r="R28" s="99">
        <f>O28/L28</f>
        <v>0.8435827599388428</v>
      </c>
      <c r="S28" s="444"/>
      <c r="T28" s="19">
        <v>0.390277777777778</v>
      </c>
      <c r="U28" s="19">
        <v>0.46597222222222201</v>
      </c>
      <c r="V28" s="92">
        <f>(T28-U27)*24*60</f>
        <v>-11.999999999999558</v>
      </c>
      <c r="W28" s="149">
        <f t="shared" si="4"/>
        <v>108.99999999999937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6"/>
        <v>-296.69724770641551</v>
      </c>
      <c r="AG28" s="99">
        <f t="shared" si="7"/>
        <v>0.7939602446483226</v>
      </c>
      <c r="AH28" s="404"/>
    </row>
    <row r="29" spans="1:34" ht="15" customHeight="1">
      <c r="A29" s="441"/>
      <c r="B29" s="75" t="s">
        <v>118</v>
      </c>
      <c r="C29" s="88"/>
      <c r="D29" s="59" t="s">
        <v>119</v>
      </c>
      <c r="E29" s="89"/>
      <c r="F29" s="75">
        <f>VLOOKUP(D29,廠價表!$C$1:$E$43,3,0)</f>
        <v>49.52</v>
      </c>
      <c r="G29" s="90">
        <v>800</v>
      </c>
      <c r="H29" s="91">
        <f>F29*G29</f>
        <v>39616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>K29/J29</f>
        <v>84.705882352941174</v>
      </c>
      <c r="M29" s="94">
        <v>16</v>
      </c>
      <c r="N29" s="95">
        <f>G29/W29*60</f>
        <v>1090.9090909091105</v>
      </c>
      <c r="O29" s="96">
        <f>N29/M29</f>
        <v>68.181818181819409</v>
      </c>
      <c r="P29" s="97">
        <f>M29-J29</f>
        <v>-1</v>
      </c>
      <c r="Q29" s="98">
        <f>O29-L29</f>
        <v>-16.524064171121765</v>
      </c>
      <c r="R29" s="99">
        <f>O29/L29</f>
        <v>0.80492424242425697</v>
      </c>
      <c r="S29" s="444"/>
      <c r="T29" s="19">
        <v>0.52777777777777801</v>
      </c>
      <c r="U29" s="19">
        <v>0.55833333333333302</v>
      </c>
      <c r="V29" s="92">
        <f>(T29-U28)*24*60</f>
        <v>89.000000000000639</v>
      </c>
      <c r="W29" s="149">
        <f t="shared" si="4"/>
        <v>43.999999999999204</v>
      </c>
      <c r="X29" s="22"/>
      <c r="Y29" s="84"/>
      <c r="Z29" s="90"/>
      <c r="AA29" s="90"/>
      <c r="AB29" s="409" t="s">
        <v>177</v>
      </c>
      <c r="AC29" s="409"/>
      <c r="AD29" s="92"/>
      <c r="AE29" s="92"/>
      <c r="AF29" s="312">
        <f t="shared" si="6"/>
        <v>-349.09090909088945</v>
      </c>
      <c r="AG29" s="99">
        <f t="shared" si="7"/>
        <v>0.75757575757577122</v>
      </c>
      <c r="AH29" s="404"/>
    </row>
    <row r="30" spans="1:34" ht="15" customHeight="1">
      <c r="A30" s="441"/>
      <c r="B30" s="75"/>
      <c r="C30" s="102"/>
      <c r="D30" s="175"/>
      <c r="E30" s="176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4"/>
        <v>0</v>
      </c>
      <c r="X30" s="174">
        <v>0.47916666666666702</v>
      </c>
      <c r="Y30" s="301">
        <v>0.52083333333333304</v>
      </c>
      <c r="Z30" s="335"/>
      <c r="AA30" s="335"/>
      <c r="AB30" s="409"/>
      <c r="AC30" s="409"/>
      <c r="AD30" s="92"/>
      <c r="AE30" s="92"/>
      <c r="AF30" s="312">
        <f t="shared" si="6"/>
        <v>0</v>
      </c>
      <c r="AG30" s="99" t="e">
        <f t="shared" si="7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15.666666666666666</v>
      </c>
      <c r="K37" s="155">
        <f t="shared" si="8"/>
        <v>1440</v>
      </c>
      <c r="L37" s="158">
        <f t="shared" si="8"/>
        <v>93.393665158371036</v>
      </c>
      <c r="M37" s="155">
        <f t="shared" si="8"/>
        <v>15</v>
      </c>
      <c r="N37" s="155">
        <f t="shared" si="8"/>
        <v>1224.2178005480864</v>
      </c>
      <c r="O37" s="158">
        <f t="shared" si="8"/>
        <v>83.429196949839849</v>
      </c>
      <c r="P37" s="159">
        <f>M37-J37</f>
        <v>-0.66666666666666607</v>
      </c>
      <c r="Q37" s="160">
        <f>N37-K37</f>
        <v>-215.78219945191358</v>
      </c>
      <c r="R37" s="161">
        <f>O37/L37</f>
        <v>0.89330680842609533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-215.78219945191358</v>
      </c>
      <c r="AG37" s="124">
        <f>N37/K37</f>
        <v>0.85015125038061556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3360</v>
      </c>
      <c r="H38" s="134">
        <f>F38*G38</f>
        <v>167697.59999999998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1527.2727272727216</v>
      </c>
      <c r="O38" s="141">
        <f>N38/M38</f>
        <v>101.81818181818144</v>
      </c>
      <c r="P38" s="142">
        <f>M38-J38</f>
        <v>0</v>
      </c>
      <c r="Q38" s="143">
        <f>O38-L38</f>
        <v>-12.448484848485222</v>
      </c>
      <c r="R38" s="144">
        <f>O38/L38</f>
        <v>0.89105760050917249</v>
      </c>
      <c r="S38" s="433">
        <f>R48</f>
        <v>0.82460635870482568</v>
      </c>
      <c r="T38" s="191">
        <v>0.33333333333333298</v>
      </c>
      <c r="U38" s="191">
        <v>0.42499999999999999</v>
      </c>
      <c r="V38" s="192"/>
      <c r="W38" s="193">
        <f t="shared" si="4"/>
        <v>132.00000000000048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-186.72727272727843</v>
      </c>
      <c r="AG38" s="195">
        <f>N38/K38</f>
        <v>0.89105760050917249</v>
      </c>
      <c r="AH38" s="436">
        <f>AG48</f>
        <v>0.78867701730639717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2276</v>
      </c>
      <c r="H39" s="91">
        <f>F39*G39</f>
        <v>100826.79999999999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1393.4693877550935</v>
      </c>
      <c r="O39" s="203">
        <f>N39/M39</f>
        <v>81.968787515005502</v>
      </c>
      <c r="P39" s="97">
        <f>M39-J39</f>
        <v>-1</v>
      </c>
      <c r="Q39" s="98">
        <f>O39-L39</f>
        <v>-4.9756569294389408</v>
      </c>
      <c r="R39" s="99">
        <f>O39/L39</f>
        <v>0.94277199697769909</v>
      </c>
      <c r="S39" s="434"/>
      <c r="T39" s="20">
        <v>0.43194444444444402</v>
      </c>
      <c r="U39" s="20">
        <v>0.5</v>
      </c>
      <c r="V39" s="92">
        <f>(T39-U38)*24*60</f>
        <v>9.9999999999994049</v>
      </c>
      <c r="W39" s="205">
        <f t="shared" si="4"/>
        <v>98.000000000000611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-171.53061224490648</v>
      </c>
      <c r="AG39" s="206">
        <f>N39/K39</f>
        <v>0.8903957749233824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1200</v>
      </c>
      <c r="H40" s="91">
        <f>F40*G40</f>
        <v>53160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888.88888888888857</v>
      </c>
      <c r="O40" s="203">
        <f>N40/M40</f>
        <v>52.28758169934639</v>
      </c>
      <c r="P40" s="97">
        <f>M40-J40</f>
        <v>-1</v>
      </c>
      <c r="Q40" s="98">
        <f>O40-L40</f>
        <v>-34.656862745098053</v>
      </c>
      <c r="R40" s="99">
        <f>O40/L40</f>
        <v>0.60139071603082106</v>
      </c>
      <c r="S40" s="416"/>
      <c r="T40" s="20">
        <v>0.55555555555555602</v>
      </c>
      <c r="U40" s="20">
        <v>0.61180555555555605</v>
      </c>
      <c r="V40" s="92">
        <f>(T40-U39)*24*60</f>
        <v>80.000000000000682</v>
      </c>
      <c r="W40" s="205">
        <f t="shared" si="4"/>
        <v>81.000000000000028</v>
      </c>
      <c r="X40" s="208"/>
      <c r="Y40" s="209"/>
      <c r="Z40" s="337"/>
      <c r="AA40" s="337"/>
      <c r="AB40" s="409" t="s">
        <v>178</v>
      </c>
      <c r="AC40" s="409"/>
      <c r="AD40" s="92"/>
      <c r="AE40" s="92"/>
      <c r="AF40" s="314">
        <f>N40-K40</f>
        <v>-676.11111111111143</v>
      </c>
      <c r="AG40" s="206">
        <f>N40/K40</f>
        <v>0.56798012069577541</v>
      </c>
      <c r="AH40" s="437"/>
    </row>
    <row r="41" spans="1:34" ht="15" customHeight="1">
      <c r="A41" s="431"/>
      <c r="B41" s="75" t="s">
        <v>118</v>
      </c>
      <c r="C41" s="207"/>
      <c r="D41" s="198" t="s">
        <v>124</v>
      </c>
      <c r="E41" s="178"/>
      <c r="F41" s="75">
        <f>VLOOKUP(D41,廠價表!$C$1:$E$43,3,0)</f>
        <v>44.3</v>
      </c>
      <c r="G41" s="199">
        <v>2739</v>
      </c>
      <c r="H41" s="91">
        <f>F41*G41</f>
        <v>121337.7</v>
      </c>
      <c r="I41" s="200"/>
      <c r="J41" s="148">
        <f>VLOOKUP(D41,產線配置圖!$A$3:$C$38,2,0)</f>
        <v>18</v>
      </c>
      <c r="K41" s="95">
        <f>VLOOKUP(D41,產線配置圖!$A$3:$C$38,3,0)</f>
        <v>1565</v>
      </c>
      <c r="L41" s="96">
        <f>K41/J41</f>
        <v>86.944444444444443</v>
      </c>
      <c r="M41" s="201">
        <v>17</v>
      </c>
      <c r="N41" s="202">
        <f>G41/W41*60</f>
        <v>1244.9999999999955</v>
      </c>
      <c r="O41" s="203">
        <f>N41/M41</f>
        <v>73.235294117646788</v>
      </c>
      <c r="P41" s="97">
        <f>M41-J41</f>
        <v>-1</v>
      </c>
      <c r="Q41" s="98">
        <f>O41-L41</f>
        <v>-13.709150326797655</v>
      </c>
      <c r="R41" s="99">
        <f>O41/L41</f>
        <v>0.84232287164066599</v>
      </c>
      <c r="S41" s="416"/>
      <c r="T41" s="20">
        <v>0.59375</v>
      </c>
      <c r="U41" s="210">
        <v>0.68541666666666701</v>
      </c>
      <c r="V41" s="92">
        <f>(T41-U40)*24*60</f>
        <v>-26.000000000000707</v>
      </c>
      <c r="W41" s="205">
        <f t="shared" si="4"/>
        <v>132.00000000000048</v>
      </c>
      <c r="X41" s="208"/>
      <c r="Y41" s="209"/>
      <c r="Z41" s="337"/>
      <c r="AA41" s="337"/>
      <c r="AB41" s="409" t="s">
        <v>179</v>
      </c>
      <c r="AC41" s="409"/>
      <c r="AD41" s="92"/>
      <c r="AE41" s="92"/>
      <c r="AF41" s="314">
        <f>N41-K41</f>
        <v>-320.00000000000455</v>
      </c>
      <c r="AG41" s="206">
        <f>N41/K41</f>
        <v>0.79552715654951789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0">AVERAGE(J38:J47)</f>
        <v>17.25</v>
      </c>
      <c r="K48" s="155">
        <f t="shared" si="10"/>
        <v>1602.25</v>
      </c>
      <c r="L48" s="158">
        <f t="shared" si="10"/>
        <v>93.775000000000006</v>
      </c>
      <c r="M48" s="155">
        <f t="shared" si="10"/>
        <v>16.5</v>
      </c>
      <c r="N48" s="155">
        <f t="shared" si="10"/>
        <v>1263.6577509791748</v>
      </c>
      <c r="O48" s="158">
        <f t="shared" si="10"/>
        <v>77.327461287545034</v>
      </c>
      <c r="P48" s="221">
        <f>M48-J48</f>
        <v>-0.75</v>
      </c>
      <c r="Q48" s="222">
        <f>N48-K48</f>
        <v>-338.59224902082519</v>
      </c>
      <c r="R48" s="223">
        <f>O48/L48</f>
        <v>0.82460635870482568</v>
      </c>
      <c r="S48" s="419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1">N48-K48</f>
        <v>-338.59224902082519</v>
      </c>
      <c r="AG48" s="162">
        <f t="shared" ref="AG48:AG53" si="12">N48/K48</f>
        <v>0.78867701730639717</v>
      </c>
      <c r="AH48" s="438"/>
    </row>
    <row r="49" spans="1:34" ht="15" customHeight="1">
      <c r="A49" s="427" t="s">
        <v>50</v>
      </c>
      <c r="B49" s="129" t="s">
        <v>81</v>
      </c>
      <c r="C49" s="130"/>
      <c r="D49" s="131" t="s">
        <v>116</v>
      </c>
      <c r="E49" s="132"/>
      <c r="F49" s="129">
        <f>VLOOKUP(D49,廠價表!$C$1:$E$43,3,0)</f>
        <v>50.67</v>
      </c>
      <c r="G49" s="228">
        <v>3202</v>
      </c>
      <c r="H49" s="134">
        <f>F49*G49</f>
        <v>162245.34</v>
      </c>
      <c r="I49" s="135"/>
      <c r="J49" s="136">
        <v>15</v>
      </c>
      <c r="K49" s="137">
        <v>1714</v>
      </c>
      <c r="L49" s="138">
        <f>K49/J49</f>
        <v>114.26666666666667</v>
      </c>
      <c r="M49" s="170">
        <v>15</v>
      </c>
      <c r="N49" s="140">
        <f>G49/W49*60</f>
        <v>1574.7540983606418</v>
      </c>
      <c r="O49" s="141">
        <f>N49/M49</f>
        <v>104.98360655737612</v>
      </c>
      <c r="P49" s="229">
        <f>M49-J49</f>
        <v>0</v>
      </c>
      <c r="Q49" s="230">
        <f>O49-L49</f>
        <v>-9.2830601092905454</v>
      </c>
      <c r="R49" s="52">
        <f>O49/L49</f>
        <v>0.91875968399103958</v>
      </c>
      <c r="S49" s="415">
        <f>R58</f>
        <v>0.91407994581608776</v>
      </c>
      <c r="T49" s="191">
        <v>0.28958333333333303</v>
      </c>
      <c r="U49" s="191">
        <v>0.374305555555556</v>
      </c>
      <c r="V49" s="55"/>
      <c r="W49" s="193">
        <f t="shared" si="4"/>
        <v>122.00000000000108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1"/>
        <v>-139.24590163935818</v>
      </c>
      <c r="AG49" s="52">
        <f t="shared" si="12"/>
        <v>0.91875968399103958</v>
      </c>
      <c r="AH49" s="403">
        <f>AG58</f>
        <v>0.92939301083709625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3212</v>
      </c>
      <c r="H50" s="231">
        <f>F50*G50</f>
        <v>160503.63999999998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1592.727272727268</v>
      </c>
      <c r="O50" s="235">
        <f>N50/M50</f>
        <v>99.545454545454248</v>
      </c>
      <c r="P50" s="74">
        <f>M50-J50</f>
        <v>0</v>
      </c>
      <c r="Q50" s="83">
        <f>O50-L50</f>
        <v>-12.954545454545752</v>
      </c>
      <c r="R50" s="72">
        <f>O50/L50</f>
        <v>0.88484848484848222</v>
      </c>
      <c r="S50" s="416"/>
      <c r="T50" s="21">
        <v>0.38194444444444398</v>
      </c>
      <c r="U50" s="21">
        <v>0.46597222222222201</v>
      </c>
      <c r="V50" s="30">
        <f>(T50-U49)*24*60</f>
        <v>10.999999999998682</v>
      </c>
      <c r="W50" s="236">
        <f t="shared" si="4"/>
        <v>121.00000000000037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1"/>
        <v>-207.27272727273203</v>
      </c>
      <c r="AG50" s="72">
        <f t="shared" si="12"/>
        <v>0.88484848484848222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3419</v>
      </c>
      <c r="H51" s="231">
        <f>F51*G51</f>
        <v>170847.43</v>
      </c>
      <c r="I51" s="232"/>
      <c r="J51" s="79">
        <v>15</v>
      </c>
      <c r="K51" s="80">
        <v>1714</v>
      </c>
      <c r="L51" s="81">
        <f>K51/J51</f>
        <v>114.26666666666667</v>
      </c>
      <c r="M51" s="233">
        <v>15</v>
      </c>
      <c r="N51" s="234">
        <f>G51/W51*60</f>
        <v>1530.8955223880689</v>
      </c>
      <c r="O51" s="235">
        <f>N51/M51</f>
        <v>102.05970149253793</v>
      </c>
      <c r="P51" s="74">
        <f>M51-J51</f>
        <v>0</v>
      </c>
      <c r="Q51" s="83">
        <f>O51-L51</f>
        <v>-12.20696517412874</v>
      </c>
      <c r="R51" s="72">
        <f>O51/L51</f>
        <v>0.89317124993469599</v>
      </c>
      <c r="S51" s="416"/>
      <c r="T51" s="21">
        <v>0.51805555555555605</v>
      </c>
      <c r="U51" s="19">
        <v>0.61111111111111105</v>
      </c>
      <c r="V51" s="30">
        <f>(T51-U50)*24*60</f>
        <v>75.000000000001009</v>
      </c>
      <c r="W51" s="236">
        <f t="shared" si="4"/>
        <v>133.9999999999992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1"/>
        <v>-183.10447761193109</v>
      </c>
      <c r="AG51" s="72">
        <f t="shared" si="12"/>
        <v>0.89317124993469599</v>
      </c>
      <c r="AH51" s="405"/>
    </row>
    <row r="52" spans="1:34" ht="15" customHeight="1">
      <c r="A52" s="428"/>
      <c r="B52" s="75" t="s">
        <v>81</v>
      </c>
      <c r="C52" s="86"/>
      <c r="D52" s="59" t="s">
        <v>116</v>
      </c>
      <c r="E52" s="87"/>
      <c r="F52" s="75">
        <f>VLOOKUP(D52,廠價表!$C$1:$E$43,3,0)</f>
        <v>50.67</v>
      </c>
      <c r="G52" s="202">
        <v>1432</v>
      </c>
      <c r="H52" s="231">
        <f>F52*G52</f>
        <v>72559.44</v>
      </c>
      <c r="I52" s="232"/>
      <c r="J52" s="79">
        <v>15</v>
      </c>
      <c r="K52" s="80">
        <v>1714</v>
      </c>
      <c r="L52" s="81">
        <f>K52/J52</f>
        <v>114.26666666666667</v>
      </c>
      <c r="M52" s="233">
        <v>16</v>
      </c>
      <c r="N52" s="234">
        <f>G52/W52*60</f>
        <v>1753.4693877551426</v>
      </c>
      <c r="O52" s="235">
        <f>N52/M52</f>
        <v>109.59183673469641</v>
      </c>
      <c r="P52" s="74">
        <f>M52-J52</f>
        <v>1</v>
      </c>
      <c r="Q52" s="83">
        <f>O52-L52</f>
        <v>-4.6748299319702511</v>
      </c>
      <c r="R52" s="72">
        <f>O52/L52</f>
        <v>0.95908841949851009</v>
      </c>
      <c r="S52" s="416"/>
      <c r="T52" s="21">
        <v>0.61805555555555602</v>
      </c>
      <c r="U52" s="21">
        <v>0.65208333333333302</v>
      </c>
      <c r="V52" s="30">
        <f>(T52-U51)*24*60</f>
        <v>10.000000000000764</v>
      </c>
      <c r="W52" s="236">
        <f t="shared" si="4"/>
        <v>48.999999999998863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1"/>
        <v>39.469387755142634</v>
      </c>
      <c r="AG52" s="72">
        <f t="shared" si="12"/>
        <v>1.0230276474650775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1"/>
        <v>0</v>
      </c>
      <c r="AG53" s="72" t="e">
        <f t="shared" si="12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3">AVERAGE(J49:J57)</f>
        <v>15.25</v>
      </c>
      <c r="K58" s="120">
        <f t="shared" si="13"/>
        <v>1735.5</v>
      </c>
      <c r="L58" s="117">
        <f t="shared" si="13"/>
        <v>113.82499999999999</v>
      </c>
      <c r="M58" s="120">
        <f t="shared" si="13"/>
        <v>15.5</v>
      </c>
      <c r="N58" s="120">
        <f t="shared" si="13"/>
        <v>1612.9615703077804</v>
      </c>
      <c r="O58" s="117">
        <f t="shared" si="13"/>
        <v>104.04514983251617</v>
      </c>
      <c r="P58" s="121">
        <f>M58-J58</f>
        <v>0.25</v>
      </c>
      <c r="Q58" s="122">
        <f>N58-K58</f>
        <v>-122.53842969221955</v>
      </c>
      <c r="R58" s="123">
        <f t="shared" ref="R58:R63" si="14">O58/L58</f>
        <v>0.91407994581608776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-122.53842969221955</v>
      </c>
      <c r="AG58" s="124">
        <f>N58/K58</f>
        <v>0.92939301083709625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3076</v>
      </c>
      <c r="H59" s="243">
        <f>F59*G59</f>
        <v>83021.239999999991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1419.6923076923208</v>
      </c>
      <c r="O59" s="138">
        <f>N59/M59</f>
        <v>109.20710059171698</v>
      </c>
      <c r="P59" s="56">
        <f>M59-J59</f>
        <v>0</v>
      </c>
      <c r="Q59" s="230">
        <f>O59-L59</f>
        <v>-11.177514792898407</v>
      </c>
      <c r="R59" s="52">
        <f t="shared" si="14"/>
        <v>0.90715163430819212</v>
      </c>
      <c r="S59" s="415">
        <f>R69</f>
        <v>0.84809845521940586</v>
      </c>
      <c r="T59" s="245">
        <v>0.29166666666666702</v>
      </c>
      <c r="U59" s="245">
        <v>0.38194444444444398</v>
      </c>
      <c r="V59" s="55"/>
      <c r="W59" s="54">
        <f t="shared" si="4"/>
        <v>129.99999999999881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-145.30769230767919</v>
      </c>
      <c r="AG59" s="246">
        <f>N59/K59</f>
        <v>0.90715163430819223</v>
      </c>
      <c r="AH59" s="403">
        <f>AG69</f>
        <v>0.9135190674352307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1838</v>
      </c>
      <c r="H60" s="78">
        <f>F60*G60</f>
        <v>51941.880000000005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1378.5000000000143</v>
      </c>
      <c r="O60" s="81">
        <f>N60/M60</f>
        <v>125.31818181818312</v>
      </c>
      <c r="P60" s="74">
        <f>M60-J60</f>
        <v>-1</v>
      </c>
      <c r="Q60" s="83">
        <f>O60-L60</f>
        <v>-5.0984848484835368</v>
      </c>
      <c r="R60" s="72">
        <f t="shared" si="14"/>
        <v>0.9609061864653019</v>
      </c>
      <c r="S60" s="425"/>
      <c r="T60" s="22">
        <v>0.39930555555555602</v>
      </c>
      <c r="U60" s="22">
        <v>0.45486111111111099</v>
      </c>
      <c r="V60" s="30">
        <f>(T60-U59)*24*60</f>
        <v>25.00000000000135</v>
      </c>
      <c r="W60" s="248">
        <f t="shared" si="4"/>
        <v>79.999999999999162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-186.49999999998568</v>
      </c>
      <c r="AG60" s="249">
        <f>N60/K60</f>
        <v>0.88083067092652667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1583</v>
      </c>
      <c r="H61" s="254">
        <f>F61*G61</f>
        <v>44735.58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1461.2307692307995</v>
      </c>
      <c r="O61" s="238">
        <f>N61/M61</f>
        <v>132.83916083916358</v>
      </c>
      <c r="P61" s="111">
        <f>M61-J61</f>
        <v>2</v>
      </c>
      <c r="Q61" s="255">
        <f>O61-L61</f>
        <v>-48.938616938614189</v>
      </c>
      <c r="R61" s="85">
        <f t="shared" si="14"/>
        <v>0.73077777967755031</v>
      </c>
      <c r="S61" s="416"/>
      <c r="T61" s="22">
        <v>0.46180555555555602</v>
      </c>
      <c r="U61" s="22">
        <v>0.50694444444444398</v>
      </c>
      <c r="V61" s="30">
        <f>(T61-U60)*24*60</f>
        <v>10.000000000000844</v>
      </c>
      <c r="W61" s="256">
        <f t="shared" si="4"/>
        <v>64.99999999999865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-174.76923076920048</v>
      </c>
      <c r="AG61" s="247">
        <f>N61/K61</f>
        <v>0.89317284182811707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2247</v>
      </c>
      <c r="H62" s="254">
        <f>F62*G62</f>
        <v>63500.22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1685.2500000000161</v>
      </c>
      <c r="O62" s="238">
        <f>N62/M62</f>
        <v>153.20454545454692</v>
      </c>
      <c r="P62" s="111">
        <f>M62-J62</f>
        <v>2</v>
      </c>
      <c r="Q62" s="255">
        <f>O62-L62</f>
        <v>-28.573232323230854</v>
      </c>
      <c r="R62" s="85">
        <f t="shared" si="14"/>
        <v>0.84281229162036819</v>
      </c>
      <c r="S62" s="416"/>
      <c r="T62" s="22">
        <v>0.55902777777777801</v>
      </c>
      <c r="U62" s="22">
        <v>0.61458333333333304</v>
      </c>
      <c r="V62" s="30"/>
      <c r="W62" s="248">
        <f t="shared" si="4"/>
        <v>79.999999999999233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49.250000000016144</v>
      </c>
      <c r="AG62" s="247">
        <f>N62/K62</f>
        <v>1.03010391198045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1000</v>
      </c>
      <c r="H63" s="254">
        <f>F63*G63</f>
        <v>26990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1333.3333333333333</v>
      </c>
      <c r="O63" s="238">
        <f>N63/M63</f>
        <v>102.56410256410255</v>
      </c>
      <c r="P63" s="111">
        <f>M63-J63</f>
        <v>0</v>
      </c>
      <c r="Q63" s="255">
        <f>O63-L63</f>
        <v>-17.820512820512832</v>
      </c>
      <c r="R63" s="85">
        <f t="shared" si="14"/>
        <v>0.8519701810436634</v>
      </c>
      <c r="S63" s="416"/>
      <c r="T63" s="22">
        <v>0.62152777777777801</v>
      </c>
      <c r="U63" s="22">
        <v>0.65277777777777801</v>
      </c>
      <c r="V63" s="30"/>
      <c r="W63" s="248">
        <f t="shared" si="4"/>
        <v>45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5">AVERAGE(J59:J68)</f>
        <v>11.2</v>
      </c>
      <c r="K69" s="240">
        <f t="shared" si="15"/>
        <v>1593.4</v>
      </c>
      <c r="L69" s="268">
        <f t="shared" si="15"/>
        <v>146.94829059829061</v>
      </c>
      <c r="M69" s="240">
        <f t="shared" si="15"/>
        <v>11.8</v>
      </c>
      <c r="N69" s="240">
        <f t="shared" si="15"/>
        <v>1455.6012820512967</v>
      </c>
      <c r="O69" s="268">
        <f t="shared" si="15"/>
        <v>124.62661825354262</v>
      </c>
      <c r="P69" s="269">
        <f>M69-J69</f>
        <v>0.60000000000000142</v>
      </c>
      <c r="Q69" s="222">
        <f>N69-K69</f>
        <v>-137.79871794870337</v>
      </c>
      <c r="R69" s="123">
        <f>O69/L69</f>
        <v>0.84809845521940586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-137.79871794870337</v>
      </c>
      <c r="AG69" s="124">
        <f>N69/K69</f>
        <v>0.9135190674352307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Y3"/>
    <mergeCell ref="T3:U3"/>
    <mergeCell ref="V3:V4"/>
    <mergeCell ref="AB1:AC2"/>
    <mergeCell ref="AF1:AH2"/>
    <mergeCell ref="AD3:AE3"/>
    <mergeCell ref="AF3:AF4"/>
    <mergeCell ref="AG3:AG4"/>
    <mergeCell ref="AH3:AH4"/>
    <mergeCell ref="Z3:AA3"/>
    <mergeCell ref="T1:Y2"/>
    <mergeCell ref="W3:W4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F4504D-E1C3-4D36-9C70-1B0B06304C9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8666-E6A3-4F98-824C-2F230DC90473}">
  <dimension ref="B1:O26"/>
  <sheetViews>
    <sheetView topLeftCell="A6" zoomScale="70" zoomScaleNormal="70" workbookViewId="0">
      <selection activeCell="J31" sqref="J31:K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46126</v>
      </c>
      <c r="E3" s="399"/>
      <c r="F3" s="3" t="s">
        <v>72</v>
      </c>
      <c r="G3" s="400">
        <f>'0414'!E1</f>
        <v>75188</v>
      </c>
      <c r="H3" s="400"/>
      <c r="I3" s="3" t="s">
        <v>2</v>
      </c>
      <c r="J3" s="401">
        <f>'0414'!G1</f>
        <v>3710784.1299999994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125.12834624661832</v>
      </c>
      <c r="G6" s="397"/>
      <c r="H6" s="382">
        <f>AVERAGE(D13:H13)</f>
        <v>120.76435737628385</v>
      </c>
      <c r="I6" s="382"/>
      <c r="J6" s="382">
        <f>AVERAGE(I13)</f>
        <v>146.94829059829061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114.41054672018583</v>
      </c>
      <c r="G7" s="389"/>
      <c r="H7" s="390">
        <f>AVERAGE(D14:H14)</f>
        <v>111.4418328873998</v>
      </c>
      <c r="I7" s="390"/>
      <c r="J7" s="390">
        <f>AVERAGE(I14)</f>
        <v>129.254115884116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0.91434555120461247</v>
      </c>
      <c r="G8" s="374"/>
      <c r="H8" s="374">
        <f>H7/H6</f>
        <v>0.92280400698165888</v>
      </c>
      <c r="I8" s="374"/>
      <c r="J8" s="374">
        <f>J7/J6</f>
        <v>0.87958910823573444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VALUE('0414'!L15)</f>
        <v>134.46638655462183</v>
      </c>
      <c r="E13" s="13">
        <f>VALUE('0414'!L26)</f>
        <v>150.75</v>
      </c>
      <c r="F13" s="13">
        <f>VALUE('0414'!L37)</f>
        <v>109.98166666666665</v>
      </c>
      <c r="G13" s="13">
        <f>VALUE('0414'!L48)</f>
        <v>102.57777777777778</v>
      </c>
      <c r="H13" s="13">
        <f>VALUE('0414'!L58)</f>
        <v>106.04595588235294</v>
      </c>
      <c r="I13" s="13">
        <f>VALUE('0414'!L69)</f>
        <v>146.94829059829061</v>
      </c>
      <c r="J13" s="13">
        <f>'0414'!L79</f>
        <v>110.76923076923077</v>
      </c>
    </row>
    <row r="14" spans="2:15" ht="39.950000000000003" customHeight="1">
      <c r="B14" s="368"/>
      <c r="C14" s="12" t="s">
        <v>100</v>
      </c>
      <c r="D14" s="13">
        <f>VALUE('0414'!O15)</f>
        <v>128.59376670183724</v>
      </c>
      <c r="E14" s="13">
        <f>VALUE('0414'!O26)</f>
        <v>140.67291860826299</v>
      </c>
      <c r="F14" s="13">
        <f>VALUE('0414'!O37)</f>
        <v>96.173883930364383</v>
      </c>
      <c r="G14" s="13">
        <f>VALUE('0414'!O48)</f>
        <v>93.522721584851155</v>
      </c>
      <c r="H14" s="13">
        <f>VALUE('0414'!O58)</f>
        <v>98.245873611683223</v>
      </c>
      <c r="I14" s="13">
        <f>VALUE('0414'!O69)</f>
        <v>129.254115884116</v>
      </c>
      <c r="J14" s="13">
        <f>'0414'!O79</f>
        <v>99.135483870967647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0.95632648423701738</v>
      </c>
      <c r="E15" s="14">
        <f t="shared" si="1"/>
        <v>0.93315368894370143</v>
      </c>
      <c r="F15" s="14">
        <f t="shared" si="1"/>
        <v>0.87445377802692326</v>
      </c>
      <c r="G15" s="14">
        <f t="shared" si="1"/>
        <v>0.91172497212268233</v>
      </c>
      <c r="H15" s="14">
        <f t="shared" si="1"/>
        <v>0.92644620715830872</v>
      </c>
      <c r="I15" s="14">
        <f t="shared" si="1"/>
        <v>0.87958910823573444</v>
      </c>
      <c r="J15" s="15">
        <f>'0414'!S70</f>
        <v>0.89497311827956905</v>
      </c>
    </row>
    <row r="16" spans="2:15" ht="17.25" customHeight="1">
      <c r="B16" s="370" t="s">
        <v>101</v>
      </c>
      <c r="C16" s="10" t="s">
        <v>34</v>
      </c>
      <c r="D16" s="16">
        <f>'0414'!T5</f>
        <v>0.29166666666666702</v>
      </c>
      <c r="E16" s="16">
        <f>'0414'!T16</f>
        <v>0.29513888888888901</v>
      </c>
      <c r="F16" s="16">
        <f>'0414'!T27</f>
        <v>0.29166666666666702</v>
      </c>
      <c r="G16" s="16">
        <f>'0414'!T38</f>
        <v>0.33333333333333298</v>
      </c>
      <c r="H16" s="16">
        <f>'0414'!T49</f>
        <v>0.29027777777777802</v>
      </c>
      <c r="I16" s="16">
        <f>'0414'!T59</f>
        <v>0.29166666666666702</v>
      </c>
      <c r="J16" s="16">
        <f>'0414'!T70</f>
        <v>0.33333333333333298</v>
      </c>
    </row>
    <row r="17" spans="2:10" ht="17.25" customHeight="1">
      <c r="B17" s="371"/>
      <c r="C17" s="10" t="s">
        <v>35</v>
      </c>
      <c r="D17" s="16">
        <v>0.70763888888888904</v>
      </c>
      <c r="E17" s="19">
        <v>0.72569444444444398</v>
      </c>
      <c r="F17" s="19">
        <v>0.64791666666666703</v>
      </c>
      <c r="G17" s="210">
        <v>0.67222222222222205</v>
      </c>
      <c r="H17" s="21">
        <v>0.64583333333333304</v>
      </c>
      <c r="I17" s="22">
        <v>0.64583333333333304</v>
      </c>
      <c r="J17" s="22">
        <v>0.44097222222222199</v>
      </c>
    </row>
    <row r="18" spans="2:10" ht="17.25" customHeight="1">
      <c r="B18" s="372" t="s">
        <v>102</v>
      </c>
      <c r="C18" s="330" t="s">
        <v>36</v>
      </c>
      <c r="D18" s="358">
        <f>'0414'!Z15</f>
        <v>0</v>
      </c>
      <c r="E18" s="359">
        <f>'0414'!Z26</f>
        <v>0</v>
      </c>
      <c r="F18" s="359">
        <f>'0414'!Z37</f>
        <v>0</v>
      </c>
      <c r="G18" s="360">
        <f>'0414'!Z48</f>
        <v>0</v>
      </c>
      <c r="H18" s="360">
        <f>'0414'!Z58</f>
        <v>0</v>
      </c>
      <c r="I18" s="359">
        <f>'0414'!Z69</f>
        <v>0</v>
      </c>
      <c r="J18" s="359">
        <f>'0414'!AA79</f>
        <v>0</v>
      </c>
    </row>
    <row r="19" spans="2:10" ht="17.25" customHeight="1">
      <c r="B19" s="373"/>
      <c r="C19" s="330" t="s">
        <v>37</v>
      </c>
      <c r="D19" s="358">
        <f>'0414'!AA15</f>
        <v>0</v>
      </c>
      <c r="E19" s="359">
        <f>'0414'!AA26</f>
        <v>0</v>
      </c>
      <c r="F19" s="359">
        <f>'0414'!AA37</f>
        <v>0</v>
      </c>
      <c r="G19" s="360">
        <f>'0414'!AA48</f>
        <v>0</v>
      </c>
      <c r="H19" s="360">
        <f>'0414'!AA58</f>
        <v>0</v>
      </c>
      <c r="I19" s="359">
        <f>'0414'!AA69</f>
        <v>0</v>
      </c>
      <c r="J19" s="359">
        <f>'0414'!AB79</f>
        <v>0</v>
      </c>
    </row>
    <row r="20" spans="2:10" ht="17.25" customHeight="1">
      <c r="B20" s="372" t="s">
        <v>103</v>
      </c>
      <c r="C20" s="330" t="s">
        <v>36</v>
      </c>
      <c r="D20" s="358">
        <f>'0414'!AD15</f>
        <v>0</v>
      </c>
      <c r="E20" s="359">
        <f>'0414'!AD26</f>
        <v>0</v>
      </c>
      <c r="F20" s="359">
        <f>'0414'!AD37</f>
        <v>0</v>
      </c>
      <c r="G20" s="360">
        <f>'0414'!AD48</f>
        <v>0</v>
      </c>
      <c r="H20" s="360">
        <f>'0414'!AD58</f>
        <v>0</v>
      </c>
      <c r="I20" s="359">
        <f>'0414'!AD69</f>
        <v>0</v>
      </c>
      <c r="J20" s="359">
        <f>'0414'!AD79</f>
        <v>0</v>
      </c>
    </row>
    <row r="21" spans="2:10" ht="17.25" customHeight="1">
      <c r="B21" s="373"/>
      <c r="C21" s="330" t="s">
        <v>85</v>
      </c>
      <c r="D21" s="358">
        <f>'0414'!AE15</f>
        <v>0</v>
      </c>
      <c r="E21" s="359">
        <f>'0414'!AE26</f>
        <v>0</v>
      </c>
      <c r="F21" s="359">
        <f>'0414'!AE37</f>
        <v>0</v>
      </c>
      <c r="G21" s="360">
        <f>'0414'!AE48</f>
        <v>0</v>
      </c>
      <c r="H21" s="360">
        <f>'0414'!AE58</f>
        <v>0</v>
      </c>
      <c r="I21" s="359">
        <f>'0414'!AE69</f>
        <v>0</v>
      </c>
      <c r="J21" s="359">
        <f>'0414'!AE79</f>
        <v>0</v>
      </c>
    </row>
    <row r="22" spans="2:10" ht="17.25" customHeight="1">
      <c r="B22" s="364" t="s">
        <v>104</v>
      </c>
      <c r="C22" s="365"/>
      <c r="D22" s="23">
        <f>VALUE('0414'!M15)</f>
        <v>15.5</v>
      </c>
      <c r="E22" s="23">
        <f>VALUE('0414'!M26)</f>
        <v>14</v>
      </c>
      <c r="F22" s="23">
        <f>VALUE('0414'!M37)</f>
        <v>15.4</v>
      </c>
      <c r="G22" s="23">
        <f>VALUE('0414'!M48)</f>
        <v>16</v>
      </c>
      <c r="H22" s="23">
        <f>VALUE('0414'!M58)</f>
        <v>16.25</v>
      </c>
      <c r="I22" s="23">
        <f>VALUE('0414'!M69)</f>
        <v>12</v>
      </c>
      <c r="J22" s="23">
        <f>'0414'!M79</f>
        <v>10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1F6B-C72A-4747-8911-501415A609A3}">
  <sheetPr>
    <tabColor theme="9" tint="0.79998168889431442"/>
  </sheetPr>
  <dimension ref="A1:AJ92"/>
  <sheetViews>
    <sheetView zoomScale="73" zoomScaleNormal="73" workbookViewId="0">
      <pane xSplit="5" ySplit="4" topLeftCell="M44" activePane="bottomRight" state="frozen"/>
      <selection activeCell="J31" sqref="J31:K31"/>
      <selection pane="topRight" activeCell="J31" sqref="J31:K31"/>
      <selection pane="bottomLeft" activeCell="J31" sqref="J31:K31"/>
      <selection pane="bottomRight" activeCell="AB62" sqref="AB62:AC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75188</v>
      </c>
      <c r="F1" s="30" t="s">
        <v>2</v>
      </c>
      <c r="G1" s="31">
        <f>SUM(H5:H79)</f>
        <v>3710784.1299999994</v>
      </c>
      <c r="H1" s="32" t="s">
        <v>3</v>
      </c>
      <c r="I1" s="33">
        <f>M15+M26+M48+M58+M69+M79+M37</f>
        <v>99.15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180</v>
      </c>
      <c r="B2" s="483"/>
      <c r="C2" s="28"/>
      <c r="D2" s="28" t="s">
        <v>14</v>
      </c>
      <c r="E2" s="35">
        <f>AVERAGE(O15,O26,O37,O48,O58,O69,O79)</f>
        <v>112.22839488458324</v>
      </c>
      <c r="F2" s="36" t="s">
        <v>15</v>
      </c>
      <c r="G2" s="37">
        <f>G1/E1</f>
        <v>49.353409187636316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4535</v>
      </c>
      <c r="H5" s="43">
        <f>F5*G5</f>
        <v>263800.95</v>
      </c>
      <c r="I5" s="44"/>
      <c r="J5" s="45">
        <f>VLOOKUP(D5,產線配置圖!$A$3:$C$38,2,0)</f>
        <v>17</v>
      </c>
      <c r="K5" s="46">
        <f>VLOOKUP(D5,產線配置圖!$A$3:$C$38,3,0)</f>
        <v>2000</v>
      </c>
      <c r="L5" s="47">
        <f>K5/J5</f>
        <v>117.64705882352941</v>
      </c>
      <c r="M5" s="48">
        <v>17</v>
      </c>
      <c r="N5" s="46">
        <f>G5/W5*60</f>
        <v>1916.197183098594</v>
      </c>
      <c r="O5" s="47">
        <f>N5/M5</f>
        <v>112.71748135874083</v>
      </c>
      <c r="P5" s="49">
        <f>M5-J5</f>
        <v>0</v>
      </c>
      <c r="Q5" s="50">
        <f>O5-L5</f>
        <v>-4.9295774647885793</v>
      </c>
      <c r="R5" s="51">
        <f>O5/L5</f>
        <v>0.95809859154929711</v>
      </c>
      <c r="S5" s="415">
        <f>R15</f>
        <v>0.95632648423701738</v>
      </c>
      <c r="T5" s="319">
        <v>0.29166666666666702</v>
      </c>
      <c r="U5" s="320">
        <v>0.390277777777778</v>
      </c>
      <c r="V5" s="53"/>
      <c r="W5" s="54">
        <f t="shared" ref="W5:W14" si="0">(U5-T5)*24*60</f>
        <v>141.99999999999983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-83.802816901406004</v>
      </c>
      <c r="AG5" s="52">
        <f t="shared" ref="AG5:AG11" si="2">N5/K5</f>
        <v>0.958098591549297</v>
      </c>
      <c r="AH5" s="403">
        <f>AG15</f>
        <v>0.95713586549791541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4377</v>
      </c>
      <c r="H6" s="63">
        <f>F6*G6</f>
        <v>215085.78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2020.1538461538407</v>
      </c>
      <c r="O6" s="67">
        <f>N6/M6</f>
        <v>144.2967032967029</v>
      </c>
      <c r="P6" s="69">
        <f>M6-J6</f>
        <v>0</v>
      </c>
      <c r="Q6" s="70">
        <f>O6-L6</f>
        <v>-6.9890109890113763</v>
      </c>
      <c r="R6" s="71">
        <f>O6/L6</f>
        <v>0.95380257136630819</v>
      </c>
      <c r="S6" s="416"/>
      <c r="T6" s="16">
        <v>0.39583333333333298</v>
      </c>
      <c r="U6" s="16">
        <v>0.48611111111111099</v>
      </c>
      <c r="V6" s="30">
        <f>(T6-U5)*24*60</f>
        <v>7.9999999999991722</v>
      </c>
      <c r="W6" s="73">
        <f t="shared" si="0"/>
        <v>130.00000000000034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-97.846153846159268</v>
      </c>
      <c r="AG6" s="72">
        <f t="shared" si="2"/>
        <v>0.95380257136630819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2533</v>
      </c>
      <c r="H7" s="78">
        <f>F7*G7</f>
        <v>124471.62</v>
      </c>
      <c r="I7" s="73"/>
      <c r="J7" s="79">
        <v>14</v>
      </c>
      <c r="K7" s="80">
        <f>VLOOKUP(D7,產線配置圖!$A$3:$C$38,3,0)</f>
        <v>2118</v>
      </c>
      <c r="L7" s="81">
        <f>K7/J7</f>
        <v>151.28571428571428</v>
      </c>
      <c r="M7" s="82">
        <v>14</v>
      </c>
      <c r="N7" s="80">
        <f>G7/W7*60</f>
        <v>1999.7368421052911</v>
      </c>
      <c r="O7" s="81">
        <f>N7/M7</f>
        <v>142.83834586466364</v>
      </c>
      <c r="P7" s="74">
        <f>M7-J7</f>
        <v>0</v>
      </c>
      <c r="Q7" s="83">
        <f>O7-L7</f>
        <v>-8.4473684210506406</v>
      </c>
      <c r="R7" s="72">
        <f>O7/L7</f>
        <v>0.94416281496944809</v>
      </c>
      <c r="S7" s="416"/>
      <c r="T7" s="18">
        <v>0.54166666666666696</v>
      </c>
      <c r="U7" s="18">
        <v>0.594444444444444</v>
      </c>
      <c r="V7" s="30">
        <f>(T7-U6)*24*60</f>
        <v>80.000000000000597</v>
      </c>
      <c r="W7" s="73">
        <f t="shared" si="0"/>
        <v>75.999999999998934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-118.26315789470891</v>
      </c>
      <c r="AG7" s="72">
        <f t="shared" si="2"/>
        <v>0.94416281496944809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4997</v>
      </c>
      <c r="H8" s="78">
        <f>F8*G8</f>
        <v>290675.49</v>
      </c>
      <c r="I8" s="73"/>
      <c r="J8" s="79">
        <f>VLOOKUP(D8,產線配置圖!$A$3:$C$38,2,0)</f>
        <v>17</v>
      </c>
      <c r="K8" s="80">
        <f>VLOOKUP(D8,產線配置圖!$A$3:$C$38,3,0)</f>
        <v>2000</v>
      </c>
      <c r="L8" s="81">
        <f>K8/J8</f>
        <v>117.64705882352941</v>
      </c>
      <c r="M8" s="82">
        <v>17</v>
      </c>
      <c r="N8" s="80">
        <f>G8/W8*60</f>
        <v>1946.8831168831057</v>
      </c>
      <c r="O8" s="81">
        <f>N8/M8</f>
        <v>114.52253628724151</v>
      </c>
      <c r="P8" s="74">
        <f>M8-J8</f>
        <v>0</v>
      </c>
      <c r="Q8" s="83">
        <f>O8-L8</f>
        <v>-3.1245225362878983</v>
      </c>
      <c r="R8" s="72">
        <f>O8/L8</f>
        <v>0.97344155844155289</v>
      </c>
      <c r="S8" s="416"/>
      <c r="T8" s="16">
        <v>0.60069444444444398</v>
      </c>
      <c r="U8" s="16">
        <v>0.70763888888888904</v>
      </c>
      <c r="V8" s="30">
        <f>(T8-U7)*24*60</f>
        <v>8.999999999999968</v>
      </c>
      <c r="W8" s="73">
        <f t="shared" si="0"/>
        <v>154.00000000000088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-53.116883116894314</v>
      </c>
      <c r="AG8" s="72">
        <f t="shared" si="2"/>
        <v>0.97344155844155289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2059</v>
      </c>
      <c r="L15" s="117">
        <f t="shared" si="3"/>
        <v>134.46638655462183</v>
      </c>
      <c r="M15" s="120">
        <f t="shared" si="3"/>
        <v>15.5</v>
      </c>
      <c r="N15" s="120">
        <f t="shared" si="3"/>
        <v>1970.7427470602079</v>
      </c>
      <c r="O15" s="117">
        <f t="shared" si="3"/>
        <v>128.59376670183724</v>
      </c>
      <c r="P15" s="121">
        <f>M15-J15</f>
        <v>0</v>
      </c>
      <c r="Q15" s="122">
        <f>O15-L15</f>
        <v>-5.8726198527845952</v>
      </c>
      <c r="R15" s="123">
        <f>O15/L15</f>
        <v>0.95632648423701738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-88.257252939792124</v>
      </c>
      <c r="AG15" s="124">
        <f>N15/K15</f>
        <v>0.95713586549791541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4942</v>
      </c>
      <c r="H16" s="134">
        <f>F16*G16</f>
        <v>279766.62</v>
      </c>
      <c r="I16" s="135"/>
      <c r="J16" s="136">
        <f>VLOOKUP(D16,產線配置圖!$A$3:$C$38,2,0)</f>
        <v>16</v>
      </c>
      <c r="K16" s="137">
        <f>VLOOKUP(D16,產線配置圖!$A$3:$C$38,3,0)</f>
        <v>2000</v>
      </c>
      <c r="L16" s="138">
        <f>K16/J16</f>
        <v>125</v>
      </c>
      <c r="M16" s="139">
        <v>16</v>
      </c>
      <c r="N16" s="140">
        <f>G16/W16*60</f>
        <v>1704.1379310344873</v>
      </c>
      <c r="O16" s="141">
        <f>N16/M16</f>
        <v>106.50862068965546</v>
      </c>
      <c r="P16" s="142">
        <f>M16-J16</f>
        <v>0</v>
      </c>
      <c r="Q16" s="143">
        <f>O16-L16</f>
        <v>-18.491379310344541</v>
      </c>
      <c r="R16" s="144">
        <f>O16/L16</f>
        <v>0.85206896551724365</v>
      </c>
      <c r="S16" s="443">
        <f>R26</f>
        <v>0.93315368894370143</v>
      </c>
      <c r="T16" s="145">
        <v>0.29513888888888901</v>
      </c>
      <c r="U16" s="145">
        <v>0.41597222222222202</v>
      </c>
      <c r="V16" s="135"/>
      <c r="W16" s="146">
        <f t="shared" ref="W16:W78" si="4">(U16-T16)*24*60</f>
        <v>173.99999999999955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-295.86206896551266</v>
      </c>
      <c r="AG16" s="52">
        <f>N16/K16</f>
        <v>0.85206896551724365</v>
      </c>
      <c r="AH16" s="403">
        <f>AG26</f>
        <v>0.92937106522542834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2906</v>
      </c>
      <c r="H17" s="78">
        <f>F17*G17</f>
        <v>146433.34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2004.1379310344714</v>
      </c>
      <c r="O17" s="96">
        <f>N17/M17</f>
        <v>167.01149425287261</v>
      </c>
      <c r="P17" s="97">
        <f>M17-J17</f>
        <v>0</v>
      </c>
      <c r="Q17" s="98">
        <f>O17-L17</f>
        <v>-9.488505747127391</v>
      </c>
      <c r="R17" s="99">
        <f>O17/L17</f>
        <v>0.94624076063950491</v>
      </c>
      <c r="S17" s="444"/>
      <c r="T17" s="19">
        <v>0.422222222222222</v>
      </c>
      <c r="U17" s="19">
        <v>0.48263888888888901</v>
      </c>
      <c r="V17" s="30">
        <f>(T17-U16)*24*60</f>
        <v>8.999999999999968</v>
      </c>
      <c r="W17" s="149">
        <f t="shared" si="4"/>
        <v>87.000000000000483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-113.86206896552858</v>
      </c>
      <c r="AG17" s="72">
        <f>N17/K17</f>
        <v>0.94624076063950491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3778</v>
      </c>
      <c r="H18" s="78">
        <f>F18*G18</f>
        <v>190373.42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2042.1621621621425</v>
      </c>
      <c r="O18" s="96">
        <f>N18/M18</f>
        <v>170.18018018017855</v>
      </c>
      <c r="P18" s="97">
        <f>M18-J18</f>
        <v>0</v>
      </c>
      <c r="Q18" s="98">
        <f>O18-L18</f>
        <v>-6.319819819821447</v>
      </c>
      <c r="R18" s="99">
        <f>O18/L18</f>
        <v>0.96419365541177648</v>
      </c>
      <c r="S18" s="444"/>
      <c r="T18" s="19">
        <v>0.53472222222222199</v>
      </c>
      <c r="U18" s="19">
        <v>0.61180555555555605</v>
      </c>
      <c r="V18" s="30">
        <f>(T18-U17)*24*60</f>
        <v>74.999999999999488</v>
      </c>
      <c r="W18" s="149">
        <f t="shared" si="4"/>
        <v>111.00000000000105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-75.837837837857478</v>
      </c>
      <c r="AG18" s="72">
        <f>N18/K18</f>
        <v>0.96419365541177648</v>
      </c>
      <c r="AH18" s="405"/>
    </row>
    <row r="19" spans="1:34" ht="15" customHeight="1">
      <c r="A19" s="450"/>
      <c r="B19" s="75" t="s">
        <v>81</v>
      </c>
      <c r="C19" s="76"/>
      <c r="D19" s="59" t="s">
        <v>182</v>
      </c>
      <c r="E19" s="77"/>
      <c r="F19" s="75">
        <f>VLOOKUP(D19,廠價表!$C$1:$E$43,3,0)</f>
        <v>56.61</v>
      </c>
      <c r="G19" s="147">
        <v>4601</v>
      </c>
      <c r="H19" s="78">
        <f>F19*G19</f>
        <v>260462.61</v>
      </c>
      <c r="I19" s="30"/>
      <c r="J19" s="79">
        <f>VLOOKUP(D19,產線配置圖!$A$3:$C$38,2,0)</f>
        <v>16</v>
      </c>
      <c r="K19" s="80">
        <f>VLOOKUP(D19,產線配置圖!$A$3:$C$38,3,0)</f>
        <v>2000</v>
      </c>
      <c r="L19" s="81">
        <f>K19/J19</f>
        <v>125</v>
      </c>
      <c r="M19" s="148">
        <v>16</v>
      </c>
      <c r="N19" s="95">
        <f>G19/W19*60</f>
        <v>1903.8620689655261</v>
      </c>
      <c r="O19" s="96">
        <f>N19/M19</f>
        <v>118.99137931034538</v>
      </c>
      <c r="P19" s="97">
        <f>M19-J19</f>
        <v>0</v>
      </c>
      <c r="Q19" s="98">
        <f>O19-L19</f>
        <v>-6.0086206896546202</v>
      </c>
      <c r="R19" s="99">
        <f>O19/L19</f>
        <v>0.95193103448276306</v>
      </c>
      <c r="S19" s="444"/>
      <c r="T19" s="19">
        <v>0.625</v>
      </c>
      <c r="U19" s="19">
        <v>0.72569444444444398</v>
      </c>
      <c r="V19" s="30">
        <f>(T19-U18)*24*60</f>
        <v>18.999999999999293</v>
      </c>
      <c r="W19" s="149">
        <f t="shared" si="4"/>
        <v>144.99999999999932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-96.137931034473922</v>
      </c>
      <c r="AG19" s="72">
        <f>N19/K19</f>
        <v>0.95193103448276306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2059</v>
      </c>
      <c r="L26" s="158">
        <f t="shared" si="5"/>
        <v>150.75</v>
      </c>
      <c r="M26" s="155">
        <f t="shared" si="5"/>
        <v>14</v>
      </c>
      <c r="N26" s="155">
        <f t="shared" si="5"/>
        <v>1913.575023299157</v>
      </c>
      <c r="O26" s="158">
        <f t="shared" si="5"/>
        <v>140.67291860826299</v>
      </c>
      <c r="P26" s="159">
        <f t="shared" ref="P26:P31" si="6">M26-J26</f>
        <v>0</v>
      </c>
      <c r="Q26" s="160">
        <f t="shared" ref="Q26:Q31" si="7">O26-L26</f>
        <v>-10.077081391737011</v>
      </c>
      <c r="R26" s="161">
        <f t="shared" ref="R26:R31" si="8">O26/L26</f>
        <v>0.93315368894370143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-145.42497670084299</v>
      </c>
      <c r="AG26" s="124">
        <f t="shared" ref="AG26:AG31" si="10">N26/K26</f>
        <v>0.92937106522542834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1638</v>
      </c>
      <c r="H27" s="134">
        <f>F27*G27</f>
        <v>93709.98</v>
      </c>
      <c r="I27" s="135"/>
      <c r="J27" s="136">
        <v>16</v>
      </c>
      <c r="K27" s="137">
        <v>1714</v>
      </c>
      <c r="L27" s="138">
        <f>K27/J27</f>
        <v>107.125</v>
      </c>
      <c r="M27" s="170">
        <v>16</v>
      </c>
      <c r="N27" s="140">
        <f>G27/W27*60</f>
        <v>1310.400000000009</v>
      </c>
      <c r="O27" s="141">
        <f>N27/M27</f>
        <v>81.90000000000056</v>
      </c>
      <c r="P27" s="142">
        <f t="shared" si="6"/>
        <v>0</v>
      </c>
      <c r="Q27" s="143">
        <f t="shared" si="7"/>
        <v>-25.22499999999944</v>
      </c>
      <c r="R27" s="144">
        <f t="shared" si="8"/>
        <v>0.764527421236878</v>
      </c>
      <c r="S27" s="443">
        <f>R37</f>
        <v>0.87445377802692326</v>
      </c>
      <c r="T27" s="171">
        <v>0.29166666666666702</v>
      </c>
      <c r="U27" s="171">
        <v>0.34375</v>
      </c>
      <c r="V27" s="135"/>
      <c r="W27" s="146">
        <f t="shared" si="4"/>
        <v>74.999999999999488</v>
      </c>
      <c r="X27" s="135"/>
      <c r="Y27" s="300" t="s">
        <v>46</v>
      </c>
      <c r="Z27" s="169"/>
      <c r="AA27" s="169"/>
      <c r="AB27" s="420" t="s">
        <v>183</v>
      </c>
      <c r="AC27" s="420"/>
      <c r="AD27" s="135"/>
      <c r="AE27" s="135"/>
      <c r="AF27" s="310">
        <f t="shared" si="9"/>
        <v>-403.59999999999104</v>
      </c>
      <c r="AG27" s="172">
        <f t="shared" si="10"/>
        <v>0.764527421236878</v>
      </c>
      <c r="AH27" s="403">
        <f>AG37</f>
        <v>0.86029521363939376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2401</v>
      </c>
      <c r="H28" s="91">
        <f>F28*G28</f>
        <v>121658.67</v>
      </c>
      <c r="I28" s="92"/>
      <c r="J28" s="79">
        <v>15</v>
      </c>
      <c r="K28" s="80">
        <v>1714</v>
      </c>
      <c r="L28" s="93">
        <f>K28/J28</f>
        <v>114.26666666666667</v>
      </c>
      <c r="M28" s="94">
        <v>14</v>
      </c>
      <c r="N28" s="95">
        <f>G28/W28*60</f>
        <v>1549.032258064499</v>
      </c>
      <c r="O28" s="96">
        <f>N28/M28</f>
        <v>110.64516129032135</v>
      </c>
      <c r="P28" s="97">
        <f t="shared" si="6"/>
        <v>-1</v>
      </c>
      <c r="Q28" s="98">
        <f t="shared" si="7"/>
        <v>-3.6215053763453113</v>
      </c>
      <c r="R28" s="99">
        <f t="shared" si="8"/>
        <v>0.96830654571459762</v>
      </c>
      <c r="S28" s="444"/>
      <c r="T28" s="19">
        <v>0.35069444444444398</v>
      </c>
      <c r="U28" s="19">
        <v>0.41527777777777802</v>
      </c>
      <c r="V28" s="92">
        <f>(T28-U27)*24*60</f>
        <v>9.999999999999325</v>
      </c>
      <c r="W28" s="149">
        <f t="shared" si="4"/>
        <v>93.000000000001023</v>
      </c>
      <c r="X28" s="174"/>
      <c r="Y28" s="301"/>
      <c r="Z28" s="335"/>
      <c r="AA28" s="335"/>
      <c r="AB28" s="496" t="s">
        <v>149</v>
      </c>
      <c r="AC28" s="495"/>
      <c r="AD28" s="92"/>
      <c r="AE28" s="92"/>
      <c r="AF28" s="311">
        <f t="shared" si="9"/>
        <v>-164.96774193550095</v>
      </c>
      <c r="AG28" s="99">
        <f t="shared" si="10"/>
        <v>0.90375277600029114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2000</v>
      </c>
      <c r="H29" s="91">
        <f>F29*G29</f>
        <v>113740</v>
      </c>
      <c r="I29" s="92"/>
      <c r="J29" s="79">
        <v>16</v>
      </c>
      <c r="K29" s="80">
        <v>1714</v>
      </c>
      <c r="L29" s="93">
        <f>K29/J29</f>
        <v>107.125</v>
      </c>
      <c r="M29" s="94">
        <v>16</v>
      </c>
      <c r="N29" s="95">
        <f>G29/W29*60</f>
        <v>1558.4415584415656</v>
      </c>
      <c r="O29" s="96">
        <f>N29/M29</f>
        <v>97.402597402597848</v>
      </c>
      <c r="P29" s="97">
        <f t="shared" si="6"/>
        <v>0</v>
      </c>
      <c r="Q29" s="98">
        <f t="shared" si="7"/>
        <v>-9.7224025974021515</v>
      </c>
      <c r="R29" s="99">
        <f t="shared" si="8"/>
        <v>0.90924244949916311</v>
      </c>
      <c r="S29" s="444"/>
      <c r="T29" s="19">
        <v>0.422222222222222</v>
      </c>
      <c r="U29" s="19">
        <v>0.47569444444444398</v>
      </c>
      <c r="V29" s="92">
        <f>(T29-U28)*24*60</f>
        <v>9.999999999999325</v>
      </c>
      <c r="W29" s="149">
        <f t="shared" si="4"/>
        <v>76.999999999999645</v>
      </c>
      <c r="X29" s="22"/>
      <c r="Y29" s="84"/>
      <c r="Z29" s="90"/>
      <c r="AA29" s="90"/>
      <c r="AB29" s="496" t="s">
        <v>183</v>
      </c>
      <c r="AC29" s="495"/>
      <c r="AD29" s="92"/>
      <c r="AE29" s="92"/>
      <c r="AF29" s="312">
        <f t="shared" si="9"/>
        <v>-155.55844155843442</v>
      </c>
      <c r="AG29" s="99">
        <f t="shared" si="10"/>
        <v>0.90924244949916311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1942</v>
      </c>
      <c r="H30" s="91">
        <f>F30*G30</f>
        <v>111101.82</v>
      </c>
      <c r="I30" s="92"/>
      <c r="J30" s="79">
        <v>16</v>
      </c>
      <c r="K30" s="80">
        <v>1714</v>
      </c>
      <c r="L30" s="93">
        <f>K30/J30</f>
        <v>107.125</v>
      </c>
      <c r="M30" s="94">
        <v>16</v>
      </c>
      <c r="N30" s="95">
        <f>G30/W30*60</f>
        <v>1456.4999999999875</v>
      </c>
      <c r="O30" s="96">
        <f>N30/M30</f>
        <v>91.031249999999218</v>
      </c>
      <c r="P30" s="97">
        <f t="shared" si="6"/>
        <v>0</v>
      </c>
      <c r="Q30" s="98">
        <f t="shared" si="7"/>
        <v>-16.093750000000782</v>
      </c>
      <c r="R30" s="99">
        <f t="shared" si="8"/>
        <v>0.84976662777128797</v>
      </c>
      <c r="S30" s="444"/>
      <c r="T30" s="19">
        <v>0.53472222222222199</v>
      </c>
      <c r="U30" s="19">
        <v>0.59027777777777801</v>
      </c>
      <c r="V30" s="92">
        <f>(T30-U29)*24*60</f>
        <v>85.000000000000341</v>
      </c>
      <c r="W30" s="149">
        <f t="shared" si="4"/>
        <v>80.000000000000682</v>
      </c>
      <c r="X30" s="174">
        <v>0.49652777777777801</v>
      </c>
      <c r="Y30" s="301">
        <v>0.53819444444444398</v>
      </c>
      <c r="Z30" s="335"/>
      <c r="AA30" s="335"/>
      <c r="AB30" s="496" t="s">
        <v>183</v>
      </c>
      <c r="AC30" s="495"/>
      <c r="AD30" s="92"/>
      <c r="AE30" s="92"/>
      <c r="AF30" s="312">
        <f t="shared" si="9"/>
        <v>-257.50000000001251</v>
      </c>
      <c r="AG30" s="99">
        <f t="shared" si="10"/>
        <v>0.84976662777128797</v>
      </c>
      <c r="AH30" s="439"/>
    </row>
    <row r="31" spans="1:34" ht="15" customHeight="1">
      <c r="A31" s="441"/>
      <c r="B31" s="75" t="s">
        <v>81</v>
      </c>
      <c r="C31" s="88"/>
      <c r="D31" s="59" t="s">
        <v>116</v>
      </c>
      <c r="E31" s="89"/>
      <c r="F31" s="75">
        <f>VLOOKUP(D31,廠價表!$C$1:$E$43,3,0)</f>
        <v>50.67</v>
      </c>
      <c r="G31" s="90">
        <v>1823</v>
      </c>
      <c r="H31" s="91">
        <f>F31*G31</f>
        <v>92371.41</v>
      </c>
      <c r="I31" s="92"/>
      <c r="J31" s="79">
        <v>15</v>
      </c>
      <c r="K31" s="80">
        <v>1714</v>
      </c>
      <c r="L31" s="93">
        <f>K31/J31</f>
        <v>114.26666666666667</v>
      </c>
      <c r="M31" s="94">
        <v>15</v>
      </c>
      <c r="N31" s="95">
        <f>G31/W31*60</f>
        <v>1498.3561643835442</v>
      </c>
      <c r="O31" s="96">
        <f>N31/M31</f>
        <v>99.890410958902947</v>
      </c>
      <c r="P31" s="97">
        <f t="shared" si="6"/>
        <v>0</v>
      </c>
      <c r="Q31" s="98">
        <f t="shared" si="7"/>
        <v>-14.376255707763718</v>
      </c>
      <c r="R31" s="99">
        <f t="shared" si="8"/>
        <v>0.87418679368934904</v>
      </c>
      <c r="S31" s="444"/>
      <c r="T31" s="19">
        <v>0.59722222222222199</v>
      </c>
      <c r="U31" s="19">
        <v>0.64791666666666703</v>
      </c>
      <c r="V31" s="92">
        <f>(T31-U30)*24*60</f>
        <v>9.999999999999325</v>
      </c>
      <c r="W31" s="149">
        <f t="shared" si="4"/>
        <v>73.000000000000853</v>
      </c>
      <c r="X31" s="174"/>
      <c r="Y31" s="301"/>
      <c r="Z31" s="335"/>
      <c r="AA31" s="335"/>
      <c r="AB31" s="496" t="s">
        <v>149</v>
      </c>
      <c r="AC31" s="495"/>
      <c r="AD31" s="92"/>
      <c r="AE31" s="92"/>
      <c r="AF31" s="312">
        <f t="shared" si="9"/>
        <v>-215.64383561645582</v>
      </c>
      <c r="AG31" s="99">
        <f t="shared" si="10"/>
        <v>0.87418679368934904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15.6</v>
      </c>
      <c r="K37" s="155">
        <f t="shared" si="11"/>
        <v>1714</v>
      </c>
      <c r="L37" s="158">
        <f t="shared" si="11"/>
        <v>109.98166666666665</v>
      </c>
      <c r="M37" s="155">
        <f t="shared" si="11"/>
        <v>15.4</v>
      </c>
      <c r="N37" s="155">
        <f t="shared" si="11"/>
        <v>1474.5459961779209</v>
      </c>
      <c r="O37" s="158">
        <f t="shared" si="11"/>
        <v>96.173883930364383</v>
      </c>
      <c r="P37" s="159">
        <f>M37-J37</f>
        <v>-0.19999999999999929</v>
      </c>
      <c r="Q37" s="160">
        <f>N37-K37</f>
        <v>-239.45400382207913</v>
      </c>
      <c r="R37" s="161">
        <f>O37/L37</f>
        <v>0.87445377802692326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-239.45400382207913</v>
      </c>
      <c r="AG37" s="124">
        <f>N37/K37</f>
        <v>0.86029521363939376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2780</v>
      </c>
      <c r="H38" s="134">
        <f>F38*G38</f>
        <v>138749.79999999999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1573.5849056603795</v>
      </c>
      <c r="O38" s="141">
        <f>N38/M38</f>
        <v>104.90566037735863</v>
      </c>
      <c r="P38" s="142">
        <f>M38-J38</f>
        <v>0</v>
      </c>
      <c r="Q38" s="143">
        <f>O38-L38</f>
        <v>-9.3610062893080368</v>
      </c>
      <c r="R38" s="144">
        <f>O38/L38</f>
        <v>0.91807754122542562</v>
      </c>
      <c r="S38" s="433">
        <f>R48</f>
        <v>0.91172497212268233</v>
      </c>
      <c r="T38" s="191">
        <v>0.33333333333333298</v>
      </c>
      <c r="U38" s="191">
        <v>0.406944444444444</v>
      </c>
      <c r="V38" s="192"/>
      <c r="W38" s="193">
        <f t="shared" si="4"/>
        <v>105.99999999999986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-140.41509433962051</v>
      </c>
      <c r="AG38" s="195">
        <f>N38/K38</f>
        <v>0.91807754122542562</v>
      </c>
      <c r="AH38" s="436">
        <f>AG48</f>
        <v>0.88917780936906443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3373</v>
      </c>
      <c r="H39" s="91">
        <f>F39*G39</f>
        <v>149423.9</v>
      </c>
      <c r="I39" s="200"/>
      <c r="J39" s="148">
        <f>VLOOKUP(D39,產線配置圖!$A$3:$C$38,2,0)</f>
        <v>18</v>
      </c>
      <c r="K39" s="95">
        <v>1636</v>
      </c>
      <c r="L39" s="96">
        <f>K39/J39</f>
        <v>90.888888888888886</v>
      </c>
      <c r="M39" s="201">
        <v>17</v>
      </c>
      <c r="N39" s="202">
        <f>G39/W39*60</f>
        <v>1488.0882352941248</v>
      </c>
      <c r="O39" s="203">
        <f>N39/M39</f>
        <v>87.534602076124997</v>
      </c>
      <c r="P39" s="97">
        <f>M39-J39</f>
        <v>-1</v>
      </c>
      <c r="Q39" s="98">
        <f>O39-L39</f>
        <v>-3.3542868127638883</v>
      </c>
      <c r="R39" s="99">
        <f>O39/L39</f>
        <v>0.96309464386934596</v>
      </c>
      <c r="S39" s="434"/>
      <c r="T39" s="20">
        <v>0.41249999999999998</v>
      </c>
      <c r="U39" s="20">
        <v>0.50694444444444398</v>
      </c>
      <c r="V39" s="92">
        <f>(T39-U38)*24*60</f>
        <v>8.0000000000006111</v>
      </c>
      <c r="W39" s="205">
        <f t="shared" si="4"/>
        <v>135.99999999999935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-147.91176470587516</v>
      </c>
      <c r="AG39" s="206">
        <f>N39/K39</f>
        <v>0.90958938587660443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2908</v>
      </c>
      <c r="H40" s="91">
        <f>F40*G40</f>
        <v>128824.4</v>
      </c>
      <c r="I40" s="200"/>
      <c r="J40" s="148">
        <f>VLOOKUP(D40,產線配置圖!$A$3:$C$38,2,0)</f>
        <v>18</v>
      </c>
      <c r="K40" s="95">
        <v>1636</v>
      </c>
      <c r="L40" s="96">
        <f>K40/J40</f>
        <v>90.888888888888886</v>
      </c>
      <c r="M40" s="201">
        <v>17</v>
      </c>
      <c r="N40" s="202">
        <f>G40/W40*60</f>
        <v>1454.0000000000052</v>
      </c>
      <c r="O40" s="203">
        <f>N40/M40</f>
        <v>85.529411764706197</v>
      </c>
      <c r="P40" s="97">
        <f>M40-J40</f>
        <v>-1</v>
      </c>
      <c r="Q40" s="98">
        <f>O40-L40</f>
        <v>-5.3594771241826891</v>
      </c>
      <c r="R40" s="99">
        <f>O40/L40</f>
        <v>0.94103264777794104</v>
      </c>
      <c r="S40" s="416"/>
      <c r="T40" s="20">
        <v>0.55902777777777801</v>
      </c>
      <c r="U40" s="20">
        <v>0.64236111111111105</v>
      </c>
      <c r="V40" s="92">
        <f>(T40-U39)*24*60</f>
        <v>75.000000000001009</v>
      </c>
      <c r="W40" s="205">
        <f t="shared" si="4"/>
        <v>119.99999999999957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-181.99999999999477</v>
      </c>
      <c r="AG40" s="206">
        <f>N40/K40</f>
        <v>0.88875305623472201</v>
      </c>
      <c r="AH40" s="437"/>
    </row>
    <row r="41" spans="1:34" ht="15" customHeight="1">
      <c r="A41" s="431"/>
      <c r="B41" s="75" t="s">
        <v>118</v>
      </c>
      <c r="C41" s="207"/>
      <c r="D41" s="198" t="s">
        <v>123</v>
      </c>
      <c r="E41" s="178"/>
      <c r="F41" s="75">
        <f>VLOOKUP(D41,廠價表!$C$1:$E$43,3,0)</f>
        <v>49.91</v>
      </c>
      <c r="G41" s="199">
        <v>793</v>
      </c>
      <c r="H41" s="91">
        <f>F41*G41</f>
        <v>39578.629999999997</v>
      </c>
      <c r="I41" s="200"/>
      <c r="J41" s="148">
        <f>VLOOKUP(D41,產線配置圖!$A$3:$C$38,2,0)</f>
        <v>15</v>
      </c>
      <c r="K41" s="95">
        <f>VLOOKUP(D41,產線配置圖!$A$3:$C$38,3,0)</f>
        <v>1714</v>
      </c>
      <c r="L41" s="96">
        <f>K41/J41</f>
        <v>114.26666666666667</v>
      </c>
      <c r="M41" s="201">
        <v>15</v>
      </c>
      <c r="N41" s="202">
        <f>G41/W41*60</f>
        <v>1441.818181818222</v>
      </c>
      <c r="O41" s="203">
        <f>N41/M41</f>
        <v>96.121212121214796</v>
      </c>
      <c r="P41" s="97">
        <f>M41-J41</f>
        <v>0</v>
      </c>
      <c r="Q41" s="98">
        <f>O41-L41</f>
        <v>-18.145454545451869</v>
      </c>
      <c r="R41" s="99">
        <f>O41/L41</f>
        <v>0.84120080619499527</v>
      </c>
      <c r="S41" s="416"/>
      <c r="T41" s="20">
        <v>0.64930555555555602</v>
      </c>
      <c r="U41" s="210">
        <v>0.67222222222222205</v>
      </c>
      <c r="V41" s="92">
        <f>(T41-U40)*24*60</f>
        <v>10.000000000000764</v>
      </c>
      <c r="W41" s="205">
        <f t="shared" si="4"/>
        <v>32.999999999999083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-272.181818181778</v>
      </c>
      <c r="AG41" s="206">
        <f>N41/K41</f>
        <v>0.84120080619499538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16.5</v>
      </c>
      <c r="K48" s="155">
        <f t="shared" si="13"/>
        <v>1675</v>
      </c>
      <c r="L48" s="158">
        <f t="shared" si="13"/>
        <v>102.57777777777778</v>
      </c>
      <c r="M48" s="155">
        <f t="shared" si="13"/>
        <v>16</v>
      </c>
      <c r="N48" s="155">
        <f t="shared" si="13"/>
        <v>1489.372830693183</v>
      </c>
      <c r="O48" s="158">
        <f t="shared" si="13"/>
        <v>93.522721584851155</v>
      </c>
      <c r="P48" s="221">
        <f>M48-J48</f>
        <v>-0.5</v>
      </c>
      <c r="Q48" s="222">
        <f>N48-K48</f>
        <v>-185.627169306817</v>
      </c>
      <c r="R48" s="223">
        <f>O48/L48</f>
        <v>0.91172497212268233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-185.627169306817</v>
      </c>
      <c r="AG48" s="162">
        <f t="shared" ref="AG48:AG53" si="15">N48/K48</f>
        <v>0.88917780936906443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2538</v>
      </c>
      <c r="H49" s="134">
        <f>F49*G49</f>
        <v>125681.76000000001</v>
      </c>
      <c r="I49" s="135"/>
      <c r="J49" s="136">
        <f>VLOOKUP(D49,產線配置圖!$A$3:$C$38,2,0)</f>
        <v>17</v>
      </c>
      <c r="K49" s="137">
        <v>1565</v>
      </c>
      <c r="L49" s="138">
        <f>K49/J49</f>
        <v>92.058823529411768</v>
      </c>
      <c r="M49" s="170">
        <v>17</v>
      </c>
      <c r="N49" s="140">
        <f>G49/W49*60</f>
        <v>1464.2307692307745</v>
      </c>
      <c r="O49" s="141">
        <f>N49/M49</f>
        <v>86.131221719457329</v>
      </c>
      <c r="P49" s="229">
        <f>M49-J49</f>
        <v>0</v>
      </c>
      <c r="Q49" s="230">
        <f>O49-L49</f>
        <v>-5.9276018099544387</v>
      </c>
      <c r="R49" s="52">
        <f>O49/L49</f>
        <v>0.93561071516343419</v>
      </c>
      <c r="S49" s="415">
        <f>R58</f>
        <v>0.92644620715830872</v>
      </c>
      <c r="T49" s="191">
        <v>0.29027777777777802</v>
      </c>
      <c r="U49" s="191">
        <v>0.36249999999999999</v>
      </c>
      <c r="V49" s="55"/>
      <c r="W49" s="193">
        <f t="shared" si="4"/>
        <v>103.99999999999963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-100.76923076922549</v>
      </c>
      <c r="AG49" s="52">
        <f t="shared" si="15"/>
        <v>0.93561071516343419</v>
      </c>
      <c r="AH49" s="403">
        <f>AG58</f>
        <v>0.92656885199406647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4545</v>
      </c>
      <c r="H50" s="231">
        <f>F50*G50</f>
        <v>227113.65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1604.1176470588316</v>
      </c>
      <c r="O50" s="235">
        <f>N50/M50</f>
        <v>100.25735294117698</v>
      </c>
      <c r="P50" s="74">
        <f>M50-J50</f>
        <v>0</v>
      </c>
      <c r="Q50" s="83">
        <f>O50-L50</f>
        <v>-12.242647058823025</v>
      </c>
      <c r="R50" s="72">
        <f>O50/L50</f>
        <v>0.89117647058823979</v>
      </c>
      <c r="S50" s="416"/>
      <c r="T50" s="21">
        <v>0.36805555555555602</v>
      </c>
      <c r="U50" s="21">
        <v>0.48611111111111099</v>
      </c>
      <c r="V50" s="30">
        <f>(T50-U49)*24*60</f>
        <v>8.000000000000691</v>
      </c>
      <c r="W50" s="236">
        <f t="shared" si="4"/>
        <v>169.99999999999915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-195.88235294116839</v>
      </c>
      <c r="AG50" s="72">
        <f t="shared" si="15"/>
        <v>0.89117647058823979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1536</v>
      </c>
      <c r="H51" s="231">
        <f>F51*G51</f>
        <v>76753.919999999998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1675.6363636363794</v>
      </c>
      <c r="O51" s="235">
        <f>N51/M51</f>
        <v>104.72727272727371</v>
      </c>
      <c r="P51" s="74">
        <f>M51-J51</f>
        <v>0</v>
      </c>
      <c r="Q51" s="83">
        <f>O51-L51</f>
        <v>-7.7727272727262857</v>
      </c>
      <c r="R51" s="72">
        <f>O51/L51</f>
        <v>0.93090909090909968</v>
      </c>
      <c r="S51" s="416"/>
      <c r="T51" s="21">
        <v>0.54305555555555596</v>
      </c>
      <c r="U51" s="21">
        <v>0.58125000000000004</v>
      </c>
      <c r="V51" s="30">
        <f>(T51-U50)*24*60</f>
        <v>82.000000000000753</v>
      </c>
      <c r="W51" s="236">
        <f t="shared" si="4"/>
        <v>54.999999999999488</v>
      </c>
      <c r="X51" s="22"/>
      <c r="Y51" s="84"/>
      <c r="Z51" s="90"/>
      <c r="AA51" s="90"/>
      <c r="AB51" s="409" t="s">
        <v>184</v>
      </c>
      <c r="AC51" s="409"/>
      <c r="AD51" s="92"/>
      <c r="AE51" s="92"/>
      <c r="AF51" s="307">
        <f t="shared" si="14"/>
        <v>-124.36363636362057</v>
      </c>
      <c r="AG51" s="72">
        <f t="shared" si="15"/>
        <v>0.93090909090909968</v>
      </c>
      <c r="AH51" s="405"/>
    </row>
    <row r="52" spans="1:34" ht="15" customHeight="1">
      <c r="A52" s="428"/>
      <c r="B52" s="101" t="s">
        <v>81</v>
      </c>
      <c r="C52" s="102"/>
      <c r="D52" s="103" t="s">
        <v>147</v>
      </c>
      <c r="E52" s="104"/>
      <c r="F52" s="75">
        <f>VLOOKUP(D52,廠價表!$C$1:$E$43,3,0)</f>
        <v>56.87</v>
      </c>
      <c r="G52" s="202">
        <v>2309</v>
      </c>
      <c r="H52" s="231">
        <f>F52*G52</f>
        <v>131312.82999999999</v>
      </c>
      <c r="I52" s="30"/>
      <c r="J52" s="79">
        <v>16</v>
      </c>
      <c r="K52" s="80">
        <v>1714</v>
      </c>
      <c r="L52" s="81">
        <f>K52/J52</f>
        <v>107.125</v>
      </c>
      <c r="M52" s="108">
        <v>16</v>
      </c>
      <c r="N52" s="234">
        <f>G52/W52*60</f>
        <v>1629.8823529411977</v>
      </c>
      <c r="O52" s="235">
        <f>N52/M52</f>
        <v>101.86764705882486</v>
      </c>
      <c r="P52" s="74">
        <f>M52-J52</f>
        <v>0</v>
      </c>
      <c r="Q52" s="83">
        <f>O52-L52</f>
        <v>-5.2573529411751423</v>
      </c>
      <c r="R52" s="72">
        <f>O52/L52</f>
        <v>0.9509231930812122</v>
      </c>
      <c r="S52" s="416"/>
      <c r="T52" s="21">
        <v>0.58680555555555602</v>
      </c>
      <c r="U52" s="21">
        <v>0.64583333333333304</v>
      </c>
      <c r="V52" s="30">
        <f>(T52-U51)*24*60</f>
        <v>8.0000000000006111</v>
      </c>
      <c r="W52" s="236">
        <f t="shared" si="4"/>
        <v>84.999999999998892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-84.117647058802277</v>
      </c>
      <c r="AG52" s="72">
        <f t="shared" si="15"/>
        <v>0.9509231930812122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16.25</v>
      </c>
      <c r="K58" s="120">
        <f t="shared" si="16"/>
        <v>1719.75</v>
      </c>
      <c r="L58" s="117">
        <f t="shared" si="16"/>
        <v>106.04595588235294</v>
      </c>
      <c r="M58" s="120">
        <f t="shared" si="16"/>
        <v>16.25</v>
      </c>
      <c r="N58" s="120">
        <f t="shared" si="16"/>
        <v>1593.4667832167959</v>
      </c>
      <c r="O58" s="117">
        <f t="shared" si="16"/>
        <v>98.245873611683223</v>
      </c>
      <c r="P58" s="121">
        <f>M58-J58</f>
        <v>0</v>
      </c>
      <c r="Q58" s="122">
        <f>N58-K58</f>
        <v>-126.28321678320413</v>
      </c>
      <c r="R58" s="123">
        <f t="shared" ref="R58:R63" si="17">O58/L58</f>
        <v>0.92644620715830872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-126.28321678320413</v>
      </c>
      <c r="AG58" s="124">
        <f>N58/K58</f>
        <v>0.92656885199406647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2538</v>
      </c>
      <c r="H59" s="243">
        <f>F59*G59</f>
        <v>68500.62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1522.8000000000104</v>
      </c>
      <c r="O59" s="138">
        <f>N59/M59</f>
        <v>117.13846153846234</v>
      </c>
      <c r="P59" s="56">
        <f>M59-J59</f>
        <v>0</v>
      </c>
      <c r="Q59" s="230">
        <f>O59-L59</f>
        <v>-3.2461538461530495</v>
      </c>
      <c r="R59" s="52">
        <f t="shared" si="17"/>
        <v>0.97303514376997469</v>
      </c>
      <c r="S59" s="415">
        <f>R69</f>
        <v>0.87958910823573444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-42.199999999989586</v>
      </c>
      <c r="AG59" s="246">
        <f>N59/K59</f>
        <v>0.97303514376997469</v>
      </c>
      <c r="AH59" s="403">
        <f>AG69</f>
        <v>0.96322210068915359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1794</v>
      </c>
      <c r="H60" s="78">
        <f>F60*G60</f>
        <v>50698.44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1495.0000000000002</v>
      </c>
      <c r="O60" s="81">
        <f>N60/M60</f>
        <v>124.58333333333336</v>
      </c>
      <c r="P60" s="74">
        <f>M60-J60</f>
        <v>0</v>
      </c>
      <c r="Q60" s="83">
        <f>O60-L60</f>
        <v>-5.8333333333333002</v>
      </c>
      <c r="R60" s="72">
        <f t="shared" si="17"/>
        <v>0.95527156549520786</v>
      </c>
      <c r="S60" s="425"/>
      <c r="T60" s="22">
        <v>0.37152777777777801</v>
      </c>
      <c r="U60" s="22">
        <v>0.421527777777778</v>
      </c>
      <c r="V60" s="30">
        <f>(T60-U59)*24*60</f>
        <v>15.000000000000506</v>
      </c>
      <c r="W60" s="248">
        <f t="shared" si="4"/>
        <v>71.999999999999986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-69.999999999999773</v>
      </c>
      <c r="AG60" s="249">
        <f>N60/K60</f>
        <v>0.95527156549520786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2585</v>
      </c>
      <c r="H61" s="254">
        <f>F61*G61</f>
        <v>73052.100000000006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1723.3333333333333</v>
      </c>
      <c r="O61" s="238">
        <f>N61/M61</f>
        <v>156.66666666666666</v>
      </c>
      <c r="P61" s="111">
        <f>M61-J61</f>
        <v>2</v>
      </c>
      <c r="Q61" s="255">
        <f>O61-L61</f>
        <v>-25.111111111111114</v>
      </c>
      <c r="R61" s="85">
        <f t="shared" si="17"/>
        <v>0.86185819070904646</v>
      </c>
      <c r="S61" s="416"/>
      <c r="T61" s="22">
        <v>0.43055555555555602</v>
      </c>
      <c r="U61" s="22">
        <v>0.49305555555555602</v>
      </c>
      <c r="V61" s="30">
        <f>(T61-U60)*24*60</f>
        <v>13.000000000000353</v>
      </c>
      <c r="W61" s="256">
        <f t="shared" si="4"/>
        <v>90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87.333333333333258</v>
      </c>
      <c r="AG61" s="247">
        <f>N61/K61</f>
        <v>1.0533822330888345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1115</v>
      </c>
      <c r="H62" s="254">
        <f>F62*G62</f>
        <v>31509.9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1592.8571428571242</v>
      </c>
      <c r="O62" s="238">
        <f>N62/M62</f>
        <v>144.80519480519311</v>
      </c>
      <c r="P62" s="111">
        <f>M62-J62</f>
        <v>2</v>
      </c>
      <c r="Q62" s="255">
        <f>O62-L62</f>
        <v>-36.972582972584661</v>
      </c>
      <c r="R62" s="85">
        <f t="shared" si="17"/>
        <v>0.7966055948940941</v>
      </c>
      <c r="S62" s="416"/>
      <c r="T62" s="22">
        <v>0.56597222222222199</v>
      </c>
      <c r="U62" s="22">
        <v>0.59513888888888899</v>
      </c>
      <c r="V62" s="30">
        <f>(T62-U61)*24*60</f>
        <v>104.99999999999899</v>
      </c>
      <c r="W62" s="248">
        <f t="shared" si="4"/>
        <v>42.00000000000049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-43.142857142875755</v>
      </c>
      <c r="AG62" s="247">
        <f>N62/K62</f>
        <v>0.97362906042611508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1340</v>
      </c>
      <c r="H63" s="254">
        <f>F63*G63</f>
        <v>36166.6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1340.0000000000191</v>
      </c>
      <c r="O63" s="238">
        <f>N63/M63</f>
        <v>103.07692307692454</v>
      </c>
      <c r="P63" s="111">
        <f>M63-J63</f>
        <v>0</v>
      </c>
      <c r="Q63" s="255">
        <f>O63-L63</f>
        <v>-17.307692307690843</v>
      </c>
      <c r="R63" s="85">
        <f t="shared" si="17"/>
        <v>0.85623003194889391</v>
      </c>
      <c r="S63" s="416"/>
      <c r="T63" s="22">
        <v>0.60416666666666696</v>
      </c>
      <c r="U63" s="22">
        <v>0.64583333333333304</v>
      </c>
      <c r="V63" s="30">
        <f>(T63-U62)*24*60</f>
        <v>13.000000000000274</v>
      </c>
      <c r="W63" s="248">
        <f t="shared" si="4"/>
        <v>59.999999999999147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8">AVERAGE(J59:J68)</f>
        <v>11.2</v>
      </c>
      <c r="K69" s="240">
        <f t="shared" si="18"/>
        <v>1593.4</v>
      </c>
      <c r="L69" s="268">
        <f t="shared" si="18"/>
        <v>146.94829059829061</v>
      </c>
      <c r="M69" s="240">
        <f t="shared" si="18"/>
        <v>12</v>
      </c>
      <c r="N69" s="240">
        <f t="shared" si="18"/>
        <v>1534.7980952380974</v>
      </c>
      <c r="O69" s="268">
        <f t="shared" si="18"/>
        <v>129.254115884116</v>
      </c>
      <c r="P69" s="269">
        <f>M69-J69</f>
        <v>0.80000000000000071</v>
      </c>
      <c r="Q69" s="222">
        <f>N69-K69</f>
        <v>-58.601904761902688</v>
      </c>
      <c r="R69" s="123">
        <f>O69/L69</f>
        <v>0.87958910823573444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-58.601904761902688</v>
      </c>
      <c r="AG69" s="124">
        <f>N69/K69</f>
        <v>0.96322210068915359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2561</v>
      </c>
      <c r="H70" s="243">
        <f>F70*G70</f>
        <v>129765.87000000001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10</v>
      </c>
      <c r="N70" s="137">
        <f>G70/W70*60</f>
        <v>991.35483870967641</v>
      </c>
      <c r="O70" s="138">
        <f>N70/M70</f>
        <v>99.135483870967647</v>
      </c>
      <c r="P70" s="56">
        <f>M70-J70</f>
        <v>-3</v>
      </c>
      <c r="Q70" s="230">
        <f>O70-L70</f>
        <v>-11.633746898263126</v>
      </c>
      <c r="R70" s="52">
        <f>O70/L70</f>
        <v>0.89497311827956905</v>
      </c>
      <c r="S70" s="415">
        <f>R79</f>
        <v>0.89497311827956905</v>
      </c>
      <c r="T70" s="245">
        <v>0.33333333333333298</v>
      </c>
      <c r="U70" s="245">
        <v>0.44097222222222199</v>
      </c>
      <c r="V70" s="55"/>
      <c r="W70" s="54">
        <f t="shared" si="4"/>
        <v>155.00000000000017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-448.64516129032359</v>
      </c>
      <c r="AG70" s="246">
        <f>N70/K70</f>
        <v>0.68844086021505302</v>
      </c>
      <c r="AH70" s="403">
        <f>AG79</f>
        <v>0.68844086021505302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9">AVERAGE(J70:J78)</f>
        <v>13</v>
      </c>
      <c r="K79" s="240">
        <f t="shared" si="19"/>
        <v>1440</v>
      </c>
      <c r="L79" s="268">
        <f t="shared" si="19"/>
        <v>110.76923076923077</v>
      </c>
      <c r="M79" s="240">
        <f t="shared" si="19"/>
        <v>10</v>
      </c>
      <c r="N79" s="240">
        <f t="shared" si="19"/>
        <v>991.35483870967641</v>
      </c>
      <c r="O79" s="268">
        <f t="shared" si="19"/>
        <v>99.135483870967647</v>
      </c>
      <c r="P79" s="269">
        <f>M79-J79</f>
        <v>-3</v>
      </c>
      <c r="Q79" s="222">
        <f>N79-K79</f>
        <v>-448.64516129032359</v>
      </c>
      <c r="R79" s="223">
        <f>O79/L79</f>
        <v>0.89497311827956905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-448.64516129032359</v>
      </c>
      <c r="AG79" s="124">
        <f>N79/K79</f>
        <v>0.68844086021505302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3:S4"/>
    <mergeCell ref="J1:L2"/>
    <mergeCell ref="M1:O2"/>
    <mergeCell ref="AD3:AE3"/>
    <mergeCell ref="P1:S2"/>
    <mergeCell ref="T1:Y2"/>
    <mergeCell ref="AB1:AC2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D3:E4"/>
    <mergeCell ref="F3:F4"/>
    <mergeCell ref="G3:G4"/>
    <mergeCell ref="J3:J4"/>
    <mergeCell ref="K3:K4"/>
    <mergeCell ref="L3:L4"/>
    <mergeCell ref="R3:R4"/>
    <mergeCell ref="Q3:Q4"/>
    <mergeCell ref="M3:M4"/>
    <mergeCell ref="AF1:AH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H3:AH4"/>
    <mergeCell ref="AF3:AF4"/>
    <mergeCell ref="AB12:AC12"/>
    <mergeCell ref="AB13:AC13"/>
    <mergeCell ref="AG3:AG4"/>
    <mergeCell ref="A2:B2"/>
    <mergeCell ref="A3:A4"/>
    <mergeCell ref="B3:B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8:AC3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B26:AC2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37:E37"/>
    <mergeCell ref="AB37:AC37"/>
    <mergeCell ref="A38:A48"/>
    <mergeCell ref="S38:S48"/>
    <mergeCell ref="D48:E48"/>
    <mergeCell ref="A27:A37"/>
    <mergeCell ref="S27:S37"/>
    <mergeCell ref="AB27:AC2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2817B0-60C2-43EF-8D20-A80FC48F621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C8D3-A48B-46D0-9911-E1CACBCC5DBE}">
  <dimension ref="B1:O26"/>
  <sheetViews>
    <sheetView zoomScale="70" zoomScaleNormal="70" workbookViewId="0">
      <selection activeCell="AB68" sqref="AB68:AC6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46127</v>
      </c>
      <c r="E3" s="399"/>
      <c r="F3" s="3" t="s">
        <v>72</v>
      </c>
      <c r="G3" s="400">
        <f>'0415'!E1</f>
        <v>63767</v>
      </c>
      <c r="H3" s="400"/>
      <c r="I3" s="3" t="s">
        <v>2</v>
      </c>
      <c r="J3" s="401">
        <f>'0415'!G1</f>
        <v>3092390.1400000011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124.3147156184411</v>
      </c>
      <c r="G6" s="397"/>
      <c r="H6" s="382">
        <f>AVERAGE(D13:H13)</f>
        <v>119.78800062247122</v>
      </c>
      <c r="I6" s="382"/>
      <c r="J6" s="382">
        <f>AVERAGE(I13)</f>
        <v>146.94829059829061</v>
      </c>
      <c r="K6" s="382"/>
      <c r="L6" s="383">
        <f>SUM(D18:J18)</f>
        <v>20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111.38407952288573</v>
      </c>
      <c r="G7" s="389"/>
      <c r="H7" s="390">
        <f>AVERAGE(D14:H14)</f>
        <v>110.01107514248454</v>
      </c>
      <c r="I7" s="390"/>
      <c r="J7" s="390">
        <f>AVERAGE(I14)</f>
        <v>118.24910142489175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0.89598467059005837</v>
      </c>
      <c r="G8" s="374"/>
      <c r="H8" s="374">
        <f>H7/H6</f>
        <v>0.91838142861403926</v>
      </c>
      <c r="I8" s="374"/>
      <c r="J8" s="374">
        <f>J7/J6</f>
        <v>0.80469872050534275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VALUE('0415'!L15)</f>
        <v>134.46638655462183</v>
      </c>
      <c r="E13" s="13">
        <f>VALUE('0415'!L26)</f>
        <v>150.75</v>
      </c>
      <c r="F13" s="13">
        <f>VALUE('0415'!L37)</f>
        <v>109.98166666666665</v>
      </c>
      <c r="G13" s="13">
        <f>VALUE('0415'!L48)</f>
        <v>96.05185185185185</v>
      </c>
      <c r="H13" s="13">
        <f>VALUE('0415'!L58)</f>
        <v>107.6900980392157</v>
      </c>
      <c r="I13" s="13">
        <f>VALUE('0415'!L69)</f>
        <v>146.94829059829061</v>
      </c>
      <c r="J13" s="13">
        <f>'0415'!L79</f>
        <v>110.76923076923077</v>
      </c>
    </row>
    <row r="14" spans="2:15" ht="39.950000000000003" customHeight="1">
      <c r="B14" s="368"/>
      <c r="C14" s="12" t="s">
        <v>100</v>
      </c>
      <c r="D14" s="13">
        <f>VALUE('0415'!O15)</f>
        <v>126.22896947389715</v>
      </c>
      <c r="E14" s="13">
        <f>VALUE('0415'!O26)</f>
        <v>139.82830311178429</v>
      </c>
      <c r="F14" s="13">
        <f>VALUE('0415'!O37)</f>
        <v>94.119533798062861</v>
      </c>
      <c r="G14" s="13">
        <f>VALUE('0415'!O48)</f>
        <v>88.023049203859685</v>
      </c>
      <c r="H14" s="13">
        <f>VALUE('0415'!O58)</f>
        <v>101.85552012481872</v>
      </c>
      <c r="I14" s="13">
        <f>VALUE('0415'!O69)</f>
        <v>118.24910142489175</v>
      </c>
      <c r="J14" s="13">
        <f>'0415'!O79</f>
        <v>68.085561497326538</v>
      </c>
    </row>
    <row r="15" spans="2:15" ht="39.950000000000003" customHeight="1">
      <c r="B15" s="369"/>
      <c r="C15" s="10" t="s">
        <v>26</v>
      </c>
      <c r="D15" s="14">
        <f t="shared" ref="D15:I15" si="1">D14/D13</f>
        <v>0.93873995359146101</v>
      </c>
      <c r="E15" s="14">
        <f t="shared" si="1"/>
        <v>0.92755093274815448</v>
      </c>
      <c r="F15" s="14">
        <f t="shared" si="1"/>
        <v>0.85577475456269569</v>
      </c>
      <c r="G15" s="14">
        <f t="shared" si="1"/>
        <v>0.9164117870379469</v>
      </c>
      <c r="H15" s="14">
        <f t="shared" si="1"/>
        <v>0.94582066484634186</v>
      </c>
      <c r="I15" s="14">
        <f t="shared" si="1"/>
        <v>0.80469872050534275</v>
      </c>
      <c r="J15" s="15">
        <f>'0415'!S70</f>
        <v>0.61466131907308674</v>
      </c>
    </row>
    <row r="16" spans="2:15" ht="17.25" customHeight="1">
      <c r="B16" s="370" t="s">
        <v>101</v>
      </c>
      <c r="C16" s="10" t="s">
        <v>34</v>
      </c>
      <c r="D16" s="16">
        <f>'0415'!T5</f>
        <v>0.28819444444444398</v>
      </c>
      <c r="E16" s="16">
        <f>'0415'!T16</f>
        <v>0.28819444444444398</v>
      </c>
      <c r="F16" s="16">
        <f>'0415'!T27</f>
        <v>0.29166666666666702</v>
      </c>
      <c r="G16" s="16">
        <f>'0415'!T38</f>
        <v>0.33333333333333298</v>
      </c>
      <c r="H16" s="16">
        <f>'0415'!T49</f>
        <v>0.29166666666666702</v>
      </c>
      <c r="I16" s="16">
        <f>'0415'!T59</f>
        <v>0.29166666666666702</v>
      </c>
      <c r="J16" s="16">
        <f>'0415'!T70</f>
        <v>0.33680555555555602</v>
      </c>
    </row>
    <row r="17" spans="2:10" ht="17.25" customHeight="1">
      <c r="B17" s="371"/>
      <c r="C17" s="10" t="s">
        <v>35</v>
      </c>
      <c r="D17" s="16">
        <v>0.70763888888888904</v>
      </c>
      <c r="E17" s="19">
        <v>0.72569444444444398</v>
      </c>
      <c r="F17" s="19">
        <v>0.64791666666666703</v>
      </c>
      <c r="G17" s="210">
        <v>0.67222222222222205</v>
      </c>
      <c r="H17" s="21">
        <v>0.64583333333333304</v>
      </c>
      <c r="I17" s="22">
        <v>0.64583333333333304</v>
      </c>
      <c r="J17" s="22">
        <v>0.44097222222222199</v>
      </c>
    </row>
    <row r="18" spans="2:10" ht="17.25" customHeight="1">
      <c r="B18" s="372" t="s">
        <v>102</v>
      </c>
      <c r="C18" s="330" t="s">
        <v>36</v>
      </c>
      <c r="D18" s="358">
        <f>'0415'!Z15</f>
        <v>0</v>
      </c>
      <c r="E18" s="359">
        <f>'0415'!Z26</f>
        <v>0</v>
      </c>
      <c r="F18" s="359">
        <f>'0415'!Z37</f>
        <v>0</v>
      </c>
      <c r="G18" s="360">
        <f>'0415'!Z48</f>
        <v>0</v>
      </c>
      <c r="H18" s="360">
        <f>'0415'!Z58</f>
        <v>0</v>
      </c>
      <c r="I18" s="359">
        <f>'0415'!Z69</f>
        <v>0</v>
      </c>
      <c r="J18" s="359">
        <f>'0415'!AA79</f>
        <v>20</v>
      </c>
    </row>
    <row r="19" spans="2:10" ht="17.25" customHeight="1">
      <c r="B19" s="373"/>
      <c r="C19" s="330" t="s">
        <v>37</v>
      </c>
      <c r="D19" s="358">
        <f>'0415'!AA15</f>
        <v>0</v>
      </c>
      <c r="E19" s="359">
        <f>'0415'!AA26</f>
        <v>0</v>
      </c>
      <c r="F19" s="359">
        <f>'0415'!AA37</f>
        <v>0</v>
      </c>
      <c r="G19" s="360">
        <f>'0415'!AA48</f>
        <v>0</v>
      </c>
      <c r="H19" s="360">
        <f>'0415'!AA58</f>
        <v>0</v>
      </c>
      <c r="I19" s="359">
        <f>'0415'!AA69</f>
        <v>0</v>
      </c>
      <c r="J19" s="359">
        <f>'0415'!AB79</f>
        <v>0</v>
      </c>
    </row>
    <row r="20" spans="2:10" ht="17.25" customHeight="1">
      <c r="B20" s="372" t="s">
        <v>103</v>
      </c>
      <c r="C20" s="330" t="s">
        <v>36</v>
      </c>
      <c r="D20" s="358">
        <f>'0415'!AD15</f>
        <v>0</v>
      </c>
      <c r="E20" s="359">
        <f>'0415'!AD26</f>
        <v>0</v>
      </c>
      <c r="F20" s="359">
        <f>'0415'!AD37</f>
        <v>0</v>
      </c>
      <c r="G20" s="360">
        <f>'0415'!AD48</f>
        <v>0</v>
      </c>
      <c r="H20" s="360">
        <f>'0415'!AD58</f>
        <v>0</v>
      </c>
      <c r="I20" s="359">
        <f>'0415'!AD69</f>
        <v>0</v>
      </c>
      <c r="J20" s="359">
        <f>'0415'!AD79</f>
        <v>0</v>
      </c>
    </row>
    <row r="21" spans="2:10" ht="17.25" customHeight="1">
      <c r="B21" s="373"/>
      <c r="C21" s="330" t="s">
        <v>85</v>
      </c>
      <c r="D21" s="358">
        <f>'0415'!AE15</f>
        <v>0</v>
      </c>
      <c r="E21" s="359">
        <f>'0415'!AE26</f>
        <v>0</v>
      </c>
      <c r="F21" s="359">
        <f>'0415'!AE37</f>
        <v>0</v>
      </c>
      <c r="G21" s="360">
        <f>'0415'!AE48</f>
        <v>0</v>
      </c>
      <c r="H21" s="360">
        <f>'0415'!AE58</f>
        <v>0</v>
      </c>
      <c r="I21" s="359">
        <f>'0415'!AE69</f>
        <v>0</v>
      </c>
      <c r="J21" s="359">
        <f>'0415'!AE79</f>
        <v>0</v>
      </c>
    </row>
    <row r="22" spans="2:10" ht="17.25" customHeight="1">
      <c r="B22" s="364" t="s">
        <v>104</v>
      </c>
      <c r="C22" s="365"/>
      <c r="D22" s="23">
        <f>VALUE('0415'!M15)</f>
        <v>15.5</v>
      </c>
      <c r="E22" s="23">
        <f>VALUE('0415'!M26)</f>
        <v>14</v>
      </c>
      <c r="F22" s="23">
        <f>VALUE('0415'!M37)</f>
        <v>15.6</v>
      </c>
      <c r="G22" s="23">
        <f>VALUE('0415'!M48)</f>
        <v>16.333333333333332</v>
      </c>
      <c r="H22" s="23">
        <f>VALUE('0415'!M58)</f>
        <v>15.8</v>
      </c>
      <c r="I22" s="23">
        <f>VALUE('0415'!M69)</f>
        <v>12</v>
      </c>
      <c r="J22" s="23">
        <f>'0415'!M79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624A-22E3-4412-A9F3-D8BCE67F3BA1}">
  <sheetPr>
    <tabColor theme="9" tint="0.79998168889431442"/>
  </sheetPr>
  <dimension ref="A1:AJ92"/>
  <sheetViews>
    <sheetView zoomScale="73" zoomScaleNormal="73" workbookViewId="0">
      <pane xSplit="5" ySplit="4" topLeftCell="F5" activePane="bottomRight" state="frozen"/>
      <selection activeCell="AB68" sqref="AB68:AC68"/>
      <selection pane="topRight" activeCell="AB68" sqref="AB68:AC68"/>
      <selection pane="bottomLeft" activeCell="AB68" sqref="AB68:AC68"/>
      <selection pane="bottomRight" activeCell="J16" sqref="J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63767</v>
      </c>
      <c r="F1" s="30" t="s">
        <v>2</v>
      </c>
      <c r="G1" s="31">
        <f>SUM(H5:H79)</f>
        <v>3092390.1400000011</v>
      </c>
      <c r="H1" s="32" t="s">
        <v>3</v>
      </c>
      <c r="I1" s="33">
        <f>M15+M26+M48+M58+M69+M79+M37</f>
        <v>100.23333333333332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185</v>
      </c>
      <c r="B2" s="483"/>
      <c r="C2" s="28"/>
      <c r="D2" s="28" t="s">
        <v>14</v>
      </c>
      <c r="E2" s="35">
        <f>AVERAGE(O15,O26,O37,O48,O58,O69,O79)</f>
        <v>105.19857694780585</v>
      </c>
      <c r="F2" s="36" t="s">
        <v>15</v>
      </c>
      <c r="G2" s="37">
        <f>G1/E1</f>
        <v>48.495148587827579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20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3419</v>
      </c>
      <c r="H5" s="43">
        <f>F5*G5</f>
        <v>198883.23</v>
      </c>
      <c r="I5" s="44"/>
      <c r="J5" s="45">
        <f>VLOOKUP(D5,產線配置圖!$A$3:$C$38,2,0)</f>
        <v>17</v>
      </c>
      <c r="K5" s="46">
        <f>VLOOKUP(D5,產線配置圖!$A$3:$C$38,3,0)</f>
        <v>2000</v>
      </c>
      <c r="L5" s="47">
        <f>K5/J5</f>
        <v>117.64705882352941</v>
      </c>
      <c r="M5" s="48">
        <v>17</v>
      </c>
      <c r="N5" s="46">
        <f>G5/W5*60</f>
        <v>1953.714285714276</v>
      </c>
      <c r="O5" s="47">
        <f>N5/M5</f>
        <v>114.9243697478986</v>
      </c>
      <c r="P5" s="49">
        <f>M5-J5</f>
        <v>0</v>
      </c>
      <c r="Q5" s="50">
        <f>O5-L5</f>
        <v>-2.7226890756308109</v>
      </c>
      <c r="R5" s="51">
        <f>O5/L5</f>
        <v>0.97685714285713809</v>
      </c>
      <c r="S5" s="415">
        <f>R15</f>
        <v>0.93873995359146101</v>
      </c>
      <c r="T5" s="319">
        <v>0.28819444444444398</v>
      </c>
      <c r="U5" s="320">
        <v>0.36111111111111099</v>
      </c>
      <c r="V5" s="53"/>
      <c r="W5" s="54">
        <f t="shared" ref="W5:W14" si="0">(U5-T5)*24*60</f>
        <v>105.00000000000051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-46.285714285723998</v>
      </c>
      <c r="AG5" s="52">
        <f t="shared" ref="AG5:AG11" si="2">N5/K5</f>
        <v>0.97685714285713798</v>
      </c>
      <c r="AH5" s="403">
        <f>AG15</f>
        <v>0.93727088090149968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5773</v>
      </c>
      <c r="H6" s="63">
        <f>F6*G6</f>
        <v>283685.22000000003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2002.1965317919055</v>
      </c>
      <c r="O6" s="67">
        <f>N6/M6</f>
        <v>143.0140379851361</v>
      </c>
      <c r="P6" s="69">
        <f>M6-J6</f>
        <v>0</v>
      </c>
      <c r="Q6" s="70">
        <f>O6-L6</f>
        <v>-8.2716763005781786</v>
      </c>
      <c r="R6" s="71">
        <f>O6/L6</f>
        <v>0.94532414154480904</v>
      </c>
      <c r="S6" s="416"/>
      <c r="T6" s="16">
        <v>0.36597222222222198</v>
      </c>
      <c r="U6" s="16">
        <v>0.48611111111111099</v>
      </c>
      <c r="V6" s="30">
        <f>(T6-U5)*24*60</f>
        <v>6.9999999999998153</v>
      </c>
      <c r="W6" s="73">
        <f t="shared" si="0"/>
        <v>173.00000000000017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-115.8034682080945</v>
      </c>
      <c r="AG6" s="72">
        <f t="shared" si="2"/>
        <v>0.94532414154480904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880</v>
      </c>
      <c r="H7" s="78">
        <f>F7*G7</f>
        <v>43243.199999999997</v>
      </c>
      <c r="I7" s="73"/>
      <c r="J7" s="79">
        <v>14</v>
      </c>
      <c r="K7" s="80">
        <f>VLOOKUP(D7,產線配置圖!$A$3:$C$38,3,0)</f>
        <v>2118</v>
      </c>
      <c r="L7" s="81">
        <f>K7/J7</f>
        <v>151.28571428571428</v>
      </c>
      <c r="M7" s="82">
        <v>14</v>
      </c>
      <c r="N7" s="80">
        <f>G7/W7*60</f>
        <v>2030.769230769288</v>
      </c>
      <c r="O7" s="81">
        <f>N7/M7</f>
        <v>145.05494505494914</v>
      </c>
      <c r="P7" s="74">
        <f>M7-J7</f>
        <v>0</v>
      </c>
      <c r="Q7" s="83">
        <f>O7-L7</f>
        <v>-6.2307692307651337</v>
      </c>
      <c r="R7" s="72">
        <f>O7/L7</f>
        <v>0.95881455654829473</v>
      </c>
      <c r="S7" s="416"/>
      <c r="T7" s="18">
        <v>0.54166666666666696</v>
      </c>
      <c r="U7" s="18">
        <v>0.55972222222222201</v>
      </c>
      <c r="V7" s="30">
        <f>(T7-U6)*24*60</f>
        <v>80.000000000000597</v>
      </c>
      <c r="W7" s="73">
        <f t="shared" si="0"/>
        <v>25.999999999999268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-87.230769230711985</v>
      </c>
      <c r="AG7" s="72">
        <f t="shared" si="2"/>
        <v>0.95881455654829462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2368</v>
      </c>
      <c r="H8" s="78">
        <f>F8*G8</f>
        <v>137746.56</v>
      </c>
      <c r="I8" s="73"/>
      <c r="J8" s="79">
        <f>VLOOKUP(D8,產線配置圖!$A$3:$C$38,2,0)</f>
        <v>17</v>
      </c>
      <c r="K8" s="80">
        <f>VLOOKUP(D8,產線配置圖!$A$3:$C$38,3,0)</f>
        <v>2000</v>
      </c>
      <c r="L8" s="81">
        <f>K8/J8</f>
        <v>117.64705882352941</v>
      </c>
      <c r="M8" s="82">
        <v>17</v>
      </c>
      <c r="N8" s="80">
        <f>G8/W8*60</f>
        <v>1732.6829268292811</v>
      </c>
      <c r="O8" s="81">
        <f>N8/M8</f>
        <v>101.92252510760477</v>
      </c>
      <c r="P8" s="74">
        <f>M8-J8</f>
        <v>0</v>
      </c>
      <c r="Q8" s="83">
        <f>O8-L8</f>
        <v>-15.724533715924636</v>
      </c>
      <c r="R8" s="72">
        <f>O8/L8</f>
        <v>0.86634146341464058</v>
      </c>
      <c r="S8" s="416"/>
      <c r="T8" s="16">
        <v>0.56805555555555598</v>
      </c>
      <c r="U8" s="16">
        <v>0.625</v>
      </c>
      <c r="V8" s="30">
        <f>(T8-U7)*24*60</f>
        <v>12.000000000000917</v>
      </c>
      <c r="W8" s="73">
        <f t="shared" si="0"/>
        <v>81.999999999999389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-267.31707317071891</v>
      </c>
      <c r="AG8" s="72">
        <f t="shared" si="2"/>
        <v>0.86634146341464058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2059</v>
      </c>
      <c r="L15" s="117">
        <f t="shared" si="3"/>
        <v>134.46638655462183</v>
      </c>
      <c r="M15" s="120">
        <f t="shared" si="3"/>
        <v>15.5</v>
      </c>
      <c r="N15" s="120">
        <f t="shared" si="3"/>
        <v>1929.8407437761878</v>
      </c>
      <c r="O15" s="117">
        <f t="shared" si="3"/>
        <v>126.22896947389715</v>
      </c>
      <c r="P15" s="121">
        <f>M15-J15</f>
        <v>0</v>
      </c>
      <c r="Q15" s="122">
        <f>O15-L15</f>
        <v>-8.2374170807246827</v>
      </c>
      <c r="R15" s="123">
        <f>O15/L15</f>
        <v>0.93873995359146101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-129.15925622381224</v>
      </c>
      <c r="AG15" s="124">
        <f>N15/K15</f>
        <v>0.93727088090149968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2872</v>
      </c>
      <c r="H16" s="134">
        <f>F16*G16</f>
        <v>162583.92000000001</v>
      </c>
      <c r="I16" s="135"/>
      <c r="J16" s="136">
        <f>VLOOKUP(D16,產線配置圖!$A$3:$C$38,2,0)</f>
        <v>16</v>
      </c>
      <c r="K16" s="137">
        <f>VLOOKUP(D16,產線配置圖!$A$3:$C$38,3,0)</f>
        <v>2000</v>
      </c>
      <c r="L16" s="138">
        <f>K16/J16</f>
        <v>125</v>
      </c>
      <c r="M16" s="139">
        <v>16</v>
      </c>
      <c r="N16" s="140">
        <f>G16/W16*60</f>
        <v>1914.6666666666667</v>
      </c>
      <c r="O16" s="141">
        <f>N16/M16</f>
        <v>119.66666666666667</v>
      </c>
      <c r="P16" s="142">
        <f>M16-J16</f>
        <v>0</v>
      </c>
      <c r="Q16" s="143">
        <f>O16-L16</f>
        <v>-5.3333333333333286</v>
      </c>
      <c r="R16" s="144">
        <f>O16/L16</f>
        <v>0.95733333333333337</v>
      </c>
      <c r="S16" s="443">
        <f>R26</f>
        <v>0.92755093274815448</v>
      </c>
      <c r="T16" s="145">
        <v>0.28819444444444398</v>
      </c>
      <c r="U16" s="145">
        <v>0.35069444444444398</v>
      </c>
      <c r="V16" s="135"/>
      <c r="W16" s="146">
        <f t="shared" ref="W16:W78" si="4">(U16-T16)*24*60</f>
        <v>90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-85.333333333333258</v>
      </c>
      <c r="AG16" s="52">
        <f>N16/K16</f>
        <v>0.95733333333333337</v>
      </c>
      <c r="AH16" s="403">
        <f>AG26</f>
        <v>0.92802092254409008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5638</v>
      </c>
      <c r="H17" s="78">
        <f>F17*G17</f>
        <v>284098.82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2114.2500000000023</v>
      </c>
      <c r="O17" s="96">
        <f>N17/M17</f>
        <v>176.1875000000002</v>
      </c>
      <c r="P17" s="97">
        <f>M17-J17</f>
        <v>0</v>
      </c>
      <c r="Q17" s="98">
        <f>O17-L17</f>
        <v>-0.31249999999980105</v>
      </c>
      <c r="R17" s="99">
        <f>O17/L17</f>
        <v>0.99822946175637506</v>
      </c>
      <c r="S17" s="444"/>
      <c r="T17" s="19">
        <v>0.35763888888888901</v>
      </c>
      <c r="U17" s="19">
        <v>0.46875</v>
      </c>
      <c r="V17" s="30">
        <f>(T17-U16)*24*60</f>
        <v>10.000000000000844</v>
      </c>
      <c r="W17" s="149">
        <f t="shared" si="4"/>
        <v>159.99999999999983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-3.7499999999977263</v>
      </c>
      <c r="AG17" s="72">
        <f>N17/K17</f>
        <v>0.99822946175637506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1112</v>
      </c>
      <c r="H18" s="78">
        <f>F18*G18</f>
        <v>56033.68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1803.2432432432031</v>
      </c>
      <c r="O18" s="96">
        <f>N18/M18</f>
        <v>150.27027027026693</v>
      </c>
      <c r="P18" s="97">
        <f>M18-J18</f>
        <v>0</v>
      </c>
      <c r="Q18" s="98">
        <f>O18-L18</f>
        <v>-26.229729729733066</v>
      </c>
      <c r="R18" s="99">
        <f>O18/L18</f>
        <v>0.85138963325930272</v>
      </c>
      <c r="S18" s="444"/>
      <c r="T18" s="19">
        <v>0.53819444444444398</v>
      </c>
      <c r="U18" s="19">
        <v>0.56388888888888899</v>
      </c>
      <c r="V18" s="30">
        <f>(T18-U17)*24*60</f>
        <v>99.999999999999318</v>
      </c>
      <c r="W18" s="149">
        <f t="shared" si="4"/>
        <v>37.000000000000824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-314.7567567567969</v>
      </c>
      <c r="AG18" s="72">
        <f>N18/K18</f>
        <v>0.85138963325930272</v>
      </c>
      <c r="AH18" s="405"/>
    </row>
    <row r="19" spans="1:34" ht="15" customHeight="1">
      <c r="A19" s="450"/>
      <c r="B19" s="75" t="s">
        <v>81</v>
      </c>
      <c r="C19" s="76"/>
      <c r="D19" s="59" t="s">
        <v>182</v>
      </c>
      <c r="E19" s="77"/>
      <c r="F19" s="75">
        <f>VLOOKUP(D19,廠價表!$C$1:$E$43,3,0)</f>
        <v>56.61</v>
      </c>
      <c r="G19" s="147">
        <v>2958</v>
      </c>
      <c r="H19" s="78">
        <f>F19*G19</f>
        <v>167452.38</v>
      </c>
      <c r="I19" s="30"/>
      <c r="J19" s="79">
        <f>VLOOKUP(D19,產線配置圖!$A$3:$C$38,2,0)</f>
        <v>16</v>
      </c>
      <c r="K19" s="80">
        <f>VLOOKUP(D19,產線配置圖!$A$3:$C$38,3,0)</f>
        <v>2000</v>
      </c>
      <c r="L19" s="81">
        <f>K19/J19</f>
        <v>125</v>
      </c>
      <c r="M19" s="148">
        <v>16</v>
      </c>
      <c r="N19" s="95">
        <f>G19/W19*60</f>
        <v>1811.0204081632542</v>
      </c>
      <c r="O19" s="96">
        <f>N19/M19</f>
        <v>113.18877551020339</v>
      </c>
      <c r="P19" s="97">
        <f>M19-J19</f>
        <v>0</v>
      </c>
      <c r="Q19" s="98">
        <f>O19-L19</f>
        <v>-11.811224489796615</v>
      </c>
      <c r="R19" s="99">
        <f>O19/L19</f>
        <v>0.90551020408162708</v>
      </c>
      <c r="S19" s="444"/>
      <c r="T19" s="19">
        <v>0.57083333333333297</v>
      </c>
      <c r="U19" s="19">
        <v>0.63888888888888895</v>
      </c>
      <c r="V19" s="30">
        <f>(T19-U18)*24*60</f>
        <v>9.999999999999325</v>
      </c>
      <c r="W19" s="149">
        <f t="shared" si="4"/>
        <v>98.000000000000611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-188.97959183674584</v>
      </c>
      <c r="AG19" s="72">
        <f>N19/K19</f>
        <v>0.90551020408162708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2059</v>
      </c>
      <c r="L26" s="158">
        <f t="shared" si="5"/>
        <v>150.75</v>
      </c>
      <c r="M26" s="155">
        <f t="shared" si="5"/>
        <v>14</v>
      </c>
      <c r="N26" s="155">
        <f t="shared" si="5"/>
        <v>1910.7950795182815</v>
      </c>
      <c r="O26" s="158">
        <f t="shared" si="5"/>
        <v>139.82830311178429</v>
      </c>
      <c r="P26" s="159">
        <f t="shared" ref="P26:P31" si="6">M26-J26</f>
        <v>0</v>
      </c>
      <c r="Q26" s="160">
        <f t="shared" ref="Q26:Q31" si="7">O26-L26</f>
        <v>-10.921696888215706</v>
      </c>
      <c r="R26" s="161">
        <f t="shared" ref="R26:R31" si="8">O26/L26</f>
        <v>0.92755093274815448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-148.20492048171855</v>
      </c>
      <c r="AG26" s="124">
        <f t="shared" ref="AG26:AG31" si="10">N26/K26</f>
        <v>0.92802092254409008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1466</v>
      </c>
      <c r="H27" s="134">
        <f>F27*G27</f>
        <v>83869.86</v>
      </c>
      <c r="I27" s="135"/>
      <c r="J27" s="79">
        <v>16</v>
      </c>
      <c r="K27" s="80">
        <v>1714</v>
      </c>
      <c r="L27" s="138">
        <f>K27/J27</f>
        <v>107.125</v>
      </c>
      <c r="M27" s="170">
        <v>16</v>
      </c>
      <c r="N27" s="140">
        <f>G27/W27*60</f>
        <v>1418.7096774193744</v>
      </c>
      <c r="O27" s="141">
        <f>N27/M27</f>
        <v>88.669354838710902</v>
      </c>
      <c r="P27" s="142">
        <f t="shared" si="6"/>
        <v>0</v>
      </c>
      <c r="Q27" s="143">
        <f t="shared" si="7"/>
        <v>-18.455645161289098</v>
      </c>
      <c r="R27" s="144">
        <f t="shared" si="8"/>
        <v>0.82771859826101191</v>
      </c>
      <c r="S27" s="443">
        <f>R37</f>
        <v>0.85577475456269569</v>
      </c>
      <c r="T27" s="171">
        <v>0.29166666666666702</v>
      </c>
      <c r="U27" s="171">
        <v>0.33472222222222198</v>
      </c>
      <c r="V27" s="135"/>
      <c r="W27" s="146">
        <f t="shared" si="4"/>
        <v>61.99999999999914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-295.29032258062557</v>
      </c>
      <c r="AG27" s="172">
        <f t="shared" si="10"/>
        <v>0.82771859826101191</v>
      </c>
      <c r="AH27" s="403">
        <f>AG37</f>
        <v>0.85599725438492336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1998</v>
      </c>
      <c r="H28" s="91">
        <f>F28*G28</f>
        <v>101238.66</v>
      </c>
      <c r="I28" s="92"/>
      <c r="J28" s="79">
        <v>15</v>
      </c>
      <c r="K28" s="80">
        <v>1714</v>
      </c>
      <c r="L28" s="93">
        <f>K28/J28</f>
        <v>114.26666666666667</v>
      </c>
      <c r="M28" s="94">
        <v>15</v>
      </c>
      <c r="N28" s="95">
        <f>G28/W28*60</f>
        <v>1498.5000000000157</v>
      </c>
      <c r="O28" s="96">
        <f>N28/M28</f>
        <v>99.900000000001043</v>
      </c>
      <c r="P28" s="97">
        <f t="shared" si="6"/>
        <v>0</v>
      </c>
      <c r="Q28" s="98">
        <f t="shared" si="7"/>
        <v>-14.366666666665623</v>
      </c>
      <c r="R28" s="99">
        <f t="shared" si="8"/>
        <v>0.87427071178530669</v>
      </c>
      <c r="S28" s="444"/>
      <c r="T28" s="19">
        <v>0.34027777777777801</v>
      </c>
      <c r="U28" s="19">
        <v>0.39583333333333298</v>
      </c>
      <c r="V28" s="92">
        <f>(T28-U27)*24*60</f>
        <v>8.000000000000691</v>
      </c>
      <c r="W28" s="149">
        <f t="shared" si="4"/>
        <v>79.999999999999162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9"/>
        <v>-215.49999999998431</v>
      </c>
      <c r="AG28" s="99">
        <f t="shared" si="10"/>
        <v>0.87427071178530669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2200</v>
      </c>
      <c r="H29" s="91">
        <f>F29*G29</f>
        <v>125114</v>
      </c>
      <c r="I29" s="92"/>
      <c r="J29" s="79">
        <v>16</v>
      </c>
      <c r="K29" s="80">
        <v>1714</v>
      </c>
      <c r="L29" s="93">
        <f>K29/J29</f>
        <v>107.125</v>
      </c>
      <c r="M29" s="94">
        <v>16</v>
      </c>
      <c r="N29" s="95">
        <f>G29/W29*60</f>
        <v>1450.549450549438</v>
      </c>
      <c r="O29" s="96">
        <f>N29/M29</f>
        <v>90.659340659339875</v>
      </c>
      <c r="P29" s="97">
        <f t="shared" si="6"/>
        <v>0</v>
      </c>
      <c r="Q29" s="98">
        <f t="shared" si="7"/>
        <v>-16.465659340660125</v>
      </c>
      <c r="R29" s="99">
        <f t="shared" si="8"/>
        <v>0.84629489530305602</v>
      </c>
      <c r="S29" s="444"/>
      <c r="T29" s="19">
        <v>0.40208333333333302</v>
      </c>
      <c r="U29" s="19">
        <v>0.46527777777777801</v>
      </c>
      <c r="V29" s="92">
        <f>(T29-U28)*24*60</f>
        <v>9.000000000000048</v>
      </c>
      <c r="W29" s="149">
        <f t="shared" si="4"/>
        <v>91.000000000000796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-263.45054945056199</v>
      </c>
      <c r="AG29" s="99">
        <f t="shared" si="10"/>
        <v>0.84629489530305602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1900</v>
      </c>
      <c r="H30" s="91">
        <f>F30*G30</f>
        <v>108699</v>
      </c>
      <c r="I30" s="92"/>
      <c r="J30" s="79">
        <v>16</v>
      </c>
      <c r="K30" s="80">
        <v>1714</v>
      </c>
      <c r="L30" s="93">
        <f>K30/J30</f>
        <v>107.125</v>
      </c>
      <c r="M30" s="94">
        <v>16</v>
      </c>
      <c r="N30" s="95">
        <f>G30/W30*60</f>
        <v>1561.6438356164508</v>
      </c>
      <c r="O30" s="96">
        <f>N30/M30</f>
        <v>97.602739726028176</v>
      </c>
      <c r="P30" s="97">
        <f t="shared" si="6"/>
        <v>0</v>
      </c>
      <c r="Q30" s="98">
        <f t="shared" si="7"/>
        <v>-9.5222602739718241</v>
      </c>
      <c r="R30" s="99">
        <f t="shared" si="8"/>
        <v>0.91111075590224666</v>
      </c>
      <c r="S30" s="444"/>
      <c r="T30" s="19">
        <v>0.52777777777777801</v>
      </c>
      <c r="U30" s="19">
        <v>0.57847222222222205</v>
      </c>
      <c r="V30" s="92">
        <f>(T30-U29)*24*60</f>
        <v>90</v>
      </c>
      <c r="W30" s="149">
        <f t="shared" si="4"/>
        <v>72.999999999999417</v>
      </c>
      <c r="X30" s="174">
        <v>0.49652777777777801</v>
      </c>
      <c r="Y30" s="301">
        <v>0.53819444444444398</v>
      </c>
      <c r="Z30" s="335"/>
      <c r="AA30" s="335"/>
      <c r="AB30" s="409"/>
      <c r="AC30" s="409"/>
      <c r="AD30" s="92"/>
      <c r="AE30" s="92"/>
      <c r="AF30" s="312">
        <f t="shared" si="9"/>
        <v>-152.35616438354919</v>
      </c>
      <c r="AG30" s="99">
        <f t="shared" si="10"/>
        <v>0.91111075590224666</v>
      </c>
      <c r="AH30" s="439"/>
    </row>
    <row r="31" spans="1:34" ht="15" customHeight="1">
      <c r="A31" s="441"/>
      <c r="B31" s="75" t="s">
        <v>81</v>
      </c>
      <c r="C31" s="88"/>
      <c r="D31" s="59" t="s">
        <v>116</v>
      </c>
      <c r="E31" s="89"/>
      <c r="F31" s="75">
        <f>VLOOKUP(D31,廠價表!$C$1:$E$43,3,0)</f>
        <v>50.67</v>
      </c>
      <c r="G31" s="90">
        <v>1805</v>
      </c>
      <c r="H31" s="91">
        <f>F31*G31</f>
        <v>91459.35</v>
      </c>
      <c r="I31" s="92"/>
      <c r="J31" s="79">
        <v>15</v>
      </c>
      <c r="K31" s="80">
        <v>1714</v>
      </c>
      <c r="L31" s="93">
        <f>K31/J31</f>
        <v>114.26666666666667</v>
      </c>
      <c r="M31" s="94">
        <v>15</v>
      </c>
      <c r="N31" s="95">
        <f>G31/W31*60</f>
        <v>1406.4935064935141</v>
      </c>
      <c r="O31" s="96">
        <f>N31/M31</f>
        <v>93.766233766234279</v>
      </c>
      <c r="P31" s="97">
        <f t="shared" si="6"/>
        <v>0</v>
      </c>
      <c r="Q31" s="98">
        <f t="shared" si="7"/>
        <v>-20.500432900432386</v>
      </c>
      <c r="R31" s="99">
        <f t="shared" si="8"/>
        <v>0.8205913106729954</v>
      </c>
      <c r="S31" s="444"/>
      <c r="T31" s="19">
        <v>0.58541666666666703</v>
      </c>
      <c r="U31" s="19">
        <v>0.63888888888888895</v>
      </c>
      <c r="V31" s="92"/>
      <c r="W31" s="149">
        <f t="shared" si="4"/>
        <v>76.999999999999574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-307.50649350648587</v>
      </c>
      <c r="AG31" s="99">
        <f t="shared" si="10"/>
        <v>0.8205913106729954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15.6</v>
      </c>
      <c r="K37" s="155">
        <f t="shared" si="11"/>
        <v>1714</v>
      </c>
      <c r="L37" s="158">
        <f t="shared" si="11"/>
        <v>109.98166666666665</v>
      </c>
      <c r="M37" s="155">
        <f t="shared" si="11"/>
        <v>15.6</v>
      </c>
      <c r="N37" s="155">
        <f t="shared" si="11"/>
        <v>1467.1792940157586</v>
      </c>
      <c r="O37" s="158">
        <f t="shared" si="11"/>
        <v>94.119533798062861</v>
      </c>
      <c r="P37" s="159">
        <f>M37-J37</f>
        <v>0</v>
      </c>
      <c r="Q37" s="160">
        <f>N37-K37</f>
        <v>-246.82070598424139</v>
      </c>
      <c r="R37" s="161">
        <f>O37/L37</f>
        <v>0.85577475456269569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-246.82070598424139</v>
      </c>
      <c r="AG37" s="124">
        <f>N37/K37</f>
        <v>0.85599725438492336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1890</v>
      </c>
      <c r="H38" s="134">
        <f>F38*G38</f>
        <v>94329.9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1597.1830985915353</v>
      </c>
      <c r="O38" s="141">
        <f>N38/M38</f>
        <v>106.47887323943569</v>
      </c>
      <c r="P38" s="142">
        <f>M38-J38</f>
        <v>0</v>
      </c>
      <c r="Q38" s="143">
        <f>O38-L38</f>
        <v>-7.7877934272309801</v>
      </c>
      <c r="R38" s="144">
        <f>O38/L38</f>
        <v>0.93184544841979888</v>
      </c>
      <c r="S38" s="433">
        <f>R48</f>
        <v>0.9164117870379469</v>
      </c>
      <c r="T38" s="191">
        <v>0.33333333333333298</v>
      </c>
      <c r="U38" s="191">
        <v>0.38263888888888897</v>
      </c>
      <c r="V38" s="192"/>
      <c r="W38" s="193">
        <f t="shared" si="4"/>
        <v>71.000000000000625</v>
      </c>
      <c r="X38" s="194"/>
      <c r="Y38" s="302"/>
      <c r="Z38" s="336"/>
      <c r="AA38" s="336"/>
      <c r="AB38" s="435" t="s">
        <v>186</v>
      </c>
      <c r="AC38" s="435"/>
      <c r="AD38" s="192"/>
      <c r="AE38" s="192"/>
      <c r="AF38" s="313">
        <f>N38-K38</f>
        <v>-116.81690140846467</v>
      </c>
      <c r="AG38" s="195">
        <f>N38/K38</f>
        <v>0.93184544841979888</v>
      </c>
      <c r="AH38" s="436">
        <f>AG48</f>
        <v>0.88278649110610508</v>
      </c>
    </row>
    <row r="39" spans="1:34" ht="15" customHeight="1">
      <c r="A39" s="431"/>
      <c r="B39" s="75" t="s">
        <v>118</v>
      </c>
      <c r="C39" s="207"/>
      <c r="D39" s="198" t="s">
        <v>124</v>
      </c>
      <c r="E39" s="178"/>
      <c r="F39" s="75">
        <f>VLOOKUP(D39,廠價表!$C$1:$E$43,3,0)</f>
        <v>44.3</v>
      </c>
      <c r="G39" s="199">
        <v>3827</v>
      </c>
      <c r="H39" s="91">
        <f>F39*G39</f>
        <v>169536.09999999998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1444.1509433962219</v>
      </c>
      <c r="O39" s="203">
        <f>N39/M39</f>
        <v>84.950055493895405</v>
      </c>
      <c r="P39" s="97">
        <f>M39-J39</f>
        <v>-1</v>
      </c>
      <c r="Q39" s="98">
        <f>O39-L39</f>
        <v>-1.9943889505490375</v>
      </c>
      <c r="R39" s="99">
        <f>O39/L39</f>
        <v>0.97706134114384491</v>
      </c>
      <c r="S39" s="434"/>
      <c r="T39" s="20">
        <v>0.389583333333333</v>
      </c>
      <c r="U39" s="210">
        <v>0.5</v>
      </c>
      <c r="V39" s="92">
        <f>(T39-U38)*24*60</f>
        <v>9.9999999999994049</v>
      </c>
      <c r="W39" s="205">
        <f t="shared" si="4"/>
        <v>159.00000000000048</v>
      </c>
      <c r="X39" s="22"/>
      <c r="Y39" s="84"/>
      <c r="Z39" s="90"/>
      <c r="AA39" s="90"/>
      <c r="AB39" s="408" t="s">
        <v>187</v>
      </c>
      <c r="AC39" s="408"/>
      <c r="AD39" s="200"/>
      <c r="AE39" s="200"/>
      <c r="AF39" s="314">
        <f>N39-K39</f>
        <v>-120.84905660377808</v>
      </c>
      <c r="AG39" s="206">
        <f>N39/K39</f>
        <v>0.92278015552474246</v>
      </c>
      <c r="AH39" s="437"/>
    </row>
    <row r="40" spans="1:34" ht="15" customHeight="1">
      <c r="A40" s="431"/>
      <c r="B40" s="75" t="s">
        <v>118</v>
      </c>
      <c r="C40" s="86"/>
      <c r="D40" s="198" t="s">
        <v>124</v>
      </c>
      <c r="E40" s="87"/>
      <c r="F40" s="75">
        <f>VLOOKUP(D40,廠價表!$C$1:$E$43,3,0)</f>
        <v>44.3</v>
      </c>
      <c r="G40" s="199">
        <v>1770</v>
      </c>
      <c r="H40" s="91">
        <f>F40*G40</f>
        <v>78411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1234.8837209302162</v>
      </c>
      <c r="O40" s="203">
        <f>N40/M40</f>
        <v>72.640218878248007</v>
      </c>
      <c r="P40" s="97">
        <f>M40-J40</f>
        <v>-1</v>
      </c>
      <c r="Q40" s="98">
        <f>O40-L40</f>
        <v>-14.304225566196436</v>
      </c>
      <c r="R40" s="99">
        <f>O40/L40</f>
        <v>0.835478555788156</v>
      </c>
      <c r="S40" s="416"/>
      <c r="T40" s="210">
        <v>0.55833333333333302</v>
      </c>
      <c r="U40" s="210">
        <v>0.61805555555555602</v>
      </c>
      <c r="V40" s="92"/>
      <c r="W40" s="205">
        <f t="shared" si="4"/>
        <v>86.000000000001137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-330.11627906978379</v>
      </c>
      <c r="AG40" s="206">
        <f>N40/K40</f>
        <v>0.78906308046659179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1425.4059209726577</v>
      </c>
      <c r="O48" s="158">
        <f t="shared" si="13"/>
        <v>88.023049203859685</v>
      </c>
      <c r="P48" s="221">
        <f>M48-J48</f>
        <v>-0.66666666666666785</v>
      </c>
      <c r="Q48" s="222">
        <f>N48-K48</f>
        <v>-189.26074569400907</v>
      </c>
      <c r="R48" s="223">
        <f t="shared" ref="R48:R53" si="14">O48/L48</f>
        <v>0.9164117870379469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5">N48-K48</f>
        <v>-189.26074569400907</v>
      </c>
      <c r="AG48" s="162">
        <f t="shared" ref="AG48:AG53" si="16">N48/K48</f>
        <v>0.88278649110610508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2210</v>
      </c>
      <c r="H49" s="134">
        <f>F49*G49</f>
        <v>109439.20000000001</v>
      </c>
      <c r="I49" s="135"/>
      <c r="J49" s="136">
        <f>VLOOKUP(D49,產線配置圖!$A$3:$C$38,2,0)</f>
        <v>17</v>
      </c>
      <c r="K49" s="137">
        <v>1565</v>
      </c>
      <c r="L49" s="138">
        <f>K49/J49</f>
        <v>92.058823529411768</v>
      </c>
      <c r="M49" s="170">
        <v>17</v>
      </c>
      <c r="N49" s="140">
        <f>G49/W49*60</f>
        <v>1489.8876404494515</v>
      </c>
      <c r="O49" s="141">
        <f>N49/M49</f>
        <v>87.640449438203035</v>
      </c>
      <c r="P49" s="229">
        <f>M49-J49</f>
        <v>0</v>
      </c>
      <c r="Q49" s="230">
        <f>O49-L49</f>
        <v>-4.418374091208733</v>
      </c>
      <c r="R49" s="52">
        <f t="shared" si="14"/>
        <v>0.95200488207632683</v>
      </c>
      <c r="S49" s="415">
        <f>R58</f>
        <v>0.94582066484634186</v>
      </c>
      <c r="T49" s="191">
        <v>0.29166666666666702</v>
      </c>
      <c r="U49" s="191">
        <v>0.35347222222222202</v>
      </c>
      <c r="V49" s="55"/>
      <c r="W49" s="193">
        <f t="shared" si="4"/>
        <v>88.999999999999204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5"/>
        <v>-75.11235955054849</v>
      </c>
      <c r="AG49" s="52">
        <f t="shared" si="16"/>
        <v>0.95200488207632683</v>
      </c>
      <c r="AH49" s="403">
        <f>AG58</f>
        <v>0.93408705769920131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4745</v>
      </c>
      <c r="H50" s="231">
        <f>F50*G50</f>
        <v>237107.65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1694.6428571428519</v>
      </c>
      <c r="O50" s="235">
        <f>N50/M50</f>
        <v>105.91517857142824</v>
      </c>
      <c r="P50" s="74">
        <f>M50-J50</f>
        <v>0</v>
      </c>
      <c r="Q50" s="83">
        <f>O50-L50</f>
        <v>-6.5848214285717575</v>
      </c>
      <c r="R50" s="72">
        <f t="shared" si="14"/>
        <v>0.94146825396825107</v>
      </c>
      <c r="S50" s="416"/>
      <c r="T50" s="21">
        <v>0.36319444444444399</v>
      </c>
      <c r="U50" s="21">
        <v>0.47986111111111102</v>
      </c>
      <c r="V50" s="30">
        <f>(T50-U49)*24*60</f>
        <v>13.999999999999631</v>
      </c>
      <c r="W50" s="236">
        <f t="shared" si="4"/>
        <v>168.00000000000051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5"/>
        <v>-105.35714285714812</v>
      </c>
      <c r="AG50" s="72">
        <f t="shared" si="16"/>
        <v>0.94146825396825107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1471</v>
      </c>
      <c r="H51" s="231">
        <f>F51*G51</f>
        <v>73505.87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1548.4210526315887</v>
      </c>
      <c r="O51" s="235">
        <f>N51/M51</f>
        <v>103.22807017543924</v>
      </c>
      <c r="P51" s="74">
        <f>M51-J51</f>
        <v>-1</v>
      </c>
      <c r="Q51" s="83">
        <f>O51-L51</f>
        <v>-9.2719298245607575</v>
      </c>
      <c r="R51" s="72">
        <f t="shared" si="14"/>
        <v>0.91758284600390438</v>
      </c>
      <c r="S51" s="416"/>
      <c r="T51" s="21">
        <v>0.54236111111111096</v>
      </c>
      <c r="U51" s="21">
        <v>0.58194444444444404</v>
      </c>
      <c r="V51" s="30">
        <f>(T51-U50)*24*60</f>
        <v>89.999999999999915</v>
      </c>
      <c r="W51" s="236">
        <f t="shared" si="4"/>
        <v>56.999999999999638</v>
      </c>
      <c r="X51" s="22"/>
      <c r="Y51" s="84"/>
      <c r="Z51" s="90"/>
      <c r="AA51" s="90"/>
      <c r="AB51" s="409" t="s">
        <v>188</v>
      </c>
      <c r="AC51" s="409"/>
      <c r="AD51" s="92"/>
      <c r="AE51" s="92"/>
      <c r="AF51" s="307">
        <f t="shared" si="15"/>
        <v>-251.57894736841126</v>
      </c>
      <c r="AG51" s="72">
        <f t="shared" si="16"/>
        <v>0.86023391812866046</v>
      </c>
      <c r="AH51" s="405"/>
    </row>
    <row r="52" spans="1:34" ht="15" customHeight="1">
      <c r="A52" s="428"/>
      <c r="B52" s="101" t="s">
        <v>81</v>
      </c>
      <c r="C52" s="102"/>
      <c r="D52" s="103" t="s">
        <v>147</v>
      </c>
      <c r="E52" s="104"/>
      <c r="F52" s="75">
        <f>VLOOKUP(D52,廠價表!$C$1:$E$43,3,0)</f>
        <v>56.87</v>
      </c>
      <c r="G52" s="202">
        <v>1360</v>
      </c>
      <c r="H52" s="231">
        <f>F52*G52</f>
        <v>77343.199999999997</v>
      </c>
      <c r="I52" s="30"/>
      <c r="J52" s="79">
        <v>16</v>
      </c>
      <c r="K52" s="80">
        <v>1714</v>
      </c>
      <c r="L52" s="81">
        <f>K52/J52</f>
        <v>107.125</v>
      </c>
      <c r="M52" s="108">
        <v>16</v>
      </c>
      <c r="N52" s="234">
        <f>G52/W52*60</f>
        <v>1699.9999999999663</v>
      </c>
      <c r="O52" s="235">
        <f>N52/M52</f>
        <v>106.2499999999979</v>
      </c>
      <c r="P52" s="74">
        <f>M52-J52</f>
        <v>0</v>
      </c>
      <c r="Q52" s="83">
        <f>O52-L52</f>
        <v>-0.87500000000210321</v>
      </c>
      <c r="R52" s="72">
        <f t="shared" si="14"/>
        <v>0.99183197199531292</v>
      </c>
      <c r="S52" s="416"/>
      <c r="T52" s="21">
        <v>0.58819444444444402</v>
      </c>
      <c r="U52" s="21">
        <v>0.62152777777777801</v>
      </c>
      <c r="V52" s="30">
        <f>(T52-U51)*24*60</f>
        <v>8.999999999999968</v>
      </c>
      <c r="W52" s="236">
        <f t="shared" si="4"/>
        <v>48.000000000000952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5"/>
        <v>-14.000000000033651</v>
      </c>
      <c r="AG52" s="72">
        <f t="shared" si="16"/>
        <v>0.99183197199531292</v>
      </c>
      <c r="AH52" s="405"/>
    </row>
    <row r="53" spans="1:34" ht="15" customHeight="1">
      <c r="A53" s="428"/>
      <c r="B53" s="101" t="s">
        <v>118</v>
      </c>
      <c r="C53" s="102"/>
      <c r="D53" s="103" t="s">
        <v>123</v>
      </c>
      <c r="E53" s="104"/>
      <c r="F53" s="75">
        <f>VLOOKUP(D53,廠價表!$C$1:$E$43,3,0)</f>
        <v>49.91</v>
      </c>
      <c r="G53" s="202">
        <v>1089</v>
      </c>
      <c r="H53" s="231">
        <f>F53*G53</f>
        <v>54351.99</v>
      </c>
      <c r="I53" s="30"/>
      <c r="J53" s="79">
        <f>VLOOKUP(D53,產線配置圖!$A$3:$C$38,2,0)</f>
        <v>15</v>
      </c>
      <c r="K53" s="80">
        <f>VLOOKUP(D53,產線配置圖!$A$3:$C$38,3,0)</f>
        <v>1714</v>
      </c>
      <c r="L53" s="81">
        <f>K53/J53</f>
        <v>114.26666666666667</v>
      </c>
      <c r="M53" s="108">
        <v>15</v>
      </c>
      <c r="N53" s="234">
        <f>G53/W53*60</f>
        <v>1593.6585365853778</v>
      </c>
      <c r="O53" s="235">
        <f>N53/M53</f>
        <v>106.24390243902518</v>
      </c>
      <c r="P53" s="74">
        <f>M53-J53</f>
        <v>0</v>
      </c>
      <c r="Q53" s="83">
        <f>O53-L53</f>
        <v>-8.0227642276414883</v>
      </c>
      <c r="R53" s="72">
        <f t="shared" si="14"/>
        <v>0.92978911119333585</v>
      </c>
      <c r="S53" s="416"/>
      <c r="T53" s="21">
        <v>0.62847222222222199</v>
      </c>
      <c r="U53" s="21">
        <v>0.656944444444444</v>
      </c>
      <c r="V53" s="30">
        <f>(T53-U52)*24*60</f>
        <v>9.999999999999325</v>
      </c>
      <c r="W53" s="236">
        <f t="shared" si="4"/>
        <v>40.999999999999694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5"/>
        <v>-120.34146341462224</v>
      </c>
      <c r="AG53" s="72">
        <f t="shared" si="16"/>
        <v>0.92978911119333596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7">AVERAGE(J49:J57)</f>
        <v>16</v>
      </c>
      <c r="K58" s="120">
        <f t="shared" si="17"/>
        <v>1718.6</v>
      </c>
      <c r="L58" s="117">
        <f t="shared" si="17"/>
        <v>107.6900980392157</v>
      </c>
      <c r="M58" s="120">
        <f t="shared" si="17"/>
        <v>15.8</v>
      </c>
      <c r="N58" s="120">
        <f t="shared" si="17"/>
        <v>1605.3220173618472</v>
      </c>
      <c r="O58" s="117">
        <f t="shared" si="17"/>
        <v>101.85552012481872</v>
      </c>
      <c r="P58" s="121">
        <f>M58-J58</f>
        <v>-0.19999999999999929</v>
      </c>
      <c r="Q58" s="122">
        <f>N58-K58</f>
        <v>-113.27798263815271</v>
      </c>
      <c r="R58" s="123">
        <f t="shared" ref="R58:R63" si="18">O58/L58</f>
        <v>0.94582066484634186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-113.27798263815271</v>
      </c>
      <c r="AG58" s="124">
        <f>N58/K58</f>
        <v>0.93408705769920131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2366</v>
      </c>
      <c r="H59" s="243">
        <f>F59*G59</f>
        <v>63858.34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1352.000000000013</v>
      </c>
      <c r="O59" s="138">
        <f>N59/M59</f>
        <v>104.00000000000099</v>
      </c>
      <c r="P59" s="56">
        <f>M59-J59</f>
        <v>0</v>
      </c>
      <c r="Q59" s="230">
        <f>O59-L59</f>
        <v>-16.384615384614392</v>
      </c>
      <c r="R59" s="52">
        <f t="shared" si="18"/>
        <v>0.86389776357828296</v>
      </c>
      <c r="S59" s="415">
        <f>R69</f>
        <v>0.80469872050534275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-212.99999999998704</v>
      </c>
      <c r="AG59" s="246">
        <f>N59/K59</f>
        <v>0.86389776357828307</v>
      </c>
      <c r="AH59" s="403">
        <f>AG69</f>
        <v>0.88196951522776479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1689</v>
      </c>
      <c r="H60" s="78">
        <f>F60*G60</f>
        <v>47731.14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1447.7142857142892</v>
      </c>
      <c r="O60" s="81">
        <f>N60/M60</f>
        <v>120.64285714285744</v>
      </c>
      <c r="P60" s="74">
        <f>M60-J60</f>
        <v>0</v>
      </c>
      <c r="Q60" s="83">
        <f>O60-L60</f>
        <v>-9.77380952380922</v>
      </c>
      <c r="R60" s="72">
        <f t="shared" si="18"/>
        <v>0.92505705157462581</v>
      </c>
      <c r="S60" s="425"/>
      <c r="T60" s="22">
        <v>0.37152777777777801</v>
      </c>
      <c r="U60" s="22">
        <v>0.42013888888888901</v>
      </c>
      <c r="V60" s="30">
        <f>(T60-U59)*24*60</f>
        <v>10.000000000000844</v>
      </c>
      <c r="W60" s="248">
        <f t="shared" si="4"/>
        <v>69.999999999999829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-117.28571428571081</v>
      </c>
      <c r="AG60" s="249">
        <f>N60/K60</f>
        <v>0.9250570515746257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2335</v>
      </c>
      <c r="H61" s="254">
        <f>F61*G61</f>
        <v>65987.100000000006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1474.7368421052684</v>
      </c>
      <c r="O61" s="238">
        <f>N61/M61</f>
        <v>134.0669856459335</v>
      </c>
      <c r="P61" s="111">
        <f>M61-J61</f>
        <v>2</v>
      </c>
      <c r="Q61" s="255">
        <f>O61-L61</f>
        <v>-47.710792131844272</v>
      </c>
      <c r="R61" s="85">
        <f t="shared" si="18"/>
        <v>0.73753231712310607</v>
      </c>
      <c r="S61" s="416"/>
      <c r="T61" s="22">
        <v>0.43055555555555602</v>
      </c>
      <c r="U61" s="22">
        <v>0.49652777777777801</v>
      </c>
      <c r="V61" s="30">
        <f>(T61-U60)*24*60</f>
        <v>15.000000000000506</v>
      </c>
      <c r="W61" s="256">
        <f t="shared" si="4"/>
        <v>94.999999999999659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-161.26315789473165</v>
      </c>
      <c r="AG61" s="247">
        <f>N61/K61</f>
        <v>0.90142838759490729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1241</v>
      </c>
      <c r="H62" s="254">
        <f>F62*G62</f>
        <v>35070.660000000003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1489.2000000000103</v>
      </c>
      <c r="O62" s="238">
        <f>N62/M62</f>
        <v>135.38181818181911</v>
      </c>
      <c r="P62" s="111">
        <f>M62-J62</f>
        <v>2</v>
      </c>
      <c r="Q62" s="255">
        <f>O62-L62</f>
        <v>-46.395959595958658</v>
      </c>
      <c r="R62" s="85">
        <f t="shared" si="18"/>
        <v>0.74476550344521519</v>
      </c>
      <c r="S62" s="416"/>
      <c r="T62" s="22">
        <v>0.54861111111111105</v>
      </c>
      <c r="U62" s="22">
        <v>0.58333333333333304</v>
      </c>
      <c r="V62" s="30">
        <f>(T62-U61)*24*60</f>
        <v>74.999999999999574</v>
      </c>
      <c r="W62" s="248">
        <f t="shared" si="4"/>
        <v>49.999999999999659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-146.79999999998972</v>
      </c>
      <c r="AG62" s="247">
        <f>N62/K62</f>
        <v>0.91026894865526298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1263</v>
      </c>
      <c r="H63" s="254">
        <f>F63*G63</f>
        <v>34088.369999999995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1263.0000000000211</v>
      </c>
      <c r="O63" s="238">
        <f>N63/M63</f>
        <v>97.15384615384778</v>
      </c>
      <c r="P63" s="111">
        <f>M63-J63</f>
        <v>0</v>
      </c>
      <c r="Q63" s="255">
        <f>O63-L63</f>
        <v>-23.230769230767606</v>
      </c>
      <c r="R63" s="85">
        <f t="shared" si="18"/>
        <v>0.80702875399362373</v>
      </c>
      <c r="S63" s="416"/>
      <c r="T63" s="22">
        <v>0.59027777777777801</v>
      </c>
      <c r="U63" s="22">
        <v>0.63194444444444398</v>
      </c>
      <c r="V63" s="30">
        <f>(T63-U62)*24*60</f>
        <v>10.000000000000764</v>
      </c>
      <c r="W63" s="248">
        <f t="shared" si="4"/>
        <v>59.999999999998991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9">AVERAGE(J59:J68)</f>
        <v>11.2</v>
      </c>
      <c r="K69" s="240">
        <f t="shared" si="19"/>
        <v>1593.4</v>
      </c>
      <c r="L69" s="268">
        <f t="shared" si="19"/>
        <v>146.94829059829061</v>
      </c>
      <c r="M69" s="240">
        <f t="shared" si="19"/>
        <v>12</v>
      </c>
      <c r="N69" s="240">
        <f t="shared" si="19"/>
        <v>1405.3302255639205</v>
      </c>
      <c r="O69" s="268">
        <f t="shared" si="19"/>
        <v>118.24910142489175</v>
      </c>
      <c r="P69" s="269">
        <f>M69-J69</f>
        <v>0.80000000000000071</v>
      </c>
      <c r="Q69" s="222">
        <f>N69-K69</f>
        <v>-188.06977443607957</v>
      </c>
      <c r="R69" s="123">
        <f>O69/L69</f>
        <v>0.80469872050534275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-188.06977443607957</v>
      </c>
      <c r="AG69" s="124">
        <f>N69/K69</f>
        <v>0.88196951522776479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2122</v>
      </c>
      <c r="H70" s="243">
        <f>F70*G70</f>
        <v>107521.74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11</v>
      </c>
      <c r="N70" s="137">
        <f>G70/W70*60</f>
        <v>748.94117647059193</v>
      </c>
      <c r="O70" s="138">
        <f>N70/M70</f>
        <v>68.085561497326538</v>
      </c>
      <c r="P70" s="56">
        <f>M70-J70</f>
        <v>-2</v>
      </c>
      <c r="Q70" s="230">
        <f>O70-L70</f>
        <v>-42.683669271904236</v>
      </c>
      <c r="R70" s="52">
        <f>O70/L70</f>
        <v>0.61466131907308674</v>
      </c>
      <c r="S70" s="415">
        <f>R79</f>
        <v>0.61466131907308674</v>
      </c>
      <c r="T70" s="245">
        <v>0.33680555555555602</v>
      </c>
      <c r="U70" s="245">
        <v>0.45486111111111099</v>
      </c>
      <c r="V70" s="55"/>
      <c r="W70" s="54">
        <f t="shared" si="4"/>
        <v>169.99999999999915</v>
      </c>
      <c r="X70" s="270"/>
      <c r="Y70" s="292"/>
      <c r="Z70" s="169">
        <v>1</v>
      </c>
      <c r="AA70" s="169">
        <v>20</v>
      </c>
      <c r="AB70" s="420" t="s">
        <v>189</v>
      </c>
      <c r="AC70" s="420"/>
      <c r="AD70" s="135"/>
      <c r="AE70" s="135"/>
      <c r="AF70" s="310">
        <f>N70-K70</f>
        <v>-691.05882352940807</v>
      </c>
      <c r="AG70" s="246">
        <f>N70/K70</f>
        <v>0.52009803921568887</v>
      </c>
      <c r="AH70" s="403">
        <f>AG79</f>
        <v>0.52009803921568887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20">AVERAGE(J70:J78)</f>
        <v>13</v>
      </c>
      <c r="K79" s="240">
        <f t="shared" si="20"/>
        <v>1440</v>
      </c>
      <c r="L79" s="268">
        <f t="shared" si="20"/>
        <v>110.76923076923077</v>
      </c>
      <c r="M79" s="240">
        <f t="shared" si="20"/>
        <v>11</v>
      </c>
      <c r="N79" s="240">
        <f t="shared" si="20"/>
        <v>748.94117647059193</v>
      </c>
      <c r="O79" s="268">
        <f t="shared" si="20"/>
        <v>68.085561497326538</v>
      </c>
      <c r="P79" s="269">
        <f>M79-J79</f>
        <v>-2</v>
      </c>
      <c r="Q79" s="222">
        <f>N79-K79</f>
        <v>-691.05882352940807</v>
      </c>
      <c r="R79" s="223">
        <f>O79/L79</f>
        <v>0.61466131907308674</v>
      </c>
      <c r="S79" s="419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20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-691.05882352940807</v>
      </c>
      <c r="AG79" s="124">
        <f>N79/K79</f>
        <v>0.52009803921568887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3:S4"/>
    <mergeCell ref="J1:L2"/>
    <mergeCell ref="M1:O2"/>
    <mergeCell ref="AD3:AE3"/>
    <mergeCell ref="P1:S2"/>
    <mergeCell ref="T1:Y2"/>
    <mergeCell ref="AB1:AC2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D3:E4"/>
    <mergeCell ref="F3:F4"/>
    <mergeCell ref="G3:G4"/>
    <mergeCell ref="J3:J4"/>
    <mergeCell ref="K3:K4"/>
    <mergeCell ref="L3:L4"/>
    <mergeCell ref="R3:R4"/>
    <mergeCell ref="Q3:Q4"/>
    <mergeCell ref="M3:M4"/>
    <mergeCell ref="AF1:AH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H3:AH4"/>
    <mergeCell ref="AF3:AF4"/>
    <mergeCell ref="AB12:AC12"/>
    <mergeCell ref="AB13:AC13"/>
    <mergeCell ref="AG3:AG4"/>
    <mergeCell ref="A2:B2"/>
    <mergeCell ref="A3:A4"/>
    <mergeCell ref="B3:B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8:AC3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B26:AC2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37:E37"/>
    <mergeCell ref="AB37:AC37"/>
    <mergeCell ref="A38:A48"/>
    <mergeCell ref="S38:S48"/>
    <mergeCell ref="D48:E48"/>
    <mergeCell ref="A27:A37"/>
    <mergeCell ref="S27:S37"/>
    <mergeCell ref="AB27:AC2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34F28A-4E8C-4DF8-806A-CFCFE421D4E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1F64-796B-46C7-A2AC-62ED4F0C83F4}">
  <dimension ref="B1:O26"/>
  <sheetViews>
    <sheetView zoomScale="70" zoomScaleNormal="70" workbookViewId="0">
      <selection activeCell="AB62" sqref="AB62:AC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46128</v>
      </c>
      <c r="E3" s="399"/>
      <c r="F3" s="3" t="s">
        <v>72</v>
      </c>
      <c r="G3" s="400">
        <f>'0416'!E1</f>
        <v>59653</v>
      </c>
      <c r="H3" s="400"/>
      <c r="I3" s="3" t="s">
        <v>2</v>
      </c>
      <c r="J3" s="401">
        <f>'0416'!G1</f>
        <v>2892194.49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127.43570856975271</v>
      </c>
      <c r="G6" s="397"/>
      <c r="H6" s="382">
        <f>AVERAGE(D13:H13)</f>
        <v>122.20500840336135</v>
      </c>
      <c r="I6" s="382"/>
      <c r="J6" s="382">
        <f>AVERAGE(I13)</f>
        <v>153.58920940170941</v>
      </c>
      <c r="K6" s="382"/>
      <c r="L6" s="383">
        <f>SUM(D18:J18)</f>
        <v>1</v>
      </c>
      <c r="M6" s="385">
        <f>SUM(D19:J19)</f>
        <v>5</v>
      </c>
      <c r="N6" s="386">
        <f>SUM(D20:J20)</f>
        <v>1</v>
      </c>
      <c r="O6" s="385">
        <f>SUM(D20:J20)</f>
        <v>1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113.75627121315499</v>
      </c>
      <c r="G7" s="389"/>
      <c r="H7" s="390">
        <f>AVERAGE(D14:H14)</f>
        <v>111.72570727396776</v>
      </c>
      <c r="I7" s="390"/>
      <c r="J7" s="390">
        <f>AVERAGE(I14)</f>
        <v>123.90909090909111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0.89265616748927012</v>
      </c>
      <c r="G8" s="374"/>
      <c r="H8" s="374">
        <f>H7/H6</f>
        <v>0.91424818617249615</v>
      </c>
      <c r="I8" s="374"/>
      <c r="J8" s="374">
        <f>J7/J6</f>
        <v>0.80675648629070962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VALUE('0416'!L15)</f>
        <v>133.76190476190476</v>
      </c>
      <c r="E13" s="13">
        <f>VALUE('0416'!L26)</f>
        <v>162.11111111111111</v>
      </c>
      <c r="F13" s="13">
        <f>VALUE('0416'!L37)</f>
        <v>108.55333333333333</v>
      </c>
      <c r="G13" s="13">
        <f>VALUE('0416'!L48)</f>
        <v>100.60555555555555</v>
      </c>
      <c r="H13" s="13">
        <f>VALUE('0416'!L58)</f>
        <v>105.99313725490195</v>
      </c>
      <c r="I13" s="13">
        <f>VALUE('0416'!L69)</f>
        <v>153.58920940170941</v>
      </c>
      <c r="J13" s="13">
        <f>'0416'!L79</f>
        <v>110.76923076923077</v>
      </c>
    </row>
    <row r="14" spans="2:15" ht="39.950000000000003" customHeight="1">
      <c r="B14" s="368"/>
      <c r="C14" s="12" t="s">
        <v>100</v>
      </c>
      <c r="D14" s="13">
        <f>VALUE('0416'!O15)</f>
        <v>125.06858224992816</v>
      </c>
      <c r="E14" s="13">
        <f>VALUE('0416'!O26)</f>
        <v>149.02828282828318</v>
      </c>
      <c r="F14" s="13">
        <f>VALUE('0416'!O37)</f>
        <v>91.051026392961575</v>
      </c>
      <c r="G14" s="13">
        <f>VALUE('0416'!O48)</f>
        <v>94.243327008223332</v>
      </c>
      <c r="H14" s="13">
        <f>VALUE('0416'!O58)</f>
        <v>99.237317890442611</v>
      </c>
      <c r="I14" s="13">
        <f>VALUE('0416'!O69)</f>
        <v>123.90909090909111</v>
      </c>
      <c r="J14" s="13">
        <f>'0416'!O79</f>
        <v>102.19114219114221</v>
      </c>
    </row>
    <row r="15" spans="2:15" ht="39.950000000000003" customHeight="1">
      <c r="B15" s="369"/>
      <c r="C15" s="10" t="s">
        <v>26</v>
      </c>
      <c r="D15" s="14">
        <f t="shared" ref="D15:I15" si="1">D14/D13</f>
        <v>0.93500898086453943</v>
      </c>
      <c r="E15" s="14">
        <f t="shared" si="1"/>
        <v>0.9192971524705611</v>
      </c>
      <c r="F15" s="14">
        <f t="shared" si="1"/>
        <v>0.83876766928356183</v>
      </c>
      <c r="G15" s="14">
        <f t="shared" si="1"/>
        <v>0.9367606638400906</v>
      </c>
      <c r="H15" s="14">
        <f t="shared" si="1"/>
        <v>0.93626172845311362</v>
      </c>
      <c r="I15" s="14">
        <f t="shared" si="1"/>
        <v>0.80675648629070962</v>
      </c>
      <c r="J15" s="15">
        <f>'0416'!S70</f>
        <v>0.92255892255892269</v>
      </c>
    </row>
    <row r="16" spans="2:15" ht="17.25" customHeight="1">
      <c r="B16" s="370" t="s">
        <v>101</v>
      </c>
      <c r="C16" s="10" t="s">
        <v>34</v>
      </c>
      <c r="D16" s="16">
        <f>'0416'!T5</f>
        <v>0.29166666666666702</v>
      </c>
      <c r="E16" s="16">
        <f>'0416'!T16</f>
        <v>0.29027777777777802</v>
      </c>
      <c r="F16" s="16">
        <f>'0416'!T27</f>
        <v>0.29166666666666702</v>
      </c>
      <c r="G16" s="16">
        <f>'0416'!T38</f>
        <v>0.33333333333333298</v>
      </c>
      <c r="H16" s="16">
        <f>'0416'!T49</f>
        <v>0.29027777777777802</v>
      </c>
      <c r="I16" s="16">
        <f>'0416'!T59</f>
        <v>0.29166666666666702</v>
      </c>
      <c r="J16" s="16">
        <f>'0416'!T70</f>
        <v>0.35277777777777802</v>
      </c>
    </row>
    <row r="17" spans="2:10" ht="17.25" customHeight="1">
      <c r="B17" s="371"/>
      <c r="C17" s="10" t="s">
        <v>35</v>
      </c>
      <c r="D17" s="16">
        <v>0.60069444444444398</v>
      </c>
      <c r="E17" s="19">
        <v>0.59375</v>
      </c>
      <c r="F17" s="19">
        <v>0.64027777777777795</v>
      </c>
      <c r="G17" s="210">
        <v>0.63888888888888895</v>
      </c>
      <c r="H17" s="21">
        <v>0.62013888888888902</v>
      </c>
      <c r="I17" s="22">
        <v>0.60416666666666696</v>
      </c>
      <c r="J17" s="22">
        <v>0.43402777777777801</v>
      </c>
    </row>
    <row r="18" spans="2:10" ht="17.25" customHeight="1">
      <c r="B18" s="372" t="s">
        <v>102</v>
      </c>
      <c r="C18" s="330" t="s">
        <v>36</v>
      </c>
      <c r="D18" s="358">
        <f>'0416'!Z15</f>
        <v>0</v>
      </c>
      <c r="E18" s="359">
        <f>'0416'!Z26</f>
        <v>1</v>
      </c>
      <c r="F18" s="359">
        <f>'0416'!Z37</f>
        <v>0</v>
      </c>
      <c r="G18" s="360">
        <f>'0416'!Z48</f>
        <v>0</v>
      </c>
      <c r="H18" s="360">
        <f>'0416'!Z58</f>
        <v>0</v>
      </c>
      <c r="I18" s="359">
        <f>'0416'!Z69</f>
        <v>0</v>
      </c>
      <c r="J18" s="359">
        <f>'0416'!AA79</f>
        <v>0</v>
      </c>
    </row>
    <row r="19" spans="2:10" ht="17.25" customHeight="1">
      <c r="B19" s="373"/>
      <c r="C19" s="330" t="s">
        <v>37</v>
      </c>
      <c r="D19" s="358">
        <f>'0416'!AA15</f>
        <v>0</v>
      </c>
      <c r="E19" s="359">
        <f>'0416'!AA26</f>
        <v>5</v>
      </c>
      <c r="F19" s="359">
        <f>'0416'!AA37</f>
        <v>0</v>
      </c>
      <c r="G19" s="360">
        <f>'0416'!AA48</f>
        <v>0</v>
      </c>
      <c r="H19" s="360">
        <f>'0416'!AA58</f>
        <v>0</v>
      </c>
      <c r="I19" s="359">
        <f>'0416'!AA69</f>
        <v>0</v>
      </c>
      <c r="J19" s="359">
        <f>'0416'!AB79</f>
        <v>0</v>
      </c>
    </row>
    <row r="20" spans="2:10" ht="17.25" customHeight="1">
      <c r="B20" s="372" t="s">
        <v>103</v>
      </c>
      <c r="C20" s="330" t="s">
        <v>36</v>
      </c>
      <c r="D20" s="358">
        <f>'0416'!AD15</f>
        <v>0</v>
      </c>
      <c r="E20" s="359">
        <f>'0416'!AD26</f>
        <v>1</v>
      </c>
      <c r="F20" s="359">
        <f>'0416'!AD37</f>
        <v>0</v>
      </c>
      <c r="G20" s="360">
        <f>'0416'!AD48</f>
        <v>0</v>
      </c>
      <c r="H20" s="360">
        <f>'0416'!AD58</f>
        <v>0</v>
      </c>
      <c r="I20" s="359">
        <f>'0416'!AD69</f>
        <v>0</v>
      </c>
      <c r="J20" s="359">
        <f>'0416'!AD79</f>
        <v>0</v>
      </c>
    </row>
    <row r="21" spans="2:10" ht="17.25" customHeight="1">
      <c r="B21" s="373"/>
      <c r="C21" s="330" t="s">
        <v>85</v>
      </c>
      <c r="D21" s="358">
        <f>'0416'!AE15</f>
        <v>0</v>
      </c>
      <c r="E21" s="359">
        <f>'0416'!AE26</f>
        <v>1</v>
      </c>
      <c r="F21" s="359">
        <f>'0416'!AE37</f>
        <v>0</v>
      </c>
      <c r="G21" s="360">
        <f>'0416'!AE48</f>
        <v>0</v>
      </c>
      <c r="H21" s="360">
        <f>'0416'!AE58</f>
        <v>0</v>
      </c>
      <c r="I21" s="359">
        <f>'0416'!AE69</f>
        <v>0</v>
      </c>
      <c r="J21" s="359">
        <f>'0416'!AE79</f>
        <v>0</v>
      </c>
    </row>
    <row r="22" spans="2:10" ht="17.25" customHeight="1">
      <c r="B22" s="364" t="s">
        <v>104</v>
      </c>
      <c r="C22" s="365"/>
      <c r="D22" s="23">
        <f>VALUE('0416'!M15)</f>
        <v>15.333333333333334</v>
      </c>
      <c r="E22" s="23">
        <f>VALUE('0416'!M26)</f>
        <v>13</v>
      </c>
      <c r="F22" s="23">
        <f>VALUE('0416'!M37)</f>
        <v>15</v>
      </c>
      <c r="G22" s="23">
        <f>VALUE('0416'!M48)</f>
        <v>16</v>
      </c>
      <c r="H22" s="23">
        <f>VALUE('0416'!M58)</f>
        <v>15.25</v>
      </c>
      <c r="I22" s="23">
        <f>VALUE('0416'!M69)</f>
        <v>11.75</v>
      </c>
      <c r="J22" s="23">
        <f>'0416'!M79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BDF-B58C-4B22-8A89-0C387FD10D82}">
  <sheetPr>
    <tabColor theme="9" tint="0.79998168889431442"/>
  </sheetPr>
  <dimension ref="A1:AJ92"/>
  <sheetViews>
    <sheetView zoomScale="73" zoomScaleNormal="73" workbookViewId="0">
      <pane xSplit="5" ySplit="4" topLeftCell="F5" activePane="bottomRight" state="frozen"/>
      <selection activeCell="AB62" sqref="AB62:AC62"/>
      <selection pane="topRight" activeCell="AB62" sqref="AB62:AC62"/>
      <selection pane="bottomLeft" activeCell="AB62" sqref="AB62:AC62"/>
      <selection pane="bottomRight" activeCell="M17" sqref="M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59653</v>
      </c>
      <c r="F1" s="30" t="s">
        <v>2</v>
      </c>
      <c r="G1" s="31">
        <f>SUM(H5:H79)</f>
        <v>2892194.49</v>
      </c>
      <c r="H1" s="32" t="s">
        <v>3</v>
      </c>
      <c r="I1" s="33">
        <f>M15+M26+M48+M58+M69+M79+M37</f>
        <v>97.333333333333343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190</v>
      </c>
      <c r="B2" s="483"/>
      <c r="C2" s="28"/>
      <c r="D2" s="28" t="s">
        <v>14</v>
      </c>
      <c r="E2" s="35">
        <f>AVERAGE(O15,O26,O37,O48,O58,O69,O79)</f>
        <v>112.10410992429603</v>
      </c>
      <c r="F2" s="36" t="s">
        <v>15</v>
      </c>
      <c r="G2" s="37">
        <f>G1/E1</f>
        <v>48.483638542906476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5</v>
      </c>
      <c r="AB2" s="477"/>
      <c r="AC2" s="477"/>
      <c r="AD2" s="340">
        <f>AD15+AD26+AD37+AD48+AD58+AD69+AD79</f>
        <v>1</v>
      </c>
      <c r="AE2" s="340">
        <f>AE15+AE26+AE37+AE48+AE58+AE69+AE79</f>
        <v>1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3222</v>
      </c>
      <c r="H5" s="43">
        <f>F5*G5</f>
        <v>187423.74000000002</v>
      </c>
      <c r="I5" s="44"/>
      <c r="J5" s="45">
        <v>16</v>
      </c>
      <c r="K5" s="46">
        <f>VLOOKUP(D5,產線配置圖!$A$3:$C$38,3,0)</f>
        <v>2000</v>
      </c>
      <c r="L5" s="47">
        <f>K5/J5</f>
        <v>125</v>
      </c>
      <c r="M5" s="48">
        <v>16</v>
      </c>
      <c r="N5" s="46">
        <f>G5/W5*60</f>
        <v>1876.8932038835164</v>
      </c>
      <c r="O5" s="47">
        <f>N5/M5</f>
        <v>117.30582524271978</v>
      </c>
      <c r="P5" s="49">
        <f>M5-J5</f>
        <v>0</v>
      </c>
      <c r="Q5" s="50">
        <f>O5-L5</f>
        <v>-7.6941747572802228</v>
      </c>
      <c r="R5" s="51">
        <f>O5/L5</f>
        <v>0.93844660194175822</v>
      </c>
      <c r="S5" s="415">
        <f>R15</f>
        <v>0.93500898086453943</v>
      </c>
      <c r="T5" s="319">
        <v>0.29166666666666702</v>
      </c>
      <c r="U5" s="320">
        <v>0.36319444444444399</v>
      </c>
      <c r="V5" s="53"/>
      <c r="W5" s="54">
        <f t="shared" ref="W5:W14" si="0">(U5-T5)*24*60</f>
        <v>102.99999999999883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-123.10679611648357</v>
      </c>
      <c r="AG5" s="52">
        <f t="shared" ref="AG5:AG11" si="2">N5/K5</f>
        <v>0.93844660194175822</v>
      </c>
      <c r="AH5" s="403">
        <f>AG15</f>
        <v>0.93452446492497454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6070</v>
      </c>
      <c r="H6" s="63">
        <f>F6*G6</f>
        <v>298279.8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2001.0989010988997</v>
      </c>
      <c r="O6" s="67">
        <f>N6/M6</f>
        <v>142.93563579277856</v>
      </c>
      <c r="P6" s="69">
        <f>M6-J6</f>
        <v>0</v>
      </c>
      <c r="Q6" s="70">
        <f>O6-L6</f>
        <v>-8.3500784929357224</v>
      </c>
      <c r="R6" s="71">
        <f>O6/L6</f>
        <v>0.94480590231298389</v>
      </c>
      <c r="S6" s="416"/>
      <c r="T6" s="16">
        <v>0.37013888888888902</v>
      </c>
      <c r="U6" s="16">
        <v>0.49652777777777801</v>
      </c>
      <c r="V6" s="30">
        <f>(T6-U5)*24*60</f>
        <v>10.000000000000844</v>
      </c>
      <c r="W6" s="73">
        <f t="shared" si="0"/>
        <v>182.00000000000014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-116.90109890110034</v>
      </c>
      <c r="AG6" s="72">
        <f t="shared" si="2"/>
        <v>0.94480590231298378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2146</v>
      </c>
      <c r="H7" s="78">
        <f>F7*G7</f>
        <v>124832.82</v>
      </c>
      <c r="I7" s="73"/>
      <c r="J7" s="79">
        <v>16</v>
      </c>
      <c r="K7" s="80">
        <f>VLOOKUP(D7,產線配置圖!$A$3:$C$38,3,0)</f>
        <v>2000</v>
      </c>
      <c r="L7" s="81">
        <f>K7/J7</f>
        <v>125</v>
      </c>
      <c r="M7" s="82">
        <v>16</v>
      </c>
      <c r="N7" s="80">
        <f>G7/W7*60</f>
        <v>1839.4285714285782</v>
      </c>
      <c r="O7" s="81">
        <f>N7/M7</f>
        <v>114.96428571428613</v>
      </c>
      <c r="P7" s="74">
        <f>M7-J7</f>
        <v>0</v>
      </c>
      <c r="Q7" s="83">
        <f>O7-L7</f>
        <v>-10.035714285713865</v>
      </c>
      <c r="R7" s="72">
        <f>O7/L7</f>
        <v>0.91971428571428904</v>
      </c>
      <c r="S7" s="416"/>
      <c r="T7" s="16">
        <v>0.55208333333333304</v>
      </c>
      <c r="U7" s="16">
        <v>0.60069444444444398</v>
      </c>
      <c r="V7" s="30">
        <f>(T7-U6)*24*60</f>
        <v>79.999999999999233</v>
      </c>
      <c r="W7" s="73">
        <f t="shared" si="0"/>
        <v>69.999999999999744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-160.57142857142185</v>
      </c>
      <c r="AG7" s="72">
        <f t="shared" si="2"/>
        <v>0.91971428571428904</v>
      </c>
      <c r="AH7" s="405"/>
    </row>
    <row r="8" spans="1:34" ht="15" customHeight="1">
      <c r="A8" s="48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6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0</v>
      </c>
      <c r="AG8" s="72" t="e">
        <f t="shared" si="2"/>
        <v>#DIV/0!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15.333333333333334</v>
      </c>
      <c r="K15" s="120">
        <f t="shared" si="3"/>
        <v>2039.3333333333333</v>
      </c>
      <c r="L15" s="117">
        <f t="shared" si="3"/>
        <v>133.76190476190476</v>
      </c>
      <c r="M15" s="120">
        <f t="shared" si="3"/>
        <v>15.333333333333334</v>
      </c>
      <c r="N15" s="120">
        <f t="shared" si="3"/>
        <v>1905.8068921369979</v>
      </c>
      <c r="O15" s="117">
        <f t="shared" si="3"/>
        <v>125.06858224992816</v>
      </c>
      <c r="P15" s="121">
        <f>M15-J15</f>
        <v>0</v>
      </c>
      <c r="Q15" s="122">
        <f>O15-L15</f>
        <v>-8.6933225119766036</v>
      </c>
      <c r="R15" s="123">
        <f>O15/L15</f>
        <v>0.93500898086453943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-133.52644119633533</v>
      </c>
      <c r="AG15" s="124">
        <f>N15/K15</f>
        <v>0.93452446492497454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5329</v>
      </c>
      <c r="H16" s="134">
        <f>F16*G16</f>
        <v>301674.69</v>
      </c>
      <c r="I16" s="135"/>
      <c r="J16" s="136">
        <v>15</v>
      </c>
      <c r="K16" s="137">
        <f>VLOOKUP(D16,產線配置圖!$A$3:$C$38,3,0)</f>
        <v>2000</v>
      </c>
      <c r="L16" s="138">
        <f>K16/J16</f>
        <v>133.33333333333334</v>
      </c>
      <c r="M16" s="139">
        <v>15</v>
      </c>
      <c r="N16" s="140">
        <f>G16/W16*60</f>
        <v>1937.8181818181879</v>
      </c>
      <c r="O16" s="141">
        <f>N16/M16</f>
        <v>129.18787878787919</v>
      </c>
      <c r="P16" s="142">
        <f>M16-J16</f>
        <v>0</v>
      </c>
      <c r="Q16" s="143">
        <f>O16-L16</f>
        <v>-4.1454545454541574</v>
      </c>
      <c r="R16" s="144">
        <f>O16/L16</f>
        <v>0.96890909090909383</v>
      </c>
      <c r="S16" s="443">
        <f>R26</f>
        <v>0.9192971524705611</v>
      </c>
      <c r="T16" s="145">
        <v>0.29027777777777802</v>
      </c>
      <c r="U16" s="145">
        <v>0.40486111111111101</v>
      </c>
      <c r="V16" s="135"/>
      <c r="W16" s="146">
        <f t="shared" ref="W16:W78" si="4">(U16-T16)*24*60</f>
        <v>164.99999999999949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-62.181818181812105</v>
      </c>
      <c r="AG16" s="52">
        <f>N16/K16</f>
        <v>0.96890909090909394</v>
      </c>
      <c r="AH16" s="403">
        <f>AG26</f>
        <v>0.92247944486559197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3704</v>
      </c>
      <c r="H17" s="78">
        <f>F17*G17</f>
        <v>186644.56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2020.3636363636333</v>
      </c>
      <c r="O17" s="96">
        <f>N17/M17</f>
        <v>168.36363636363612</v>
      </c>
      <c r="P17" s="97">
        <f>M17-J17</f>
        <v>0</v>
      </c>
      <c r="Q17" s="98">
        <f>O17-L17</f>
        <v>-8.1363636363638818</v>
      </c>
      <c r="R17" s="99">
        <f>O17/L17</f>
        <v>0.95390162245686183</v>
      </c>
      <c r="S17" s="444"/>
      <c r="T17" s="19">
        <v>0.40972222222222199</v>
      </c>
      <c r="U17" s="19">
        <v>0.48611111111111099</v>
      </c>
      <c r="V17" s="30">
        <f>(T17-U16)*24*60</f>
        <v>6.9999999999998153</v>
      </c>
      <c r="W17" s="149">
        <f t="shared" si="4"/>
        <v>110.00000000000017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-97.636363636366696</v>
      </c>
      <c r="AG17" s="72">
        <f>N17/K17</f>
        <v>0.95390162245686183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2243</v>
      </c>
      <c r="H18" s="78">
        <f>F18*G18</f>
        <v>113024.77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1794.4000000000101</v>
      </c>
      <c r="O18" s="96">
        <f>N18/M18</f>
        <v>149.53333333333418</v>
      </c>
      <c r="P18" s="97">
        <f>M18-J18</f>
        <v>0</v>
      </c>
      <c r="Q18" s="98">
        <f>O18-L18</f>
        <v>-26.966666666665816</v>
      </c>
      <c r="R18" s="99">
        <f>O18/L18</f>
        <v>0.84721435316336646</v>
      </c>
      <c r="S18" s="444"/>
      <c r="T18" s="19">
        <v>0.54166666666666696</v>
      </c>
      <c r="U18" s="19">
        <v>0.59375</v>
      </c>
      <c r="V18" s="30">
        <f>(T18-U17)*24*60</f>
        <v>80.000000000000597</v>
      </c>
      <c r="W18" s="149">
        <f t="shared" si="4"/>
        <v>74.999999999999574</v>
      </c>
      <c r="X18" s="22">
        <v>0.48611111111111099</v>
      </c>
      <c r="Y18" s="84">
        <v>0.52777777777777801</v>
      </c>
      <c r="Z18" s="90">
        <v>1</v>
      </c>
      <c r="AA18" s="90">
        <v>5</v>
      </c>
      <c r="AB18" s="409" t="s">
        <v>191</v>
      </c>
      <c r="AC18" s="409"/>
      <c r="AD18" s="92">
        <v>1</v>
      </c>
      <c r="AE18" s="92">
        <v>1</v>
      </c>
      <c r="AF18" s="307">
        <f>N18-K18</f>
        <v>-323.5999999999899</v>
      </c>
      <c r="AG18" s="72">
        <f>N18/K18</f>
        <v>0.84721435316336646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2078.6666666666665</v>
      </c>
      <c r="L26" s="158">
        <f t="shared" si="5"/>
        <v>162.11111111111111</v>
      </c>
      <c r="M26" s="155">
        <f t="shared" si="5"/>
        <v>13</v>
      </c>
      <c r="N26" s="155">
        <f t="shared" si="5"/>
        <v>1917.527272727277</v>
      </c>
      <c r="O26" s="158">
        <f t="shared" si="5"/>
        <v>149.02828282828318</v>
      </c>
      <c r="P26" s="159">
        <f t="shared" ref="P26:P31" si="6">M26-J26</f>
        <v>0</v>
      </c>
      <c r="Q26" s="160">
        <f t="shared" ref="Q26:Q31" si="7">O26-L26</f>
        <v>-13.082828282827933</v>
      </c>
      <c r="R26" s="161">
        <f t="shared" ref="R26:R31" si="8">O26/L26</f>
        <v>0.9192971524705611</v>
      </c>
      <c r="S26" s="445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</v>
      </c>
      <c r="AB26" s="410"/>
      <c r="AC26" s="410"/>
      <c r="AD26" s="323">
        <f>SUM(AD16:AD25)</f>
        <v>1</v>
      </c>
      <c r="AE26" s="323">
        <f>SUM(AE16:AE25)</f>
        <v>1</v>
      </c>
      <c r="AF26" s="309">
        <f t="shared" ref="AF26:AF31" si="9">N26-K26</f>
        <v>-161.13939393938949</v>
      </c>
      <c r="AG26" s="124">
        <f t="shared" ref="AG26:AG31" si="10">N26/K26</f>
        <v>0.92247944486559197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1926</v>
      </c>
      <c r="H27" s="134">
        <f>F27*G27</f>
        <v>110186.46</v>
      </c>
      <c r="I27" s="135"/>
      <c r="J27" s="136">
        <v>16</v>
      </c>
      <c r="K27" s="137">
        <v>1714</v>
      </c>
      <c r="L27" s="138">
        <f>K27/J27</f>
        <v>107.125</v>
      </c>
      <c r="M27" s="170">
        <v>15</v>
      </c>
      <c r="N27" s="140">
        <f>G27/W27*60</f>
        <v>1313.1818181818205</v>
      </c>
      <c r="O27" s="141">
        <f>N27/M27</f>
        <v>87.545454545454703</v>
      </c>
      <c r="P27" s="142">
        <f t="shared" si="6"/>
        <v>-1</v>
      </c>
      <c r="Q27" s="143">
        <f t="shared" si="7"/>
        <v>-19.579545454545297</v>
      </c>
      <c r="R27" s="144">
        <f t="shared" si="8"/>
        <v>0.81722711360984557</v>
      </c>
      <c r="S27" s="443">
        <f>R37</f>
        <v>0.83876766928356183</v>
      </c>
      <c r="T27" s="171">
        <v>0.29166666666666702</v>
      </c>
      <c r="U27" s="171">
        <v>0.35277777777777802</v>
      </c>
      <c r="V27" s="135"/>
      <c r="W27" s="146">
        <f t="shared" si="4"/>
        <v>87.999999999999844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-400.81818181817948</v>
      </c>
      <c r="AG27" s="172">
        <f t="shared" si="10"/>
        <v>0.7661504190092302</v>
      </c>
      <c r="AH27" s="403">
        <f>AG37</f>
        <v>0.79682928581938361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2180</v>
      </c>
      <c r="H28" s="91">
        <f>F28*G28</f>
        <v>110460.6</v>
      </c>
      <c r="I28" s="92"/>
      <c r="J28" s="79">
        <v>15</v>
      </c>
      <c r="K28" s="80">
        <v>1714</v>
      </c>
      <c r="L28" s="93">
        <f>K28/J28</f>
        <v>114.26666666666667</v>
      </c>
      <c r="M28" s="94">
        <v>15</v>
      </c>
      <c r="N28" s="95">
        <f>G28/W28*60</f>
        <v>1406.4516129032331</v>
      </c>
      <c r="O28" s="96">
        <f>N28/M28</f>
        <v>93.763440860215539</v>
      </c>
      <c r="P28" s="97">
        <f t="shared" si="6"/>
        <v>0</v>
      </c>
      <c r="Q28" s="98">
        <f t="shared" si="7"/>
        <v>-20.503225806451127</v>
      </c>
      <c r="R28" s="99">
        <f t="shared" si="8"/>
        <v>0.82056686867166462</v>
      </c>
      <c r="S28" s="444"/>
      <c r="T28" s="19">
        <v>0.360416666666667</v>
      </c>
      <c r="U28" s="19">
        <v>0.42499999999999999</v>
      </c>
      <c r="V28" s="92">
        <f>(T28-U27)*24*60</f>
        <v>11.000000000000121</v>
      </c>
      <c r="W28" s="149">
        <f t="shared" si="4"/>
        <v>92.999999999999517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9"/>
        <v>-307.54838709676687</v>
      </c>
      <c r="AG28" s="99">
        <f t="shared" si="10"/>
        <v>0.82056686867166462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1389</v>
      </c>
      <c r="H29" s="91">
        <f>F29*G29</f>
        <v>78992.429999999993</v>
      </c>
      <c r="I29" s="92"/>
      <c r="J29" s="79">
        <v>16</v>
      </c>
      <c r="K29" s="80">
        <v>1714</v>
      </c>
      <c r="L29" s="93">
        <f>K29/J29</f>
        <v>107.125</v>
      </c>
      <c r="M29" s="94">
        <v>15</v>
      </c>
      <c r="N29" s="95">
        <f>G29/W29*60</f>
        <v>1344.1935483870841</v>
      </c>
      <c r="O29" s="96">
        <f>N29/M29</f>
        <v>89.61290322580561</v>
      </c>
      <c r="P29" s="97">
        <f t="shared" si="6"/>
        <v>-1</v>
      </c>
      <c r="Q29" s="98">
        <f t="shared" si="7"/>
        <v>-17.51209677419439</v>
      </c>
      <c r="R29" s="99">
        <f t="shared" si="8"/>
        <v>0.83652651786049581</v>
      </c>
      <c r="S29" s="444"/>
      <c r="T29" s="19">
        <v>0.43125000000000002</v>
      </c>
      <c r="U29" s="19">
        <v>0.47430555555555598</v>
      </c>
      <c r="V29" s="92">
        <f>(T29-U28)*24*60</f>
        <v>9.000000000000048</v>
      </c>
      <c r="W29" s="149">
        <f t="shared" si="4"/>
        <v>62.000000000000583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-369.80645161291591</v>
      </c>
      <c r="AG29" s="99">
        <f t="shared" si="10"/>
        <v>0.78424361049421476</v>
      </c>
      <c r="AH29" s="404"/>
    </row>
    <row r="30" spans="1:34" ht="15" customHeight="1">
      <c r="A30" s="441"/>
      <c r="B30" s="75" t="s">
        <v>81</v>
      </c>
      <c r="C30" s="88"/>
      <c r="D30" s="59" t="s">
        <v>147</v>
      </c>
      <c r="E30" s="89"/>
      <c r="F30" s="75">
        <f>VLOOKUP(D30,廠價表!$C$1:$E$43,3,0)</f>
        <v>56.87</v>
      </c>
      <c r="G30" s="90">
        <v>2088</v>
      </c>
      <c r="H30" s="91">
        <f>F30*G30</f>
        <v>118744.56</v>
      </c>
      <c r="I30" s="92"/>
      <c r="J30" s="79">
        <v>16</v>
      </c>
      <c r="K30" s="80">
        <v>1714</v>
      </c>
      <c r="L30" s="93">
        <f>K30/J30</f>
        <v>107.125</v>
      </c>
      <c r="M30" s="94">
        <v>15</v>
      </c>
      <c r="N30" s="95">
        <f>G30/W30*60</f>
        <v>1304.9999999999939</v>
      </c>
      <c r="O30" s="96">
        <f>N30/M30</f>
        <v>86.999999999999588</v>
      </c>
      <c r="P30" s="97">
        <f t="shared" si="6"/>
        <v>-1</v>
      </c>
      <c r="Q30" s="98">
        <f t="shared" si="7"/>
        <v>-20.125000000000412</v>
      </c>
      <c r="R30" s="99">
        <f t="shared" si="8"/>
        <v>0.81213535589264496</v>
      </c>
      <c r="S30" s="444"/>
      <c r="T30" s="19">
        <v>0.53125</v>
      </c>
      <c r="U30" s="19">
        <v>0.59791666666666698</v>
      </c>
      <c r="V30" s="92">
        <f>(T30-U29)*24*60</f>
        <v>81.999999999999389</v>
      </c>
      <c r="W30" s="149">
        <f t="shared" si="4"/>
        <v>96.000000000000455</v>
      </c>
      <c r="X30" s="174">
        <v>0.49652777777777801</v>
      </c>
      <c r="Y30" s="301">
        <v>0.53819444444444398</v>
      </c>
      <c r="Z30" s="335"/>
      <c r="AA30" s="335"/>
      <c r="AB30" s="409"/>
      <c r="AC30" s="409"/>
      <c r="AD30" s="92"/>
      <c r="AE30" s="92"/>
      <c r="AF30" s="312">
        <f t="shared" si="9"/>
        <v>-409.00000000000614</v>
      </c>
      <c r="AG30" s="99">
        <f t="shared" si="10"/>
        <v>0.76137689614935466</v>
      </c>
      <c r="AH30" s="439"/>
    </row>
    <row r="31" spans="1:34" ht="15" customHeight="1">
      <c r="A31" s="441"/>
      <c r="B31" s="75" t="s">
        <v>81</v>
      </c>
      <c r="C31" s="88"/>
      <c r="D31" s="59" t="s">
        <v>113</v>
      </c>
      <c r="E31" s="89"/>
      <c r="F31" s="75">
        <f>VLOOKUP(D31,廠價表!$C$1:$E$43,3,0)</f>
        <v>57.21</v>
      </c>
      <c r="G31" s="90">
        <v>1241</v>
      </c>
      <c r="H31" s="91">
        <f>F31*G31</f>
        <v>70997.61</v>
      </c>
      <c r="I31" s="92"/>
      <c r="J31" s="79">
        <v>16</v>
      </c>
      <c r="K31" s="80">
        <v>1714</v>
      </c>
      <c r="L31" s="93">
        <f>K31/J31</f>
        <v>107.125</v>
      </c>
      <c r="M31" s="94">
        <v>15</v>
      </c>
      <c r="N31" s="95">
        <f>G31/W31*60</f>
        <v>1459.9999999999868</v>
      </c>
      <c r="O31" s="96">
        <f>N31/M31</f>
        <v>97.333333333332448</v>
      </c>
      <c r="P31" s="97">
        <f t="shared" si="6"/>
        <v>-1</v>
      </c>
      <c r="Q31" s="98">
        <f t="shared" si="7"/>
        <v>-9.7916666666675525</v>
      </c>
      <c r="R31" s="99">
        <f t="shared" si="8"/>
        <v>0.90859587709061795</v>
      </c>
      <c r="S31" s="444"/>
      <c r="T31" s="19">
        <v>0.60486111111111096</v>
      </c>
      <c r="U31" s="19">
        <v>0.64027777777777795</v>
      </c>
      <c r="V31" s="92">
        <f>(T31-U30)*24*60</f>
        <v>9.999999999999325</v>
      </c>
      <c r="W31" s="149">
        <f t="shared" si="4"/>
        <v>51.000000000000455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-254.00000000001319</v>
      </c>
      <c r="AG31" s="99">
        <f t="shared" si="10"/>
        <v>0.85180863477245439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15.8</v>
      </c>
      <c r="K37" s="155">
        <f t="shared" si="11"/>
        <v>1714</v>
      </c>
      <c r="L37" s="158">
        <f t="shared" si="11"/>
        <v>108.55333333333333</v>
      </c>
      <c r="M37" s="155">
        <f t="shared" si="11"/>
        <v>15</v>
      </c>
      <c r="N37" s="155">
        <f t="shared" si="11"/>
        <v>1365.7653958944236</v>
      </c>
      <c r="O37" s="158">
        <f t="shared" si="11"/>
        <v>91.051026392961575</v>
      </c>
      <c r="P37" s="159">
        <f>M37-J37</f>
        <v>-0.80000000000000071</v>
      </c>
      <c r="Q37" s="160">
        <f>N37-K37</f>
        <v>-348.23460410557641</v>
      </c>
      <c r="R37" s="161">
        <f>O37/L37</f>
        <v>0.83876766928356183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-348.23460410557641</v>
      </c>
      <c r="AG37" s="124">
        <f>N37/K37</f>
        <v>0.79682928581938361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2310</v>
      </c>
      <c r="H38" s="134">
        <f>F38*G38</f>
        <v>115292.09999999999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1630.588235294111</v>
      </c>
      <c r="O38" s="141">
        <f>N38/M38</f>
        <v>108.70588235294073</v>
      </c>
      <c r="P38" s="142">
        <f>M38-J38</f>
        <v>0</v>
      </c>
      <c r="Q38" s="143">
        <f>O38-L38</f>
        <v>-5.5607843137259323</v>
      </c>
      <c r="R38" s="144">
        <f>O38/L38</f>
        <v>0.95133502642596912</v>
      </c>
      <c r="S38" s="433">
        <f>R48</f>
        <v>0.9367606638400906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-83.411764705889027</v>
      </c>
      <c r="AG38" s="195">
        <f>N38/K38</f>
        <v>0.95133502642596901</v>
      </c>
      <c r="AH38" s="436">
        <f>AG48</f>
        <v>0.91286995097895196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3595</v>
      </c>
      <c r="H39" s="91">
        <f>F39*G39</f>
        <v>159258.5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1391.6129032258186</v>
      </c>
      <c r="O39" s="203">
        <f>N39/M39</f>
        <v>81.859582542695208</v>
      </c>
      <c r="P39" s="97">
        <f>M39-J39</f>
        <v>-1</v>
      </c>
      <c r="Q39" s="98">
        <f>O39-L39</f>
        <v>-5.0848619017492354</v>
      </c>
      <c r="R39" s="99">
        <f>O39/L39</f>
        <v>0.94151596534729309</v>
      </c>
      <c r="S39" s="434"/>
      <c r="T39" s="20">
        <v>0.39930555555555602</v>
      </c>
      <c r="U39" s="20">
        <v>0.50694444444444398</v>
      </c>
      <c r="V39" s="92">
        <f>(T39-U38)*24*60</f>
        <v>10.000000000000844</v>
      </c>
      <c r="W39" s="205">
        <f t="shared" si="4"/>
        <v>154.99999999999864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-173.38709677418137</v>
      </c>
      <c r="AG39" s="206">
        <f>N39/K39</f>
        <v>0.88920952282799914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1788</v>
      </c>
      <c r="H40" s="91">
        <f>F40*G40</f>
        <v>79208.399999999994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1430.400000000008</v>
      </c>
      <c r="O40" s="203">
        <f>N40/M40</f>
        <v>84.141176470588704</v>
      </c>
      <c r="P40" s="97">
        <f>M40-J40</f>
        <v>-1</v>
      </c>
      <c r="Q40" s="98">
        <f>O40-L40</f>
        <v>-2.8032679738557391</v>
      </c>
      <c r="R40" s="99">
        <f>O40/L40</f>
        <v>0.96775794023680295</v>
      </c>
      <c r="S40" s="416"/>
      <c r="T40" s="20">
        <v>0.5625</v>
      </c>
      <c r="U40" s="20">
        <v>0.61458333333333304</v>
      </c>
      <c r="V40" s="92">
        <f>(T40-U39)*24*60</f>
        <v>80.000000000000682</v>
      </c>
      <c r="W40" s="205">
        <f t="shared" si="4"/>
        <v>74.999999999999574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-134.59999999999195</v>
      </c>
      <c r="AG40" s="206">
        <f>N40/K40</f>
        <v>0.91399361022364733</v>
      </c>
      <c r="AH40" s="437"/>
    </row>
    <row r="41" spans="1:34" ht="15" customHeight="1">
      <c r="A41" s="431"/>
      <c r="B41" s="75" t="s">
        <v>118</v>
      </c>
      <c r="C41" s="207"/>
      <c r="D41" s="198" t="s">
        <v>123</v>
      </c>
      <c r="E41" s="178"/>
      <c r="F41" s="75">
        <f>VLOOKUP(D41,廠價表!$C$1:$E$43,3,0)</f>
        <v>49.91</v>
      </c>
      <c r="G41" s="199">
        <v>767</v>
      </c>
      <c r="H41" s="91">
        <f>F41*G41</f>
        <v>38280.969999999994</v>
      </c>
      <c r="I41" s="200"/>
      <c r="J41" s="148">
        <f>VLOOKUP(D41,產線配置圖!$A$3:$C$38,2,0)</f>
        <v>15</v>
      </c>
      <c r="K41" s="95">
        <f>VLOOKUP(D41,產線配置圖!$A$3:$C$38,3,0)</f>
        <v>1714</v>
      </c>
      <c r="L41" s="96">
        <f>K41/J41</f>
        <v>114.26666666666667</v>
      </c>
      <c r="M41" s="201">
        <v>15</v>
      </c>
      <c r="N41" s="202">
        <f>G41/W41*60</f>
        <v>1534.00000000003</v>
      </c>
      <c r="O41" s="203">
        <f>N41/M41</f>
        <v>102.26666666666867</v>
      </c>
      <c r="P41" s="97">
        <f>M41-J41</f>
        <v>0</v>
      </c>
      <c r="Q41" s="98">
        <f>O41-L41</f>
        <v>-11.999999999997996</v>
      </c>
      <c r="R41" s="99">
        <f>O41/L41</f>
        <v>0.8949824970828647</v>
      </c>
      <c r="S41" s="416"/>
      <c r="T41" s="20">
        <v>0.61805555555555602</v>
      </c>
      <c r="U41" s="210">
        <v>0.63888888888888895</v>
      </c>
      <c r="V41" s="92">
        <f>(T41-U40)*24*60</f>
        <v>5.0000000000011013</v>
      </c>
      <c r="W41" s="205">
        <f t="shared" si="4"/>
        <v>29.999999999999414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-179.99999999996999</v>
      </c>
      <c r="AG41" s="206">
        <f>N41/K41</f>
        <v>0.8949824970828647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16.5</v>
      </c>
      <c r="K48" s="155">
        <f t="shared" si="13"/>
        <v>1639.5</v>
      </c>
      <c r="L48" s="158">
        <f t="shared" si="13"/>
        <v>100.60555555555555</v>
      </c>
      <c r="M48" s="155">
        <f t="shared" si="13"/>
        <v>16</v>
      </c>
      <c r="N48" s="155">
        <f t="shared" si="13"/>
        <v>1496.6502846299918</v>
      </c>
      <c r="O48" s="158">
        <f t="shared" si="13"/>
        <v>94.243327008223332</v>
      </c>
      <c r="P48" s="221">
        <f>M48-J48</f>
        <v>-0.5</v>
      </c>
      <c r="Q48" s="222">
        <f>N48-K48</f>
        <v>-142.8497153700082</v>
      </c>
      <c r="R48" s="223">
        <f>O48/L48</f>
        <v>0.9367606638400906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-142.8497153700082</v>
      </c>
      <c r="AG48" s="162">
        <f t="shared" ref="AG48:AG53" si="15">N48/K48</f>
        <v>0.91286995097895196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2149</v>
      </c>
      <c r="H49" s="134">
        <f>F49*G49</f>
        <v>106418.48000000001</v>
      </c>
      <c r="I49" s="135"/>
      <c r="J49" s="136">
        <f>VLOOKUP(D49,產線配置圖!$A$3:$C$38,2,0)</f>
        <v>17</v>
      </c>
      <c r="K49" s="137">
        <f>VLOOKUP(D49,產線配置圖!$A$3:$C$38,3,0)</f>
        <v>1440</v>
      </c>
      <c r="L49" s="138">
        <f>K49/J49</f>
        <v>84.705882352941174</v>
      </c>
      <c r="M49" s="170">
        <v>16</v>
      </c>
      <c r="N49" s="140">
        <f>G49/W49*60</f>
        <v>1289.400000000009</v>
      </c>
      <c r="O49" s="141">
        <f>N49/M49</f>
        <v>80.58750000000056</v>
      </c>
      <c r="P49" s="229">
        <f>M49-J49</f>
        <v>-1</v>
      </c>
      <c r="Q49" s="230">
        <f>O49-L49</f>
        <v>-4.1183823529406141</v>
      </c>
      <c r="R49" s="52">
        <f>O49/L49</f>
        <v>0.95138020833333992</v>
      </c>
      <c r="S49" s="415">
        <f>R58</f>
        <v>0.93626172845311362</v>
      </c>
      <c r="T49" s="191">
        <v>0.29027777777777802</v>
      </c>
      <c r="U49" s="191">
        <v>0.359722222222222</v>
      </c>
      <c r="V49" s="55"/>
      <c r="W49" s="193">
        <f t="shared" si="4"/>
        <v>99.999999999999318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-150.59999999999104</v>
      </c>
      <c r="AG49" s="52">
        <f t="shared" si="15"/>
        <v>0.89541666666667286</v>
      </c>
      <c r="AH49" s="403">
        <f>AG58</f>
        <v>0.89351888857366846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4211</v>
      </c>
      <c r="H50" s="231">
        <f>F50*G50</f>
        <v>210423.66999999998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1619.6153846153748</v>
      </c>
      <c r="O50" s="235">
        <f>N50/M50</f>
        <v>107.97435897435831</v>
      </c>
      <c r="P50" s="74">
        <f>M50-J50</f>
        <v>-1</v>
      </c>
      <c r="Q50" s="83">
        <f>O50-L50</f>
        <v>-4.5256410256416899</v>
      </c>
      <c r="R50" s="72">
        <f>O50/L50</f>
        <v>0.9597720797720739</v>
      </c>
      <c r="S50" s="416"/>
      <c r="T50" s="21">
        <v>0.36597222222222198</v>
      </c>
      <c r="U50" s="21">
        <v>0.47430555555555598</v>
      </c>
      <c r="V50" s="30">
        <f>(T50-U49)*24*60</f>
        <v>8.999999999999968</v>
      </c>
      <c r="W50" s="236">
        <f t="shared" si="4"/>
        <v>156.00000000000097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-180.38461538462525</v>
      </c>
      <c r="AG50" s="72">
        <f t="shared" si="15"/>
        <v>0.89978632478631926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1375</v>
      </c>
      <c r="H51" s="231">
        <f>F51*G51</f>
        <v>68708.75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1586.5384615384671</v>
      </c>
      <c r="O51" s="235">
        <f>N51/M51</f>
        <v>105.76923076923114</v>
      </c>
      <c r="P51" s="74">
        <f>M51-J51</f>
        <v>-1</v>
      </c>
      <c r="Q51" s="83">
        <f>O51-L51</f>
        <v>-6.7307692307688569</v>
      </c>
      <c r="R51" s="72">
        <f>O51/L51</f>
        <v>0.94017094017094349</v>
      </c>
      <c r="S51" s="416"/>
      <c r="T51" s="21">
        <v>0.53888888888888897</v>
      </c>
      <c r="U51" s="19">
        <v>0.57499999999999996</v>
      </c>
      <c r="V51" s="30">
        <f>(T51-U50)*24*60</f>
        <v>92.999999999999517</v>
      </c>
      <c r="W51" s="236">
        <f t="shared" si="4"/>
        <v>51.999999999999815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-213.46153846153288</v>
      </c>
      <c r="AG51" s="72">
        <f t="shared" si="15"/>
        <v>0.8814102564102595</v>
      </c>
      <c r="AH51" s="405"/>
    </row>
    <row r="52" spans="1:34" ht="15" customHeight="1">
      <c r="A52" s="428"/>
      <c r="B52" s="75" t="s">
        <v>81</v>
      </c>
      <c r="C52" s="86"/>
      <c r="D52" s="59" t="s">
        <v>116</v>
      </c>
      <c r="E52" s="87"/>
      <c r="F52" s="75">
        <f>VLOOKUP(D52,廠價表!$C$1:$E$43,3,0)</f>
        <v>50.67</v>
      </c>
      <c r="G52" s="202">
        <v>1411</v>
      </c>
      <c r="H52" s="231">
        <f>F52*G52</f>
        <v>71495.37</v>
      </c>
      <c r="I52" s="232"/>
      <c r="J52" s="79">
        <v>15</v>
      </c>
      <c r="K52" s="80">
        <v>1714</v>
      </c>
      <c r="L52" s="81">
        <f>K52/J52</f>
        <v>114.26666666666667</v>
      </c>
      <c r="M52" s="233">
        <v>15</v>
      </c>
      <c r="N52" s="234">
        <f>G52/W52*60</f>
        <v>1539.2727272727059</v>
      </c>
      <c r="O52" s="235">
        <f>N52/M52</f>
        <v>102.61818181818039</v>
      </c>
      <c r="P52" s="74">
        <f>M52-J52</f>
        <v>0</v>
      </c>
      <c r="Q52" s="83">
        <f>O52-L52</f>
        <v>-11.648484848486277</v>
      </c>
      <c r="R52" s="72">
        <f>O52/L52</f>
        <v>0.89805876737030677</v>
      </c>
      <c r="S52" s="416"/>
      <c r="T52" s="21">
        <v>0.58194444444444404</v>
      </c>
      <c r="U52" s="21">
        <v>0.62013888888888902</v>
      </c>
      <c r="V52" s="30">
        <f>(T52-U51)*24*60</f>
        <v>9.9999999999994849</v>
      </c>
      <c r="W52" s="236">
        <f t="shared" si="4"/>
        <v>55.000000000000767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-174.72727272729412</v>
      </c>
      <c r="AG52" s="72">
        <f t="shared" si="15"/>
        <v>0.89805876737030677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</v>
      </c>
      <c r="K58" s="120">
        <f t="shared" si="16"/>
        <v>1688.5</v>
      </c>
      <c r="L58" s="117">
        <f t="shared" si="16"/>
        <v>105.99313725490195</v>
      </c>
      <c r="M58" s="120">
        <f t="shared" si="16"/>
        <v>15.25</v>
      </c>
      <c r="N58" s="120">
        <f t="shared" si="16"/>
        <v>1508.7066433566392</v>
      </c>
      <c r="O58" s="117">
        <f t="shared" si="16"/>
        <v>99.237317890442611</v>
      </c>
      <c r="P58" s="121">
        <f>M58-J58</f>
        <v>-0.75</v>
      </c>
      <c r="Q58" s="122">
        <f>N58-K58</f>
        <v>-179.79335664336077</v>
      </c>
      <c r="R58" s="123">
        <f>O58/L58</f>
        <v>0.93626172845311362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-179.79335664336077</v>
      </c>
      <c r="AG58" s="124">
        <f>N58/K58</f>
        <v>0.89351888857366846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3355</v>
      </c>
      <c r="H59" s="243">
        <f>F59*G59</f>
        <v>90551.45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1437.8571428571463</v>
      </c>
      <c r="O59" s="138">
        <f>N59/M59</f>
        <v>110.60439560439588</v>
      </c>
      <c r="P59" s="56">
        <f>M59-J59</f>
        <v>0</v>
      </c>
      <c r="Q59" s="230">
        <f>O59-L59</f>
        <v>-9.780219780219511</v>
      </c>
      <c r="R59" s="52">
        <f>O59/L59</f>
        <v>0.91875855773619575</v>
      </c>
      <c r="S59" s="415">
        <f>R69</f>
        <v>0.80675648629070962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-127.1428571428537</v>
      </c>
      <c r="AG59" s="246">
        <f>N59/K59</f>
        <v>0.91875855773619575</v>
      </c>
      <c r="AH59" s="403">
        <f>AG69</f>
        <v>0.90561500355314917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1619</v>
      </c>
      <c r="H60" s="78">
        <f>F60*G60</f>
        <v>45752.94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1494.4615384615347</v>
      </c>
      <c r="O60" s="81">
        <f>N60/M60</f>
        <v>124.53846153846122</v>
      </c>
      <c r="P60" s="74">
        <f>M60-J60</f>
        <v>0</v>
      </c>
      <c r="Q60" s="83">
        <f>O60-L60</f>
        <v>-5.8782051282054368</v>
      </c>
      <c r="R60" s="72">
        <f>O60/L60</f>
        <v>0.95492750061439924</v>
      </c>
      <c r="S60" s="425"/>
      <c r="T60" s="22">
        <v>0.40625</v>
      </c>
      <c r="U60" s="22">
        <v>0.45138888888888901</v>
      </c>
      <c r="V60" s="30">
        <f>(T60-U59)*24*60</f>
        <v>24.999999999999829</v>
      </c>
      <c r="W60" s="248">
        <f t="shared" si="4"/>
        <v>65.000000000000171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-70.538461538465299</v>
      </c>
      <c r="AG60" s="249">
        <f>N60/K60</f>
        <v>0.95492750061439913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1505</v>
      </c>
      <c r="H61" s="254">
        <f>F61*G61</f>
        <v>42531.3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1290.0000000000032</v>
      </c>
      <c r="O61" s="238">
        <f>N61/M61</f>
        <v>117.27272727272756</v>
      </c>
      <c r="P61" s="111">
        <f>M61-J61</f>
        <v>2</v>
      </c>
      <c r="Q61" s="255">
        <f>O61-L61</f>
        <v>-64.505050505050207</v>
      </c>
      <c r="R61" s="85">
        <f>O61/L61</f>
        <v>0.64514336519226656</v>
      </c>
      <c r="S61" s="416"/>
      <c r="T61" s="22">
        <v>0.45833333333333298</v>
      </c>
      <c r="U61" s="22">
        <v>0.50694444444444398</v>
      </c>
      <c r="V61" s="30">
        <f>(T61-U60)*24*60</f>
        <v>9.999999999999325</v>
      </c>
      <c r="W61" s="256">
        <f t="shared" si="4"/>
        <v>69.999999999999829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-345.99999999999682</v>
      </c>
      <c r="AG61" s="247">
        <f>N61/K61</f>
        <v>0.78850855745721471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1838</v>
      </c>
      <c r="H62" s="254">
        <f>F62*G62</f>
        <v>51941.880000000005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1575.428571428577</v>
      </c>
      <c r="O62" s="238">
        <f>N62/M62</f>
        <v>143.22077922077972</v>
      </c>
      <c r="P62" s="111">
        <f>M62-J62</f>
        <v>2</v>
      </c>
      <c r="Q62" s="255">
        <f>O62-L62</f>
        <v>-38.556998556998053</v>
      </c>
      <c r="R62" s="85">
        <f>O62/L62</f>
        <v>0.78788937224145328</v>
      </c>
      <c r="S62" s="416"/>
      <c r="T62" s="22">
        <v>0.55555555555555602</v>
      </c>
      <c r="U62" s="22">
        <v>0.60416666666666696</v>
      </c>
      <c r="V62" s="30"/>
      <c r="W62" s="248">
        <f t="shared" si="4"/>
        <v>69.999999999999744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-60.571428571422985</v>
      </c>
      <c r="AG62" s="247">
        <f>N62/K62</f>
        <v>0.96297589940622064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11.75</v>
      </c>
      <c r="N69" s="240">
        <f t="shared" si="17"/>
        <v>1449.4368131868152</v>
      </c>
      <c r="O69" s="268">
        <f t="shared" si="17"/>
        <v>123.90909090909111</v>
      </c>
      <c r="P69" s="269">
        <f>M69-J69</f>
        <v>1</v>
      </c>
      <c r="Q69" s="222">
        <f>N69-K69</f>
        <v>-151.06318681318476</v>
      </c>
      <c r="R69" s="123">
        <f>O69/L69</f>
        <v>0.80675648629070962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-151.06318681318476</v>
      </c>
      <c r="AG69" s="124">
        <f>N69/K69</f>
        <v>0.90561500355314917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2192</v>
      </c>
      <c r="H70" s="243">
        <f>F70*G70</f>
        <v>111068.64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11</v>
      </c>
      <c r="N70" s="137">
        <f>G70/W70*60</f>
        <v>1124.1025641025642</v>
      </c>
      <c r="O70" s="138">
        <f>N70/M70</f>
        <v>102.19114219114221</v>
      </c>
      <c r="P70" s="56">
        <f>M70-J70</f>
        <v>-2</v>
      </c>
      <c r="Q70" s="230">
        <f>O70-L70</f>
        <v>-8.5780885780885683</v>
      </c>
      <c r="R70" s="52">
        <f>O70/L70</f>
        <v>0.92255892255892269</v>
      </c>
      <c r="S70" s="415">
        <f>R79</f>
        <v>0.92255892255892269</v>
      </c>
      <c r="T70" s="245">
        <v>0.35277777777777802</v>
      </c>
      <c r="U70" s="245">
        <v>0.43402777777777801</v>
      </c>
      <c r="V70" s="55"/>
      <c r="W70" s="54">
        <f t="shared" si="4"/>
        <v>116.99999999999999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-315.8974358974358</v>
      </c>
      <c r="AG70" s="246">
        <f>N70/K70</f>
        <v>0.7806267806267807</v>
      </c>
      <c r="AH70" s="403">
        <f>AG79</f>
        <v>0.7806267806267807</v>
      </c>
    </row>
    <row r="71" spans="1:36" ht="15" customHeight="1">
      <c r="A71" s="413"/>
      <c r="B71" s="75" t="s">
        <v>192</v>
      </c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 t="s">
        <v>192</v>
      </c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8">AVERAGE(J70:J78)</f>
        <v>13</v>
      </c>
      <c r="K79" s="240">
        <f t="shared" si="18"/>
        <v>1440</v>
      </c>
      <c r="L79" s="268">
        <f t="shared" si="18"/>
        <v>110.76923076923077</v>
      </c>
      <c r="M79" s="240">
        <f t="shared" si="18"/>
        <v>11</v>
      </c>
      <c r="N79" s="240">
        <f t="shared" si="18"/>
        <v>1124.1025641025642</v>
      </c>
      <c r="O79" s="268">
        <f t="shared" si="18"/>
        <v>102.19114219114221</v>
      </c>
      <c r="P79" s="269">
        <f>M79-J79</f>
        <v>-2</v>
      </c>
      <c r="Q79" s="222">
        <f>N79-K79</f>
        <v>-315.8974358974358</v>
      </c>
      <c r="R79" s="223">
        <f>O79/L79</f>
        <v>0.92255892255892269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-315.8974358974358</v>
      </c>
      <c r="AG79" s="124">
        <f>N79/K79</f>
        <v>0.7806267806267807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088708-8FC1-406F-A691-6D67C36ADDA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BB70-C3BE-490B-AA13-7ECA1B2FF0F0}">
  <dimension ref="B1:O26"/>
  <sheetViews>
    <sheetView topLeftCell="A2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46129</v>
      </c>
      <c r="E3" s="399"/>
      <c r="F3" s="3" t="s">
        <v>72</v>
      </c>
      <c r="G3" s="400">
        <f>'0417'!E1</f>
        <v>53672</v>
      </c>
      <c r="H3" s="400"/>
      <c r="I3" s="3" t="s">
        <v>2</v>
      </c>
      <c r="J3" s="401">
        <f>'0417'!G1</f>
        <v>2584739.0800000005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125.01691846325427</v>
      </c>
      <c r="G6" s="397"/>
      <c r="H6" s="382">
        <f>AVERAGE(D13:H13)</f>
        <v>119.30246027556322</v>
      </c>
      <c r="I6" s="382"/>
      <c r="J6" s="382">
        <f>AVERAGE(I13)</f>
        <v>153.58920940170941</v>
      </c>
      <c r="K6" s="382"/>
      <c r="L6" s="383">
        <f>SUM(D18:J18)</f>
        <v>1</v>
      </c>
      <c r="M6" s="385">
        <f>SUM(D19:J19)</f>
        <v>36</v>
      </c>
      <c r="N6" s="386">
        <f>SUM(D20:J20)</f>
        <v>1</v>
      </c>
      <c r="O6" s="385">
        <f>SUM(D20:J20)</f>
        <v>1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108.68508992917548</v>
      </c>
      <c r="G7" s="389"/>
      <c r="H7" s="390">
        <f>AVERAGE(D14:H14)</f>
        <v>105.94346319460097</v>
      </c>
      <c r="I7" s="390"/>
      <c r="J7" s="390">
        <f>AVERAGE(I14)</f>
        <v>122.39322360204795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0.86936305313845064</v>
      </c>
      <c r="G8" s="374"/>
      <c r="H8" s="374">
        <f>H7/H6</f>
        <v>0.88802412749824422</v>
      </c>
      <c r="I8" s="374"/>
      <c r="J8" s="374">
        <f>J7/J6</f>
        <v>0.79688686515685492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VALUE('0417'!L15)</f>
        <v>138.14285714285714</v>
      </c>
      <c r="E13" s="13">
        <f>VALUE('0417'!L26)</f>
        <v>148.12820512820514</v>
      </c>
      <c r="F13" s="13">
        <f>VALUE('0417'!L37)</f>
        <v>109.98166666666665</v>
      </c>
      <c r="G13" s="13">
        <f>VALUE('0417'!L48)</f>
        <v>96.05185185185185</v>
      </c>
      <c r="H13" s="13">
        <f>VALUE('0417'!L58)</f>
        <v>104.20772058823529</v>
      </c>
      <c r="I13" s="13">
        <f>VALUE('0417'!L69)</f>
        <v>153.58920940170941</v>
      </c>
      <c r="J13" s="13">
        <f>'0417'!L79</f>
        <v>110.76923076923077</v>
      </c>
    </row>
    <row r="14" spans="2:15" ht="39.950000000000003" customHeight="1">
      <c r="B14" s="368"/>
      <c r="C14" s="12" t="s">
        <v>100</v>
      </c>
      <c r="D14" s="13">
        <f>VALUE('0417'!O15)</f>
        <v>126.62222673160085</v>
      </c>
      <c r="E14" s="13">
        <f>VALUE('0417'!O26)</f>
        <v>129.03320350535597</v>
      </c>
      <c r="F14" s="13">
        <f>VALUE('0417'!O37)</f>
        <v>90.98037883434354</v>
      </c>
      <c r="G14" s="13">
        <f>VALUE('0417'!O48)</f>
        <v>87.054749970163542</v>
      </c>
      <c r="H14" s="13">
        <f>VALUE('0417'!O58)</f>
        <v>96.026756931540902</v>
      </c>
      <c r="I14" s="13">
        <f>VALUE('0417'!O69)</f>
        <v>122.39322360204795</v>
      </c>
      <c r="J14" s="13">
        <f>'0417'!O79</f>
        <v>90.293706293706165</v>
      </c>
    </row>
    <row r="15" spans="2:15" ht="39.950000000000003" customHeight="1">
      <c r="B15" s="369"/>
      <c r="C15" s="10" t="s">
        <v>26</v>
      </c>
      <c r="D15" s="14">
        <f t="shared" ref="D15:I15" si="1">D14/D13</f>
        <v>0.9166035027106576</v>
      </c>
      <c r="E15" s="14">
        <f t="shared" si="1"/>
        <v>0.87109138596310931</v>
      </c>
      <c r="F15" s="14">
        <f t="shared" si="1"/>
        <v>0.82723222507699967</v>
      </c>
      <c r="G15" s="14">
        <f t="shared" si="1"/>
        <v>0.90633078167441028</v>
      </c>
      <c r="H15" s="14">
        <f t="shared" si="1"/>
        <v>0.92149368961806088</v>
      </c>
      <c r="I15" s="14">
        <f t="shared" si="1"/>
        <v>0.79688686515685492</v>
      </c>
      <c r="J15" s="15">
        <f>'0417'!S70</f>
        <v>0.81515151515151396</v>
      </c>
    </row>
    <row r="16" spans="2:15" ht="17.25" customHeight="1">
      <c r="B16" s="370" t="s">
        <v>101</v>
      </c>
      <c r="C16" s="10" t="s">
        <v>34</v>
      </c>
      <c r="D16" s="16">
        <f>'0417'!T5</f>
        <v>0.29166666666666702</v>
      </c>
      <c r="E16" s="16">
        <f>'0417'!T16</f>
        <v>0.29166666666666702</v>
      </c>
      <c r="F16" s="16">
        <f>'0417'!T27</f>
        <v>0.29166666666666702</v>
      </c>
      <c r="G16" s="16">
        <f>'0417'!T38</f>
        <v>0.33333333333333298</v>
      </c>
      <c r="H16" s="16">
        <f>'0417'!T49</f>
        <v>0.29166666666666702</v>
      </c>
      <c r="I16" s="16">
        <f>'0417'!T59</f>
        <v>0.29166666666666702</v>
      </c>
      <c r="J16" s="16">
        <f>'0417'!T70</f>
        <v>0.35763888888888901</v>
      </c>
    </row>
    <row r="17" spans="2:10" ht="17.25" customHeight="1">
      <c r="B17" s="371"/>
      <c r="C17" s="10" t="s">
        <v>35</v>
      </c>
      <c r="D17" s="16">
        <v>0.58680555555555602</v>
      </c>
      <c r="E17" s="19">
        <v>0.47777777777777802</v>
      </c>
      <c r="F17" s="19">
        <v>0.625</v>
      </c>
      <c r="G17" s="20">
        <v>0.61111111111111105</v>
      </c>
      <c r="H17" s="21">
        <v>0.62847222222222199</v>
      </c>
      <c r="I17" s="22">
        <v>0.58125000000000004</v>
      </c>
      <c r="J17" s="22">
        <v>0.43402777777777801</v>
      </c>
    </row>
    <row r="18" spans="2:10" ht="17.25" customHeight="1">
      <c r="B18" s="372" t="s">
        <v>102</v>
      </c>
      <c r="C18" s="330" t="s">
        <v>36</v>
      </c>
      <c r="D18" s="358">
        <f>'0417'!Z15</f>
        <v>0</v>
      </c>
      <c r="E18" s="359">
        <f>'0417'!Z26</f>
        <v>1</v>
      </c>
      <c r="F18" s="359">
        <f>'0417'!Z37</f>
        <v>0</v>
      </c>
      <c r="G18" s="360">
        <f>'0417'!Z48</f>
        <v>0</v>
      </c>
      <c r="H18" s="360">
        <f>'0417'!Z58</f>
        <v>0</v>
      </c>
      <c r="I18" s="359">
        <f>'0417'!Z69</f>
        <v>0</v>
      </c>
      <c r="J18" s="359">
        <f>'0417'!AA79</f>
        <v>0</v>
      </c>
    </row>
    <row r="19" spans="2:10" ht="17.25" customHeight="1">
      <c r="B19" s="373"/>
      <c r="C19" s="330" t="s">
        <v>37</v>
      </c>
      <c r="D19" s="358">
        <f>'0417'!AA15</f>
        <v>0</v>
      </c>
      <c r="E19" s="359">
        <f>'0417'!AA26</f>
        <v>36</v>
      </c>
      <c r="F19" s="359">
        <f>'0417'!AA37</f>
        <v>0</v>
      </c>
      <c r="G19" s="360">
        <f>'0417'!AA48</f>
        <v>0</v>
      </c>
      <c r="H19" s="360">
        <f>'0417'!AA58</f>
        <v>0</v>
      </c>
      <c r="I19" s="359">
        <f>'0417'!AA69</f>
        <v>0</v>
      </c>
      <c r="J19" s="359">
        <f>'0417'!AB79</f>
        <v>0</v>
      </c>
    </row>
    <row r="20" spans="2:10" ht="17.25" customHeight="1">
      <c r="B20" s="372" t="s">
        <v>103</v>
      </c>
      <c r="C20" s="330" t="s">
        <v>36</v>
      </c>
      <c r="D20" s="358">
        <f>'0417'!AD15</f>
        <v>0</v>
      </c>
      <c r="E20" s="359">
        <f>'0417'!AD26</f>
        <v>0</v>
      </c>
      <c r="F20" s="359">
        <f>'0417'!AD37</f>
        <v>1</v>
      </c>
      <c r="G20" s="360">
        <f>'0417'!AD48</f>
        <v>0</v>
      </c>
      <c r="H20" s="360">
        <f>'0417'!AD58</f>
        <v>0</v>
      </c>
      <c r="I20" s="359">
        <f>'0417'!AD69</f>
        <v>0</v>
      </c>
      <c r="J20" s="359">
        <f>'0417'!AD79</f>
        <v>0</v>
      </c>
    </row>
    <row r="21" spans="2:10" ht="17.25" customHeight="1">
      <c r="B21" s="373"/>
      <c r="C21" s="330" t="s">
        <v>85</v>
      </c>
      <c r="D21" s="358">
        <f>'0417'!AE15</f>
        <v>0</v>
      </c>
      <c r="E21" s="359">
        <f>'0417'!AE26</f>
        <v>0</v>
      </c>
      <c r="F21" s="359">
        <f>'0417'!AE37</f>
        <v>0</v>
      </c>
      <c r="G21" s="360">
        <f>'0417'!AE48</f>
        <v>0</v>
      </c>
      <c r="H21" s="360">
        <f>'0417'!AE58</f>
        <v>0</v>
      </c>
      <c r="I21" s="359">
        <f>'0417'!AE69</f>
        <v>0</v>
      </c>
      <c r="J21" s="359">
        <f>'0417'!AE79</f>
        <v>0</v>
      </c>
    </row>
    <row r="22" spans="2:10" ht="17.25" customHeight="1">
      <c r="B22" s="364" t="s">
        <v>104</v>
      </c>
      <c r="C22" s="365"/>
      <c r="D22" s="23">
        <f>VALUE('0417'!M15)</f>
        <v>15</v>
      </c>
      <c r="E22" s="23">
        <f>VALUE('0417'!M26)</f>
        <v>14</v>
      </c>
      <c r="F22" s="23">
        <f>VALUE('0417'!M37)</f>
        <v>15.4</v>
      </c>
      <c r="G22" s="23">
        <f>VALUE('0417'!M48)</f>
        <v>17</v>
      </c>
      <c r="H22" s="23">
        <f>VALUE('0417'!M58)</f>
        <v>15.75</v>
      </c>
      <c r="I22" s="23">
        <f>VALUE('0417'!M69)</f>
        <v>11.75</v>
      </c>
      <c r="J22" s="23">
        <f>'0417'!M79</f>
        <v>13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CDE2-34F5-4304-BD6E-1DC103502371}">
  <sheetPr>
    <tabColor theme="9" tint="0.79998168889431442"/>
  </sheetPr>
  <dimension ref="A1:AJ92"/>
  <sheetViews>
    <sheetView zoomScale="73" zoomScaleNormal="73" workbookViewId="0">
      <pane xSplit="5" ySplit="4" topLeftCell="F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M17" sqref="M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53672</v>
      </c>
      <c r="F1" s="30" t="s">
        <v>2</v>
      </c>
      <c r="G1" s="31">
        <f>SUM(H5:H79)</f>
        <v>2584739.0800000005</v>
      </c>
      <c r="H1" s="32" t="s">
        <v>3</v>
      </c>
      <c r="I1" s="33">
        <f>M15+M26+M48+M58+M69+M79+M37</f>
        <v>101.9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193</v>
      </c>
      <c r="B2" s="483"/>
      <c r="C2" s="28"/>
      <c r="D2" s="28" t="s">
        <v>14</v>
      </c>
      <c r="E2" s="35">
        <f>AVERAGE(O15,O26,O37,O48,O58,O69,O79)</f>
        <v>106.0577494098227</v>
      </c>
      <c r="F2" s="36" t="s">
        <v>15</v>
      </c>
      <c r="G2" s="37">
        <f>G1/E1</f>
        <v>48.158054106424217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36</v>
      </c>
      <c r="AB2" s="477"/>
      <c r="AC2" s="477"/>
      <c r="AD2" s="340">
        <f>AD15+AD26+AD37+AD48+AD58+AD69+AD79</f>
        <v>1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3233</v>
      </c>
      <c r="H5" s="43">
        <f>F5*G5</f>
        <v>188063.61000000002</v>
      </c>
      <c r="I5" s="44"/>
      <c r="J5" s="45">
        <v>16</v>
      </c>
      <c r="K5" s="46">
        <f>VLOOKUP(D5,產線配置圖!$A$3:$C$38,3,0)</f>
        <v>2000</v>
      </c>
      <c r="L5" s="47">
        <f>K5/J5</f>
        <v>125</v>
      </c>
      <c r="M5" s="48">
        <v>16</v>
      </c>
      <c r="N5" s="46">
        <f>G5/W5*60</f>
        <v>1959.3939393939402</v>
      </c>
      <c r="O5" s="47">
        <f>N5/M5</f>
        <v>122.46212121212126</v>
      </c>
      <c r="P5" s="49">
        <f>M5-J5</f>
        <v>0</v>
      </c>
      <c r="Q5" s="50">
        <f>O5-L5</f>
        <v>-2.5378787878787392</v>
      </c>
      <c r="R5" s="51">
        <f>O5/L5</f>
        <v>0.97969696969697007</v>
      </c>
      <c r="S5" s="415">
        <f>R15</f>
        <v>0.9166035027106576</v>
      </c>
      <c r="T5" s="319">
        <v>0.29166666666666702</v>
      </c>
      <c r="U5" s="320">
        <v>0.360416666666667</v>
      </c>
      <c r="V5" s="53"/>
      <c r="W5" s="54">
        <f t="shared" ref="W5:W14" si="0">(U5-T5)*24*60</f>
        <v>98.999999999999972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-40.606060606059827</v>
      </c>
      <c r="AG5" s="52">
        <f t="shared" ref="AG5:AG11" si="2">N5/K5</f>
        <v>0.97969696969697007</v>
      </c>
      <c r="AH5" s="403">
        <f>AG15</f>
        <v>0.9193676294969334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5601</v>
      </c>
      <c r="H6" s="63">
        <f>F6*G6</f>
        <v>275233.14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2100.3750000000023</v>
      </c>
      <c r="O6" s="67">
        <f>N6/M6</f>
        <v>150.02678571428586</v>
      </c>
      <c r="P6" s="69">
        <f>M6-J6</f>
        <v>0</v>
      </c>
      <c r="Q6" s="70">
        <f>O6-L6</f>
        <v>-1.2589285714284131</v>
      </c>
      <c r="R6" s="71">
        <f>O6/L6</f>
        <v>0.99167847025495859</v>
      </c>
      <c r="S6" s="416"/>
      <c r="T6" s="16">
        <v>0.36736111111111103</v>
      </c>
      <c r="U6" s="16">
        <v>0.47847222222222202</v>
      </c>
      <c r="V6" s="30">
        <f>(T6-U5)*24*60</f>
        <v>9.9999999999994049</v>
      </c>
      <c r="W6" s="73">
        <f t="shared" si="0"/>
        <v>159.99999999999983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-17.624999999997726</v>
      </c>
      <c r="AG6" s="72">
        <f t="shared" si="2"/>
        <v>0.99167847025495859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541</v>
      </c>
      <c r="H7" s="78">
        <f>F7*G7</f>
        <v>26584.74</v>
      </c>
      <c r="I7" s="73"/>
      <c r="J7" s="79">
        <v>14</v>
      </c>
      <c r="K7" s="80">
        <f>VLOOKUP(D7,產線配置圖!$A$3:$C$38,3,0)</f>
        <v>2118</v>
      </c>
      <c r="L7" s="81">
        <f>K7/J7</f>
        <v>151.28571428571428</v>
      </c>
      <c r="M7" s="82">
        <v>14</v>
      </c>
      <c r="N7" s="80">
        <f>G7/W7*60</f>
        <v>1622.9999999999798</v>
      </c>
      <c r="O7" s="81">
        <f>N7/M7</f>
        <v>115.92857142856998</v>
      </c>
      <c r="P7" s="74">
        <f>M7-J7</f>
        <v>0</v>
      </c>
      <c r="Q7" s="83">
        <f>O7-L7</f>
        <v>-35.357142857144296</v>
      </c>
      <c r="R7" s="72">
        <f>O7/L7</f>
        <v>0.76628895184135026</v>
      </c>
      <c r="S7" s="416"/>
      <c r="T7" s="18">
        <v>0.54166666666666696</v>
      </c>
      <c r="U7" s="18">
        <v>0.55555555555555602</v>
      </c>
      <c r="V7" s="30">
        <f>(T7-U6)*24*60</f>
        <v>91.000000000000711</v>
      </c>
      <c r="W7" s="73">
        <f t="shared" si="0"/>
        <v>20.000000000000249</v>
      </c>
      <c r="X7" s="22"/>
      <c r="Y7" s="84"/>
      <c r="Z7" s="90"/>
      <c r="AA7" s="90"/>
      <c r="AB7" s="409" t="s">
        <v>134</v>
      </c>
      <c r="AC7" s="409"/>
      <c r="AD7" s="92"/>
      <c r="AE7" s="92"/>
      <c r="AF7" s="307">
        <f t="shared" si="1"/>
        <v>-495.00000000002024</v>
      </c>
      <c r="AG7" s="72">
        <f t="shared" si="2"/>
        <v>0.76628895184135026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1102</v>
      </c>
      <c r="H8" s="78">
        <f>F8*G8</f>
        <v>64103.340000000004</v>
      </c>
      <c r="I8" s="73"/>
      <c r="J8" s="79">
        <v>16</v>
      </c>
      <c r="K8" s="80">
        <f>VLOOKUP(D8,產線配置圖!$A$3:$C$38,3,0)</f>
        <v>2000</v>
      </c>
      <c r="L8" s="81">
        <f>K8/J8</f>
        <v>125</v>
      </c>
      <c r="M8" s="82">
        <v>16</v>
      </c>
      <c r="N8" s="80">
        <f>G8/W8*60</f>
        <v>1889.1428571428207</v>
      </c>
      <c r="O8" s="81">
        <f>N8/M8</f>
        <v>118.0714285714263</v>
      </c>
      <c r="P8" s="74">
        <f>M8-J8</f>
        <v>0</v>
      </c>
      <c r="Q8" s="83">
        <f>O8-L8</f>
        <v>-6.9285714285737043</v>
      </c>
      <c r="R8" s="72">
        <f>O8/L8</f>
        <v>0.94457142857141041</v>
      </c>
      <c r="S8" s="416"/>
      <c r="T8" s="16">
        <v>0.5625</v>
      </c>
      <c r="U8" s="16">
        <v>0.58680555555555602</v>
      </c>
      <c r="V8" s="30">
        <f>(T8-U7)*24*60</f>
        <v>9.999999999999325</v>
      </c>
      <c r="W8" s="73">
        <f t="shared" si="0"/>
        <v>35.000000000000675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-110.85714285717927</v>
      </c>
      <c r="AG8" s="72">
        <f t="shared" si="2"/>
        <v>0.94457142857141041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2059</v>
      </c>
      <c r="L15" s="117">
        <f t="shared" si="3"/>
        <v>138.14285714285714</v>
      </c>
      <c r="M15" s="120">
        <f t="shared" si="3"/>
        <v>15</v>
      </c>
      <c r="N15" s="120">
        <f t="shared" si="3"/>
        <v>1892.9779491341858</v>
      </c>
      <c r="O15" s="117">
        <f t="shared" si="3"/>
        <v>126.62222673160085</v>
      </c>
      <c r="P15" s="121">
        <f>M15-J15</f>
        <v>0</v>
      </c>
      <c r="Q15" s="122">
        <f>O15-L15</f>
        <v>-11.520630411256292</v>
      </c>
      <c r="R15" s="123">
        <f>O15/L15</f>
        <v>0.9166035027106576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-166.02205086581421</v>
      </c>
      <c r="AG15" s="124">
        <f>N15/K15</f>
        <v>0.9193676294969334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3115</v>
      </c>
      <c r="H16" s="134">
        <f>F16*G16</f>
        <v>176340.15</v>
      </c>
      <c r="I16" s="135"/>
      <c r="J16" s="136">
        <v>15</v>
      </c>
      <c r="K16" s="137">
        <f>VLOOKUP(D16,產線配置圖!$A$3:$C$38,3,0)</f>
        <v>2000</v>
      </c>
      <c r="L16" s="138">
        <f>K16/J16</f>
        <v>133.33333333333334</v>
      </c>
      <c r="M16" s="139">
        <v>15</v>
      </c>
      <c r="N16" s="140">
        <f>G16/W16*60</f>
        <v>1869.0000000000127</v>
      </c>
      <c r="O16" s="141">
        <f>N16/M16</f>
        <v>124.60000000000085</v>
      </c>
      <c r="P16" s="142">
        <f>M16-J16</f>
        <v>0</v>
      </c>
      <c r="Q16" s="143">
        <f>O16-L16</f>
        <v>-8.7333333333324958</v>
      </c>
      <c r="R16" s="144">
        <f>O16/L16</f>
        <v>0.93450000000000633</v>
      </c>
      <c r="S16" s="443">
        <f>R26</f>
        <v>0.87109138596310931</v>
      </c>
      <c r="T16" s="145">
        <v>0.29166666666666702</v>
      </c>
      <c r="U16" s="145">
        <v>0.36111111111111099</v>
      </c>
      <c r="V16" s="135"/>
      <c r="W16" s="146">
        <f t="shared" ref="W16:W78" si="4">(U16-T16)*24*60</f>
        <v>99.999999999999318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-130.99999999998727</v>
      </c>
      <c r="AG16" s="52">
        <f>N16/K16</f>
        <v>0.93450000000000633</v>
      </c>
      <c r="AH16" s="403">
        <f>AG26</f>
        <v>0.87519749663410795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4569</v>
      </c>
      <c r="H17" s="78">
        <f>F17*G17</f>
        <v>230231.91</v>
      </c>
      <c r="I17" s="30"/>
      <c r="J17" s="79">
        <v>13</v>
      </c>
      <c r="K17" s="80">
        <f>VLOOKUP(D17,產線配置圖!$A$3:$C$38,3,0)</f>
        <v>2118</v>
      </c>
      <c r="L17" s="81">
        <f>K17/J17</f>
        <v>162.92307692307693</v>
      </c>
      <c r="M17" s="148">
        <v>13</v>
      </c>
      <c r="N17" s="95">
        <f>G17/W17*60</f>
        <v>1735.063291139244</v>
      </c>
      <c r="O17" s="96">
        <f>N17/M17</f>
        <v>133.46640701071107</v>
      </c>
      <c r="P17" s="97">
        <f>M17-J17</f>
        <v>0</v>
      </c>
      <c r="Q17" s="98">
        <f>O17-L17</f>
        <v>-29.456669912365868</v>
      </c>
      <c r="R17" s="99">
        <f>O17/L17</f>
        <v>0.81919890988632849</v>
      </c>
      <c r="S17" s="444"/>
      <c r="T17" s="19">
        <v>0.36805555555555602</v>
      </c>
      <c r="U17" s="19">
        <v>0.47777777777777802</v>
      </c>
      <c r="V17" s="30">
        <f>(T17-U16)*24*60</f>
        <v>10.000000000000844</v>
      </c>
      <c r="W17" s="149">
        <f t="shared" si="4"/>
        <v>157.99999999999969</v>
      </c>
      <c r="X17" s="19"/>
      <c r="Y17" s="297"/>
      <c r="Z17" s="90">
        <v>1</v>
      </c>
      <c r="AA17" s="90">
        <v>36</v>
      </c>
      <c r="AB17" s="409" t="s">
        <v>194</v>
      </c>
      <c r="AC17" s="409"/>
      <c r="AD17" s="92"/>
      <c r="AE17" s="92"/>
      <c r="AF17" s="307">
        <f>N17-K17</f>
        <v>-382.93670886075597</v>
      </c>
      <c r="AG17" s="72">
        <f>N17/K17</f>
        <v>0.8191989098863286</v>
      </c>
      <c r="AH17" s="405"/>
    </row>
    <row r="18" spans="1:34" ht="15" customHeight="1">
      <c r="A18" s="450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44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409"/>
      <c r="AC18" s="409"/>
      <c r="AD18" s="92"/>
      <c r="AE18" s="92"/>
      <c r="AF18" s="307">
        <f>N18-K18</f>
        <v>0</v>
      </c>
      <c r="AG18" s="72" t="e">
        <f>N18/K18</f>
        <v>#DIV/0!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2059</v>
      </c>
      <c r="L26" s="158">
        <f t="shared" si="5"/>
        <v>148.12820512820514</v>
      </c>
      <c r="M26" s="155">
        <f t="shared" si="5"/>
        <v>14</v>
      </c>
      <c r="N26" s="155">
        <f t="shared" si="5"/>
        <v>1802.0316455696284</v>
      </c>
      <c r="O26" s="158">
        <f t="shared" si="5"/>
        <v>129.03320350535597</v>
      </c>
      <c r="P26" s="159">
        <f t="shared" ref="P26:P31" si="6">M26-J26</f>
        <v>0</v>
      </c>
      <c r="Q26" s="160">
        <f t="shared" ref="Q26:Q31" si="7">O26-L26</f>
        <v>-19.095001622849168</v>
      </c>
      <c r="R26" s="161">
        <f t="shared" ref="R26:R31" si="8">O26/L26</f>
        <v>0.87109138596310931</v>
      </c>
      <c r="S26" s="445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36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-256.96835443037162</v>
      </c>
      <c r="AG26" s="124">
        <f t="shared" ref="AG26:AG31" si="10">N26/K26</f>
        <v>0.87519749663410795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1351</v>
      </c>
      <c r="H27" s="134">
        <f>F27*G27</f>
        <v>77290.710000000006</v>
      </c>
      <c r="I27" s="135"/>
      <c r="J27" s="136">
        <v>16</v>
      </c>
      <c r="K27" s="137">
        <v>1714</v>
      </c>
      <c r="L27" s="138">
        <f>K27/J27</f>
        <v>107.125</v>
      </c>
      <c r="M27" s="170">
        <v>16</v>
      </c>
      <c r="N27" s="140">
        <f>G27/W27*60</f>
        <v>1529.4339622641746</v>
      </c>
      <c r="O27" s="141">
        <f>N27/M27</f>
        <v>95.589622641510914</v>
      </c>
      <c r="P27" s="142">
        <f t="shared" si="6"/>
        <v>0</v>
      </c>
      <c r="Q27" s="143">
        <f t="shared" si="7"/>
        <v>-11.535377358489086</v>
      </c>
      <c r="R27" s="144">
        <f t="shared" si="8"/>
        <v>0.89231853107594783</v>
      </c>
      <c r="S27" s="443">
        <f>R37</f>
        <v>0.82723222507699967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-184.56603773582538</v>
      </c>
      <c r="AG27" s="172">
        <f t="shared" si="10"/>
        <v>0.89231853107594783</v>
      </c>
      <c r="AH27" s="403">
        <f>AG37</f>
        <v>0.81757503328089554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2056</v>
      </c>
      <c r="H28" s="91">
        <f>F28*G28</f>
        <v>104177.52</v>
      </c>
      <c r="I28" s="92"/>
      <c r="J28" s="79">
        <v>15</v>
      </c>
      <c r="K28" s="80">
        <v>1714</v>
      </c>
      <c r="L28" s="93">
        <f>K28/J28</f>
        <v>114.26666666666667</v>
      </c>
      <c r="M28" s="94">
        <v>15</v>
      </c>
      <c r="N28" s="95">
        <f>G28/W28*60</f>
        <v>1197.6699029126339</v>
      </c>
      <c r="O28" s="96">
        <f>N28/M28</f>
        <v>79.844660194175589</v>
      </c>
      <c r="P28" s="97">
        <f t="shared" si="6"/>
        <v>0</v>
      </c>
      <c r="Q28" s="98">
        <f t="shared" si="7"/>
        <v>-34.422006472491077</v>
      </c>
      <c r="R28" s="99">
        <f t="shared" si="8"/>
        <v>0.69875723623840946</v>
      </c>
      <c r="S28" s="444"/>
      <c r="T28" s="19">
        <v>0.33541666666666697</v>
      </c>
      <c r="U28" s="19">
        <v>0.406944444444444</v>
      </c>
      <c r="V28" s="92">
        <f>(T28-U27)*24*60</f>
        <v>10.000000000000764</v>
      </c>
      <c r="W28" s="149">
        <f t="shared" si="4"/>
        <v>102.99999999999892</v>
      </c>
      <c r="X28" s="174"/>
      <c r="Y28" s="301"/>
      <c r="Z28" s="335"/>
      <c r="AA28" s="335"/>
      <c r="AB28" s="409" t="s">
        <v>195</v>
      </c>
      <c r="AC28" s="409"/>
      <c r="AD28" s="92">
        <v>1</v>
      </c>
      <c r="AE28" s="92"/>
      <c r="AF28" s="311">
        <f t="shared" si="9"/>
        <v>-516.33009708736608</v>
      </c>
      <c r="AG28" s="99">
        <f t="shared" si="10"/>
        <v>0.69875723623840957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1800</v>
      </c>
      <c r="H29" s="91">
        <f>F29*G29</f>
        <v>102366</v>
      </c>
      <c r="I29" s="92"/>
      <c r="J29" s="79">
        <v>16</v>
      </c>
      <c r="K29" s="80">
        <v>1714</v>
      </c>
      <c r="L29" s="93">
        <f>K29/J29</f>
        <v>107.125</v>
      </c>
      <c r="M29" s="94">
        <v>15</v>
      </c>
      <c r="N29" s="95">
        <f>G29/W29*60</f>
        <v>1421.0526315789405</v>
      </c>
      <c r="O29" s="96">
        <f>N29/M29</f>
        <v>94.736842105262696</v>
      </c>
      <c r="P29" s="97">
        <f t="shared" si="6"/>
        <v>-1</v>
      </c>
      <c r="Q29" s="98">
        <f t="shared" si="7"/>
        <v>-12.388157894737304</v>
      </c>
      <c r="R29" s="99">
        <f t="shared" si="8"/>
        <v>0.88435791930233554</v>
      </c>
      <c r="S29" s="444"/>
      <c r="T29" s="19">
        <v>0.41388888888888897</v>
      </c>
      <c r="U29" s="19">
        <v>0.46666666666666701</v>
      </c>
      <c r="V29" s="92">
        <f>(T29-U28)*24*60</f>
        <v>10.000000000000764</v>
      </c>
      <c r="W29" s="149">
        <f t="shared" si="4"/>
        <v>76.000000000000369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-292.94736842105954</v>
      </c>
      <c r="AG29" s="99">
        <f t="shared" si="10"/>
        <v>0.82908554934593959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1400</v>
      </c>
      <c r="H30" s="91">
        <f>F30*G30</f>
        <v>80094</v>
      </c>
      <c r="I30" s="92"/>
      <c r="J30" s="79">
        <v>16</v>
      </c>
      <c r="K30" s="80">
        <v>1714</v>
      </c>
      <c r="L30" s="93">
        <f>K30/J30</f>
        <v>107.125</v>
      </c>
      <c r="M30" s="94">
        <v>16</v>
      </c>
      <c r="N30" s="95">
        <f>G30/W30*60</f>
        <v>1399.9999999999902</v>
      </c>
      <c r="O30" s="96">
        <f>N30/M30</f>
        <v>87.499999999999389</v>
      </c>
      <c r="P30" s="97">
        <f t="shared" si="6"/>
        <v>0</v>
      </c>
      <c r="Q30" s="98">
        <f t="shared" si="7"/>
        <v>-19.625000000000611</v>
      </c>
      <c r="R30" s="99">
        <f t="shared" si="8"/>
        <v>0.8168028004667387</v>
      </c>
      <c r="S30" s="444"/>
      <c r="T30" s="19">
        <v>0.53125</v>
      </c>
      <c r="U30" s="19">
        <v>0.57291666666666696</v>
      </c>
      <c r="V30" s="92">
        <f>(T30-U29)*24*60</f>
        <v>92.999999999999517</v>
      </c>
      <c r="W30" s="149">
        <f t="shared" si="4"/>
        <v>60.000000000000426</v>
      </c>
      <c r="X30" s="174">
        <v>0.49652777777777801</v>
      </c>
      <c r="Y30" s="301">
        <v>0.53819444444444398</v>
      </c>
      <c r="Z30" s="335"/>
      <c r="AA30" s="335"/>
      <c r="AB30" s="409"/>
      <c r="AC30" s="409"/>
      <c r="AD30" s="92"/>
      <c r="AE30" s="92"/>
      <c r="AF30" s="312">
        <f t="shared" si="9"/>
        <v>-314.00000000000978</v>
      </c>
      <c r="AG30" s="99">
        <f t="shared" si="10"/>
        <v>0.8168028004667387</v>
      </c>
      <c r="AH30" s="439"/>
    </row>
    <row r="31" spans="1:34" ht="15" customHeight="1">
      <c r="A31" s="441"/>
      <c r="B31" s="75" t="s">
        <v>81</v>
      </c>
      <c r="C31" s="88"/>
      <c r="D31" s="59" t="s">
        <v>116</v>
      </c>
      <c r="E31" s="89"/>
      <c r="F31" s="75">
        <f>VLOOKUP(D31,廠價表!$C$1:$E$43,3,0)</f>
        <v>50.67</v>
      </c>
      <c r="G31" s="90">
        <v>1580</v>
      </c>
      <c r="H31" s="91">
        <f>F31*G31</f>
        <v>80058.600000000006</v>
      </c>
      <c r="I31" s="92"/>
      <c r="J31" s="79">
        <v>15</v>
      </c>
      <c r="K31" s="80">
        <v>1714</v>
      </c>
      <c r="L31" s="93">
        <f>K31/J31</f>
        <v>114.26666666666667</v>
      </c>
      <c r="M31" s="94">
        <v>15</v>
      </c>
      <c r="N31" s="95">
        <f>G31/W31*60</f>
        <v>1458.4615384615365</v>
      </c>
      <c r="O31" s="96">
        <f>N31/M31</f>
        <v>97.230769230769098</v>
      </c>
      <c r="P31" s="97">
        <f t="shared" si="6"/>
        <v>0</v>
      </c>
      <c r="Q31" s="98">
        <f t="shared" si="7"/>
        <v>-17.035897435897567</v>
      </c>
      <c r="R31" s="99">
        <f t="shared" si="8"/>
        <v>0.85091104927744254</v>
      </c>
      <c r="S31" s="444"/>
      <c r="T31" s="19">
        <v>0.57986111111111105</v>
      </c>
      <c r="U31" s="19">
        <v>0.625</v>
      </c>
      <c r="V31" s="92">
        <f>(T31-U30)*24*60</f>
        <v>9.9999999999994849</v>
      </c>
      <c r="W31" s="149">
        <f t="shared" si="4"/>
        <v>65.000000000000085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-255.53846153846348</v>
      </c>
      <c r="AG31" s="99">
        <f t="shared" si="10"/>
        <v>0.85091104927744254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15.6</v>
      </c>
      <c r="K37" s="155">
        <f t="shared" si="11"/>
        <v>1714</v>
      </c>
      <c r="L37" s="158">
        <f t="shared" si="11"/>
        <v>109.98166666666665</v>
      </c>
      <c r="M37" s="155">
        <f t="shared" si="11"/>
        <v>15.4</v>
      </c>
      <c r="N37" s="155">
        <f t="shared" si="11"/>
        <v>1401.323607043455</v>
      </c>
      <c r="O37" s="158">
        <f t="shared" si="11"/>
        <v>90.98037883434354</v>
      </c>
      <c r="P37" s="159">
        <f>M37-J37</f>
        <v>-0.19999999999999929</v>
      </c>
      <c r="Q37" s="160">
        <f>N37-K37</f>
        <v>-312.67639295654499</v>
      </c>
      <c r="R37" s="161">
        <f>O37/L37</f>
        <v>0.82723222507699967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1</v>
      </c>
      <c r="AE37" s="324">
        <f>SUM(AE27:AE36)</f>
        <v>0</v>
      </c>
      <c r="AF37" s="309">
        <f>N37-K37</f>
        <v>-312.67639295654499</v>
      </c>
      <c r="AG37" s="124">
        <f>N37/K37</f>
        <v>0.81757503328089554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2451</v>
      </c>
      <c r="H38" s="134">
        <f>F38*G38</f>
        <v>122329.40999999999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1500.6122448979486</v>
      </c>
      <c r="O38" s="141">
        <f>N38/M38</f>
        <v>100.04081632652991</v>
      </c>
      <c r="P38" s="142">
        <f>M38-J38</f>
        <v>0</v>
      </c>
      <c r="Q38" s="143">
        <f>O38-L38</f>
        <v>-14.225850340136759</v>
      </c>
      <c r="R38" s="144">
        <f>O38/L38</f>
        <v>0.87550306003380896</v>
      </c>
      <c r="S38" s="433">
        <f>R48</f>
        <v>0.90633078167441028</v>
      </c>
      <c r="T38" s="191">
        <v>0.33333333333333298</v>
      </c>
      <c r="U38" s="191">
        <v>0.40138888888888902</v>
      </c>
      <c r="V38" s="192"/>
      <c r="W38" s="193">
        <f t="shared" si="4"/>
        <v>98.000000000000696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-213.38775510205141</v>
      </c>
      <c r="AG38" s="195">
        <f>N38/K38</f>
        <v>0.87550306003380896</v>
      </c>
      <c r="AH38" s="436">
        <f>AG48</f>
        <v>0.90851239665756445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3300</v>
      </c>
      <c r="H39" s="91">
        <f>F39*G39</f>
        <v>146190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1488.72180451128</v>
      </c>
      <c r="O39" s="203">
        <f>N39/M39</f>
        <v>82.706766917293336</v>
      </c>
      <c r="P39" s="97">
        <f>M39-J39</f>
        <v>0</v>
      </c>
      <c r="Q39" s="98">
        <f>O39-L39</f>
        <v>-4.2376775271511065</v>
      </c>
      <c r="R39" s="99">
        <f>O39/L39</f>
        <v>0.95125993898484351</v>
      </c>
      <c r="S39" s="434"/>
      <c r="T39" s="20">
        <v>0.40763888888888899</v>
      </c>
      <c r="U39" s="20">
        <v>0.5</v>
      </c>
      <c r="V39" s="92">
        <f>(T39-U38)*24*60</f>
        <v>8.999999999999968</v>
      </c>
      <c r="W39" s="205">
        <f t="shared" si="4"/>
        <v>132.99999999999986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-76.27819548872003</v>
      </c>
      <c r="AG39" s="206">
        <f>N39/K39</f>
        <v>0.9512599389848434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1882</v>
      </c>
      <c r="H40" s="91">
        <f>F40*G40</f>
        <v>83372.599999999991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18</v>
      </c>
      <c r="N40" s="202">
        <f>G40/W40*60</f>
        <v>1411.5000000000136</v>
      </c>
      <c r="O40" s="203">
        <f>N40/M40</f>
        <v>78.416666666667425</v>
      </c>
      <c r="P40" s="97">
        <f>M40-J40</f>
        <v>0</v>
      </c>
      <c r="Q40" s="98">
        <f>O40-L40</f>
        <v>-8.5277777777770183</v>
      </c>
      <c r="R40" s="99">
        <f>O40/L40</f>
        <v>0.90191693290735697</v>
      </c>
      <c r="S40" s="416"/>
      <c r="T40" s="20">
        <v>0.55555555555555602</v>
      </c>
      <c r="U40" s="20">
        <v>0.61111111111111105</v>
      </c>
      <c r="V40" s="92">
        <f>(T40-U39)*24*60</f>
        <v>80.000000000000682</v>
      </c>
      <c r="W40" s="205">
        <f t="shared" si="4"/>
        <v>79.999999999999233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-153.49999999998636</v>
      </c>
      <c r="AG40" s="206">
        <f>N40/K40</f>
        <v>0.90191693290735697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17</v>
      </c>
      <c r="N48" s="155">
        <f t="shared" si="13"/>
        <v>1466.9446831364141</v>
      </c>
      <c r="O48" s="158">
        <f t="shared" si="13"/>
        <v>87.054749970163542</v>
      </c>
      <c r="P48" s="221">
        <f>M48-J48</f>
        <v>0</v>
      </c>
      <c r="Q48" s="222">
        <f>N48-K48</f>
        <v>-147.7219835302526</v>
      </c>
      <c r="R48" s="223">
        <f>O48/L48</f>
        <v>0.90633078167441028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-147.7219835302526</v>
      </c>
      <c r="AG48" s="162">
        <f t="shared" ref="AG48:AG53" si="15">N48/K48</f>
        <v>0.90851239665756445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2066</v>
      </c>
      <c r="H49" s="134">
        <f>F49*G49</f>
        <v>102308.32</v>
      </c>
      <c r="I49" s="135"/>
      <c r="J49" s="136">
        <f>VLOOKUP(D49,產線配置圖!$A$3:$C$38,2,0)</f>
        <v>17</v>
      </c>
      <c r="K49" s="137">
        <f>VLOOKUP(D49,產線配置圖!$A$3:$C$38,3,0)</f>
        <v>1440</v>
      </c>
      <c r="L49" s="138">
        <f>K49/J49</f>
        <v>84.705882352941174</v>
      </c>
      <c r="M49" s="170">
        <v>17</v>
      </c>
      <c r="N49" s="140">
        <f>G49/W49*60</f>
        <v>1392.8089887640574</v>
      </c>
      <c r="O49" s="141">
        <f>N49/M49</f>
        <v>81.929940515532792</v>
      </c>
      <c r="P49" s="229">
        <f>M49-J49</f>
        <v>0</v>
      </c>
      <c r="Q49" s="230">
        <f>O49-L49</f>
        <v>-2.7759418374083822</v>
      </c>
      <c r="R49" s="52">
        <f>O49/L49</f>
        <v>0.9672284644194844</v>
      </c>
      <c r="S49" s="415">
        <f>R58</f>
        <v>0.92149368961806088</v>
      </c>
      <c r="T49" s="191">
        <v>0.29166666666666702</v>
      </c>
      <c r="U49" s="191">
        <v>0.35347222222222202</v>
      </c>
      <c r="V49" s="55"/>
      <c r="W49" s="193">
        <f t="shared" si="4"/>
        <v>88.999999999999204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-47.191011235942597</v>
      </c>
      <c r="AG49" s="52">
        <f t="shared" si="15"/>
        <v>0.96722846441948429</v>
      </c>
      <c r="AH49" s="403">
        <f>AG58</f>
        <v>0.89182290841420542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4563</v>
      </c>
      <c r="H50" s="231">
        <f>F50*G50</f>
        <v>228013.11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1669.3902439024375</v>
      </c>
      <c r="O50" s="235">
        <f>N50/M50</f>
        <v>111.29268292682917</v>
      </c>
      <c r="P50" s="74">
        <f>M50-J50</f>
        <v>-1</v>
      </c>
      <c r="Q50" s="83">
        <f>O50-L50</f>
        <v>-1.2073170731708274</v>
      </c>
      <c r="R50" s="72">
        <f>O50/L50</f>
        <v>0.98926829268292593</v>
      </c>
      <c r="S50" s="416"/>
      <c r="T50" s="21">
        <v>0.360416666666667</v>
      </c>
      <c r="U50" s="21">
        <v>0.47430555555555598</v>
      </c>
      <c r="V50" s="30">
        <f>(T50-U49)*24*60</f>
        <v>10.000000000000764</v>
      </c>
      <c r="W50" s="236">
        <f t="shared" si="4"/>
        <v>164.00000000000014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-130.60975609756247</v>
      </c>
      <c r="AG50" s="72">
        <f t="shared" si="15"/>
        <v>0.92743902439024306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1046</v>
      </c>
      <c r="H51" s="231">
        <f>F51*G51</f>
        <v>52268.619999999995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1394.6666666666665</v>
      </c>
      <c r="O51" s="235">
        <f>N51/M51</f>
        <v>92.977777777777774</v>
      </c>
      <c r="P51" s="74">
        <f>M51-J51</f>
        <v>-1</v>
      </c>
      <c r="Q51" s="83">
        <f>O51-L51</f>
        <v>-19.522222222222226</v>
      </c>
      <c r="R51" s="72">
        <f>O51/L51</f>
        <v>0.82646913580246906</v>
      </c>
      <c r="S51" s="416"/>
      <c r="T51" s="21">
        <v>0.53541666666666698</v>
      </c>
      <c r="U51" s="19">
        <v>0.56666666666666698</v>
      </c>
      <c r="V51" s="30">
        <f>(T51-U50)*24*60</f>
        <v>87.999999999999844</v>
      </c>
      <c r="W51" s="236">
        <f t="shared" si="4"/>
        <v>45</v>
      </c>
      <c r="X51" s="22"/>
      <c r="Y51" s="84"/>
      <c r="Z51" s="90"/>
      <c r="AA51" s="90"/>
      <c r="AB51" s="409" t="s">
        <v>196</v>
      </c>
      <c r="AC51" s="409"/>
      <c r="AD51" s="92"/>
      <c r="AE51" s="92"/>
      <c r="AF51" s="307">
        <f t="shared" si="14"/>
        <v>-405.33333333333348</v>
      </c>
      <c r="AG51" s="72">
        <f t="shared" si="15"/>
        <v>0.77481481481481473</v>
      </c>
      <c r="AH51" s="405"/>
    </row>
    <row r="52" spans="1:34" ht="15" customHeight="1">
      <c r="A52" s="428"/>
      <c r="B52" s="101" t="s">
        <v>81</v>
      </c>
      <c r="C52" s="102"/>
      <c r="D52" s="103" t="s">
        <v>147</v>
      </c>
      <c r="E52" s="104"/>
      <c r="F52" s="75">
        <f>VLOOKUP(D52,廠價表!$C$1:$E$43,3,0)</f>
        <v>56.87</v>
      </c>
      <c r="G52" s="202">
        <v>2167</v>
      </c>
      <c r="H52" s="231">
        <f>F52*G52</f>
        <v>123237.29</v>
      </c>
      <c r="I52" s="232"/>
      <c r="J52" s="79">
        <v>16</v>
      </c>
      <c r="K52" s="80">
        <v>1714</v>
      </c>
      <c r="L52" s="81">
        <f>K52/J52</f>
        <v>107.125</v>
      </c>
      <c r="M52" s="108">
        <v>16</v>
      </c>
      <c r="N52" s="234">
        <f>G52/W52*60</f>
        <v>1566.5060240963821</v>
      </c>
      <c r="O52" s="235">
        <f>N52/M52</f>
        <v>97.906626506023883</v>
      </c>
      <c r="P52" s="74">
        <f>M52-J52</f>
        <v>0</v>
      </c>
      <c r="Q52" s="83">
        <f>O52-L52</f>
        <v>-9.2183734939761166</v>
      </c>
      <c r="R52" s="72">
        <f>O52/L52</f>
        <v>0.91394750530710744</v>
      </c>
      <c r="S52" s="416"/>
      <c r="T52" s="21">
        <v>0.57083333333333297</v>
      </c>
      <c r="U52" s="21">
        <v>0.62847222222222199</v>
      </c>
      <c r="V52" s="30">
        <f>(T52-U51)*24*60</f>
        <v>5.9999999999990195</v>
      </c>
      <c r="W52" s="236">
        <f t="shared" si="4"/>
        <v>83.000000000000185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-147.49397590361787</v>
      </c>
      <c r="AG52" s="72">
        <f t="shared" si="15"/>
        <v>0.91394750530710744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16.25</v>
      </c>
      <c r="K58" s="120">
        <f t="shared" si="16"/>
        <v>1688.5</v>
      </c>
      <c r="L58" s="117">
        <f t="shared" si="16"/>
        <v>104.20772058823529</v>
      </c>
      <c r="M58" s="120">
        <f t="shared" si="16"/>
        <v>15.75</v>
      </c>
      <c r="N58" s="120">
        <f t="shared" si="16"/>
        <v>1505.8429808573858</v>
      </c>
      <c r="O58" s="117">
        <f t="shared" si="16"/>
        <v>96.026756931540902</v>
      </c>
      <c r="P58" s="121">
        <f>M58-J58</f>
        <v>-0.5</v>
      </c>
      <c r="Q58" s="122">
        <f>N58-K58</f>
        <v>-182.65701914261422</v>
      </c>
      <c r="R58" s="123">
        <f>O58/L58</f>
        <v>0.92149368961806088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-182.65701914261422</v>
      </c>
      <c r="AG58" s="124">
        <f>N58/K58</f>
        <v>0.89182290841420542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3215</v>
      </c>
      <c r="H59" s="243">
        <f>F59*G59</f>
        <v>86772.849999999991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1543.2000000000103</v>
      </c>
      <c r="O59" s="138">
        <f>N59/M59</f>
        <v>118.70769230769309</v>
      </c>
      <c r="P59" s="56">
        <f>M59-J59</f>
        <v>0</v>
      </c>
      <c r="Q59" s="230">
        <f>O59-L59</f>
        <v>-1.6769230769222929</v>
      </c>
      <c r="R59" s="52">
        <f>O59/L59</f>
        <v>0.98607028753994264</v>
      </c>
      <c r="S59" s="415">
        <f>R69</f>
        <v>0.79688686515685492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-21.799999999989723</v>
      </c>
      <c r="AG59" s="246">
        <f>N59/K59</f>
        <v>0.98607028753994264</v>
      </c>
      <c r="AH59" s="403">
        <f>AG69</f>
        <v>0.89425969328941413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1535</v>
      </c>
      <c r="H60" s="78">
        <f>F60*G60</f>
        <v>43379.100000000006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1228.0000000000084</v>
      </c>
      <c r="O60" s="81">
        <f>N60/M60</f>
        <v>102.33333333333404</v>
      </c>
      <c r="P60" s="74">
        <f>M60-J60</f>
        <v>0</v>
      </c>
      <c r="Q60" s="83">
        <f>O60-L60</f>
        <v>-28.083333333332618</v>
      </c>
      <c r="R60" s="72">
        <f>O60/L60</f>
        <v>0.7846645367412195</v>
      </c>
      <c r="S60" s="425"/>
      <c r="T60" s="22">
        <v>0.38541666666666702</v>
      </c>
      <c r="U60" s="22">
        <v>0.4375</v>
      </c>
      <c r="V60" s="30">
        <f>(T60-U59)*24*60</f>
        <v>10.000000000000844</v>
      </c>
      <c r="W60" s="248">
        <f t="shared" si="4"/>
        <v>74.999999999999488</v>
      </c>
      <c r="X60" s="232"/>
      <c r="Y60" s="177"/>
      <c r="Z60" s="90"/>
      <c r="AA60" s="90"/>
      <c r="AB60" s="409" t="s">
        <v>197</v>
      </c>
      <c r="AC60" s="409"/>
      <c r="AD60" s="92"/>
      <c r="AE60" s="92"/>
      <c r="AF60" s="316">
        <f>N60-K60</f>
        <v>-336.99999999999159</v>
      </c>
      <c r="AG60" s="249">
        <f>N60/K60</f>
        <v>0.78466453674121939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1993</v>
      </c>
      <c r="H61" s="254">
        <f>F61*G61</f>
        <v>56322.18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1406.823529411759</v>
      </c>
      <c r="O61" s="238">
        <f>N61/M61</f>
        <v>127.89304812834172</v>
      </c>
      <c r="P61" s="111">
        <f>M61-J61</f>
        <v>2</v>
      </c>
      <c r="Q61" s="255">
        <f>O61-L61</f>
        <v>-53.884729649436053</v>
      </c>
      <c r="R61" s="85">
        <f>O61/L61</f>
        <v>0.70356811317547407</v>
      </c>
      <c r="S61" s="416"/>
      <c r="T61" s="22">
        <v>0.44444444444444398</v>
      </c>
      <c r="U61" s="22">
        <v>0.50347222222222199</v>
      </c>
      <c r="V61" s="30">
        <f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-229.17647058824105</v>
      </c>
      <c r="AG61" s="247">
        <f>N61/K61</f>
        <v>0.85991658277002381</v>
      </c>
      <c r="AH61" s="405"/>
    </row>
    <row r="62" spans="1:34" ht="15" customHeight="1">
      <c r="A62" s="423"/>
      <c r="B62" s="258" t="s">
        <v>128</v>
      </c>
      <c r="C62" s="58"/>
      <c r="D62" s="259" t="s">
        <v>131</v>
      </c>
      <c r="E62" s="60"/>
      <c r="F62" s="250">
        <f>VLOOKUP(D62,廠價表!$C$1:$E$43,3,0)</f>
        <v>28.26</v>
      </c>
      <c r="G62" s="260">
        <v>954</v>
      </c>
      <c r="H62" s="254">
        <f>F62*G62</f>
        <v>26960.04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68">
        <v>11</v>
      </c>
      <c r="N62" s="107">
        <f>G62/W62*60</f>
        <v>1547.0270270270526</v>
      </c>
      <c r="O62" s="238">
        <f>N62/M62</f>
        <v>140.63882063882295</v>
      </c>
      <c r="P62" s="111">
        <f>M62-J62</f>
        <v>2</v>
      </c>
      <c r="Q62" s="255">
        <f>O62-L62</f>
        <v>-41.138957138954822</v>
      </c>
      <c r="R62" s="85">
        <f>O62/L62</f>
        <v>0.77368544361210667</v>
      </c>
      <c r="S62" s="416"/>
      <c r="T62" s="22">
        <v>0.55555555555555602</v>
      </c>
      <c r="U62" s="22">
        <v>0.58125000000000004</v>
      </c>
      <c r="V62" s="30">
        <f>(T62-U61)*24*60</f>
        <v>75.000000000001009</v>
      </c>
      <c r="W62" s="248">
        <f t="shared" si="4"/>
        <v>36.999999999999389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-88.972972972947446</v>
      </c>
      <c r="AG62" s="247">
        <f>N62/K62</f>
        <v>0.94561554219257493</v>
      </c>
      <c r="AH62" s="405"/>
    </row>
    <row r="63" spans="1:34" ht="15" customHeight="1">
      <c r="A63" s="423"/>
      <c r="B63" s="75"/>
      <c r="C63" s="76"/>
      <c r="D63" s="175"/>
      <c r="E63" s="77"/>
      <c r="F63" s="250"/>
      <c r="G63" s="30"/>
      <c r="H63" s="254"/>
      <c r="I63" s="182"/>
      <c r="J63" s="106"/>
      <c r="K63" s="107"/>
      <c r="L63" s="238"/>
      <c r="M63" s="82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11.75</v>
      </c>
      <c r="N69" s="240">
        <f t="shared" si="17"/>
        <v>1431.2626391097074</v>
      </c>
      <c r="O69" s="268">
        <f t="shared" si="17"/>
        <v>122.39322360204795</v>
      </c>
      <c r="P69" s="269">
        <f>M69-J69</f>
        <v>1</v>
      </c>
      <c r="Q69" s="222">
        <f>N69-K69</f>
        <v>-169.23736089029262</v>
      </c>
      <c r="R69" s="123">
        <f>O69/L69</f>
        <v>0.79688686515685492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-169.23736089029262</v>
      </c>
      <c r="AG69" s="124">
        <f>N69/K69</f>
        <v>0.89425969328941413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2152</v>
      </c>
      <c r="H70" s="243">
        <f>F70*G70</f>
        <v>109041.84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13</v>
      </c>
      <c r="N70" s="137">
        <f>G70/W70*60</f>
        <v>1173.8181818181802</v>
      </c>
      <c r="O70" s="138">
        <f>N70/M70</f>
        <v>90.293706293706165</v>
      </c>
      <c r="P70" s="56">
        <f>M70-J70</f>
        <v>0</v>
      </c>
      <c r="Q70" s="230">
        <f>O70-L70</f>
        <v>-20.475524475524608</v>
      </c>
      <c r="R70" s="52">
        <f>O70/L70</f>
        <v>0.81515151515151396</v>
      </c>
      <c r="S70" s="415">
        <f>R79</f>
        <v>0.81515151515151396</v>
      </c>
      <c r="T70" s="245">
        <v>0.35763888888888901</v>
      </c>
      <c r="U70" s="245">
        <v>0.43402777777777801</v>
      </c>
      <c r="V70" s="55"/>
      <c r="W70" s="54">
        <f t="shared" si="4"/>
        <v>110.00000000000017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-266.18181818181984</v>
      </c>
      <c r="AG70" s="246">
        <f>N70/K70</f>
        <v>0.81515151515151396</v>
      </c>
      <c r="AH70" s="403">
        <f>AG79</f>
        <v>0.81515151515151396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8">AVERAGE(J70:J78)</f>
        <v>13</v>
      </c>
      <c r="K79" s="240">
        <f t="shared" si="18"/>
        <v>1440</v>
      </c>
      <c r="L79" s="268">
        <f t="shared" si="18"/>
        <v>110.76923076923077</v>
      </c>
      <c r="M79" s="240">
        <f t="shared" si="18"/>
        <v>13</v>
      </c>
      <c r="N79" s="240">
        <f t="shared" si="18"/>
        <v>1173.8181818181802</v>
      </c>
      <c r="O79" s="268">
        <f t="shared" si="18"/>
        <v>90.293706293706165</v>
      </c>
      <c r="P79" s="269">
        <f>M79-J79</f>
        <v>0</v>
      </c>
      <c r="Q79" s="222">
        <f>N79-K79</f>
        <v>-266.18181818181984</v>
      </c>
      <c r="R79" s="223">
        <f>O79/L79</f>
        <v>0.81515151515151396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-266.18181818181984</v>
      </c>
      <c r="AG79" s="124">
        <f>N79/K79</f>
        <v>0.81515151515151396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CE2851-12AF-4F74-BAA1-42B6AF71791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2EDD-6FD8-46BF-AAE4-28D4DFC68F04}">
  <dimension ref="B1:O26"/>
  <sheetViews>
    <sheetView topLeftCell="A2" zoomScale="70" zoomScaleNormal="70" workbookViewId="0">
      <selection activeCell="AB62" sqref="AB62:AC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46130</v>
      </c>
      <c r="E3" s="399"/>
      <c r="F3" s="3" t="s">
        <v>72</v>
      </c>
      <c r="G3" s="400">
        <f>'0418'!E1</f>
        <v>56832</v>
      </c>
      <c r="H3" s="400"/>
      <c r="I3" s="3" t="s">
        <v>2</v>
      </c>
      <c r="J3" s="401">
        <f>'0418'!G1</f>
        <v>2737374.6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122.45088571468473</v>
      </c>
      <c r="G6" s="397"/>
      <c r="H6" s="382">
        <f>AVERAGE(D13:H13)</f>
        <v>116.22322097727979</v>
      </c>
      <c r="I6" s="382"/>
      <c r="J6" s="382">
        <f>AVERAGE(I13)</f>
        <v>153.58920940170941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110.50616337698894</v>
      </c>
      <c r="G7" s="389"/>
      <c r="H7" s="390">
        <f>AVERAGE(D14:H14)</f>
        <v>106.33639483138556</v>
      </c>
      <c r="I7" s="390"/>
      <c r="J7" s="390">
        <f>AVERAGE(I14)</f>
        <v>131.35500610500583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0.90245295272483816</v>
      </c>
      <c r="G8" s="374"/>
      <c r="H8" s="374">
        <f>H7/H6</f>
        <v>0.91493243722932971</v>
      </c>
      <c r="I8" s="374"/>
      <c r="J8" s="374">
        <f>J7/J6</f>
        <v>0.85523590242234737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VALUE('0418'!L15)</f>
        <v>138.75428571428569</v>
      </c>
      <c r="E13" s="13">
        <f>VALUE('0418'!L26)</f>
        <v>144.94444444444446</v>
      </c>
      <c r="F13" s="13">
        <f>VALUE('0418'!L37)</f>
        <v>102.20294117647059</v>
      </c>
      <c r="G13" s="13">
        <f>VALUE('0418'!L48)</f>
        <v>96.05185185185185</v>
      </c>
      <c r="H13" s="13">
        <f>VALUE('0418'!L58)</f>
        <v>99.162581699346404</v>
      </c>
      <c r="I13" s="13">
        <f>VALUE('0418'!L69)</f>
        <v>153.58920940170941</v>
      </c>
      <c r="J13" s="13">
        <f>'0418'!L79</f>
        <v>110.76923076923077</v>
      </c>
    </row>
    <row r="14" spans="2:15" ht="39.950000000000003" customHeight="1">
      <c r="B14" s="368"/>
      <c r="C14" s="12" t="s">
        <v>100</v>
      </c>
      <c r="D14" s="13">
        <f>VALUE('0418'!O15)</f>
        <v>128.43044161534391</v>
      </c>
      <c r="E14" s="13">
        <f>VALUE('0418'!O26)</f>
        <v>135.83284985729708</v>
      </c>
      <c r="F14" s="13">
        <f>VALUE('0418'!O37)</f>
        <v>94.556792892642321</v>
      </c>
      <c r="G14" s="13">
        <f>VALUE('0418'!O48)</f>
        <v>82.817983193276817</v>
      </c>
      <c r="H14" s="13">
        <f>VALUE('0418'!O58)</f>
        <v>90.043906598367755</v>
      </c>
      <c r="I14" s="13">
        <f>VALUE('0418'!O69)</f>
        <v>131.35500610500583</v>
      </c>
      <c r="J14" s="13">
        <f>'0418'!O79</f>
        <v>89.541666666667041</v>
      </c>
    </row>
    <row r="15" spans="2:15" ht="39.950000000000003" customHeight="1">
      <c r="B15" s="369"/>
      <c r="C15" s="10" t="s">
        <v>26</v>
      </c>
      <c r="D15" s="14">
        <f t="shared" ref="D15:I15" si="1">D14/D13</f>
        <v>0.92559621459044517</v>
      </c>
      <c r="E15" s="14">
        <f t="shared" si="1"/>
        <v>0.93713733132669497</v>
      </c>
      <c r="F15" s="14">
        <f t="shared" si="1"/>
        <v>0.92518661208951014</v>
      </c>
      <c r="G15" s="14">
        <f t="shared" si="1"/>
        <v>0.86222161880869674</v>
      </c>
      <c r="H15" s="14">
        <f t="shared" si="1"/>
        <v>0.90804318579939969</v>
      </c>
      <c r="I15" s="14">
        <f t="shared" si="1"/>
        <v>0.85523590242234737</v>
      </c>
      <c r="J15" s="15">
        <f>'0418'!S70</f>
        <v>0.80836226851852189</v>
      </c>
    </row>
    <row r="16" spans="2:15" ht="17.25" customHeight="1">
      <c r="B16" s="370" t="s">
        <v>101</v>
      </c>
      <c r="C16" s="10" t="s">
        <v>34</v>
      </c>
      <c r="D16" s="16">
        <f>'0418'!T5</f>
        <v>0.29166666666666702</v>
      </c>
      <c r="E16" s="16">
        <f>'0418'!T16</f>
        <v>0.29027777777777802</v>
      </c>
      <c r="F16" s="16">
        <f>'0418'!T27</f>
        <v>0.29166666666666702</v>
      </c>
      <c r="G16" s="16">
        <f>'0418'!T38</f>
        <v>0.33333333333333298</v>
      </c>
      <c r="H16" s="16">
        <f>'0418'!T49</f>
        <v>0.29166666666666702</v>
      </c>
      <c r="I16" s="16">
        <f>'0418'!T59</f>
        <v>0.29166666666666702</v>
      </c>
      <c r="J16" s="16">
        <f>'0418'!T70</f>
        <v>0.33680555555555602</v>
      </c>
    </row>
    <row r="17" spans="2:10" ht="17.25" customHeight="1">
      <c r="B17" s="371"/>
      <c r="C17" s="10" t="s">
        <v>35</v>
      </c>
      <c r="D17" s="16">
        <v>0.66249999999999998</v>
      </c>
      <c r="E17" s="19">
        <v>0.48958333333333298</v>
      </c>
      <c r="F17" s="19">
        <v>0.61805555555555602</v>
      </c>
      <c r="G17" s="20">
        <v>0.59027777777777801</v>
      </c>
      <c r="H17" s="21">
        <v>0.625</v>
      </c>
      <c r="I17" s="22">
        <v>0.59375</v>
      </c>
      <c r="J17" s="22">
        <v>0.42013888888888901</v>
      </c>
    </row>
    <row r="18" spans="2:10" ht="17.25" customHeight="1">
      <c r="B18" s="372" t="s">
        <v>102</v>
      </c>
      <c r="C18" s="330" t="s">
        <v>36</v>
      </c>
      <c r="D18" s="358">
        <f>'0418'!Z15</f>
        <v>0</v>
      </c>
      <c r="E18" s="359">
        <f>'0418'!Z26</f>
        <v>0</v>
      </c>
      <c r="F18" s="359">
        <f>'0418'!Z37</f>
        <v>0</v>
      </c>
      <c r="G18" s="360">
        <f>'0418'!Z48</f>
        <v>0</v>
      </c>
      <c r="H18" s="360">
        <f>'0418'!Z58</f>
        <v>0</v>
      </c>
      <c r="I18" s="359">
        <f>'0418'!Z69</f>
        <v>0</v>
      </c>
      <c r="J18" s="359">
        <f>'0418'!AA79</f>
        <v>0</v>
      </c>
    </row>
    <row r="19" spans="2:10" ht="17.25" customHeight="1">
      <c r="B19" s="373"/>
      <c r="C19" s="330" t="s">
        <v>37</v>
      </c>
      <c r="D19" s="358">
        <f>'0418'!AA15</f>
        <v>0</v>
      </c>
      <c r="E19" s="359">
        <f>'0418'!AA26</f>
        <v>0</v>
      </c>
      <c r="F19" s="359">
        <f>'0418'!AA37</f>
        <v>0</v>
      </c>
      <c r="G19" s="360">
        <f>'0418'!AA48</f>
        <v>0</v>
      </c>
      <c r="H19" s="360">
        <f>'0418'!AA58</f>
        <v>0</v>
      </c>
      <c r="I19" s="359">
        <f>'0418'!AA69</f>
        <v>0</v>
      </c>
      <c r="J19" s="359">
        <f>'0418'!AB79</f>
        <v>0</v>
      </c>
    </row>
    <row r="20" spans="2:10" ht="17.25" customHeight="1">
      <c r="B20" s="372" t="s">
        <v>103</v>
      </c>
      <c r="C20" s="330" t="s">
        <v>36</v>
      </c>
      <c r="D20" s="358">
        <f>'0418'!AD15</f>
        <v>0</v>
      </c>
      <c r="E20" s="359">
        <f>'0418'!AD26</f>
        <v>0</v>
      </c>
      <c r="F20" s="359">
        <f>'0418'!AD37</f>
        <v>0</v>
      </c>
      <c r="G20" s="360">
        <f>'0418'!AD48</f>
        <v>0</v>
      </c>
      <c r="H20" s="360">
        <f>'0418'!AD58</f>
        <v>0</v>
      </c>
      <c r="I20" s="359">
        <f>'0418'!AD69</f>
        <v>0</v>
      </c>
      <c r="J20" s="359">
        <f>'0418'!AD79</f>
        <v>0</v>
      </c>
    </row>
    <row r="21" spans="2:10" ht="17.25" customHeight="1">
      <c r="B21" s="373"/>
      <c r="C21" s="330" t="s">
        <v>85</v>
      </c>
      <c r="D21" s="358">
        <f>'0418'!AE15</f>
        <v>0</v>
      </c>
      <c r="E21" s="359">
        <f>'0418'!AE26</f>
        <v>0</v>
      </c>
      <c r="F21" s="359">
        <f>'0418'!AE37</f>
        <v>0</v>
      </c>
      <c r="G21" s="360">
        <f>'0418'!AE48</f>
        <v>0</v>
      </c>
      <c r="H21" s="360">
        <f>'0418'!AE58</f>
        <v>0</v>
      </c>
      <c r="I21" s="359">
        <f>'0418'!AE69</f>
        <v>0</v>
      </c>
      <c r="J21" s="359">
        <f>'0418'!AE79</f>
        <v>0</v>
      </c>
    </row>
    <row r="22" spans="2:10" ht="17.25" customHeight="1">
      <c r="B22" s="364" t="s">
        <v>104</v>
      </c>
      <c r="C22" s="365"/>
      <c r="D22" s="23">
        <f>VALUE('0418'!M15)</f>
        <v>15</v>
      </c>
      <c r="E22" s="23">
        <f>VALUE('0418'!M26)</f>
        <v>14.333333333333334</v>
      </c>
      <c r="F22" s="23">
        <f>VALUE('0418'!M37)</f>
        <v>15</v>
      </c>
      <c r="G22" s="23">
        <f>VALUE('0418'!M48)</f>
        <v>16.333333333333332</v>
      </c>
      <c r="H22" s="23">
        <f>VALUE('0418'!M58)</f>
        <v>16.75</v>
      </c>
      <c r="I22" s="23">
        <f>VALUE('0418'!M69)</f>
        <v>11.75</v>
      </c>
      <c r="J22" s="23">
        <f>'0418'!M79</f>
        <v>12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6313-4334-41E3-982F-AFC806B2944F}">
  <sheetPr>
    <tabColor theme="9" tint="0.79998168889431442"/>
  </sheetPr>
  <dimension ref="A1:AJ92"/>
  <sheetViews>
    <sheetView zoomScale="73" zoomScaleNormal="73" workbookViewId="0">
      <pane xSplit="5" ySplit="4" topLeftCell="G41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2" sqref="AB62:AC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56832</v>
      </c>
      <c r="F1" s="30" t="s">
        <v>2</v>
      </c>
      <c r="G1" s="31">
        <f>SUM(H5:H79)</f>
        <v>2737374.6</v>
      </c>
      <c r="H1" s="32" t="s">
        <v>3</v>
      </c>
      <c r="I1" s="33">
        <f>M15+M26+M48+M58+M69+M79+M37</f>
        <v>101.16666666666667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198</v>
      </c>
      <c r="B2" s="483"/>
      <c r="C2" s="28"/>
      <c r="D2" s="28" t="s">
        <v>14</v>
      </c>
      <c r="E2" s="35">
        <f>AVERAGE(O15,O26,O37,O48,O58,O69,O79)</f>
        <v>107.51123527551439</v>
      </c>
      <c r="F2" s="36" t="s">
        <v>15</v>
      </c>
      <c r="G2" s="37">
        <f>G1/E1</f>
        <v>48.166078969594594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114</v>
      </c>
      <c r="E5" s="41"/>
      <c r="F5" s="39">
        <f>VLOOKUP(D5,廠價表!$C$1:$E$43,3,0)</f>
        <v>49.14</v>
      </c>
      <c r="G5" s="42">
        <v>3652</v>
      </c>
      <c r="H5" s="43">
        <f>F5*G5</f>
        <v>179459.28</v>
      </c>
      <c r="I5" s="44"/>
      <c r="J5" s="45">
        <v>14</v>
      </c>
      <c r="K5" s="46">
        <f>VLOOKUP(D5,產線配置圖!$A$3:$C$38,3,0)</f>
        <v>2118</v>
      </c>
      <c r="L5" s="47">
        <f>K5/J5</f>
        <v>151.28571428571428</v>
      </c>
      <c r="M5" s="48">
        <v>14</v>
      </c>
      <c r="N5" s="46">
        <f>G5/W5*60</f>
        <v>2047.8504672897359</v>
      </c>
      <c r="O5" s="47">
        <f>N5/M5</f>
        <v>146.27503337783827</v>
      </c>
      <c r="P5" s="49">
        <f>M5-J5</f>
        <v>0</v>
      </c>
      <c r="Q5" s="50">
        <f>O5-L5</f>
        <v>-5.010680907876008</v>
      </c>
      <c r="R5" s="51">
        <f>O5/L5</f>
        <v>0.96687935188372798</v>
      </c>
      <c r="S5" s="415">
        <f>R15</f>
        <v>0.92559621459044517</v>
      </c>
      <c r="T5" s="319">
        <v>0.29166666666666702</v>
      </c>
      <c r="U5" s="320">
        <v>0.36597222222222198</v>
      </c>
      <c r="V5" s="53"/>
      <c r="W5" s="54">
        <f t="shared" ref="W5:W14" si="0">(U5-T5)*24*60</f>
        <v>106.99999999999915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-70.149532710264111</v>
      </c>
      <c r="AG5" s="52">
        <f t="shared" ref="AG5:AG11" si="2">N5/K5</f>
        <v>0.96687935188372798</v>
      </c>
      <c r="AH5" s="403">
        <f>AG15</f>
        <v>0.92364426552022783</v>
      </c>
    </row>
    <row r="6" spans="1:34" ht="15" customHeight="1">
      <c r="A6" s="489"/>
      <c r="B6" s="57" t="s">
        <v>81</v>
      </c>
      <c r="C6" s="58"/>
      <c r="D6" s="59" t="s">
        <v>147</v>
      </c>
      <c r="E6" s="60"/>
      <c r="F6" s="61">
        <f>VLOOKUP(D6,廠價表!$C$1:$E$43,3,0)</f>
        <v>56.87</v>
      </c>
      <c r="G6" s="62">
        <v>1997</v>
      </c>
      <c r="H6" s="63">
        <f>F6*G6</f>
        <v>113569.39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2030.8474576271315</v>
      </c>
      <c r="O6" s="67">
        <f>N6/M6</f>
        <v>135.38983050847543</v>
      </c>
      <c r="P6" s="69">
        <f>M6-J6</f>
        <v>0</v>
      </c>
      <c r="Q6" s="70">
        <f>O6-L6</f>
        <v>-5.8101694915245616</v>
      </c>
      <c r="R6" s="71">
        <f>O6/L6</f>
        <v>0.95885149085322552</v>
      </c>
      <c r="S6" s="416"/>
      <c r="T6" s="16">
        <v>0.37291666666666701</v>
      </c>
      <c r="U6" s="16">
        <v>0.41388888888888897</v>
      </c>
      <c r="V6" s="30">
        <f>(T6-U5)*24*60</f>
        <v>10.000000000000844</v>
      </c>
      <c r="W6" s="73">
        <f t="shared" si="0"/>
        <v>58.999999999999631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-87.152542372868538</v>
      </c>
      <c r="AG6" s="72">
        <f t="shared" si="2"/>
        <v>0.95885149085322541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2498</v>
      </c>
      <c r="H7" s="78">
        <f>F7*G7</f>
        <v>145308.66</v>
      </c>
      <c r="I7" s="73"/>
      <c r="J7" s="79">
        <v>16</v>
      </c>
      <c r="K7" s="80">
        <f>VLOOKUP(D7,產線配置圖!$A$3:$C$38,3,0)</f>
        <v>2000</v>
      </c>
      <c r="L7" s="81">
        <f>K7/J7</f>
        <v>125</v>
      </c>
      <c r="M7" s="82">
        <v>16</v>
      </c>
      <c r="N7" s="80">
        <f>G7/W7*60</f>
        <v>1684.0449438202127</v>
      </c>
      <c r="O7" s="81">
        <f>N7/M7</f>
        <v>105.25280898876329</v>
      </c>
      <c r="P7" s="74">
        <f>M7-J7</f>
        <v>0</v>
      </c>
      <c r="Q7" s="83">
        <f>O7-L7</f>
        <v>-19.747191011236708</v>
      </c>
      <c r="R7" s="72">
        <f>O7/L7</f>
        <v>0.84202247191010637</v>
      </c>
      <c r="S7" s="416"/>
      <c r="T7" s="18">
        <v>0.420833333333333</v>
      </c>
      <c r="U7" s="18">
        <v>0.48263888888888901</v>
      </c>
      <c r="V7" s="30">
        <f>(T7-U6)*24*60</f>
        <v>9.9999999999994049</v>
      </c>
      <c r="W7" s="73">
        <f t="shared" si="0"/>
        <v>89.000000000000639</v>
      </c>
      <c r="X7" s="22"/>
      <c r="Y7" s="84"/>
      <c r="Z7" s="90"/>
      <c r="AA7" s="90"/>
      <c r="AB7" s="409" t="s">
        <v>199</v>
      </c>
      <c r="AC7" s="409"/>
      <c r="AD7" s="92"/>
      <c r="AE7" s="92"/>
      <c r="AF7" s="307">
        <f t="shared" si="1"/>
        <v>-315.95505617978733</v>
      </c>
      <c r="AG7" s="72">
        <f t="shared" si="2"/>
        <v>0.84202247191010637</v>
      </c>
      <c r="AH7" s="405"/>
    </row>
    <row r="8" spans="1:34" ht="15" customHeight="1">
      <c r="A8" s="489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2510</v>
      </c>
      <c r="H8" s="78">
        <f>F8*G8</f>
        <v>123341.4</v>
      </c>
      <c r="I8" s="73"/>
      <c r="J8" s="79">
        <v>14</v>
      </c>
      <c r="K8" s="80">
        <f>VLOOKUP(D8,產線配置圖!$A$3:$C$38,3,0)</f>
        <v>2118</v>
      </c>
      <c r="L8" s="81">
        <f>K8/J8</f>
        <v>151.28571428571428</v>
      </c>
      <c r="M8" s="82">
        <v>14</v>
      </c>
      <c r="N8" s="80">
        <f>G8/W8*60</f>
        <v>1981.5789473684488</v>
      </c>
      <c r="O8" s="81">
        <f>N8/M8</f>
        <v>141.54135338346063</v>
      </c>
      <c r="P8" s="74">
        <f>M8-J8</f>
        <v>0</v>
      </c>
      <c r="Q8" s="83">
        <f>O8-L8</f>
        <v>-9.7443609022536464</v>
      </c>
      <c r="R8" s="72">
        <f>O8/L8</f>
        <v>0.93558968242136398</v>
      </c>
      <c r="S8" s="416"/>
      <c r="T8" s="16">
        <v>0.54166666666666696</v>
      </c>
      <c r="U8" s="16">
        <v>0.594444444444444</v>
      </c>
      <c r="V8" s="30">
        <f>(T8-U7)*24*60</f>
        <v>85.000000000000256</v>
      </c>
      <c r="W8" s="73">
        <f t="shared" si="0"/>
        <v>75.999999999998934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-136.42105263155122</v>
      </c>
      <c r="AG8" s="72">
        <f t="shared" si="2"/>
        <v>0.93558968242136387</v>
      </c>
      <c r="AH8" s="405"/>
    </row>
    <row r="9" spans="1:34" ht="15" customHeight="1">
      <c r="A9" s="490"/>
      <c r="B9" s="75" t="s">
        <v>81</v>
      </c>
      <c r="C9" s="76"/>
      <c r="D9" s="59" t="s">
        <v>181</v>
      </c>
      <c r="E9" s="77"/>
      <c r="F9" s="75">
        <f>VLOOKUP(D9,廠價表!$C$1:$E$43,3,0)</f>
        <v>58.17</v>
      </c>
      <c r="G9" s="66">
        <v>2668</v>
      </c>
      <c r="H9" s="78">
        <f>F9*G9</f>
        <v>155197.56</v>
      </c>
      <c r="I9" s="73"/>
      <c r="J9" s="79">
        <v>16</v>
      </c>
      <c r="K9" s="80">
        <f>VLOOKUP(D9,產線配置圖!$A$3:$C$38,3,0)</f>
        <v>2000</v>
      </c>
      <c r="L9" s="81">
        <f>K9/J9</f>
        <v>125</v>
      </c>
      <c r="M9" s="82">
        <v>16</v>
      </c>
      <c r="N9" s="80">
        <f>G9/W9*60</f>
        <v>1819.0909090909124</v>
      </c>
      <c r="O9" s="81">
        <f>N9/M9</f>
        <v>113.69318181818203</v>
      </c>
      <c r="P9" s="74">
        <f>M9-J9</f>
        <v>0</v>
      </c>
      <c r="Q9" s="83">
        <f>O9-L9</f>
        <v>-11.306818181817974</v>
      </c>
      <c r="R9" s="72">
        <f>O9/L9</f>
        <v>0.90954545454545621</v>
      </c>
      <c r="S9" s="417"/>
      <c r="T9" s="16">
        <v>0.60138888888888897</v>
      </c>
      <c r="U9" s="16">
        <v>0.66249999999999998</v>
      </c>
      <c r="V9" s="30">
        <f>(T9-U8)*24*60</f>
        <v>10.000000000000764</v>
      </c>
      <c r="W9" s="73">
        <f t="shared" si="0"/>
        <v>87.999999999999844</v>
      </c>
      <c r="X9" s="22"/>
      <c r="Y9" s="84"/>
      <c r="Z9" s="90"/>
      <c r="AA9" s="90"/>
      <c r="AB9" s="453" t="s">
        <v>200</v>
      </c>
      <c r="AC9" s="453"/>
      <c r="AD9" s="149"/>
      <c r="AE9" s="149"/>
      <c r="AF9" s="307">
        <f t="shared" si="1"/>
        <v>-180.90909090908758</v>
      </c>
      <c r="AG9" s="72">
        <f t="shared" si="2"/>
        <v>0.90954545454545621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2070.8000000000002</v>
      </c>
      <c r="L15" s="117">
        <f t="shared" si="3"/>
        <v>138.75428571428569</v>
      </c>
      <c r="M15" s="120">
        <f t="shared" si="3"/>
        <v>15</v>
      </c>
      <c r="N15" s="120">
        <f t="shared" si="3"/>
        <v>1912.682545039288</v>
      </c>
      <c r="O15" s="117">
        <f t="shared" si="3"/>
        <v>128.43044161534391</v>
      </c>
      <c r="P15" s="121">
        <f>M15-J15</f>
        <v>0</v>
      </c>
      <c r="Q15" s="122">
        <f>O15-L15</f>
        <v>-10.323844098941777</v>
      </c>
      <c r="R15" s="123">
        <f>O15/L15</f>
        <v>0.92559621459044517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-158.11745496071217</v>
      </c>
      <c r="AG15" s="124">
        <f>N15/K15</f>
        <v>0.92364426552022783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2156</v>
      </c>
      <c r="H16" s="134">
        <f>F16*G16</f>
        <v>122051.16</v>
      </c>
      <c r="I16" s="135"/>
      <c r="J16" s="136">
        <v>15</v>
      </c>
      <c r="K16" s="137">
        <f>VLOOKUP(D16,產線配置圖!$A$3:$C$38,3,0)</f>
        <v>2000</v>
      </c>
      <c r="L16" s="138">
        <f>K16/J16</f>
        <v>133.33333333333334</v>
      </c>
      <c r="M16" s="139">
        <v>15</v>
      </c>
      <c r="N16" s="140">
        <f>G16/W16*60</f>
        <v>1930.7462686567069</v>
      </c>
      <c r="O16" s="141">
        <f>N16/M16</f>
        <v>128.71641791044712</v>
      </c>
      <c r="P16" s="142">
        <f>M16-J16</f>
        <v>0</v>
      </c>
      <c r="Q16" s="143">
        <f>O16-L16</f>
        <v>-4.6169154228862226</v>
      </c>
      <c r="R16" s="144">
        <f>O16/L16</f>
        <v>0.96537313432835337</v>
      </c>
      <c r="S16" s="443">
        <f>R26</f>
        <v>0.93713733132669497</v>
      </c>
      <c r="T16" s="145">
        <v>0.29027777777777802</v>
      </c>
      <c r="U16" s="145">
        <v>0.33680555555555602</v>
      </c>
      <c r="V16" s="135"/>
      <c r="W16" s="146">
        <f t="shared" ref="W16:W78" si="4">(U16-T16)*24*60</f>
        <v>67.000000000000327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-69.253731343293111</v>
      </c>
      <c r="AG16" s="52">
        <f>N16/K16</f>
        <v>0.96537313432835348</v>
      </c>
      <c r="AH16" s="403">
        <f>AG26</f>
        <v>0.93363027630144235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4925</v>
      </c>
      <c r="H17" s="78">
        <f>F17*G17</f>
        <v>248170.75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2037.9310344827684</v>
      </c>
      <c r="O17" s="96">
        <f>N17/M17</f>
        <v>169.82758620689737</v>
      </c>
      <c r="P17" s="97">
        <f>M17-J17</f>
        <v>0</v>
      </c>
      <c r="Q17" s="98">
        <f>O17-L17</f>
        <v>-6.6724137931026348</v>
      </c>
      <c r="R17" s="99">
        <f>O17/L17</f>
        <v>0.96219595584644402</v>
      </c>
      <c r="S17" s="444"/>
      <c r="T17" s="19">
        <v>0.34375</v>
      </c>
      <c r="U17" s="19">
        <v>0.44444444444444398</v>
      </c>
      <c r="V17" s="30">
        <f>(T17-U16)*24*60</f>
        <v>9.999999999999325</v>
      </c>
      <c r="W17" s="149">
        <f t="shared" si="4"/>
        <v>144.99999999999932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-80.068965517231618</v>
      </c>
      <c r="AG17" s="72">
        <f>N17/K17</f>
        <v>0.96219595584644402</v>
      </c>
      <c r="AH17" s="405"/>
    </row>
    <row r="18" spans="1:34" ht="15" customHeight="1">
      <c r="A18" s="450"/>
      <c r="B18" s="75" t="s">
        <v>81</v>
      </c>
      <c r="C18" s="76"/>
      <c r="D18" s="59" t="s">
        <v>182</v>
      </c>
      <c r="E18" s="77"/>
      <c r="F18" s="75">
        <f>VLOOKUP(D18,廠價表!$C$1:$E$43,3,0)</f>
        <v>56.61</v>
      </c>
      <c r="G18" s="147">
        <v>1598</v>
      </c>
      <c r="H18" s="78">
        <f>F18*G18</f>
        <v>90462.78</v>
      </c>
      <c r="I18" s="30"/>
      <c r="J18" s="79">
        <f>VLOOKUP(D18,產線配置圖!$A$3:$C$38,2,0)</f>
        <v>16</v>
      </c>
      <c r="K18" s="80">
        <f>VLOOKUP(D18,產線配置圖!$A$3:$C$38,3,0)</f>
        <v>2000</v>
      </c>
      <c r="L18" s="81">
        <f>K18/J18</f>
        <v>125</v>
      </c>
      <c r="M18" s="148">
        <v>16</v>
      </c>
      <c r="N18" s="95">
        <f>G18/W18*60</f>
        <v>1743.2727272727486</v>
      </c>
      <c r="O18" s="96">
        <f>N18/M18</f>
        <v>108.95454545454679</v>
      </c>
      <c r="P18" s="97">
        <f>M18-J18</f>
        <v>0</v>
      </c>
      <c r="Q18" s="98">
        <f>O18-L18</f>
        <v>-16.045454545453211</v>
      </c>
      <c r="R18" s="99">
        <f>O18/L18</f>
        <v>0.87163636363637431</v>
      </c>
      <c r="S18" s="444"/>
      <c r="T18" s="19">
        <v>0.45138888888888901</v>
      </c>
      <c r="U18" s="19">
        <v>0.48958333333333298</v>
      </c>
      <c r="V18" s="30">
        <f>(T18-U17)*24*60</f>
        <v>10.000000000000844</v>
      </c>
      <c r="W18" s="149">
        <f t="shared" si="4"/>
        <v>54.999999999999325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-256.72727272725137</v>
      </c>
      <c r="AG18" s="72">
        <f>N18/K18</f>
        <v>0.87163636363637431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14.333333333333334</v>
      </c>
      <c r="K26" s="155">
        <f t="shared" si="5"/>
        <v>2039.3333333333333</v>
      </c>
      <c r="L26" s="158">
        <f t="shared" si="5"/>
        <v>144.94444444444446</v>
      </c>
      <c r="M26" s="155">
        <f t="shared" si="5"/>
        <v>14.333333333333334</v>
      </c>
      <c r="N26" s="155">
        <f t="shared" si="5"/>
        <v>1903.9833434707414</v>
      </c>
      <c r="O26" s="158">
        <f t="shared" si="5"/>
        <v>135.83284985729708</v>
      </c>
      <c r="P26" s="159">
        <f t="shared" ref="P26:P31" si="6">M26-J26</f>
        <v>0</v>
      </c>
      <c r="Q26" s="160">
        <f t="shared" ref="Q26:Q31" si="7">O26-L26</f>
        <v>-9.1115945871473798</v>
      </c>
      <c r="R26" s="161">
        <f t="shared" ref="R26:R31" si="8">O26/L26</f>
        <v>0.93713733132669497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-135.34998986259188</v>
      </c>
      <c r="AG26" s="124">
        <f t="shared" ref="AG26:AG31" si="10">N26/K26</f>
        <v>0.93363027630144235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1305</v>
      </c>
      <c r="H27" s="134">
        <f>F27*G27</f>
        <v>74659.05</v>
      </c>
      <c r="I27" s="135"/>
      <c r="J27" s="136">
        <v>17</v>
      </c>
      <c r="K27" s="137">
        <v>1716</v>
      </c>
      <c r="L27" s="138">
        <f>K27/J27</f>
        <v>100.94117647058823</v>
      </c>
      <c r="M27" s="170">
        <v>15</v>
      </c>
      <c r="N27" s="140">
        <f>G27/W27*60</f>
        <v>1423.636363636381</v>
      </c>
      <c r="O27" s="141">
        <f>N27/M27</f>
        <v>94.909090909092072</v>
      </c>
      <c r="P27" s="142">
        <f t="shared" si="6"/>
        <v>-2</v>
      </c>
      <c r="Q27" s="143">
        <f t="shared" si="7"/>
        <v>-6.0320855614961602</v>
      </c>
      <c r="R27" s="144">
        <f t="shared" si="8"/>
        <v>0.94024157660522456</v>
      </c>
      <c r="S27" s="443">
        <f>R37</f>
        <v>0.92518661208951014</v>
      </c>
      <c r="T27" s="171">
        <v>0.29166666666666702</v>
      </c>
      <c r="U27" s="171">
        <v>0.32986111111111099</v>
      </c>
      <c r="V27" s="135"/>
      <c r="W27" s="146">
        <f t="shared" si="4"/>
        <v>54.999999999999325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-292.36363636361898</v>
      </c>
      <c r="AG27" s="172">
        <f t="shared" si="10"/>
        <v>0.82962492053402159</v>
      </c>
      <c r="AH27" s="403">
        <f>AG37</f>
        <v>0.82654539241820224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3694</v>
      </c>
      <c r="H28" s="91">
        <f>F28*G28</f>
        <v>187174.98</v>
      </c>
      <c r="I28" s="92"/>
      <c r="J28" s="79">
        <v>16</v>
      </c>
      <c r="K28" s="80">
        <v>1716</v>
      </c>
      <c r="L28" s="93">
        <f>K28/J28</f>
        <v>107.25</v>
      </c>
      <c r="M28" s="94">
        <v>15</v>
      </c>
      <c r="N28" s="95">
        <f>G28/W28*60</f>
        <v>1393.9622641509511</v>
      </c>
      <c r="O28" s="96">
        <f>N28/M28</f>
        <v>92.930817610063414</v>
      </c>
      <c r="P28" s="97">
        <f t="shared" si="6"/>
        <v>-1</v>
      </c>
      <c r="Q28" s="98">
        <f t="shared" si="7"/>
        <v>-14.319182389936586</v>
      </c>
      <c r="R28" s="99">
        <f t="shared" si="8"/>
        <v>0.86648780988404117</v>
      </c>
      <c r="S28" s="444"/>
      <c r="T28" s="19">
        <v>0.33541666666666697</v>
      </c>
      <c r="U28" s="19">
        <v>0.44583333333333303</v>
      </c>
      <c r="V28" s="92">
        <f>(T28-U27)*24*60</f>
        <v>8.0000000000006111</v>
      </c>
      <c r="W28" s="149">
        <f t="shared" si="4"/>
        <v>158.99999999999912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9"/>
        <v>-322.03773584904889</v>
      </c>
      <c r="AG28" s="99">
        <f t="shared" si="10"/>
        <v>0.81233232176628856</v>
      </c>
      <c r="AH28" s="404"/>
    </row>
    <row r="29" spans="1:34" ht="15" customHeight="1">
      <c r="A29" s="441"/>
      <c r="B29" s="75" t="s">
        <v>81</v>
      </c>
      <c r="C29" s="173"/>
      <c r="D29" s="59" t="s">
        <v>113</v>
      </c>
      <c r="E29" s="104"/>
      <c r="F29" s="75">
        <f>VLOOKUP(D29,廠價表!$C$1:$E$43,3,0)</f>
        <v>57.21</v>
      </c>
      <c r="G29" s="90">
        <v>600</v>
      </c>
      <c r="H29" s="91">
        <f>F29*G29</f>
        <v>34326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15</v>
      </c>
      <c r="N29" s="95">
        <f>G29/W29*60</f>
        <v>1384.6153846154277</v>
      </c>
      <c r="O29" s="96">
        <f>N29/M29</f>
        <v>92.307692307695177</v>
      </c>
      <c r="P29" s="97">
        <f t="shared" si="6"/>
        <v>-2</v>
      </c>
      <c r="Q29" s="98">
        <f t="shared" si="7"/>
        <v>-8.6334841628930548</v>
      </c>
      <c r="R29" s="99">
        <f t="shared" si="8"/>
        <v>0.91447014523940451</v>
      </c>
      <c r="S29" s="444"/>
      <c r="T29" s="19">
        <v>0.45138888888888901</v>
      </c>
      <c r="U29" s="19">
        <v>0.469444444444444</v>
      </c>
      <c r="V29" s="92">
        <f>(T29-U28)*24*60</f>
        <v>8.0000000000006111</v>
      </c>
      <c r="W29" s="149">
        <f t="shared" si="4"/>
        <v>25.99999999999919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-331.38461538457227</v>
      </c>
      <c r="AG29" s="99">
        <f t="shared" si="10"/>
        <v>0.80688542227006277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800</v>
      </c>
      <c r="H30" s="91">
        <f>F30*G30</f>
        <v>45768</v>
      </c>
      <c r="I30" s="92"/>
      <c r="J30" s="79">
        <v>17</v>
      </c>
      <c r="K30" s="80">
        <v>1716</v>
      </c>
      <c r="L30" s="93">
        <f>K30/J30</f>
        <v>100.94117647058823</v>
      </c>
      <c r="M30" s="94">
        <v>15</v>
      </c>
      <c r="N30" s="95">
        <f>G30/W30*60</f>
        <v>1454.5454545454313</v>
      </c>
      <c r="O30" s="96">
        <f>N30/M30</f>
        <v>96.96969696969542</v>
      </c>
      <c r="P30" s="97">
        <f t="shared" si="6"/>
        <v>-2</v>
      </c>
      <c r="Q30" s="98">
        <f t="shared" si="7"/>
        <v>-3.9714795008928121</v>
      </c>
      <c r="R30" s="99">
        <f t="shared" si="8"/>
        <v>0.96065550611003625</v>
      </c>
      <c r="S30" s="444"/>
      <c r="T30" s="19">
        <v>0.53125</v>
      </c>
      <c r="U30" s="19">
        <v>0.55416666666666703</v>
      </c>
      <c r="V30" s="92">
        <f>(T30-U29)*24*60</f>
        <v>89.000000000000639</v>
      </c>
      <c r="W30" s="149">
        <f t="shared" si="4"/>
        <v>33.000000000000526</v>
      </c>
      <c r="X30" s="174">
        <v>0.49652777777777801</v>
      </c>
      <c r="Y30" s="301">
        <v>0.53819444444444398</v>
      </c>
      <c r="Z30" s="335"/>
      <c r="AA30" s="335"/>
      <c r="AB30" s="409"/>
      <c r="AC30" s="409"/>
      <c r="AD30" s="92"/>
      <c r="AE30" s="92"/>
      <c r="AF30" s="312">
        <f t="shared" si="9"/>
        <v>-261.45454545456869</v>
      </c>
      <c r="AG30" s="99">
        <f t="shared" si="10"/>
        <v>0.8476372112735614</v>
      </c>
      <c r="AH30" s="439"/>
    </row>
    <row r="31" spans="1:34" ht="15" customHeight="1">
      <c r="A31" s="441"/>
      <c r="B31" s="75" t="s">
        <v>81</v>
      </c>
      <c r="C31" s="88"/>
      <c r="D31" s="59" t="s">
        <v>147</v>
      </c>
      <c r="E31" s="89"/>
      <c r="F31" s="75">
        <f>VLOOKUP(D31,廠價表!$C$1:$E$43,3,0)</f>
        <v>56.87</v>
      </c>
      <c r="G31" s="90">
        <v>2009</v>
      </c>
      <c r="H31" s="91">
        <f>F31*G31</f>
        <v>114251.83</v>
      </c>
      <c r="I31" s="92"/>
      <c r="J31" s="79">
        <v>17</v>
      </c>
      <c r="K31" s="80">
        <v>1716</v>
      </c>
      <c r="L31" s="93">
        <f>K31/J31</f>
        <v>100.94117647058823</v>
      </c>
      <c r="M31" s="94">
        <v>15</v>
      </c>
      <c r="N31" s="95">
        <f>G31/W31*60</f>
        <v>1434.9999999999832</v>
      </c>
      <c r="O31" s="96">
        <f>N31/M31</f>
        <v>95.666666666665549</v>
      </c>
      <c r="P31" s="97">
        <f t="shared" si="6"/>
        <v>-2</v>
      </c>
      <c r="Q31" s="98">
        <f t="shared" si="7"/>
        <v>-5.2745098039226832</v>
      </c>
      <c r="R31" s="99">
        <f t="shared" si="8"/>
        <v>0.94774669774668674</v>
      </c>
      <c r="S31" s="444"/>
      <c r="T31" s="19">
        <v>0.55972222222222201</v>
      </c>
      <c r="U31" s="19">
        <v>0.61805555555555602</v>
      </c>
      <c r="V31" s="92">
        <f>(T31-U30)*24*60</f>
        <v>7.9999999999991722</v>
      </c>
      <c r="W31" s="149">
        <f t="shared" si="4"/>
        <v>84.000000000000981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-281.00000000001683</v>
      </c>
      <c r="AG31" s="99">
        <f t="shared" si="10"/>
        <v>0.83624708624707644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16.8</v>
      </c>
      <c r="K37" s="155">
        <f t="shared" si="11"/>
        <v>1716</v>
      </c>
      <c r="L37" s="158">
        <f t="shared" si="11"/>
        <v>102.20294117647059</v>
      </c>
      <c r="M37" s="155">
        <f t="shared" si="11"/>
        <v>15</v>
      </c>
      <c r="N37" s="155">
        <f t="shared" si="11"/>
        <v>1418.3518933896351</v>
      </c>
      <c r="O37" s="158">
        <f t="shared" si="11"/>
        <v>94.556792892642321</v>
      </c>
      <c r="P37" s="159">
        <f>M37-J37</f>
        <v>-1.8000000000000007</v>
      </c>
      <c r="Q37" s="160">
        <f>N37-K37</f>
        <v>-297.64810661036495</v>
      </c>
      <c r="R37" s="161">
        <f>O37/L37</f>
        <v>0.92518661208951014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-297.64810661036495</v>
      </c>
      <c r="AG37" s="124">
        <f>N37/K37</f>
        <v>0.82654539241820224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2601</v>
      </c>
      <c r="H38" s="134">
        <f>F38*G38</f>
        <v>129815.90999999999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1486.2857142857072</v>
      </c>
      <c r="O38" s="141">
        <f>N38/M38</f>
        <v>99.085714285713806</v>
      </c>
      <c r="P38" s="142">
        <f>M38-J38</f>
        <v>0</v>
      </c>
      <c r="Q38" s="143">
        <f>O38-L38</f>
        <v>-15.18095238095286</v>
      </c>
      <c r="R38" s="144">
        <f>O38/L38</f>
        <v>0.86714452408734366</v>
      </c>
      <c r="S38" s="433">
        <f>R48</f>
        <v>0.86222161880869674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-227.71428571429283</v>
      </c>
      <c r="AG38" s="195">
        <f>N38/K38</f>
        <v>0.86714452408734377</v>
      </c>
      <c r="AH38" s="436">
        <f>AG48</f>
        <v>0.83103751327119946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2987</v>
      </c>
      <c r="H39" s="91">
        <f>F39*G39</f>
        <v>132324.1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1433.7599999999923</v>
      </c>
      <c r="O39" s="203">
        <f>N39/M39</f>
        <v>84.338823529411314</v>
      </c>
      <c r="P39" s="97">
        <f>M39-J39</f>
        <v>-1</v>
      </c>
      <c r="Q39" s="98">
        <f>O39-L39</f>
        <v>-2.6056209150331284</v>
      </c>
      <c r="R39" s="99">
        <f>O39/L39</f>
        <v>0.97003119714338892</v>
      </c>
      <c r="S39" s="434"/>
      <c r="T39" s="20">
        <v>0.41319444444444398</v>
      </c>
      <c r="U39" s="20">
        <v>0.5</v>
      </c>
      <c r="V39" s="92">
        <f>(T39-U38)*24*60</f>
        <v>9.999999999999325</v>
      </c>
      <c r="W39" s="205">
        <f t="shared" si="4"/>
        <v>125.00000000000068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-131.24000000000774</v>
      </c>
      <c r="AG39" s="206">
        <f>N39/K39</f>
        <v>0.91614057507986724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737</v>
      </c>
      <c r="H40" s="91">
        <f>F40*G40</f>
        <v>32649.1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1105.4999999999907</v>
      </c>
      <c r="O40" s="203">
        <f>N40/M40</f>
        <v>65.02941176470533</v>
      </c>
      <c r="P40" s="97">
        <f>M40-J40</f>
        <v>-1</v>
      </c>
      <c r="Q40" s="98">
        <f>O40-L40</f>
        <v>-21.915032679739113</v>
      </c>
      <c r="R40" s="99">
        <f>O40/L40</f>
        <v>0.74794211614357564</v>
      </c>
      <c r="S40" s="416"/>
      <c r="T40" s="20">
        <v>0.5625</v>
      </c>
      <c r="U40" s="20">
        <v>0.59027777777777801</v>
      </c>
      <c r="V40" s="92">
        <f>(T40-U39)*24*60</f>
        <v>90</v>
      </c>
      <c r="W40" s="205">
        <f t="shared" si="4"/>
        <v>40.000000000000341</v>
      </c>
      <c r="X40" s="208"/>
      <c r="Y40" s="209"/>
      <c r="Z40" s="337"/>
      <c r="AA40" s="337"/>
      <c r="AB40" s="409" t="s">
        <v>201</v>
      </c>
      <c r="AC40" s="409"/>
      <c r="AD40" s="92"/>
      <c r="AE40" s="92"/>
      <c r="AF40" s="314">
        <f>N40-K40</f>
        <v>-459.50000000000932</v>
      </c>
      <c r="AG40" s="206">
        <f>N40/K40</f>
        <v>0.70638977635782152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1341.8485714285634</v>
      </c>
      <c r="O48" s="158">
        <f t="shared" si="13"/>
        <v>82.817983193276817</v>
      </c>
      <c r="P48" s="221">
        <f>M48-J48</f>
        <v>-0.66666666666666785</v>
      </c>
      <c r="Q48" s="222">
        <f>N48-K48</f>
        <v>-272.8180952381033</v>
      </c>
      <c r="R48" s="223">
        <f>O48/L48</f>
        <v>0.86222161880869674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-272.8180952381033</v>
      </c>
      <c r="AG48" s="162">
        <f t="shared" ref="AG48:AG53" si="15">N48/K48</f>
        <v>0.83103751327119946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2436</v>
      </c>
      <c r="H49" s="134">
        <f>F49*G49</f>
        <v>120630.72</v>
      </c>
      <c r="I49" s="135"/>
      <c r="J49" s="136">
        <f>VLOOKUP(D49,產線配置圖!$A$3:$C$38,2,0)</f>
        <v>17</v>
      </c>
      <c r="K49" s="137">
        <f>VLOOKUP(D49,產線配置圖!$A$3:$C$38,3,0)</f>
        <v>1440</v>
      </c>
      <c r="L49" s="138">
        <f>K49/J49</f>
        <v>84.705882352941174</v>
      </c>
      <c r="M49" s="170">
        <v>17</v>
      </c>
      <c r="N49" s="140">
        <f>G49/W49*60</f>
        <v>1365.9813084112259</v>
      </c>
      <c r="O49" s="141">
        <f>N49/M49</f>
        <v>80.351841671248579</v>
      </c>
      <c r="P49" s="229">
        <f>M49-J49</f>
        <v>0</v>
      </c>
      <c r="Q49" s="230">
        <f>O49-L49</f>
        <v>-4.3540406816925952</v>
      </c>
      <c r="R49" s="52">
        <f>O49/L49</f>
        <v>0.94859813084112909</v>
      </c>
      <c r="S49" s="415">
        <f>R58</f>
        <v>0.90804318579939969</v>
      </c>
      <c r="T49" s="191">
        <v>0.29166666666666702</v>
      </c>
      <c r="U49" s="191">
        <v>0.36597222222222198</v>
      </c>
      <c r="V49" s="55"/>
      <c r="W49" s="193">
        <f t="shared" si="4"/>
        <v>106.99999999999915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-74.018691588774118</v>
      </c>
      <c r="AG49" s="52">
        <f t="shared" si="15"/>
        <v>0.94859813084112909</v>
      </c>
      <c r="AH49" s="403">
        <f>AG58</f>
        <v>0.9091001223938272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4319</v>
      </c>
      <c r="H50" s="231">
        <f>F50*G50</f>
        <v>215820.43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1619.6250000000016</v>
      </c>
      <c r="O50" s="235">
        <f>N50/M50</f>
        <v>101.2265625000001</v>
      </c>
      <c r="P50" s="74">
        <f>M50-J50</f>
        <v>0</v>
      </c>
      <c r="Q50" s="83">
        <f>O50-L50</f>
        <v>-11.273437499999901</v>
      </c>
      <c r="R50" s="72">
        <f>O50/L50</f>
        <v>0.89979166666666754</v>
      </c>
      <c r="S50" s="416"/>
      <c r="T50" s="21">
        <v>0.37291666666666701</v>
      </c>
      <c r="U50" s="21">
        <v>0.484027777777778</v>
      </c>
      <c r="V50" s="30">
        <f>(T50-U49)*24*60</f>
        <v>10.000000000000844</v>
      </c>
      <c r="W50" s="236">
        <f t="shared" si="4"/>
        <v>159.99999999999983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-180.37499999999841</v>
      </c>
      <c r="AG50" s="72">
        <f t="shared" si="15"/>
        <v>0.89979166666666754</v>
      </c>
      <c r="AH50" s="405"/>
    </row>
    <row r="51" spans="1:34" ht="15" customHeight="1">
      <c r="A51" s="428"/>
      <c r="B51" s="75" t="s">
        <v>81</v>
      </c>
      <c r="C51" s="86"/>
      <c r="D51" s="59" t="s">
        <v>126</v>
      </c>
      <c r="E51" s="87"/>
      <c r="F51" s="75">
        <f>VLOOKUP(D51,廠價表!$C$1:$E$43,3,0)</f>
        <v>49.97</v>
      </c>
      <c r="G51" s="202">
        <v>1305</v>
      </c>
      <c r="H51" s="231">
        <f>F51*G51</f>
        <v>65210.85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1566.0000000000107</v>
      </c>
      <c r="O51" s="235">
        <f>N51/M51</f>
        <v>97.875000000000668</v>
      </c>
      <c r="P51" s="74">
        <f>M51-J51</f>
        <v>0</v>
      </c>
      <c r="Q51" s="83">
        <f>O51-L51</f>
        <v>-14.624999999999332</v>
      </c>
      <c r="R51" s="72">
        <f>O51/L51</f>
        <v>0.87000000000000599</v>
      </c>
      <c r="S51" s="416"/>
      <c r="T51" s="21">
        <v>0.54166666666666696</v>
      </c>
      <c r="U51" s="21">
        <v>0.57638888888888895</v>
      </c>
      <c r="V51" s="30">
        <f>(T51-U50)*24*60</f>
        <v>83.000000000000099</v>
      </c>
      <c r="W51" s="236">
        <f t="shared" si="4"/>
        <v>49.999999999999659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-233.99999999998931</v>
      </c>
      <c r="AG51" s="72">
        <f t="shared" si="15"/>
        <v>0.87000000000000599</v>
      </c>
      <c r="AH51" s="405"/>
    </row>
    <row r="52" spans="1:34" ht="15" customHeight="1">
      <c r="A52" s="428"/>
      <c r="B52" s="101" t="s">
        <v>118</v>
      </c>
      <c r="C52" s="102"/>
      <c r="D52" s="103" t="s">
        <v>124</v>
      </c>
      <c r="E52" s="104"/>
      <c r="F52" s="75">
        <f>VLOOKUP(D52,廠價表!$C$1:$E$43,3,0)</f>
        <v>44.3</v>
      </c>
      <c r="G52" s="202">
        <v>1453</v>
      </c>
      <c r="H52" s="231">
        <f>F52*G52</f>
        <v>64367.899999999994</v>
      </c>
      <c r="I52" s="232"/>
      <c r="J52" s="79">
        <f>VLOOKUP(D52,產線配置圖!$A$3:$C$38,2,0)</f>
        <v>18</v>
      </c>
      <c r="K52" s="80">
        <f>VLOOKUP(D52,產線配置圖!$A$3:$C$38,3,0)</f>
        <v>1565</v>
      </c>
      <c r="L52" s="81">
        <f>K52/J52</f>
        <v>86.944444444444443</v>
      </c>
      <c r="M52" s="108">
        <v>18</v>
      </c>
      <c r="N52" s="234">
        <f>G52/W52*60</f>
        <v>1452.9999999999898</v>
      </c>
      <c r="O52" s="235">
        <f>N52/M52</f>
        <v>80.72222222222166</v>
      </c>
      <c r="P52" s="74">
        <f>M52-J52</f>
        <v>0</v>
      </c>
      <c r="Q52" s="83">
        <f>O52-L52</f>
        <v>-6.2222222222227828</v>
      </c>
      <c r="R52" s="72">
        <f>O52/L52</f>
        <v>0.92843450479232581</v>
      </c>
      <c r="S52" s="416"/>
      <c r="T52" s="21">
        <v>0.58333333333333304</v>
      </c>
      <c r="U52" s="21">
        <v>0.625</v>
      </c>
      <c r="V52" s="30">
        <f>(T52-U51)*24*60</f>
        <v>9.9999999999994849</v>
      </c>
      <c r="W52" s="236">
        <f t="shared" si="4"/>
        <v>60.000000000000426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-112.00000000001023</v>
      </c>
      <c r="AG52" s="72">
        <f t="shared" si="15"/>
        <v>0.9284345047923257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16.75</v>
      </c>
      <c r="K58" s="120">
        <f t="shared" si="16"/>
        <v>1651.25</v>
      </c>
      <c r="L58" s="117">
        <f t="shared" si="16"/>
        <v>99.162581699346404</v>
      </c>
      <c r="M58" s="120">
        <f t="shared" si="16"/>
        <v>16.75</v>
      </c>
      <c r="N58" s="120">
        <f t="shared" si="16"/>
        <v>1501.1515771028071</v>
      </c>
      <c r="O58" s="117">
        <f t="shared" si="16"/>
        <v>90.043906598367755</v>
      </c>
      <c r="P58" s="121">
        <f>M58-J58</f>
        <v>0</v>
      </c>
      <c r="Q58" s="122">
        <f>N58-K58</f>
        <v>-150.0984228971929</v>
      </c>
      <c r="R58" s="123">
        <f>O58/L58</f>
        <v>0.90804318579939969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-150.0984228971929</v>
      </c>
      <c r="AG58" s="124">
        <f>N58/K58</f>
        <v>0.9091001223938272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3458</v>
      </c>
      <c r="H59" s="243">
        <f>F59*G59</f>
        <v>93331.42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1536.8888888888889</v>
      </c>
      <c r="O59" s="138">
        <f>N59/M59</f>
        <v>118.22222222222223</v>
      </c>
      <c r="P59" s="56">
        <f>M59-J59</f>
        <v>0</v>
      </c>
      <c r="Q59" s="230">
        <f>O59-L59</f>
        <v>-2.1623931623931583</v>
      </c>
      <c r="R59" s="52">
        <f>O59/L59</f>
        <v>0.98203762868299616</v>
      </c>
      <c r="S59" s="415">
        <f>R69</f>
        <v>0.85523590242234737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-28.111111111111086</v>
      </c>
      <c r="AG59" s="246">
        <f>N59/K59</f>
        <v>0.98203762868299616</v>
      </c>
      <c r="AH59" s="403">
        <f>AG69</f>
        <v>0.95899613940850881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1728</v>
      </c>
      <c r="H60" s="78">
        <f>F60*G60</f>
        <v>48833.280000000006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1481.1428571428607</v>
      </c>
      <c r="O60" s="81">
        <f>N60/M60</f>
        <v>123.42857142857173</v>
      </c>
      <c r="P60" s="74">
        <f>M60-J60</f>
        <v>0</v>
      </c>
      <c r="Q60" s="83">
        <f>O60-L60</f>
        <v>-6.9880952380949282</v>
      </c>
      <c r="R60" s="72">
        <f>O60/L60</f>
        <v>0.94641716111364915</v>
      </c>
      <c r="S60" s="425"/>
      <c r="T60" s="22">
        <v>0.39583333333333298</v>
      </c>
      <c r="U60" s="22">
        <v>0.44444444444444398</v>
      </c>
      <c r="V60" s="30">
        <f>(T60-U59)*24*60</f>
        <v>14.999999999998987</v>
      </c>
      <c r="W60" s="248">
        <f t="shared" si="4"/>
        <v>69.999999999999829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-83.857142857139252</v>
      </c>
      <c r="AG60" s="249">
        <f>N60/K60</f>
        <v>0.94641716111364904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1632</v>
      </c>
      <c r="H61" s="254">
        <f>F61*G61</f>
        <v>46120.32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1506.4615384615347</v>
      </c>
      <c r="O61" s="238">
        <f>N61/M61</f>
        <v>136.95104895104862</v>
      </c>
      <c r="P61" s="111">
        <f>M61-J61</f>
        <v>2</v>
      </c>
      <c r="Q61" s="255">
        <f>O61-L61</f>
        <v>-44.826728826729152</v>
      </c>
      <c r="R61" s="85">
        <f>O61/L61</f>
        <v>0.75339819105100103</v>
      </c>
      <c r="S61" s="416"/>
      <c r="T61" s="22">
        <v>0.45486111111111099</v>
      </c>
      <c r="U61" s="22">
        <v>0.5</v>
      </c>
      <c r="V61" s="30">
        <f>(T61-U60)*24*60</f>
        <v>15.000000000000506</v>
      </c>
      <c r="W61" s="256">
        <f t="shared" si="4"/>
        <v>65.000000000000171</v>
      </c>
      <c r="X61" s="22"/>
      <c r="Y61" s="84"/>
      <c r="Z61" s="90"/>
      <c r="AA61" s="90"/>
      <c r="AB61" s="409"/>
      <c r="AC61" s="409"/>
      <c r="AD61" s="92"/>
      <c r="AE61" s="92"/>
      <c r="AF61" s="317">
        <f>N61-K61</f>
        <v>-129.5384615384653</v>
      </c>
      <c r="AG61" s="247">
        <f>N61/K61</f>
        <v>0.92082001128455671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1615</v>
      </c>
      <c r="H62" s="254">
        <f>F62*G62</f>
        <v>45639.9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1614.9999999999886</v>
      </c>
      <c r="O62" s="238">
        <f>N62/M62</f>
        <v>146.81818181818079</v>
      </c>
      <c r="P62" s="111">
        <f>M62-J62</f>
        <v>2</v>
      </c>
      <c r="Q62" s="255">
        <f>O62-L62</f>
        <v>-34.959595959596982</v>
      </c>
      <c r="R62" s="85">
        <f>O62/L62</f>
        <v>0.80767948432984549</v>
      </c>
      <c r="S62" s="416"/>
      <c r="T62" s="22">
        <v>0.55208333333333304</v>
      </c>
      <c r="U62" s="22">
        <v>0.59375</v>
      </c>
      <c r="V62" s="30">
        <f>(T62-U61)*24*60</f>
        <v>74.999999999999574</v>
      </c>
      <c r="W62" s="248">
        <f t="shared" si="4"/>
        <v>60.000000000000426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-21.000000000011369</v>
      </c>
      <c r="AG62" s="247">
        <f>N62/K62</f>
        <v>0.98716381418092214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 t="s">
        <v>172</v>
      </c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7">AVERAGE(J59:J68)</f>
        <v>10.75</v>
      </c>
      <c r="K69" s="240">
        <f t="shared" si="17"/>
        <v>1600.5</v>
      </c>
      <c r="L69" s="268">
        <f t="shared" si="17"/>
        <v>153.58920940170941</v>
      </c>
      <c r="M69" s="240">
        <f t="shared" si="17"/>
        <v>11.75</v>
      </c>
      <c r="N69" s="240">
        <f t="shared" si="17"/>
        <v>1534.8733211233184</v>
      </c>
      <c r="O69" s="268">
        <f t="shared" si="17"/>
        <v>131.35500610500583</v>
      </c>
      <c r="P69" s="269">
        <f>M69-J69</f>
        <v>1</v>
      </c>
      <c r="Q69" s="222">
        <f>N69-K69</f>
        <v>-65.626678876681581</v>
      </c>
      <c r="R69" s="123">
        <f>O69/L69</f>
        <v>0.85523590242234737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-65.626678876681581</v>
      </c>
      <c r="AG69" s="124">
        <f>N69/K69</f>
        <v>0.95899613940850881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2149</v>
      </c>
      <c r="H70" s="243">
        <f>F70*G70</f>
        <v>108889.83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12</v>
      </c>
      <c r="N70" s="137">
        <f>G70/W70*60</f>
        <v>1074.5000000000045</v>
      </c>
      <c r="O70" s="138">
        <f>N70/M70</f>
        <v>89.541666666667041</v>
      </c>
      <c r="P70" s="56">
        <f>M70-J70</f>
        <v>-1</v>
      </c>
      <c r="Q70" s="230">
        <f>O70-L70</f>
        <v>-21.227564102563733</v>
      </c>
      <c r="R70" s="52">
        <f>O70/L70</f>
        <v>0.80836226851852189</v>
      </c>
      <c r="S70" s="415">
        <f>R79</f>
        <v>0.80836226851852189</v>
      </c>
      <c r="T70" s="245">
        <v>0.33680555555555602</v>
      </c>
      <c r="U70" s="245">
        <v>0.42013888888888901</v>
      </c>
      <c r="V70" s="55"/>
      <c r="W70" s="54">
        <f t="shared" si="4"/>
        <v>119.99999999999949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-365.49999999999545</v>
      </c>
      <c r="AG70" s="246">
        <f>N70/K70</f>
        <v>0.74618055555555873</v>
      </c>
      <c r="AH70" s="403">
        <f>AG79</f>
        <v>0.74618055555555873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8">AVERAGE(J70:J78)</f>
        <v>13</v>
      </c>
      <c r="K79" s="240">
        <f t="shared" si="18"/>
        <v>1440</v>
      </c>
      <c r="L79" s="268">
        <f t="shared" si="18"/>
        <v>110.76923076923077</v>
      </c>
      <c r="M79" s="240">
        <f t="shared" si="18"/>
        <v>12</v>
      </c>
      <c r="N79" s="240">
        <f t="shared" si="18"/>
        <v>1074.5000000000045</v>
      </c>
      <c r="O79" s="268">
        <f t="shared" si="18"/>
        <v>89.541666666667041</v>
      </c>
      <c r="P79" s="269">
        <f>M79-J79</f>
        <v>-1</v>
      </c>
      <c r="Q79" s="222">
        <f>N79-K79</f>
        <v>-365.49999999999545</v>
      </c>
      <c r="R79" s="223">
        <f>O79/L79</f>
        <v>0.80836226851852189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-365.49999999999545</v>
      </c>
      <c r="AG79" s="124">
        <f>N79/K79</f>
        <v>0.74618055555555873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24F87B-7F84-4514-9374-CA4FC1461C2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19B4-5815-4566-A916-58FE0102DB5E}">
  <dimension ref="B1:O26"/>
  <sheetViews>
    <sheetView topLeftCell="A2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46131</v>
      </c>
      <c r="E3" s="399"/>
      <c r="F3" s="3" t="s">
        <v>72</v>
      </c>
      <c r="G3" s="400">
        <f>'0419'!E1</f>
        <v>72123</v>
      </c>
      <c r="H3" s="400"/>
      <c r="I3" s="3" t="s">
        <v>2</v>
      </c>
      <c r="J3" s="401">
        <f>'0419'!G1</f>
        <v>3498876.2499999995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124.58069601059795</v>
      </c>
      <c r="G6" s="397"/>
      <c r="H6" s="382">
        <f>AVERAGE(D13:H13)</f>
        <v>120.10717709305943</v>
      </c>
      <c r="I6" s="382"/>
      <c r="J6" s="382">
        <f>AVERAGE(I13)</f>
        <v>146.94829059829061</v>
      </c>
      <c r="K6" s="382"/>
      <c r="L6" s="383">
        <f>SUM(D18:J18)</f>
        <v>1</v>
      </c>
      <c r="M6" s="385">
        <f>SUM(D19:J19)</f>
        <v>12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111.65038912236378</v>
      </c>
      <c r="G7" s="389"/>
      <c r="H7" s="390">
        <f>AVERAGE(D14:H14)</f>
        <v>109.29963688796747</v>
      </c>
      <c r="I7" s="390"/>
      <c r="J7" s="390">
        <f>AVERAGE(I14)</f>
        <v>123.40415029434527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0.89620938634718972</v>
      </c>
      <c r="G8" s="374"/>
      <c r="H8" s="374">
        <f>H7/H6</f>
        <v>0.91001753211868219</v>
      </c>
      <c r="I8" s="374"/>
      <c r="J8" s="374">
        <f>J7/J6</f>
        <v>0.83977942031113895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VALUE('0419'!L15)</f>
        <v>138.14285714285714</v>
      </c>
      <c r="E13" s="13">
        <f>VALUE('0419'!L26)</f>
        <v>156.88333333333333</v>
      </c>
      <c r="F13" s="13">
        <f>VALUE('0419'!L37)</f>
        <v>103.46470588235293</v>
      </c>
      <c r="G13" s="13">
        <f>VALUE('0419'!L48)</f>
        <v>96.05185185185185</v>
      </c>
      <c r="H13" s="13">
        <f>VALUE('0419'!L58)</f>
        <v>105.99313725490195</v>
      </c>
      <c r="I13" s="13">
        <f>VALUE('0419'!L69)</f>
        <v>146.94829059829061</v>
      </c>
      <c r="J13" s="13">
        <f>'0419'!L79</f>
        <v>110.76923076923077</v>
      </c>
    </row>
    <row r="14" spans="2:15" ht="39.950000000000003" customHeight="1">
      <c r="B14" s="368"/>
      <c r="C14" s="12" t="s">
        <v>100</v>
      </c>
      <c r="D14" s="13">
        <f>VALUE('0419'!O15)</f>
        <v>130.15612806577465</v>
      </c>
      <c r="E14" s="13">
        <f>VALUE('0419'!O26)</f>
        <v>145.38134405809114</v>
      </c>
      <c r="F14" s="13">
        <f>VALUE('0419'!O37)</f>
        <v>89.579724161647817</v>
      </c>
      <c r="G14" s="13">
        <f>VALUE('0419'!O48)</f>
        <v>86.317327597954545</v>
      </c>
      <c r="H14" s="13">
        <f>VALUE('0419'!O58)</f>
        <v>95.063660556369172</v>
      </c>
      <c r="I14" s="13">
        <f>VALUE('0419'!O69)</f>
        <v>123.40415029434527</v>
      </c>
      <c r="J14" s="13">
        <f>'0419'!O79</f>
        <v>104.47552447552545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0.94218500151026119</v>
      </c>
      <c r="E15" s="14">
        <f t="shared" si="1"/>
        <v>0.92668444103744496</v>
      </c>
      <c r="F15" s="14">
        <f t="shared" si="1"/>
        <v>0.86579982417875545</v>
      </c>
      <c r="G15" s="14">
        <f t="shared" si="1"/>
        <v>0.89865344534000646</v>
      </c>
      <c r="H15" s="14">
        <f t="shared" si="1"/>
        <v>0.89688505330068136</v>
      </c>
      <c r="I15" s="14">
        <f t="shared" si="1"/>
        <v>0.83977942031113895</v>
      </c>
      <c r="J15" s="15">
        <f>'0419'!S70</f>
        <v>0.94318181818182689</v>
      </c>
    </row>
    <row r="16" spans="2:15" ht="17.25" customHeight="1">
      <c r="B16" s="370" t="s">
        <v>101</v>
      </c>
      <c r="C16" s="10" t="s">
        <v>34</v>
      </c>
      <c r="D16" s="16">
        <f>'0419'!T5</f>
        <v>0.29166666666666702</v>
      </c>
      <c r="E16" s="16">
        <f>'0419'!T16</f>
        <v>0.29166666666666702</v>
      </c>
      <c r="F16" s="16">
        <f>'0419'!T27</f>
        <v>0.29166666666666702</v>
      </c>
      <c r="G16" s="16">
        <f>'0419'!T38</f>
        <v>0.33333333333333298</v>
      </c>
      <c r="H16" s="16">
        <f>'0419'!T49</f>
        <v>0.29097222222222202</v>
      </c>
      <c r="I16" s="16">
        <f>'0419'!T59</f>
        <v>0.28819444444444398</v>
      </c>
      <c r="J16" s="16">
        <f>'0419'!T70</f>
        <v>0.33680555555555602</v>
      </c>
    </row>
    <row r="17" spans="2:10" ht="17.25" customHeight="1">
      <c r="B17" s="371"/>
      <c r="C17" s="10" t="s">
        <v>35</v>
      </c>
      <c r="D17" s="16">
        <v>0.70138888888888895</v>
      </c>
      <c r="E17" s="19">
        <v>0.67500000000000004</v>
      </c>
      <c r="F17" s="19">
        <v>0.68402777777777801</v>
      </c>
      <c r="G17" s="20">
        <v>0.65625</v>
      </c>
      <c r="H17" s="21">
        <v>0.68055555555555602</v>
      </c>
      <c r="I17" s="22">
        <v>0.64583333333333304</v>
      </c>
      <c r="J17" s="22">
        <v>0.42708333333333298</v>
      </c>
    </row>
    <row r="18" spans="2:10" ht="17.25" customHeight="1">
      <c r="B18" s="372" t="s">
        <v>102</v>
      </c>
      <c r="C18" s="330" t="s">
        <v>36</v>
      </c>
      <c r="D18" s="358">
        <f>'0419'!Z15</f>
        <v>1</v>
      </c>
      <c r="E18" s="359">
        <f>'0419'!Z26</f>
        <v>0</v>
      </c>
      <c r="F18" s="359">
        <f>'0419'!Z37</f>
        <v>0</v>
      </c>
      <c r="G18" s="360">
        <f>'0419'!Z48</f>
        <v>0</v>
      </c>
      <c r="H18" s="360">
        <f>'0419'!Z58</f>
        <v>0</v>
      </c>
      <c r="I18" s="359">
        <f>'0419'!Z69</f>
        <v>0</v>
      </c>
      <c r="J18" s="359">
        <f>'0419'!AA79</f>
        <v>0</v>
      </c>
    </row>
    <row r="19" spans="2:10" ht="17.25" customHeight="1">
      <c r="B19" s="373"/>
      <c r="C19" s="330" t="s">
        <v>37</v>
      </c>
      <c r="D19" s="358">
        <f>'0419'!AA15</f>
        <v>12</v>
      </c>
      <c r="E19" s="359">
        <f>'0419'!AA26</f>
        <v>0</v>
      </c>
      <c r="F19" s="359">
        <f>'0419'!AA37</f>
        <v>0</v>
      </c>
      <c r="G19" s="360">
        <f>'0419'!AA48</f>
        <v>0</v>
      </c>
      <c r="H19" s="360">
        <f>'0419'!AA58</f>
        <v>0</v>
      </c>
      <c r="I19" s="359">
        <f>'0419'!AA69</f>
        <v>0</v>
      </c>
      <c r="J19" s="359">
        <f>'0419'!AB79</f>
        <v>0</v>
      </c>
    </row>
    <row r="20" spans="2:10" ht="17.25" customHeight="1">
      <c r="B20" s="372" t="s">
        <v>103</v>
      </c>
      <c r="C20" s="330" t="s">
        <v>36</v>
      </c>
      <c r="D20" s="358">
        <f>'0419'!AD15</f>
        <v>0</v>
      </c>
      <c r="E20" s="359">
        <f>'0419'!AD26</f>
        <v>0</v>
      </c>
      <c r="F20" s="359">
        <f>'0419'!AD37</f>
        <v>0</v>
      </c>
      <c r="G20" s="360">
        <f>'0419'!AD48</f>
        <v>0</v>
      </c>
      <c r="H20" s="360">
        <f>'0419'!AD58</f>
        <v>0</v>
      </c>
      <c r="I20" s="359">
        <f>'0419'!AD69</f>
        <v>0</v>
      </c>
      <c r="J20" s="359">
        <f>'0419'!AD79</f>
        <v>0</v>
      </c>
    </row>
    <row r="21" spans="2:10" ht="17.25" customHeight="1">
      <c r="B21" s="373"/>
      <c r="C21" s="330" t="s">
        <v>85</v>
      </c>
      <c r="D21" s="358">
        <f>'0419'!AE15</f>
        <v>0</v>
      </c>
      <c r="E21" s="359">
        <f>'0419'!AE26</f>
        <v>0</v>
      </c>
      <c r="F21" s="359">
        <f>'0419'!AE37</f>
        <v>0</v>
      </c>
      <c r="G21" s="360">
        <f>'0419'!AE48</f>
        <v>0</v>
      </c>
      <c r="H21" s="360">
        <f>'0419'!AE58</f>
        <v>0</v>
      </c>
      <c r="I21" s="359">
        <f>'0419'!AE69</f>
        <v>0</v>
      </c>
      <c r="J21" s="359">
        <f>'0419'!AE79</f>
        <v>0</v>
      </c>
    </row>
    <row r="22" spans="2:10" ht="17.25" customHeight="1">
      <c r="B22" s="364" t="s">
        <v>104</v>
      </c>
      <c r="C22" s="365"/>
      <c r="D22" s="23">
        <f>VALUE('0419'!M15)</f>
        <v>15</v>
      </c>
      <c r="E22" s="23">
        <f>VALUE('0419'!M26)</f>
        <v>14</v>
      </c>
      <c r="F22" s="23">
        <f>VALUE('0419'!M37)</f>
        <v>13.4</v>
      </c>
      <c r="G22" s="23">
        <f>VALUE('0419'!M48)</f>
        <v>17</v>
      </c>
      <c r="H22" s="23">
        <f>VALUE('0419'!M58)</f>
        <v>16</v>
      </c>
      <c r="I22" s="23">
        <f>VALUE('0419'!M69)</f>
        <v>12</v>
      </c>
      <c r="J22" s="23">
        <f>'0419'!M79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2681-91C9-4AAD-B86B-24170410F818}">
  <sheetPr>
    <tabColor theme="9" tint="0.79998168889431442"/>
  </sheetPr>
  <dimension ref="A1:AJ92"/>
  <sheetViews>
    <sheetView zoomScale="73" zoomScaleNormal="73" workbookViewId="0">
      <pane xSplit="5" ySplit="4" topLeftCell="F3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72123</v>
      </c>
      <c r="F1" s="30" t="s">
        <v>2</v>
      </c>
      <c r="G1" s="31">
        <f>SUM(H5:H79)</f>
        <v>3498876.2499999995</v>
      </c>
      <c r="H1" s="32" t="s">
        <v>3</v>
      </c>
      <c r="I1" s="33">
        <f>M15+M26+M48+M58+M69+M79+M37</f>
        <v>98.4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202</v>
      </c>
      <c r="B2" s="483"/>
      <c r="C2" s="28"/>
      <c r="D2" s="28" t="s">
        <v>14</v>
      </c>
      <c r="E2" s="35">
        <f>AVERAGE(O15,O26,O37,O48,O58,O69,O79)</f>
        <v>110.62540845852972</v>
      </c>
      <c r="F2" s="36" t="s">
        <v>15</v>
      </c>
      <c r="G2" s="37">
        <f>G1/E1</f>
        <v>48.512627733178036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12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3738</v>
      </c>
      <c r="H5" s="43">
        <f>F5*G5</f>
        <v>217439.46</v>
      </c>
      <c r="I5" s="44"/>
      <c r="J5" s="45">
        <v>16</v>
      </c>
      <c r="K5" s="46">
        <f>VLOOKUP(D5,產線配置圖!$A$3:$C$38,3,0)</f>
        <v>2000</v>
      </c>
      <c r="L5" s="47">
        <f>K5/J5</f>
        <v>125</v>
      </c>
      <c r="M5" s="48">
        <v>16</v>
      </c>
      <c r="N5" s="46">
        <f>G5/W5*60</f>
        <v>1869.000000000008</v>
      </c>
      <c r="O5" s="47">
        <f>N5/M5</f>
        <v>116.8125000000005</v>
      </c>
      <c r="P5" s="49">
        <f>M5-J5</f>
        <v>0</v>
      </c>
      <c r="Q5" s="50">
        <f>O5-L5</f>
        <v>-8.1874999999995026</v>
      </c>
      <c r="R5" s="51">
        <f>O5/L5</f>
        <v>0.93450000000000399</v>
      </c>
      <c r="S5" s="415">
        <f>R15</f>
        <v>0.94218500151026119</v>
      </c>
      <c r="T5" s="319">
        <v>0.29166666666666702</v>
      </c>
      <c r="U5" s="320">
        <v>0.375</v>
      </c>
      <c r="V5" s="53"/>
      <c r="W5" s="54">
        <f t="shared" ref="W5:W14" si="0">(U5-T5)*24*60</f>
        <v>119.99999999999949</v>
      </c>
      <c r="X5" s="55"/>
      <c r="Y5" s="290"/>
      <c r="Z5" s="169">
        <v>1</v>
      </c>
      <c r="AA5" s="169">
        <v>12</v>
      </c>
      <c r="AB5" s="420" t="s">
        <v>203</v>
      </c>
      <c r="AC5" s="420"/>
      <c r="AD5" s="135"/>
      <c r="AE5" s="135"/>
      <c r="AF5" s="229">
        <f t="shared" ref="AF5:AF11" si="1">N5-K5</f>
        <v>-130.99999999999204</v>
      </c>
      <c r="AG5" s="52">
        <f t="shared" ref="AG5:AG11" si="2">N5/K5</f>
        <v>0.93450000000000399</v>
      </c>
      <c r="AH5" s="403">
        <f>AG15</f>
        <v>0.94101446026715674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4701</v>
      </c>
      <c r="H6" s="63">
        <f>F6*G6</f>
        <v>231007.14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2043.9130434782469</v>
      </c>
      <c r="O6" s="67">
        <f>N6/M6</f>
        <v>145.99378881987477</v>
      </c>
      <c r="P6" s="69">
        <f>M6-J6</f>
        <v>0</v>
      </c>
      <c r="Q6" s="70">
        <f>O6-L6</f>
        <v>-5.2919254658395118</v>
      </c>
      <c r="R6" s="71">
        <f>O6/L6</f>
        <v>0.96502032269983329</v>
      </c>
      <c r="S6" s="416"/>
      <c r="T6" s="16">
        <v>0.38333333333333303</v>
      </c>
      <c r="U6" s="16">
        <v>0.47916666666666702</v>
      </c>
      <c r="V6" s="30">
        <f>(T6-U5)*24*60</f>
        <v>11.999999999999558</v>
      </c>
      <c r="W6" s="73">
        <f t="shared" si="0"/>
        <v>138.00000000000094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-74.086956521753109</v>
      </c>
      <c r="AG6" s="72">
        <f t="shared" si="2"/>
        <v>0.96502032269983329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3022</v>
      </c>
      <c r="H7" s="78">
        <f>F7*G7</f>
        <v>148501.07999999999</v>
      </c>
      <c r="I7" s="73"/>
      <c r="J7" s="79">
        <v>14</v>
      </c>
      <c r="K7" s="80">
        <f>VLOOKUP(D7,產線配置圖!$A$3:$C$38,3,0)</f>
        <v>2118</v>
      </c>
      <c r="L7" s="81">
        <f>K7/J7</f>
        <v>151.28571428571428</v>
      </c>
      <c r="M7" s="82">
        <v>14</v>
      </c>
      <c r="N7" s="80">
        <f>G7/W7*60</f>
        <v>2014.6666666666665</v>
      </c>
      <c r="O7" s="81">
        <f>N7/M7</f>
        <v>143.9047619047619</v>
      </c>
      <c r="P7" s="74">
        <f>M7-J7</f>
        <v>0</v>
      </c>
      <c r="Q7" s="83">
        <f>O7-L7</f>
        <v>-7.3809523809523796</v>
      </c>
      <c r="R7" s="72">
        <f>O7/L7</f>
        <v>0.95121183506452633</v>
      </c>
      <c r="S7" s="416"/>
      <c r="T7" s="18">
        <v>0.54166666666666696</v>
      </c>
      <c r="U7" s="18">
        <v>0.60416666666666696</v>
      </c>
      <c r="V7" s="30">
        <f>(T7-U6)*24*60</f>
        <v>89.999999999999915</v>
      </c>
      <c r="W7" s="73">
        <f t="shared" si="0"/>
        <v>90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-103.33333333333348</v>
      </c>
      <c r="AG7" s="72">
        <f t="shared" si="2"/>
        <v>0.95121183506452622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3949</v>
      </c>
      <c r="H8" s="78">
        <f>F8*G8</f>
        <v>229713.33000000002</v>
      </c>
      <c r="I8" s="73"/>
      <c r="J8" s="79">
        <v>16</v>
      </c>
      <c r="K8" s="80">
        <f>VLOOKUP(D8,產線配置圖!$A$3:$C$38,3,0)</f>
        <v>2000</v>
      </c>
      <c r="L8" s="81">
        <f>K8/J8</f>
        <v>125</v>
      </c>
      <c r="M8" s="82">
        <v>16</v>
      </c>
      <c r="N8" s="80">
        <f>G8/W8*60</f>
        <v>1822.6153846153823</v>
      </c>
      <c r="O8" s="81">
        <f>N8/M8</f>
        <v>113.91346153846139</v>
      </c>
      <c r="P8" s="74">
        <f>M8-J8</f>
        <v>0</v>
      </c>
      <c r="Q8" s="83">
        <f>O8-L8</f>
        <v>-11.086538461538609</v>
      </c>
      <c r="R8" s="72">
        <f>O8/L8</f>
        <v>0.91130769230769115</v>
      </c>
      <c r="S8" s="416"/>
      <c r="T8" s="16">
        <v>0.61111111111111105</v>
      </c>
      <c r="U8" s="16">
        <v>0.70138888888888895</v>
      </c>
      <c r="V8" s="30">
        <f>(T8-U7)*24*60</f>
        <v>9.9999999999994849</v>
      </c>
      <c r="W8" s="73">
        <f t="shared" si="0"/>
        <v>130.00000000000017</v>
      </c>
      <c r="X8" s="22">
        <v>0.48611111111111099</v>
      </c>
      <c r="Y8" s="84">
        <v>0.52777777777777801</v>
      </c>
      <c r="Z8" s="90"/>
      <c r="AA8" s="90"/>
      <c r="AB8" s="453"/>
      <c r="AC8" s="453"/>
      <c r="AD8" s="149"/>
      <c r="AE8" s="149"/>
      <c r="AF8" s="307">
        <f t="shared" si="1"/>
        <v>-177.38461538461775</v>
      </c>
      <c r="AG8" s="72">
        <f t="shared" si="2"/>
        <v>0.91130769230769115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2059</v>
      </c>
      <c r="L15" s="117">
        <f t="shared" si="3"/>
        <v>138.14285714285714</v>
      </c>
      <c r="M15" s="120">
        <f t="shared" si="3"/>
        <v>15</v>
      </c>
      <c r="N15" s="120">
        <f t="shared" si="3"/>
        <v>1937.5487736900757</v>
      </c>
      <c r="O15" s="117">
        <f t="shared" si="3"/>
        <v>130.15612806577465</v>
      </c>
      <c r="P15" s="121">
        <f>M15-J15</f>
        <v>0</v>
      </c>
      <c r="Q15" s="122">
        <f>O15-L15</f>
        <v>-7.9867290770824866</v>
      </c>
      <c r="R15" s="123">
        <f>O15/L15</f>
        <v>0.94218500151026119</v>
      </c>
      <c r="S15" s="419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12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-121.45122630992432</v>
      </c>
      <c r="AG15" s="124">
        <f>N15/K15</f>
        <v>0.94101446026715674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5582</v>
      </c>
      <c r="H16" s="134">
        <f>F16*G16</f>
        <v>315997.02</v>
      </c>
      <c r="I16" s="135"/>
      <c r="J16" s="136">
        <v>15</v>
      </c>
      <c r="K16" s="137">
        <f>VLOOKUP(D16,產線配置圖!$A$3:$C$38,3,0)</f>
        <v>2000</v>
      </c>
      <c r="L16" s="138">
        <f>K16/J16</f>
        <v>133.33333333333334</v>
      </c>
      <c r="M16" s="139">
        <v>17</v>
      </c>
      <c r="N16" s="140">
        <f>G16/W16*60</f>
        <v>2067.4074074074078</v>
      </c>
      <c r="O16" s="141">
        <f>N16/M16</f>
        <v>121.61220043572987</v>
      </c>
      <c r="P16" s="142">
        <f>M16-J16</f>
        <v>2</v>
      </c>
      <c r="Q16" s="143">
        <f>O16-L16</f>
        <v>-11.721132897603468</v>
      </c>
      <c r="R16" s="144">
        <f>O16/L16</f>
        <v>0.91209150326797395</v>
      </c>
      <c r="S16" s="443">
        <f>R26</f>
        <v>0.92668444103744496</v>
      </c>
      <c r="T16" s="145">
        <v>0.29166666666666702</v>
      </c>
      <c r="U16" s="145">
        <v>0.40416666666666701</v>
      </c>
      <c r="V16" s="135"/>
      <c r="W16" s="146">
        <f t="shared" ref="W16:W78" si="4">(U16-T16)*24*60</f>
        <v>161.99999999999997</v>
      </c>
      <c r="X16" s="141"/>
      <c r="Y16" s="296"/>
      <c r="Z16" s="169"/>
      <c r="AA16" s="169"/>
      <c r="AB16" s="420" t="s">
        <v>204</v>
      </c>
      <c r="AC16" s="420"/>
      <c r="AD16" s="135"/>
      <c r="AE16" s="135"/>
      <c r="AF16" s="229">
        <f>N16-K16</f>
        <v>67.407407407407845</v>
      </c>
      <c r="AG16" s="52">
        <f>N16/K16</f>
        <v>1.033703703703704</v>
      </c>
      <c r="AH16" s="403">
        <f>AG26</f>
        <v>0.95770304420071106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3053</v>
      </c>
      <c r="H17" s="78">
        <f>F17*G17</f>
        <v>153840.67000000001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1869.1836734693743</v>
      </c>
      <c r="O17" s="96">
        <f>N17/M17</f>
        <v>155.76530612244787</v>
      </c>
      <c r="P17" s="97">
        <f>M17-J17</f>
        <v>0</v>
      </c>
      <c r="Q17" s="98">
        <f>O17-L17</f>
        <v>-20.734693877552132</v>
      </c>
      <c r="R17" s="99">
        <f>O17/L17</f>
        <v>0.88252298086372727</v>
      </c>
      <c r="S17" s="444"/>
      <c r="T17" s="19">
        <v>0.41111111111111098</v>
      </c>
      <c r="U17" s="19">
        <v>0.47916666666666702</v>
      </c>
      <c r="V17" s="30">
        <f>(T17-U16)*24*60</f>
        <v>9.999999999999325</v>
      </c>
      <c r="W17" s="149">
        <f t="shared" si="4"/>
        <v>98.000000000000696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-248.8163265306257</v>
      </c>
      <c r="AG17" s="72">
        <f>N17/K17</f>
        <v>0.88252298086372727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3155</v>
      </c>
      <c r="H18" s="78">
        <f>F18*G18</f>
        <v>158980.45000000001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1992.6315789473756</v>
      </c>
      <c r="O18" s="96">
        <f>N18/M18</f>
        <v>166.05263157894797</v>
      </c>
      <c r="P18" s="97">
        <f>M18-J18</f>
        <v>0</v>
      </c>
      <c r="Q18" s="98">
        <f>O18-L18</f>
        <v>-10.447368421052033</v>
      </c>
      <c r="R18" s="99">
        <f>O18/L18</f>
        <v>0.94080811092888361</v>
      </c>
      <c r="S18" s="444"/>
      <c r="T18" s="19">
        <v>0.54166666666666696</v>
      </c>
      <c r="U18" s="19">
        <v>0.60763888888888895</v>
      </c>
      <c r="V18" s="30">
        <f>(T18-U17)*24*60</f>
        <v>89.999999999999915</v>
      </c>
      <c r="W18" s="149">
        <f t="shared" si="4"/>
        <v>94.999999999999659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-125.3684210526244</v>
      </c>
      <c r="AG18" s="72">
        <f>N18/K18</f>
        <v>0.94080811092888361</v>
      </c>
      <c r="AH18" s="405"/>
    </row>
    <row r="19" spans="1:34" ht="15" customHeight="1">
      <c r="A19" s="450"/>
      <c r="B19" s="75" t="s">
        <v>81</v>
      </c>
      <c r="C19" s="76"/>
      <c r="D19" s="59" t="s">
        <v>147</v>
      </c>
      <c r="E19" s="77"/>
      <c r="F19" s="75">
        <f>VLOOKUP(D19,廠價表!$C$1:$E$43,3,0)</f>
        <v>56.87</v>
      </c>
      <c r="G19" s="147">
        <v>2900</v>
      </c>
      <c r="H19" s="78">
        <f>F19*G19</f>
        <v>164923</v>
      </c>
      <c r="I19" s="30"/>
      <c r="J19" s="79">
        <v>15</v>
      </c>
      <c r="K19" s="80">
        <f>VLOOKUP(D19,產線配置圖!$A$3:$C$38,3,0)</f>
        <v>2118</v>
      </c>
      <c r="L19" s="81">
        <f>K19/J19</f>
        <v>141.19999999999999</v>
      </c>
      <c r="M19" s="148">
        <v>15</v>
      </c>
      <c r="N19" s="95">
        <f>G19/W19*60</f>
        <v>2071.4285714285825</v>
      </c>
      <c r="O19" s="96">
        <f>N19/M19</f>
        <v>138.09523809523884</v>
      </c>
      <c r="P19" s="97">
        <f>M19-J19</f>
        <v>0</v>
      </c>
      <c r="Q19" s="98">
        <f>O19-L19</f>
        <v>-3.1047619047611477</v>
      </c>
      <c r="R19" s="99">
        <f>O19/L19</f>
        <v>0.97801160124106834</v>
      </c>
      <c r="S19" s="444"/>
      <c r="T19" s="19">
        <v>0.61666666666666703</v>
      </c>
      <c r="U19" s="19">
        <v>0.67500000000000004</v>
      </c>
      <c r="V19" s="30">
        <f>(T19-U18)*24*60</f>
        <v>13.000000000000433</v>
      </c>
      <c r="W19" s="149">
        <f t="shared" si="4"/>
        <v>83.999999999999545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-46.571428571417528</v>
      </c>
      <c r="AG19" s="72">
        <f>N19/K19</f>
        <v>0.97801160124106823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13.5</v>
      </c>
      <c r="K26" s="155">
        <f t="shared" si="5"/>
        <v>2088.5</v>
      </c>
      <c r="L26" s="158">
        <f t="shared" si="5"/>
        <v>156.88333333333333</v>
      </c>
      <c r="M26" s="155">
        <f t="shared" si="5"/>
        <v>14</v>
      </c>
      <c r="N26" s="155">
        <f t="shared" si="5"/>
        <v>2000.1628078131851</v>
      </c>
      <c r="O26" s="158">
        <f t="shared" si="5"/>
        <v>145.38134405809114</v>
      </c>
      <c r="P26" s="159">
        <f t="shared" ref="P26:P31" si="6">M26-J26</f>
        <v>0.5</v>
      </c>
      <c r="Q26" s="160">
        <f t="shared" ref="Q26:Q31" si="7">O26-L26</f>
        <v>-11.501989275242181</v>
      </c>
      <c r="R26" s="161">
        <f t="shared" ref="R26:R31" si="8">O26/L26</f>
        <v>0.92668444103744496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-88.337192186814946</v>
      </c>
      <c r="AG26" s="124">
        <f t="shared" ref="AG26:AG31" si="10">N26/K26</f>
        <v>0.95770304420071106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1400</v>
      </c>
      <c r="H27" s="134">
        <f>F27*G27</f>
        <v>80094</v>
      </c>
      <c r="I27" s="135"/>
      <c r="J27" s="136">
        <v>17</v>
      </c>
      <c r="K27" s="137">
        <v>1716</v>
      </c>
      <c r="L27" s="138">
        <f>K27/J27</f>
        <v>100.94117647058823</v>
      </c>
      <c r="M27" s="170">
        <v>13</v>
      </c>
      <c r="N27" s="140">
        <f>G27/W27*60</f>
        <v>1120.0000000000077</v>
      </c>
      <c r="O27" s="141">
        <f>N27/M27</f>
        <v>86.153846153846743</v>
      </c>
      <c r="P27" s="142">
        <f t="shared" si="6"/>
        <v>-4</v>
      </c>
      <c r="Q27" s="143">
        <f t="shared" si="7"/>
        <v>-14.787330316741489</v>
      </c>
      <c r="R27" s="144">
        <f t="shared" si="8"/>
        <v>0.85350546889009016</v>
      </c>
      <c r="S27" s="443">
        <f>R37</f>
        <v>0.86579982417875545</v>
      </c>
      <c r="T27" s="171">
        <v>0.29166666666666702</v>
      </c>
      <c r="U27" s="171">
        <v>0.34375</v>
      </c>
      <c r="V27" s="135"/>
      <c r="W27" s="146">
        <f t="shared" si="4"/>
        <v>74.999999999999488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-595.99999999999227</v>
      </c>
      <c r="AG27" s="172">
        <f t="shared" si="10"/>
        <v>0.65268065268065723</v>
      </c>
      <c r="AH27" s="403">
        <f>AG37</f>
        <v>0.6982743764963919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2200</v>
      </c>
      <c r="H28" s="91">
        <f>F28*G28</f>
        <v>111474</v>
      </c>
      <c r="I28" s="92"/>
      <c r="J28" s="79">
        <v>16</v>
      </c>
      <c r="K28" s="80">
        <v>1716</v>
      </c>
      <c r="L28" s="93">
        <f>K28/J28</f>
        <v>107.25</v>
      </c>
      <c r="M28" s="94">
        <v>13</v>
      </c>
      <c r="N28" s="95">
        <f>G28/W28*60</f>
        <v>1306.9306930693042</v>
      </c>
      <c r="O28" s="96">
        <f>N28/M28</f>
        <v>100.53313023610032</v>
      </c>
      <c r="P28" s="97">
        <f t="shared" si="6"/>
        <v>-3</v>
      </c>
      <c r="Q28" s="98">
        <f t="shared" si="7"/>
        <v>-6.7168697638996804</v>
      </c>
      <c r="R28" s="99">
        <f t="shared" si="8"/>
        <v>0.93737184369324311</v>
      </c>
      <c r="S28" s="444"/>
      <c r="T28" s="19">
        <v>0.34861111111111098</v>
      </c>
      <c r="U28" s="19">
        <v>0.41875000000000001</v>
      </c>
      <c r="V28" s="92">
        <f>(T28-U27)*24*60</f>
        <v>6.9999999999998153</v>
      </c>
      <c r="W28" s="149">
        <f t="shared" si="4"/>
        <v>101.0000000000002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9"/>
        <v>-409.0693069306958</v>
      </c>
      <c r="AG28" s="99">
        <f t="shared" si="10"/>
        <v>0.76161462300075999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1852</v>
      </c>
      <c r="H29" s="91">
        <f>F29*G29</f>
        <v>105323.23999999999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14</v>
      </c>
      <c r="N29" s="95">
        <f>G29/W29*60</f>
        <v>1307.2941176470758</v>
      </c>
      <c r="O29" s="96">
        <f>N29/M29</f>
        <v>93.378151260505419</v>
      </c>
      <c r="P29" s="97">
        <f t="shared" si="6"/>
        <v>-3</v>
      </c>
      <c r="Q29" s="98">
        <f t="shared" si="7"/>
        <v>-7.563025210082813</v>
      </c>
      <c r="R29" s="99">
        <f t="shared" si="8"/>
        <v>0.92507492507493716</v>
      </c>
      <c r="S29" s="444"/>
      <c r="T29" s="19">
        <v>0.42430555555555599</v>
      </c>
      <c r="U29" s="19">
        <v>0.483333333333333</v>
      </c>
      <c r="V29" s="92">
        <f>(T29-U28)*24*60</f>
        <v>8.0000000000006111</v>
      </c>
      <c r="W29" s="149">
        <f t="shared" si="4"/>
        <v>84.999999999998892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-408.70588235292416</v>
      </c>
      <c r="AG29" s="99">
        <f t="shared" si="10"/>
        <v>0.76182640888524233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1683</v>
      </c>
      <c r="H30" s="91">
        <f>F30*G30</f>
        <v>96284.430000000008</v>
      </c>
      <c r="I30" s="92"/>
      <c r="J30" s="79">
        <v>17</v>
      </c>
      <c r="K30" s="80">
        <v>1716</v>
      </c>
      <c r="L30" s="93">
        <f>K30/J30</f>
        <v>100.94117647058823</v>
      </c>
      <c r="M30" s="94">
        <v>14</v>
      </c>
      <c r="N30" s="95">
        <f>G30/W30*60</f>
        <v>1051.8750000000107</v>
      </c>
      <c r="O30" s="96">
        <f>N30/M30</f>
        <v>75.133928571429337</v>
      </c>
      <c r="P30" s="97">
        <f t="shared" si="6"/>
        <v>-3</v>
      </c>
      <c r="Q30" s="98">
        <f t="shared" si="7"/>
        <v>-25.807247899158895</v>
      </c>
      <c r="R30" s="99">
        <f t="shared" si="8"/>
        <v>0.74433379120879883</v>
      </c>
      <c r="S30" s="444"/>
      <c r="T30" s="19">
        <v>0.54027777777777797</v>
      </c>
      <c r="U30" s="19">
        <v>0.60694444444444395</v>
      </c>
      <c r="V30" s="92">
        <f>(T30-U29)*24*60</f>
        <v>82.000000000000753</v>
      </c>
      <c r="W30" s="149">
        <f t="shared" si="4"/>
        <v>95.999999999999019</v>
      </c>
      <c r="X30" s="174">
        <v>0.49652777777777801</v>
      </c>
      <c r="Y30" s="301">
        <v>0.53819444444444398</v>
      </c>
      <c r="Z30" s="335"/>
      <c r="AA30" s="335"/>
      <c r="AB30" s="409" t="s">
        <v>205</v>
      </c>
      <c r="AC30" s="409"/>
      <c r="AD30" s="92"/>
      <c r="AE30" s="92"/>
      <c r="AF30" s="312">
        <f t="shared" si="9"/>
        <v>-664.12499999998931</v>
      </c>
      <c r="AG30" s="99">
        <f t="shared" si="10"/>
        <v>0.61298076923077549</v>
      </c>
      <c r="AH30" s="439"/>
    </row>
    <row r="31" spans="1:34" ht="15" customHeight="1">
      <c r="A31" s="441"/>
      <c r="B31" s="75" t="s">
        <v>81</v>
      </c>
      <c r="C31" s="102"/>
      <c r="D31" s="175" t="s">
        <v>116</v>
      </c>
      <c r="E31" s="176"/>
      <c r="F31" s="75">
        <f>VLOOKUP(D31,廠價表!$C$1:$E$43,3,0)</f>
        <v>50.67</v>
      </c>
      <c r="G31" s="90">
        <v>2129</v>
      </c>
      <c r="H31" s="91">
        <f>F31*G31</f>
        <v>107876.43000000001</v>
      </c>
      <c r="I31" s="92"/>
      <c r="J31" s="79">
        <v>16</v>
      </c>
      <c r="K31" s="80">
        <v>1716</v>
      </c>
      <c r="L31" s="93">
        <f>K31/J31</f>
        <v>107.25</v>
      </c>
      <c r="M31" s="94">
        <v>13</v>
      </c>
      <c r="N31" s="95">
        <f>G31/W31*60</f>
        <v>1205.0943396226439</v>
      </c>
      <c r="O31" s="96">
        <f>N31/M31</f>
        <v>92.699564586357226</v>
      </c>
      <c r="P31" s="97">
        <f t="shared" si="6"/>
        <v>-3</v>
      </c>
      <c r="Q31" s="98">
        <f t="shared" si="7"/>
        <v>-14.550435413642774</v>
      </c>
      <c r="R31" s="99">
        <f t="shared" si="8"/>
        <v>0.86433160453479929</v>
      </c>
      <c r="S31" s="444"/>
      <c r="T31" s="19">
        <v>0.61041666666666705</v>
      </c>
      <c r="U31" s="19">
        <v>0.68402777777777801</v>
      </c>
      <c r="V31" s="92">
        <f>(T31-U30)*24*60</f>
        <v>5.0000000000012612</v>
      </c>
      <c r="W31" s="149">
        <f t="shared" si="4"/>
        <v>105.99999999999979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-510.90566037735607</v>
      </c>
      <c r="AG31" s="99">
        <f t="shared" si="10"/>
        <v>0.70226942868452447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16.600000000000001</v>
      </c>
      <c r="K37" s="155">
        <f t="shared" si="11"/>
        <v>1716</v>
      </c>
      <c r="L37" s="158">
        <f t="shared" si="11"/>
        <v>103.46470588235293</v>
      </c>
      <c r="M37" s="155">
        <f t="shared" si="11"/>
        <v>13.4</v>
      </c>
      <c r="N37" s="155">
        <f t="shared" si="11"/>
        <v>1198.2388300678085</v>
      </c>
      <c r="O37" s="158">
        <f t="shared" si="11"/>
        <v>89.579724161647817</v>
      </c>
      <c r="P37" s="159">
        <f>M37-J37</f>
        <v>-3.2000000000000011</v>
      </c>
      <c r="Q37" s="160">
        <f>N37-K37</f>
        <v>-517.76116993219148</v>
      </c>
      <c r="R37" s="161">
        <f>O37/L37</f>
        <v>0.86579982417875545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-517.76116993219148</v>
      </c>
      <c r="AG37" s="124">
        <f>N37/K37</f>
        <v>0.6982743764963919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2302</v>
      </c>
      <c r="H38" s="134">
        <f>F38*G38</f>
        <v>114892.81999999999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1453.8947368420872</v>
      </c>
      <c r="O38" s="141">
        <f>N38/M38</f>
        <v>96.926315789472483</v>
      </c>
      <c r="P38" s="142">
        <f>M38-J38</f>
        <v>0</v>
      </c>
      <c r="Q38" s="143">
        <f>O38-L38</f>
        <v>-17.340350877194183</v>
      </c>
      <c r="R38" s="144">
        <f>O38/L38</f>
        <v>0.84824663759748387</v>
      </c>
      <c r="S38" s="433">
        <f>R48</f>
        <v>0.89865344534000646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-260.10526315791276</v>
      </c>
      <c r="AG38" s="195">
        <f>N38/K38</f>
        <v>0.84824663759748375</v>
      </c>
      <c r="AH38" s="436">
        <f>AG48</f>
        <v>0.9022206323123716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3373</v>
      </c>
      <c r="H39" s="91">
        <f>F39*G39</f>
        <v>149423.9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18</v>
      </c>
      <c r="N39" s="202">
        <f>G39/W39*60</f>
        <v>1435.31914893618</v>
      </c>
      <c r="O39" s="203">
        <f>N39/M39</f>
        <v>79.739952718676662</v>
      </c>
      <c r="P39" s="97">
        <f>M39-J39</f>
        <v>0</v>
      </c>
      <c r="Q39" s="98">
        <f>O39-L39</f>
        <v>-7.204491725767781</v>
      </c>
      <c r="R39" s="99">
        <f>O39/L39</f>
        <v>0.91713683638094567</v>
      </c>
      <c r="S39" s="434"/>
      <c r="T39" s="20">
        <v>0.405555555555556</v>
      </c>
      <c r="U39" s="20">
        <v>0.50347222222222199</v>
      </c>
      <c r="V39" s="92">
        <f>(T39-U38)*24*60</f>
        <v>8.999999999999968</v>
      </c>
      <c r="W39" s="205">
        <f t="shared" si="4"/>
        <v>140.99999999999903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-129.68085106382</v>
      </c>
      <c r="AG39" s="206">
        <f>N39/K39</f>
        <v>0.91713683638094567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3456</v>
      </c>
      <c r="H40" s="91">
        <f>F40*G40</f>
        <v>153100.79999999999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18</v>
      </c>
      <c r="N40" s="202">
        <f>G40/W40*60</f>
        <v>1481.1428571428607</v>
      </c>
      <c r="O40" s="203">
        <f>N40/M40</f>
        <v>82.285714285714491</v>
      </c>
      <c r="P40" s="97">
        <f>M40-J40</f>
        <v>0</v>
      </c>
      <c r="Q40" s="98">
        <f>O40-L40</f>
        <v>-4.6587301587299521</v>
      </c>
      <c r="R40" s="99">
        <f>O40/L40</f>
        <v>0.94641716111364915</v>
      </c>
      <c r="S40" s="416"/>
      <c r="T40" s="20">
        <v>0.55902777777777801</v>
      </c>
      <c r="U40" s="20">
        <v>0.65625</v>
      </c>
      <c r="V40" s="92">
        <f>(T40-U39)*24*60</f>
        <v>80.000000000000682</v>
      </c>
      <c r="W40" s="205">
        <f t="shared" si="4"/>
        <v>139.99999999999966</v>
      </c>
      <c r="X40" s="208">
        <v>0.50694444444444398</v>
      </c>
      <c r="Y40" s="209">
        <v>0.54861111111111105</v>
      </c>
      <c r="Z40" s="337"/>
      <c r="AA40" s="337"/>
      <c r="AB40" s="409"/>
      <c r="AC40" s="409"/>
      <c r="AD40" s="92"/>
      <c r="AE40" s="92"/>
      <c r="AF40" s="314">
        <f>N40-K40</f>
        <v>-83.857142857139252</v>
      </c>
      <c r="AG40" s="206">
        <f>N40/K40</f>
        <v>0.94641716111364904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17</v>
      </c>
      <c r="N48" s="155">
        <f t="shared" si="13"/>
        <v>1456.7855809737093</v>
      </c>
      <c r="O48" s="158">
        <f t="shared" si="13"/>
        <v>86.317327597954545</v>
      </c>
      <c r="P48" s="221">
        <f>M48-J48</f>
        <v>0</v>
      </c>
      <c r="Q48" s="222">
        <f>N48-K48</f>
        <v>-157.88108569295741</v>
      </c>
      <c r="R48" s="223">
        <f>O48/L48</f>
        <v>0.89865344534000646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-157.88108569295741</v>
      </c>
      <c r="AG48" s="162">
        <f t="shared" ref="AG48:AG53" si="15">N48/K48</f>
        <v>0.9022206323123716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2515</v>
      </c>
      <c r="H49" s="134">
        <f>F49*G49</f>
        <v>124542.8</v>
      </c>
      <c r="I49" s="135"/>
      <c r="J49" s="136">
        <f>VLOOKUP(D49,產線配置圖!$A$3:$C$38,2,0)</f>
        <v>17</v>
      </c>
      <c r="K49" s="137">
        <f>VLOOKUP(D49,產線配置圖!$A$3:$C$38,3,0)</f>
        <v>1440</v>
      </c>
      <c r="L49" s="138">
        <f>K49/J49</f>
        <v>84.705882352941174</v>
      </c>
      <c r="M49" s="170">
        <v>17</v>
      </c>
      <c r="N49" s="140">
        <f>G49/W49*60</f>
        <v>1359.4594594594475</v>
      </c>
      <c r="O49" s="141">
        <f>N49/M49</f>
        <v>79.968203497614567</v>
      </c>
      <c r="P49" s="229">
        <f>M49-J49</f>
        <v>0</v>
      </c>
      <c r="Q49" s="230">
        <f>O49-L49</f>
        <v>-4.7376788553266067</v>
      </c>
      <c r="R49" s="52">
        <f>O49/L49</f>
        <v>0.94406906906906085</v>
      </c>
      <c r="S49" s="415">
        <f>R58</f>
        <v>0.89688505330068136</v>
      </c>
      <c r="T49" s="191">
        <v>0.29097222222222202</v>
      </c>
      <c r="U49" s="191">
        <v>0.36805555555555602</v>
      </c>
      <c r="V49" s="55"/>
      <c r="W49" s="193">
        <f t="shared" si="4"/>
        <v>111.00000000000097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-80.540540540552456</v>
      </c>
      <c r="AG49" s="52">
        <f t="shared" si="15"/>
        <v>0.94406906906906074</v>
      </c>
      <c r="AH49" s="403">
        <f>AG58</f>
        <v>0.89624538562259737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4257</v>
      </c>
      <c r="H50" s="231">
        <f>F50*G50</f>
        <v>212722.29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15</v>
      </c>
      <c r="N50" s="234">
        <f>G50/W50*60</f>
        <v>1586.4596273291866</v>
      </c>
      <c r="O50" s="235">
        <f>N50/M50</f>
        <v>105.7639751552791</v>
      </c>
      <c r="P50" s="74">
        <f>M50-J50</f>
        <v>-1</v>
      </c>
      <c r="Q50" s="83">
        <f>O50-L50</f>
        <v>-6.7360248447209017</v>
      </c>
      <c r="R50" s="72">
        <f>O50/L50</f>
        <v>0.94012422360248082</v>
      </c>
      <c r="S50" s="416"/>
      <c r="T50" s="21">
        <v>0.37847222222222199</v>
      </c>
      <c r="U50" s="21">
        <v>0.49027777777777798</v>
      </c>
      <c r="V50" s="30">
        <f>(T50-U49)*24*60</f>
        <v>14.999999999998987</v>
      </c>
      <c r="W50" s="236">
        <f t="shared" si="4"/>
        <v>161.00000000000063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-213.54037267081344</v>
      </c>
      <c r="AG50" s="72">
        <f t="shared" si="15"/>
        <v>0.88136645962732585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2719</v>
      </c>
      <c r="H51" s="231">
        <f>F51*G51</f>
        <v>135868.43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1496.6972477064119</v>
      </c>
      <c r="O51" s="235">
        <f>N51/M51</f>
        <v>99.779816513760792</v>
      </c>
      <c r="P51" s="74">
        <f>M51-J51</f>
        <v>-1</v>
      </c>
      <c r="Q51" s="83">
        <f>O51-L51</f>
        <v>-12.720183486239208</v>
      </c>
      <c r="R51" s="72">
        <f>O51/L51</f>
        <v>0.88693170234454033</v>
      </c>
      <c r="S51" s="416"/>
      <c r="T51" s="21">
        <v>0.54861111111111105</v>
      </c>
      <c r="U51" s="19">
        <v>0.624305555555556</v>
      </c>
      <c r="V51" s="30">
        <f>(T51-U50)*24*60</f>
        <v>83.999999999999616</v>
      </c>
      <c r="W51" s="236">
        <f t="shared" si="4"/>
        <v>109.00000000000074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-303.30275229358813</v>
      </c>
      <c r="AG51" s="72">
        <f t="shared" si="15"/>
        <v>0.83149847094800655</v>
      </c>
      <c r="AH51" s="405"/>
    </row>
    <row r="52" spans="1:34" ht="15" customHeight="1">
      <c r="A52" s="428"/>
      <c r="B52" s="75" t="s">
        <v>118</v>
      </c>
      <c r="C52" s="86"/>
      <c r="D52" s="59" t="s">
        <v>123</v>
      </c>
      <c r="E52" s="87"/>
      <c r="F52" s="75">
        <f>VLOOKUP(D52,廠價表!$C$1:$E$43,3,0)</f>
        <v>49.91</v>
      </c>
      <c r="G52" s="202">
        <v>1718</v>
      </c>
      <c r="H52" s="231">
        <f>F52*G52</f>
        <v>85745.37999999999</v>
      </c>
      <c r="I52" s="232"/>
      <c r="J52" s="79">
        <f>VLOOKUP(D52,產線配置圖!$A$3:$C$38,2,0)</f>
        <v>15</v>
      </c>
      <c r="K52" s="80">
        <f>VLOOKUP(D52,產線配置圖!$A$3:$C$38,3,0)</f>
        <v>1714</v>
      </c>
      <c r="L52" s="81">
        <f>K52/J52</f>
        <v>114.26666666666667</v>
      </c>
      <c r="M52" s="233">
        <v>17</v>
      </c>
      <c r="N52" s="234">
        <f>G52/W52*60</f>
        <v>1610.6249999999775</v>
      </c>
      <c r="O52" s="235">
        <f>N52/M52</f>
        <v>94.7426470588222</v>
      </c>
      <c r="P52" s="74">
        <f>M52-J52</f>
        <v>2</v>
      </c>
      <c r="Q52" s="83">
        <f>O52-L52</f>
        <v>-19.524019607844465</v>
      </c>
      <c r="R52" s="72">
        <f>O52/L52</f>
        <v>0.82913635115655371</v>
      </c>
      <c r="S52" s="416"/>
      <c r="T52" s="21">
        <v>0.63611111111111096</v>
      </c>
      <c r="U52" s="21">
        <v>0.68055555555555602</v>
      </c>
      <c r="V52" s="30">
        <f>(T52-U51)*24*60</f>
        <v>16.99999999999914</v>
      </c>
      <c r="W52" s="236">
        <f t="shared" si="4"/>
        <v>64.000000000000895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-103.37500000002251</v>
      </c>
      <c r="AG52" s="72">
        <f t="shared" si="15"/>
        <v>0.93968786464409426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</v>
      </c>
      <c r="K58" s="120">
        <f t="shared" si="16"/>
        <v>1688.5</v>
      </c>
      <c r="L58" s="117">
        <f t="shared" si="16"/>
        <v>105.99313725490195</v>
      </c>
      <c r="M58" s="120">
        <f t="shared" si="16"/>
        <v>16</v>
      </c>
      <c r="N58" s="120">
        <f t="shared" si="16"/>
        <v>1513.3103336237557</v>
      </c>
      <c r="O58" s="117">
        <f t="shared" si="16"/>
        <v>95.063660556369172</v>
      </c>
      <c r="P58" s="121">
        <f>M58-J58</f>
        <v>0</v>
      </c>
      <c r="Q58" s="122">
        <f>N58-K58</f>
        <v>-175.1896663762443</v>
      </c>
      <c r="R58" s="123">
        <f t="shared" ref="R58:R63" si="17">O58/L58</f>
        <v>0.89688505330068136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-175.1896663762443</v>
      </c>
      <c r="AG58" s="124">
        <f>N58/K58</f>
        <v>0.89624538562259737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2835</v>
      </c>
      <c r="H59" s="243">
        <f>F59*G59</f>
        <v>76516.649999999994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1479.1304347825912</v>
      </c>
      <c r="O59" s="138">
        <f>N59/M59</f>
        <v>113.77926421404548</v>
      </c>
      <c r="P59" s="56">
        <f>M59-J59</f>
        <v>0</v>
      </c>
      <c r="Q59" s="230">
        <f>O59-L59</f>
        <v>-6.6053511705699037</v>
      </c>
      <c r="R59" s="52">
        <f t="shared" si="17"/>
        <v>0.94513126823168769</v>
      </c>
      <c r="S59" s="415">
        <f>R69</f>
        <v>0.83977942031113895</v>
      </c>
      <c r="T59" s="245">
        <v>0.28819444444444398</v>
      </c>
      <c r="U59" s="245">
        <v>0.36805555555555602</v>
      </c>
      <c r="V59" s="55"/>
      <c r="W59" s="54">
        <f t="shared" si="4"/>
        <v>115.00000000000135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-85.869565217408763</v>
      </c>
      <c r="AG59" s="246">
        <f>N59/K59</f>
        <v>0.94513126823168769</v>
      </c>
      <c r="AH59" s="403">
        <f>AG69</f>
        <v>0.92467181328729164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1742</v>
      </c>
      <c r="H60" s="78">
        <f>F60*G60</f>
        <v>49228.920000000006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1493.1428571428607</v>
      </c>
      <c r="O60" s="81">
        <f>N60/M60</f>
        <v>124.42857142857173</v>
      </c>
      <c r="P60" s="74">
        <f>M60-J60</f>
        <v>0</v>
      </c>
      <c r="Q60" s="83">
        <f>O60-L60</f>
        <v>-5.9880952380949282</v>
      </c>
      <c r="R60" s="72">
        <f t="shared" si="17"/>
        <v>0.95408489274304209</v>
      </c>
      <c r="S60" s="425"/>
      <c r="T60" s="22">
        <v>0.375</v>
      </c>
      <c r="U60" s="22">
        <v>0.42361111111111099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-71.857142857139252</v>
      </c>
      <c r="AG60" s="249">
        <f>N60/K60</f>
        <v>0.95408489274304198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2264</v>
      </c>
      <c r="H61" s="254">
        <f>F61*G61</f>
        <v>63980.640000000007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1429.8947368421104</v>
      </c>
      <c r="O61" s="238">
        <f>N61/M61</f>
        <v>129.99043062201005</v>
      </c>
      <c r="P61" s="111">
        <f>M61-J61</f>
        <v>2</v>
      </c>
      <c r="Q61" s="255">
        <f>O61-L61</f>
        <v>-51.787347155767719</v>
      </c>
      <c r="R61" s="85">
        <f t="shared" si="17"/>
        <v>0.71510628092792816</v>
      </c>
      <c r="S61" s="416"/>
      <c r="T61" s="22">
        <v>0.43055555555555602</v>
      </c>
      <c r="U61" s="22">
        <v>0.49652777777777801</v>
      </c>
      <c r="V61" s="30">
        <f>(T61-U60)*24*60</f>
        <v>10.000000000000844</v>
      </c>
      <c r="W61" s="256">
        <f t="shared" si="4"/>
        <v>94.999999999999659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-206.10526315788957</v>
      </c>
      <c r="AG61" s="247">
        <f>N61/K61</f>
        <v>0.874018787800801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1485</v>
      </c>
      <c r="H62" s="254">
        <f>F62*G62</f>
        <v>41966.100000000006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1484.9999999999893</v>
      </c>
      <c r="O62" s="238">
        <f>N62/M62</f>
        <v>134.99999999999903</v>
      </c>
      <c r="P62" s="111">
        <f>M62-J62</f>
        <v>2</v>
      </c>
      <c r="Q62" s="255">
        <f>O62-L62</f>
        <v>-46.777777777778738</v>
      </c>
      <c r="R62" s="85">
        <f t="shared" si="17"/>
        <v>0.74266503667481132</v>
      </c>
      <c r="S62" s="416"/>
      <c r="T62" s="22">
        <v>0.54861111111111105</v>
      </c>
      <c r="U62" s="22">
        <v>0.59027777777777801</v>
      </c>
      <c r="V62" s="30">
        <f>(T62-U61)*24*60</f>
        <v>74.999999999999574</v>
      </c>
      <c r="W62" s="248">
        <f t="shared" si="4"/>
        <v>60.000000000000426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-151.00000000001069</v>
      </c>
      <c r="AG62" s="247">
        <f>N62/K62</f>
        <v>0.90770171149143597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1603</v>
      </c>
      <c r="H63" s="254">
        <f>F63*G63</f>
        <v>43264.969999999994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1479.6923076923017</v>
      </c>
      <c r="O63" s="238">
        <f>N63/M63</f>
        <v>113.82248520710013</v>
      </c>
      <c r="P63" s="111">
        <f>M63-J63</f>
        <v>0</v>
      </c>
      <c r="Q63" s="255">
        <f>O63-L63</f>
        <v>-6.5621301775152574</v>
      </c>
      <c r="R63" s="85">
        <f t="shared" si="17"/>
        <v>0.94549029245514482</v>
      </c>
      <c r="S63" s="416"/>
      <c r="T63" s="22">
        <v>0.60069444444444398</v>
      </c>
      <c r="U63" s="22">
        <v>0.64583333333333304</v>
      </c>
      <c r="V63" s="30">
        <f>(T63-U62)*24*60</f>
        <v>14.999999999998987</v>
      </c>
      <c r="W63" s="248">
        <f t="shared" si="4"/>
        <v>65.000000000000256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8">AVERAGE(J59:J68)</f>
        <v>11.2</v>
      </c>
      <c r="K69" s="240">
        <f t="shared" si="18"/>
        <v>1593.4</v>
      </c>
      <c r="L69" s="268">
        <f t="shared" si="18"/>
        <v>146.94829059829061</v>
      </c>
      <c r="M69" s="240">
        <f t="shared" si="18"/>
        <v>12</v>
      </c>
      <c r="N69" s="240">
        <f t="shared" si="18"/>
        <v>1473.3720672919706</v>
      </c>
      <c r="O69" s="268">
        <f t="shared" si="18"/>
        <v>123.40415029434527</v>
      </c>
      <c r="P69" s="269">
        <f>M69-J69</f>
        <v>0.80000000000000071</v>
      </c>
      <c r="Q69" s="222">
        <f>N69-K69</f>
        <v>-120.02793270802954</v>
      </c>
      <c r="R69" s="123">
        <f>O69/L69</f>
        <v>0.83977942031113895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-120.02793270802954</v>
      </c>
      <c r="AG69" s="124">
        <f>N69/K69</f>
        <v>0.92467181328729164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2490</v>
      </c>
      <c r="H70" s="243">
        <f>F70*G70</f>
        <v>126168.3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11</v>
      </c>
      <c r="N70" s="137">
        <f>G70/W70*60</f>
        <v>1149.23076923078</v>
      </c>
      <c r="O70" s="138">
        <f>N70/M70</f>
        <v>104.47552447552545</v>
      </c>
      <c r="P70" s="56">
        <f>M70-J70</f>
        <v>-2</v>
      </c>
      <c r="Q70" s="230">
        <f>O70-L70</f>
        <v>-6.293706293705327</v>
      </c>
      <c r="R70" s="52">
        <f>O70/L70</f>
        <v>0.94318181818182689</v>
      </c>
      <c r="S70" s="415">
        <f>R79</f>
        <v>0.94318181818182689</v>
      </c>
      <c r="T70" s="245">
        <v>0.33680555555555602</v>
      </c>
      <c r="U70" s="245">
        <v>0.42708333333333298</v>
      </c>
      <c r="V70" s="55"/>
      <c r="W70" s="54">
        <f t="shared" si="4"/>
        <v>129.99999999999881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-290.76923076922003</v>
      </c>
      <c r="AG70" s="246">
        <f>N70/K70</f>
        <v>0.79807692307693057</v>
      </c>
      <c r="AH70" s="403">
        <f>AG79</f>
        <v>0.79807692307693057</v>
      </c>
    </row>
    <row r="71" spans="1:36" ht="15" customHeight="1">
      <c r="A71" s="413"/>
      <c r="B71" s="75" t="s">
        <v>192</v>
      </c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 t="s">
        <v>192</v>
      </c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9">AVERAGE(J70:J78)</f>
        <v>13</v>
      </c>
      <c r="K79" s="240">
        <f t="shared" si="19"/>
        <v>1440</v>
      </c>
      <c r="L79" s="268">
        <f t="shared" si="19"/>
        <v>110.76923076923077</v>
      </c>
      <c r="M79" s="240">
        <f t="shared" si="19"/>
        <v>11</v>
      </c>
      <c r="N79" s="240">
        <f t="shared" si="19"/>
        <v>1149.23076923078</v>
      </c>
      <c r="O79" s="268">
        <f t="shared" si="19"/>
        <v>104.47552447552545</v>
      </c>
      <c r="P79" s="269">
        <f>M79-J79</f>
        <v>-2</v>
      </c>
      <c r="Q79" s="222">
        <f>N79-K79</f>
        <v>-290.76923076922003</v>
      </c>
      <c r="R79" s="223">
        <f>O79/L79</f>
        <v>0.94318181818182689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-290.76923076922003</v>
      </c>
      <c r="AG79" s="124">
        <f>N79/K79</f>
        <v>0.79807692307693057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4BB889-DAC9-450D-87DA-9CD7811D196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18DF-1FA5-4C3D-9D2A-55B2A74C3567}">
  <dimension ref="B1:O26"/>
  <sheetViews>
    <sheetView zoomScale="70" zoomScaleNormal="70" workbookViewId="0">
      <selection activeCell="J39" sqref="J3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46132</v>
      </c>
      <c r="E3" s="399"/>
      <c r="F3" s="3" t="s">
        <v>72</v>
      </c>
      <c r="G3" s="400">
        <f>'0420'!E1</f>
        <v>62358</v>
      </c>
      <c r="H3" s="400"/>
      <c r="I3" s="3" t="s">
        <v>2</v>
      </c>
      <c r="J3" s="401">
        <f>'0420'!G1</f>
        <v>2973539.2400000007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122.58192150079405</v>
      </c>
      <c r="G6" s="397"/>
      <c r="H6" s="382">
        <f>AVERAGE(D13:H13)</f>
        <v>117.70864768129472</v>
      </c>
      <c r="I6" s="382"/>
      <c r="J6" s="382">
        <f>AVERAGE(I13)</f>
        <v>146.94829059829061</v>
      </c>
      <c r="K6" s="382"/>
      <c r="L6" s="383">
        <f>SUM(D18:J18)</f>
        <v>2</v>
      </c>
      <c r="M6" s="385">
        <f>SUM(D19:J19)</f>
        <v>34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107.53254916285323</v>
      </c>
      <c r="G7" s="389"/>
      <c r="H7" s="390">
        <f>AVERAGE(D14:H14)</f>
        <v>104.52158529265594</v>
      </c>
      <c r="I7" s="390"/>
      <c r="J7" s="390">
        <f>AVERAGE(I14)</f>
        <v>122.58736851383972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0.87723008292178439</v>
      </c>
      <c r="G8" s="374"/>
      <c r="H8" s="374">
        <f>H7/H6</f>
        <v>0.88796861871743038</v>
      </c>
      <c r="I8" s="374"/>
      <c r="J8" s="374">
        <f>J7/J6</f>
        <v>0.8342211264570214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VALUE('0420'!L15)</f>
        <v>140.22619047619048</v>
      </c>
      <c r="E13" s="13">
        <f>VALUE('0420'!L26)</f>
        <v>141.92500000000001</v>
      </c>
      <c r="F13" s="13">
        <f>VALUE('0420'!L37)</f>
        <v>103.46470588235293</v>
      </c>
      <c r="G13" s="13">
        <f>VALUE('0420'!L48)</f>
        <v>96.05185185185185</v>
      </c>
      <c r="H13" s="13">
        <f>VALUE('0420'!L58)</f>
        <v>106.87549019607843</v>
      </c>
      <c r="I13" s="13">
        <f>VALUE('0420'!L69)</f>
        <v>146.94829059829061</v>
      </c>
      <c r="J13" s="13">
        <f>'0420'!L79</f>
        <v>110.76923076923077</v>
      </c>
    </row>
    <row r="14" spans="2:15" ht="39.950000000000003" customHeight="1">
      <c r="B14" s="368"/>
      <c r="C14" s="12" t="s">
        <v>100</v>
      </c>
      <c r="D14" s="13">
        <f>VALUE('0420'!O15)</f>
        <v>120.36135547336387</v>
      </c>
      <c r="E14" s="13">
        <f>VALUE('0420'!O26)</f>
        <v>125.76305774835487</v>
      </c>
      <c r="F14" s="13">
        <f>VALUE('0420'!O37)</f>
        <v>88.750942637812301</v>
      </c>
      <c r="G14" s="13">
        <f>VALUE('0420'!O48)</f>
        <v>90.726392534266253</v>
      </c>
      <c r="H14" s="13">
        <f>VALUE('0420'!O58)</f>
        <v>97.006178069482303</v>
      </c>
      <c r="I14" s="13">
        <f>VALUE('0420'!O69)</f>
        <v>122.58736851383972</v>
      </c>
      <c r="J14" s="13">
        <f>'0420'!O79</f>
        <v>91.864615384616016</v>
      </c>
    </row>
    <row r="15" spans="2:15" ht="39.950000000000003" customHeight="1">
      <c r="B15" s="369"/>
      <c r="C15" s="10" t="s">
        <v>26</v>
      </c>
      <c r="D15" s="14">
        <f t="shared" ref="D15:I15" si="1">D14/D13</f>
        <v>0.85833719838378175</v>
      </c>
      <c r="E15" s="14">
        <f t="shared" si="1"/>
        <v>0.88612335915698337</v>
      </c>
      <c r="F15" s="14">
        <f t="shared" si="1"/>
        <v>0.85778954166968513</v>
      </c>
      <c r="G15" s="14">
        <f t="shared" si="1"/>
        <v>0.94455641182431904</v>
      </c>
      <c r="H15" s="14">
        <f t="shared" si="1"/>
        <v>0.90765598259723101</v>
      </c>
      <c r="I15" s="14">
        <f t="shared" si="1"/>
        <v>0.8342211264570214</v>
      </c>
      <c r="J15" s="15">
        <f>'0420'!S70</f>
        <v>0.82933333333333903</v>
      </c>
    </row>
    <row r="16" spans="2:15" ht="17.25" customHeight="1">
      <c r="B16" s="370" t="s">
        <v>101</v>
      </c>
      <c r="C16" s="10" t="s">
        <v>34</v>
      </c>
      <c r="D16" s="16">
        <f>'0420'!T5</f>
        <v>0.28819444444444398</v>
      </c>
      <c r="E16" s="16">
        <f>'0420'!T16</f>
        <v>0.29166666666666702</v>
      </c>
      <c r="F16" s="16">
        <f>'0420'!T27</f>
        <v>0.297222222222222</v>
      </c>
      <c r="G16" s="16">
        <f>'0420'!T38</f>
        <v>0.33333333333333298</v>
      </c>
      <c r="H16" s="16">
        <f>'0420'!T49</f>
        <v>0.29027777777777802</v>
      </c>
      <c r="I16" s="16">
        <f>'0420'!T59</f>
        <v>0.29166666666666702</v>
      </c>
      <c r="J16" s="16">
        <f>'0420'!T70</f>
        <v>0.33680555555555602</v>
      </c>
    </row>
    <row r="17" spans="2:10" ht="17.25" customHeight="1">
      <c r="B17" s="371"/>
      <c r="C17" s="10" t="s">
        <v>35</v>
      </c>
      <c r="D17" s="16">
        <v>0.63402777777777797</v>
      </c>
      <c r="E17" s="19">
        <v>0.61527777777777803</v>
      </c>
      <c r="F17" s="19">
        <v>0.65972222222222199</v>
      </c>
      <c r="G17" s="20">
        <v>0.64722222222222203</v>
      </c>
      <c r="H17" s="21">
        <v>0.61597222222222203</v>
      </c>
      <c r="I17" s="22">
        <v>0.65972222222222199</v>
      </c>
      <c r="J17" s="22">
        <v>0.42361111111111099</v>
      </c>
    </row>
    <row r="18" spans="2:10" ht="17.25" customHeight="1">
      <c r="B18" s="372" t="s">
        <v>102</v>
      </c>
      <c r="C18" s="330" t="s">
        <v>36</v>
      </c>
      <c r="D18" s="358">
        <f>'0420'!Z15</f>
        <v>1</v>
      </c>
      <c r="E18" s="359">
        <f>'0420'!Z26</f>
        <v>1</v>
      </c>
      <c r="F18" s="359">
        <f>'0420'!Z37</f>
        <v>0</v>
      </c>
      <c r="G18" s="360">
        <f>'0420'!Z48</f>
        <v>0</v>
      </c>
      <c r="H18" s="360">
        <f>'0420'!Z58</f>
        <v>0</v>
      </c>
      <c r="I18" s="359">
        <f>'0420'!Z69</f>
        <v>0</v>
      </c>
      <c r="J18" s="359">
        <f>'0420'!AA79</f>
        <v>0</v>
      </c>
    </row>
    <row r="19" spans="2:10" ht="17.25" customHeight="1">
      <c r="B19" s="373"/>
      <c r="C19" s="330" t="s">
        <v>37</v>
      </c>
      <c r="D19" s="358">
        <f>'0420'!AA15</f>
        <v>15</v>
      </c>
      <c r="E19" s="359">
        <f>'0420'!AA26</f>
        <v>19</v>
      </c>
      <c r="F19" s="359">
        <f>'0420'!AA37</f>
        <v>0</v>
      </c>
      <c r="G19" s="360">
        <f>'0420'!AA48</f>
        <v>0</v>
      </c>
      <c r="H19" s="360">
        <f>'0420'!AA58</f>
        <v>0</v>
      </c>
      <c r="I19" s="359">
        <f>'0420'!AA69</f>
        <v>0</v>
      </c>
      <c r="J19" s="359">
        <f>'0420'!AB79</f>
        <v>0</v>
      </c>
    </row>
    <row r="20" spans="2:10" ht="17.25" customHeight="1">
      <c r="B20" s="372" t="s">
        <v>103</v>
      </c>
      <c r="C20" s="330" t="s">
        <v>36</v>
      </c>
      <c r="D20" s="358">
        <f>'0420'!AD15</f>
        <v>0</v>
      </c>
      <c r="E20" s="359">
        <f>'0420'!AD26</f>
        <v>0</v>
      </c>
      <c r="F20" s="359">
        <f>'0420'!AD37</f>
        <v>0</v>
      </c>
      <c r="G20" s="360">
        <f>'0420'!AD48</f>
        <v>0</v>
      </c>
      <c r="H20" s="360">
        <f>'0420'!AD58</f>
        <v>0</v>
      </c>
      <c r="I20" s="359">
        <f>'0420'!AD69</f>
        <v>0</v>
      </c>
      <c r="J20" s="359">
        <f>'0420'!AD79</f>
        <v>0</v>
      </c>
    </row>
    <row r="21" spans="2:10" ht="17.25" customHeight="1">
      <c r="B21" s="373"/>
      <c r="C21" s="330" t="s">
        <v>85</v>
      </c>
      <c r="D21" s="358">
        <f>'0420'!AE15</f>
        <v>0</v>
      </c>
      <c r="E21" s="359">
        <f>'0420'!AE26</f>
        <v>0</v>
      </c>
      <c r="F21" s="359">
        <f>'0420'!AE37</f>
        <v>0</v>
      </c>
      <c r="G21" s="360">
        <f>'0420'!AE48</f>
        <v>0</v>
      </c>
      <c r="H21" s="360">
        <f>'0420'!AE58</f>
        <v>0</v>
      </c>
      <c r="I21" s="359">
        <f>'0420'!AE69</f>
        <v>0</v>
      </c>
      <c r="J21" s="359">
        <f>'0420'!AE79</f>
        <v>0</v>
      </c>
    </row>
    <row r="22" spans="2:10" ht="17.25" customHeight="1">
      <c r="B22" s="364" t="s">
        <v>104</v>
      </c>
      <c r="C22" s="365"/>
      <c r="D22" s="23">
        <f>VALUE('0420'!M15)</f>
        <v>14.75</v>
      </c>
      <c r="E22" s="23">
        <f>VALUE('0420'!M26)</f>
        <v>14.75</v>
      </c>
      <c r="F22" s="23">
        <f>VALUE('0420'!M37)</f>
        <v>15.8</v>
      </c>
      <c r="G22" s="23">
        <f>VALUE('0420'!M48)</f>
        <v>16.333333333333332</v>
      </c>
      <c r="H22" s="23">
        <f>VALUE('0420'!M58)</f>
        <v>16</v>
      </c>
      <c r="I22" s="23">
        <f>VALUE('0420'!M69)</f>
        <v>11.8</v>
      </c>
      <c r="J22" s="23">
        <f>'0420'!M79</f>
        <v>13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E4DD-6ECF-487D-A39C-93AF43D853A3}">
  <sheetPr>
    <tabColor theme="9" tint="0.79998168889431442"/>
  </sheetPr>
  <dimension ref="A1:AJ92"/>
  <sheetViews>
    <sheetView zoomScale="73" zoomScaleNormal="73" workbookViewId="0">
      <pane xSplit="5" ySplit="4" topLeftCell="I26" activePane="bottomRight" state="frozen"/>
      <selection activeCell="J39" sqref="J39"/>
      <selection pane="topRight" activeCell="J39" sqref="J39"/>
      <selection pane="bottomLeft" activeCell="J39" sqref="J39"/>
      <selection pane="bottomRight" activeCell="A2" sqref="A2:B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62358</v>
      </c>
      <c r="F1" s="30" t="s">
        <v>2</v>
      </c>
      <c r="G1" s="31">
        <f>SUM(H5:H79)</f>
        <v>2973539.2400000007</v>
      </c>
      <c r="H1" s="32" t="s">
        <v>3</v>
      </c>
      <c r="I1" s="33">
        <f>M15+M26+M48+M58+M69+M79+M37</f>
        <v>102.43333333333332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206</v>
      </c>
      <c r="B2" s="483"/>
      <c r="C2" s="28"/>
      <c r="D2" s="28" t="s">
        <v>14</v>
      </c>
      <c r="E2" s="35">
        <f>AVERAGE(O15,O26,O37,O48,O58,O69,O79)</f>
        <v>105.29427290881935</v>
      </c>
      <c r="F2" s="36" t="s">
        <v>15</v>
      </c>
      <c r="G2" s="37">
        <f>G1/E1</f>
        <v>47.684968087494802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2</v>
      </c>
      <c r="AA2" s="339">
        <f>AA15+AA26+AA37+AA48+AA58+AA69+AA79</f>
        <v>34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181</v>
      </c>
      <c r="E5" s="41"/>
      <c r="F5" s="39">
        <f>VLOOKUP(D5,廠價表!$C$1:$E$43,3,0)</f>
        <v>58.17</v>
      </c>
      <c r="G5" s="42">
        <v>4190</v>
      </c>
      <c r="H5" s="43">
        <f>F5*G5</f>
        <v>243732.30000000002</v>
      </c>
      <c r="I5" s="44"/>
      <c r="J5" s="45">
        <v>16</v>
      </c>
      <c r="K5" s="46">
        <f>VLOOKUP(D5,產線配置圖!$A$3:$C$38,3,0)</f>
        <v>2000</v>
      </c>
      <c r="L5" s="47">
        <f>K5/J5</f>
        <v>125</v>
      </c>
      <c r="M5" s="48">
        <v>16</v>
      </c>
      <c r="N5" s="46">
        <f>G5/W5*60</f>
        <v>1933.8461538461488</v>
      </c>
      <c r="O5" s="47">
        <f>N5/M5</f>
        <v>120.8653846153843</v>
      </c>
      <c r="P5" s="49">
        <f>M5-J5</f>
        <v>0</v>
      </c>
      <c r="Q5" s="50">
        <f>O5-L5</f>
        <v>-4.1346153846156994</v>
      </c>
      <c r="R5" s="51">
        <f>O5/L5</f>
        <v>0.96692307692307444</v>
      </c>
      <c r="S5" s="415">
        <f>R15</f>
        <v>0.85833719838378175</v>
      </c>
      <c r="T5" s="319">
        <v>0.28819444444444398</v>
      </c>
      <c r="U5" s="320">
        <v>0.37847222222222199</v>
      </c>
      <c r="V5" s="53"/>
      <c r="W5" s="54">
        <f t="shared" ref="W5:W14" si="0">(U5-T5)*24*60</f>
        <v>130.00000000000034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-66.153846153851191</v>
      </c>
      <c r="AG5" s="52">
        <f t="shared" ref="AG5:AG11" si="2">N5/K5</f>
        <v>0.96692307692307444</v>
      </c>
      <c r="AH5" s="403">
        <f>AG15</f>
        <v>0.86057754683573917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3677</v>
      </c>
      <c r="H6" s="63">
        <f>F6*G6</f>
        <v>180687.78</v>
      </c>
      <c r="I6" s="64"/>
      <c r="J6" s="65">
        <v>14</v>
      </c>
      <c r="K6" s="66">
        <f>VLOOKUP(D6,產線配置圖!$A$3:$C$38,3,0)</f>
        <v>2118</v>
      </c>
      <c r="L6" s="67">
        <f>K6/J6</f>
        <v>151.28571428571428</v>
      </c>
      <c r="M6" s="68">
        <v>14</v>
      </c>
      <c r="N6" s="66">
        <f>G6/W6*60</f>
        <v>1658.7969924812048</v>
      </c>
      <c r="O6" s="67">
        <f>N6/M6</f>
        <v>118.4854994629432</v>
      </c>
      <c r="P6" s="69">
        <f>M6-J6</f>
        <v>0</v>
      </c>
      <c r="Q6" s="70">
        <f>O6-L6</f>
        <v>-32.800214822771082</v>
      </c>
      <c r="R6" s="71">
        <f>O6/L6</f>
        <v>0.7831902702932978</v>
      </c>
      <c r="S6" s="416"/>
      <c r="T6" s="16">
        <v>0.38541666666666702</v>
      </c>
      <c r="U6" s="16">
        <v>0.47777777777777802</v>
      </c>
      <c r="V6" s="30">
        <f>(T6-U5)*24*60</f>
        <v>10.000000000000844</v>
      </c>
      <c r="W6" s="73">
        <f t="shared" si="0"/>
        <v>132.99999999999986</v>
      </c>
      <c r="X6" s="22"/>
      <c r="Y6" s="84"/>
      <c r="Z6" s="90">
        <v>1</v>
      </c>
      <c r="AA6" s="90">
        <v>15</v>
      </c>
      <c r="AB6" s="453" t="s">
        <v>207</v>
      </c>
      <c r="AC6" s="453"/>
      <c r="AD6" s="149"/>
      <c r="AE6" s="149"/>
      <c r="AF6" s="307">
        <f t="shared" si="1"/>
        <v>-459.20300751879518</v>
      </c>
      <c r="AG6" s="72">
        <f t="shared" si="2"/>
        <v>0.7831902702932978</v>
      </c>
      <c r="AH6" s="405"/>
    </row>
    <row r="7" spans="1:34" ht="15" customHeight="1">
      <c r="A7" s="489"/>
      <c r="B7" s="75" t="s">
        <v>81</v>
      </c>
      <c r="C7" s="76"/>
      <c r="D7" s="59" t="s">
        <v>114</v>
      </c>
      <c r="E7" s="77"/>
      <c r="F7" s="61">
        <f>VLOOKUP(D7,廠價表!$C$1:$E$43,3,0)</f>
        <v>49.14</v>
      </c>
      <c r="G7" s="66">
        <v>3245</v>
      </c>
      <c r="H7" s="63">
        <f>F7*G7</f>
        <v>159459.29999999999</v>
      </c>
      <c r="I7" s="73"/>
      <c r="J7" s="79">
        <v>14</v>
      </c>
      <c r="K7" s="66">
        <f>VLOOKUP(D7,產線配置圖!$A$3:$C$38,3,0)</f>
        <v>2118</v>
      </c>
      <c r="L7" s="67">
        <f>K7/J7</f>
        <v>151.28571428571428</v>
      </c>
      <c r="M7" s="82">
        <v>14</v>
      </c>
      <c r="N7" s="66">
        <f>G7/W7*60</f>
        <v>1908.8235294117717</v>
      </c>
      <c r="O7" s="67">
        <f>N7/M7</f>
        <v>136.34453781512656</v>
      </c>
      <c r="P7" s="69">
        <f>M7-J7</f>
        <v>0</v>
      </c>
      <c r="Q7" s="70">
        <f>O7-L7</f>
        <v>-14.94117647058772</v>
      </c>
      <c r="R7" s="71">
        <f>O7/L7</f>
        <v>0.90123868244181871</v>
      </c>
      <c r="S7" s="416"/>
      <c r="T7" s="16">
        <v>0.54374999999999996</v>
      </c>
      <c r="U7" s="16">
        <v>0.61458333333333304</v>
      </c>
      <c r="V7" s="30">
        <f>(T7-U6)*24*60</f>
        <v>94.999999999999588</v>
      </c>
      <c r="W7" s="73">
        <f t="shared" si="0"/>
        <v>101.99999999999963</v>
      </c>
      <c r="X7" s="22"/>
      <c r="Y7" s="84"/>
      <c r="Z7" s="90"/>
      <c r="AA7" s="90"/>
      <c r="AB7" s="409"/>
      <c r="AC7" s="409"/>
      <c r="AD7" s="92"/>
      <c r="AE7" s="92"/>
      <c r="AF7" s="307">
        <f t="shared" si="1"/>
        <v>-209.17647058822831</v>
      </c>
      <c r="AG7" s="72">
        <f t="shared" si="2"/>
        <v>0.90123868244181859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61">
        <f>VLOOKUP(D8,廠價表!$C$1:$E$43,3,0)</f>
        <v>58.17</v>
      </c>
      <c r="G8" s="66">
        <v>423</v>
      </c>
      <c r="H8" s="63">
        <f>F8*G8</f>
        <v>24605.91</v>
      </c>
      <c r="I8" s="73"/>
      <c r="J8" s="79">
        <v>15</v>
      </c>
      <c r="K8" s="66">
        <f>VLOOKUP(D8,產線配置圖!$A$3:$C$38,3,0)</f>
        <v>2000</v>
      </c>
      <c r="L8" s="67">
        <f>K8/J8</f>
        <v>133.33333333333334</v>
      </c>
      <c r="M8" s="82">
        <v>15</v>
      </c>
      <c r="N8" s="66">
        <f>G8/W8*60</f>
        <v>1586.2500000000216</v>
      </c>
      <c r="O8" s="67">
        <f>N8/M8</f>
        <v>105.75000000000144</v>
      </c>
      <c r="P8" s="69">
        <f>M8-J8</f>
        <v>0</v>
      </c>
      <c r="Q8" s="70">
        <f>O8-L8</f>
        <v>-27.583333333331908</v>
      </c>
      <c r="R8" s="71">
        <f>O8/L8</f>
        <v>0.79312500000001074</v>
      </c>
      <c r="S8" s="416"/>
      <c r="T8" s="16">
        <v>0.62291666666666701</v>
      </c>
      <c r="U8" s="16">
        <v>0.63402777777777797</v>
      </c>
      <c r="V8" s="30">
        <f>(T8-U7)*24*60</f>
        <v>12.000000000000917</v>
      </c>
      <c r="W8" s="73">
        <f t="shared" si="0"/>
        <v>15.999999999999783</v>
      </c>
      <c r="X8" s="22">
        <v>0.48611111111111099</v>
      </c>
      <c r="Y8" s="84">
        <v>0.52777777777777801</v>
      </c>
      <c r="Z8" s="90"/>
      <c r="AA8" s="90"/>
      <c r="AB8" s="453" t="s">
        <v>134</v>
      </c>
      <c r="AC8" s="453"/>
      <c r="AD8" s="149"/>
      <c r="AE8" s="149"/>
      <c r="AF8" s="307">
        <f t="shared" si="1"/>
        <v>-413.7499999999784</v>
      </c>
      <c r="AG8" s="72">
        <f t="shared" si="2"/>
        <v>0.79312500000001085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14.75</v>
      </c>
      <c r="K15" s="120">
        <f t="shared" si="3"/>
        <v>2059</v>
      </c>
      <c r="L15" s="117">
        <f t="shared" si="3"/>
        <v>140.22619047619048</v>
      </c>
      <c r="M15" s="120">
        <f t="shared" si="3"/>
        <v>14.75</v>
      </c>
      <c r="N15" s="120">
        <f t="shared" si="3"/>
        <v>1771.929168934787</v>
      </c>
      <c r="O15" s="117">
        <f t="shared" si="3"/>
        <v>120.36135547336387</v>
      </c>
      <c r="P15" s="121">
        <f>M15-J15</f>
        <v>0</v>
      </c>
      <c r="Q15" s="122">
        <f>O15-L15</f>
        <v>-19.864835002826609</v>
      </c>
      <c r="R15" s="123">
        <f>O15/L15</f>
        <v>0.85833719838378175</v>
      </c>
      <c r="S15" s="419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-287.07083106521304</v>
      </c>
      <c r="AG15" s="124">
        <f>N15/K15</f>
        <v>0.86057754683573917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182</v>
      </c>
      <c r="E16" s="132"/>
      <c r="F16" s="129">
        <f>VLOOKUP(D16,廠價表!$C$1:$E$43,3,0)</f>
        <v>56.61</v>
      </c>
      <c r="G16" s="133">
        <v>2160</v>
      </c>
      <c r="H16" s="134">
        <f>F16*G16</f>
        <v>122277.6</v>
      </c>
      <c r="I16" s="135"/>
      <c r="J16" s="136">
        <f>VLOOKUP(D16,產線配置圖!$A$3:$C$38,2,0)</f>
        <v>16</v>
      </c>
      <c r="K16" s="137">
        <f>VLOOKUP(D16,產線配置圖!$A$3:$C$38,3,0)</f>
        <v>2000</v>
      </c>
      <c r="L16" s="138">
        <f>K16/J16</f>
        <v>125</v>
      </c>
      <c r="M16" s="139">
        <v>16</v>
      </c>
      <c r="N16" s="140">
        <f>G16/W16*60</f>
        <v>1905.8823529411857</v>
      </c>
      <c r="O16" s="141">
        <f>N16/M16</f>
        <v>119.1176470588241</v>
      </c>
      <c r="P16" s="142">
        <f>M16-J16</f>
        <v>0</v>
      </c>
      <c r="Q16" s="143">
        <f>O16-L16</f>
        <v>-5.8823529411758955</v>
      </c>
      <c r="R16" s="144">
        <f>O16/L16</f>
        <v>0.95294117647059284</v>
      </c>
      <c r="S16" s="443">
        <f>R26</f>
        <v>0.88612335915698337</v>
      </c>
      <c r="T16" s="145">
        <v>0.29166666666666702</v>
      </c>
      <c r="U16" s="145">
        <v>0.33888888888888902</v>
      </c>
      <c r="V16" s="135"/>
      <c r="W16" s="146">
        <f t="shared" ref="W16:W78" si="4">(U16-T16)*24*60</f>
        <v>67.999999999999673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-94.117647058814327</v>
      </c>
      <c r="AG16" s="52">
        <f>N16/K16</f>
        <v>0.95294117647059284</v>
      </c>
      <c r="AH16" s="403">
        <f>AG26</f>
        <v>0.88639753368493235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5813</v>
      </c>
      <c r="H17" s="78">
        <f>F17*G17</f>
        <v>292917.07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1845.3968253968246</v>
      </c>
      <c r="O17" s="96">
        <f>N17/M17</f>
        <v>153.78306878306873</v>
      </c>
      <c r="P17" s="97">
        <f>M17-J17</f>
        <v>0</v>
      </c>
      <c r="Q17" s="98">
        <f>O17-L17</f>
        <v>-22.716931216931272</v>
      </c>
      <c r="R17" s="99">
        <f>O17/L17</f>
        <v>0.87129217440832141</v>
      </c>
      <c r="S17" s="444"/>
      <c r="T17" s="19">
        <v>0.34583333333333299</v>
      </c>
      <c r="U17" s="19">
        <v>0.47708333333333303</v>
      </c>
      <c r="V17" s="30">
        <f>(T17-U16)*24*60</f>
        <v>9.999999999999325</v>
      </c>
      <c r="W17" s="149">
        <f t="shared" si="4"/>
        <v>189.00000000000006</v>
      </c>
      <c r="X17" s="19"/>
      <c r="Y17" s="297"/>
      <c r="Z17" s="90">
        <v>1</v>
      </c>
      <c r="AA17" s="90">
        <v>19</v>
      </c>
      <c r="AB17" s="409" t="s">
        <v>208</v>
      </c>
      <c r="AC17" s="409"/>
      <c r="AD17" s="92"/>
      <c r="AE17" s="92"/>
      <c r="AF17" s="307">
        <f>N17-K17</f>
        <v>-272.60317460317538</v>
      </c>
      <c r="AG17" s="72">
        <f>N17/K17</f>
        <v>0.87129217440832141</v>
      </c>
      <c r="AH17" s="405"/>
    </row>
    <row r="18" spans="1:34" ht="15" customHeight="1">
      <c r="A18" s="450"/>
      <c r="B18" s="75" t="s">
        <v>81</v>
      </c>
      <c r="C18" s="76"/>
      <c r="D18" s="59" t="s">
        <v>182</v>
      </c>
      <c r="E18" s="77"/>
      <c r="F18" s="75">
        <f>VLOOKUP(D18,廠價表!$C$1:$E$43,3,0)</f>
        <v>56.61</v>
      </c>
      <c r="G18" s="147">
        <v>284</v>
      </c>
      <c r="H18" s="78">
        <f>F18*G18</f>
        <v>16077.24</v>
      </c>
      <c r="I18" s="30"/>
      <c r="J18" s="79">
        <f>VLOOKUP(D18,產線配置圖!$A$3:$C$38,2,0)</f>
        <v>16</v>
      </c>
      <c r="K18" s="80">
        <f>VLOOKUP(D18,產線配置圖!$A$3:$C$38,3,0)</f>
        <v>2000</v>
      </c>
      <c r="L18" s="81">
        <f>K18/J18</f>
        <v>125</v>
      </c>
      <c r="M18" s="148">
        <v>16</v>
      </c>
      <c r="N18" s="95">
        <f>G18/W18*60</f>
        <v>1549.0909090910945</v>
      </c>
      <c r="O18" s="96">
        <f>N18/M18</f>
        <v>96.818181818193409</v>
      </c>
      <c r="P18" s="97">
        <f>M18-J18</f>
        <v>0</v>
      </c>
      <c r="Q18" s="98">
        <f>O18-L18</f>
        <v>-28.181818181806591</v>
      </c>
      <c r="R18" s="99">
        <f>O18/L18</f>
        <v>0.77454545454554724</v>
      </c>
      <c r="S18" s="444"/>
      <c r="T18" s="19">
        <v>0.54930555555555605</v>
      </c>
      <c r="U18" s="19">
        <v>0.55694444444444402</v>
      </c>
      <c r="V18" s="30">
        <f>(T18-U17)*24*60</f>
        <v>104.00000000000115</v>
      </c>
      <c r="W18" s="149">
        <f t="shared" si="4"/>
        <v>10.999999999998682</v>
      </c>
      <c r="X18" s="22">
        <v>0.48611111111111099</v>
      </c>
      <c r="Y18" s="84">
        <v>0.52777777777777801</v>
      </c>
      <c r="Z18" s="90"/>
      <c r="AA18" s="90"/>
      <c r="AB18" s="409" t="s">
        <v>209</v>
      </c>
      <c r="AC18" s="409"/>
      <c r="AD18" s="92"/>
      <c r="AE18" s="92"/>
      <c r="AF18" s="307">
        <f>N18-K18</f>
        <v>-450.90909090890545</v>
      </c>
      <c r="AG18" s="72">
        <f>N18/K18</f>
        <v>0.77454545454554724</v>
      </c>
      <c r="AH18" s="405"/>
    </row>
    <row r="19" spans="1:34" ht="15" customHeight="1">
      <c r="A19" s="450"/>
      <c r="B19" s="75" t="s">
        <v>81</v>
      </c>
      <c r="C19" s="76"/>
      <c r="D19" s="59" t="s">
        <v>147</v>
      </c>
      <c r="E19" s="77"/>
      <c r="F19" s="75">
        <f>VLOOKUP(D19,廠價表!$C$1:$E$43,3,0)</f>
        <v>56.87</v>
      </c>
      <c r="G19" s="147">
        <v>2400</v>
      </c>
      <c r="H19" s="78">
        <f>F19*G19</f>
        <v>136488</v>
      </c>
      <c r="I19" s="30"/>
      <c r="J19" s="79">
        <v>15</v>
      </c>
      <c r="K19" s="80">
        <f>VLOOKUP(D19,產線配置圖!$A$3:$C$38,3,0)</f>
        <v>2118</v>
      </c>
      <c r="L19" s="81">
        <f>K19/J19</f>
        <v>141.19999999999999</v>
      </c>
      <c r="M19" s="148">
        <v>15</v>
      </c>
      <c r="N19" s="95">
        <f>G19/W19*60</f>
        <v>1999.9999999999984</v>
      </c>
      <c r="O19" s="96">
        <f>N19/M19</f>
        <v>133.33333333333323</v>
      </c>
      <c r="P19" s="97">
        <f>M19-J19</f>
        <v>0</v>
      </c>
      <c r="Q19" s="98">
        <f>O19-L19</f>
        <v>-7.8666666666667595</v>
      </c>
      <c r="R19" s="99">
        <f>O19/L19</f>
        <v>0.94428706326723255</v>
      </c>
      <c r="S19" s="444"/>
      <c r="T19" s="19">
        <v>0.56527777777777799</v>
      </c>
      <c r="U19" s="19">
        <v>0.61527777777777803</v>
      </c>
      <c r="V19" s="30">
        <f>(T19-U18)*24*60</f>
        <v>12.000000000000917</v>
      </c>
      <c r="W19" s="149">
        <f t="shared" si="4"/>
        <v>72.000000000000057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-118.00000000000159</v>
      </c>
      <c r="AG19" s="72">
        <f>N19/K19</f>
        <v>0.94428706326723244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14.75</v>
      </c>
      <c r="K26" s="155">
        <f t="shared" si="5"/>
        <v>2059</v>
      </c>
      <c r="L26" s="158">
        <f t="shared" si="5"/>
        <v>141.92500000000001</v>
      </c>
      <c r="M26" s="155">
        <f t="shared" si="5"/>
        <v>14.75</v>
      </c>
      <c r="N26" s="155">
        <f t="shared" si="5"/>
        <v>1825.0925218572756</v>
      </c>
      <c r="O26" s="158">
        <f t="shared" si="5"/>
        <v>125.76305774835487</v>
      </c>
      <c r="P26" s="159">
        <f t="shared" ref="P26:P31" si="6">M26-J26</f>
        <v>0</v>
      </c>
      <c r="Q26" s="160">
        <f t="shared" ref="Q26:Q31" si="7">O26-L26</f>
        <v>-16.161942251645144</v>
      </c>
      <c r="R26" s="161">
        <f t="shared" ref="R26:R31" si="8">O26/L26</f>
        <v>0.88612335915698337</v>
      </c>
      <c r="S26" s="445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19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-233.90747814272436</v>
      </c>
      <c r="AG26" s="124">
        <f t="shared" ref="AG26:AG31" si="10">N26/K26</f>
        <v>0.88639753368493235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113</v>
      </c>
      <c r="E27" s="132"/>
      <c r="F27" s="129">
        <f>VLOOKUP(D27,廠價表!$C$1:$E$43,3,0)</f>
        <v>57.21</v>
      </c>
      <c r="G27" s="169">
        <v>1529</v>
      </c>
      <c r="H27" s="134">
        <f>F27*G27</f>
        <v>87474.09</v>
      </c>
      <c r="I27" s="135"/>
      <c r="J27" s="136">
        <v>17</v>
      </c>
      <c r="K27" s="137">
        <v>1716</v>
      </c>
      <c r="L27" s="138">
        <f>K27/J27</f>
        <v>100.94117647058823</v>
      </c>
      <c r="M27" s="170">
        <v>17</v>
      </c>
      <c r="N27" s="140">
        <f>G27/W27*60</f>
        <v>1609.4736842104983</v>
      </c>
      <c r="O27" s="141">
        <f>N27/M27</f>
        <v>94.674922600617549</v>
      </c>
      <c r="P27" s="142">
        <f t="shared" si="6"/>
        <v>0</v>
      </c>
      <c r="Q27" s="143">
        <f t="shared" si="7"/>
        <v>-6.2662538699706829</v>
      </c>
      <c r="R27" s="144">
        <f t="shared" si="8"/>
        <v>0.93792172739539537</v>
      </c>
      <c r="S27" s="443">
        <f>R37</f>
        <v>0.85778954166968513</v>
      </c>
      <c r="T27" s="171">
        <v>0.297222222222222</v>
      </c>
      <c r="U27" s="171">
        <v>0.33680555555555602</v>
      </c>
      <c r="V27" s="135"/>
      <c r="W27" s="146">
        <f t="shared" si="4"/>
        <v>57.000000000000995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9"/>
        <v>-106.52631578950172</v>
      </c>
      <c r="AG27" s="172">
        <f t="shared" si="10"/>
        <v>0.93792172739539525</v>
      </c>
      <c r="AH27" s="403">
        <f>AG37</f>
        <v>0.81661705314963173</v>
      </c>
    </row>
    <row r="28" spans="1:34" ht="15" customHeight="1">
      <c r="A28" s="441"/>
      <c r="B28" s="75" t="s">
        <v>81</v>
      </c>
      <c r="C28" s="173"/>
      <c r="D28" s="59" t="s">
        <v>116</v>
      </c>
      <c r="E28" s="104"/>
      <c r="F28" s="75">
        <f>VLOOKUP(D28,廠價表!$C$1:$E$43,3,0)</f>
        <v>50.67</v>
      </c>
      <c r="G28" s="90">
        <v>2507</v>
      </c>
      <c r="H28" s="91">
        <f>F28*G28</f>
        <v>127029.69</v>
      </c>
      <c r="I28" s="92"/>
      <c r="J28" s="79">
        <v>16</v>
      </c>
      <c r="K28" s="80">
        <v>1716</v>
      </c>
      <c r="L28" s="93">
        <f>K28/J28</f>
        <v>107.25</v>
      </c>
      <c r="M28" s="94">
        <v>15</v>
      </c>
      <c r="N28" s="95">
        <f>G28/W28*60</f>
        <v>1489.3069306930677</v>
      </c>
      <c r="O28" s="96">
        <f>N28/M28</f>
        <v>99.28712871287118</v>
      </c>
      <c r="P28" s="97">
        <f t="shared" si="6"/>
        <v>-1</v>
      </c>
      <c r="Q28" s="98">
        <f t="shared" si="7"/>
        <v>-7.9628712871288201</v>
      </c>
      <c r="R28" s="99">
        <f t="shared" si="8"/>
        <v>0.92575411387292472</v>
      </c>
      <c r="S28" s="444"/>
      <c r="T28" s="19">
        <v>0.34236111111111101</v>
      </c>
      <c r="U28" s="19">
        <v>0.41249999999999998</v>
      </c>
      <c r="V28" s="92">
        <f>(T28-U27)*24*60</f>
        <v>7.9999999999991722</v>
      </c>
      <c r="W28" s="149">
        <f t="shared" si="4"/>
        <v>101.00000000000011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9"/>
        <v>-226.69306930693233</v>
      </c>
      <c r="AG28" s="99">
        <f t="shared" si="10"/>
        <v>0.86789448175586692</v>
      </c>
      <c r="AH28" s="404"/>
    </row>
    <row r="29" spans="1:34" ht="15" customHeight="1">
      <c r="A29" s="441"/>
      <c r="B29" s="75" t="s">
        <v>81</v>
      </c>
      <c r="C29" s="173"/>
      <c r="D29" s="59" t="s">
        <v>147</v>
      </c>
      <c r="E29" s="104"/>
      <c r="F29" s="75">
        <f>VLOOKUP(D29,廠價表!$C$1:$E$43,3,0)</f>
        <v>56.87</v>
      </c>
      <c r="G29" s="90">
        <v>2119</v>
      </c>
      <c r="H29" s="91">
        <f>F29*G29</f>
        <v>120507.53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16</v>
      </c>
      <c r="N29" s="95">
        <f>G29/W29*60</f>
        <v>1338.3157894736889</v>
      </c>
      <c r="O29" s="96">
        <f>N29/M29</f>
        <v>83.644736842105559</v>
      </c>
      <c r="P29" s="97">
        <f t="shared" si="6"/>
        <v>-1</v>
      </c>
      <c r="Q29" s="98">
        <f t="shared" si="7"/>
        <v>-17.296439628482673</v>
      </c>
      <c r="R29" s="99">
        <f t="shared" si="8"/>
        <v>0.82864832535885458</v>
      </c>
      <c r="S29" s="444"/>
      <c r="T29" s="19">
        <v>0.41875000000000001</v>
      </c>
      <c r="U29" s="19">
        <v>0.484722222222222</v>
      </c>
      <c r="V29" s="92">
        <f>(T29-U28)*24*60</f>
        <v>9.000000000000048</v>
      </c>
      <c r="W29" s="149">
        <f t="shared" si="4"/>
        <v>94.999999999999659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-377.68421052631106</v>
      </c>
      <c r="AG29" s="99">
        <f t="shared" si="10"/>
        <v>0.77990430622009843</v>
      </c>
      <c r="AH29" s="404"/>
    </row>
    <row r="30" spans="1:34" ht="15" customHeight="1">
      <c r="A30" s="441"/>
      <c r="B30" s="75" t="s">
        <v>81</v>
      </c>
      <c r="C30" s="88"/>
      <c r="D30" s="59" t="s">
        <v>113</v>
      </c>
      <c r="E30" s="89"/>
      <c r="F30" s="75">
        <f>VLOOKUP(D30,廠價表!$C$1:$E$43,3,0)</f>
        <v>57.21</v>
      </c>
      <c r="G30" s="90">
        <v>1710</v>
      </c>
      <c r="H30" s="91">
        <f>F30*G30</f>
        <v>97829.1</v>
      </c>
      <c r="I30" s="92"/>
      <c r="J30" s="79">
        <v>17</v>
      </c>
      <c r="K30" s="80">
        <v>1716</v>
      </c>
      <c r="L30" s="93">
        <f>K30/J30</f>
        <v>100.94117647058823</v>
      </c>
      <c r="M30" s="94">
        <v>16</v>
      </c>
      <c r="N30" s="95">
        <f>G30/W30*60</f>
        <v>1236.1445783132503</v>
      </c>
      <c r="O30" s="96">
        <f>N30/M30</f>
        <v>77.259036144578147</v>
      </c>
      <c r="P30" s="97">
        <f t="shared" si="6"/>
        <v>-1</v>
      </c>
      <c r="Q30" s="98">
        <f t="shared" si="7"/>
        <v>-23.682140326010085</v>
      </c>
      <c r="R30" s="99">
        <f t="shared" si="8"/>
        <v>0.76538672171202127</v>
      </c>
      <c r="S30" s="444"/>
      <c r="T30" s="19">
        <v>0.54513888888888895</v>
      </c>
      <c r="U30" s="19">
        <v>0.60277777777777797</v>
      </c>
      <c r="V30" s="92">
        <f>(T30-U29)*24*60</f>
        <v>87.000000000000412</v>
      </c>
      <c r="W30" s="149">
        <f t="shared" si="4"/>
        <v>83.000000000000185</v>
      </c>
      <c r="X30" s="174">
        <v>0.49652777777777801</v>
      </c>
      <c r="Y30" s="301">
        <v>0.53819444444444398</v>
      </c>
      <c r="Z30" s="335"/>
      <c r="AA30" s="335"/>
      <c r="AB30" s="409" t="s">
        <v>210</v>
      </c>
      <c r="AC30" s="409"/>
      <c r="AD30" s="92"/>
      <c r="AE30" s="92"/>
      <c r="AF30" s="312">
        <f t="shared" si="9"/>
        <v>-479.85542168674965</v>
      </c>
      <c r="AG30" s="99">
        <f t="shared" si="10"/>
        <v>0.72036397337601998</v>
      </c>
      <c r="AH30" s="439"/>
    </row>
    <row r="31" spans="1:34" ht="15" customHeight="1">
      <c r="A31" s="441"/>
      <c r="B31" s="75" t="s">
        <v>81</v>
      </c>
      <c r="C31" s="102"/>
      <c r="D31" s="175" t="s">
        <v>116</v>
      </c>
      <c r="E31" s="176"/>
      <c r="F31" s="75">
        <f>VLOOKUP(D31,廠價表!$C$1:$E$43,3,0)</f>
        <v>50.67</v>
      </c>
      <c r="G31" s="90">
        <v>1600</v>
      </c>
      <c r="H31" s="91">
        <f>F31*G31</f>
        <v>81072</v>
      </c>
      <c r="I31" s="92"/>
      <c r="J31" s="79">
        <v>16</v>
      </c>
      <c r="K31" s="80">
        <v>1716</v>
      </c>
      <c r="L31" s="93">
        <f>K31/J31</f>
        <v>107.25</v>
      </c>
      <c r="M31" s="94">
        <v>15</v>
      </c>
      <c r="N31" s="95">
        <f>G31/W31*60</f>
        <v>1333.3333333333353</v>
      </c>
      <c r="O31" s="96">
        <f>N31/M31</f>
        <v>88.888888888889014</v>
      </c>
      <c r="P31" s="97">
        <f t="shared" si="6"/>
        <v>-1</v>
      </c>
      <c r="Q31" s="98">
        <f t="shared" si="7"/>
        <v>-18.361111111110986</v>
      </c>
      <c r="R31" s="99">
        <f t="shared" si="8"/>
        <v>0.82880082880082995</v>
      </c>
      <c r="S31" s="444"/>
      <c r="T31" s="19">
        <v>0.60972222222222205</v>
      </c>
      <c r="U31" s="19">
        <v>0.65972222222222199</v>
      </c>
      <c r="V31" s="92"/>
      <c r="W31" s="149">
        <f t="shared" si="4"/>
        <v>71.999999999999901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-382.6666666666647</v>
      </c>
      <c r="AG31" s="99">
        <f t="shared" si="10"/>
        <v>0.77700077700077819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16.600000000000001</v>
      </c>
      <c r="K37" s="155">
        <f t="shared" si="11"/>
        <v>1716</v>
      </c>
      <c r="L37" s="158">
        <f t="shared" si="11"/>
        <v>103.46470588235293</v>
      </c>
      <c r="M37" s="155">
        <f t="shared" si="11"/>
        <v>15.8</v>
      </c>
      <c r="N37" s="155">
        <f t="shared" si="11"/>
        <v>1401.314863204768</v>
      </c>
      <c r="O37" s="158">
        <f t="shared" si="11"/>
        <v>88.750942637812301</v>
      </c>
      <c r="P37" s="159">
        <f>M37-J37</f>
        <v>-0.80000000000000071</v>
      </c>
      <c r="Q37" s="160">
        <f>N37-K37</f>
        <v>-314.68513679523198</v>
      </c>
      <c r="R37" s="161">
        <f>O37/L37</f>
        <v>0.85778954166968513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-314.68513679523198</v>
      </c>
      <c r="AG37" s="124">
        <f>N37/K37</f>
        <v>0.81661705314963173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2508</v>
      </c>
      <c r="H38" s="134">
        <f>F38*G38</f>
        <v>125174.27999999998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1583.9999999999802</v>
      </c>
      <c r="O38" s="141">
        <f>N38/M38</f>
        <v>105.59999999999869</v>
      </c>
      <c r="P38" s="142">
        <f>M38-J38</f>
        <v>0</v>
      </c>
      <c r="Q38" s="143">
        <f>O38-L38</f>
        <v>-8.6666666666679788</v>
      </c>
      <c r="R38" s="144">
        <f>O38/L38</f>
        <v>0.92415402567093363</v>
      </c>
      <c r="S38" s="433">
        <f>R48</f>
        <v>0.94455641182431904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-130.00000000001978</v>
      </c>
      <c r="AG38" s="195">
        <f>N38/K38</f>
        <v>0.92415402567093363</v>
      </c>
      <c r="AH38" s="436">
        <f>AG48</f>
        <v>0.91161148209074727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3205</v>
      </c>
      <c r="H39" s="91">
        <f>F39*G39</f>
        <v>141981.5</v>
      </c>
      <c r="I39" s="200"/>
      <c r="J39" s="148">
        <f>VLOOKUP(D39,產線配置圖!$A$3:$C$38,2,0)</f>
        <v>18</v>
      </c>
      <c r="K39" s="95">
        <f>VLOOKUP(D39,產線配置圖!$A$3:$C$38,3,0)</f>
        <v>1565</v>
      </c>
      <c r="L39" s="96">
        <f>K39/J39</f>
        <v>86.944444444444443</v>
      </c>
      <c r="M39" s="201">
        <v>17</v>
      </c>
      <c r="N39" s="202">
        <f>G39/W39*60</f>
        <v>1424.4444444444443</v>
      </c>
      <c r="O39" s="203">
        <f>N39/M39</f>
        <v>83.790849673202615</v>
      </c>
      <c r="P39" s="97">
        <f>M39-J39</f>
        <v>-1</v>
      </c>
      <c r="Q39" s="98">
        <f>O39-L39</f>
        <v>-3.1535947712418277</v>
      </c>
      <c r="R39" s="99">
        <f>O39/L39</f>
        <v>0.96372862243939117</v>
      </c>
      <c r="S39" s="434"/>
      <c r="T39" s="20">
        <v>0.40625</v>
      </c>
      <c r="U39" s="20">
        <v>0.5</v>
      </c>
      <c r="V39" s="92">
        <f>(T39-U38)*24*60</f>
        <v>9.999999999999325</v>
      </c>
      <c r="W39" s="205">
        <f t="shared" si="4"/>
        <v>135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-140.55555555555566</v>
      </c>
      <c r="AG39" s="206">
        <f>N39/K39</f>
        <v>0.91018814341498044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2979</v>
      </c>
      <c r="H40" s="91">
        <f>F40*G40</f>
        <v>131969.69999999998</v>
      </c>
      <c r="I40" s="200"/>
      <c r="J40" s="148">
        <f>VLOOKUP(D40,產線配置圖!$A$3:$C$38,2,0)</f>
        <v>18</v>
      </c>
      <c r="K40" s="95">
        <f>VLOOKUP(D40,產線配置圖!$A$3:$C$38,3,0)</f>
        <v>1565</v>
      </c>
      <c r="L40" s="96">
        <f>K40/J40</f>
        <v>86.944444444444443</v>
      </c>
      <c r="M40" s="201">
        <v>17</v>
      </c>
      <c r="N40" s="202">
        <f>G40/W40*60</f>
        <v>1407.4015748031563</v>
      </c>
      <c r="O40" s="203">
        <f>N40/M40</f>
        <v>82.788327929597429</v>
      </c>
      <c r="P40" s="97">
        <f>M40-J40</f>
        <v>-1</v>
      </c>
      <c r="Q40" s="98">
        <f>O40-L40</f>
        <v>-4.1561165148470138</v>
      </c>
      <c r="R40" s="99">
        <f>O40/L40</f>
        <v>0.95219802091549766</v>
      </c>
      <c r="S40" s="416"/>
      <c r="T40" s="20">
        <v>0.55902777777777801</v>
      </c>
      <c r="U40" s="20">
        <v>0.64722222222222203</v>
      </c>
      <c r="V40" s="92">
        <f>(T40-U39)*24*60</f>
        <v>85.000000000000341</v>
      </c>
      <c r="W40" s="205">
        <f t="shared" si="4"/>
        <v>126.99999999999939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-157.59842519684366</v>
      </c>
      <c r="AG40" s="206">
        <f>N40/K40</f>
        <v>0.89929813086463661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ref="W43:W48" si="12">(U43-T43)*24*60</f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3">AVERAGE(J38:J47)</f>
        <v>17</v>
      </c>
      <c r="K48" s="155">
        <f t="shared" si="13"/>
        <v>1614.6666666666667</v>
      </c>
      <c r="L48" s="158">
        <f t="shared" si="13"/>
        <v>96.05185185185185</v>
      </c>
      <c r="M48" s="155">
        <f t="shared" si="13"/>
        <v>16.333333333333332</v>
      </c>
      <c r="N48" s="155">
        <f t="shared" si="13"/>
        <v>1471.9486730825267</v>
      </c>
      <c r="O48" s="158">
        <f t="shared" si="13"/>
        <v>90.726392534266253</v>
      </c>
      <c r="P48" s="221">
        <f>M48-J48</f>
        <v>-0.66666666666666785</v>
      </c>
      <c r="Q48" s="222">
        <f>N48-K48</f>
        <v>-142.71799358414</v>
      </c>
      <c r="R48" s="223">
        <f>O48/L48</f>
        <v>0.94455641182431904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4">N48-K48</f>
        <v>-142.71799358414</v>
      </c>
      <c r="AG48" s="162">
        <f t="shared" ref="AG48:AG53" si="15">N48/K48</f>
        <v>0.91161148209074727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2568</v>
      </c>
      <c r="H49" s="134">
        <f>F49*G49</f>
        <v>127167.36000000002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1375.7142857142817</v>
      </c>
      <c r="O49" s="141">
        <f>N49/M49</f>
        <v>80.924369747898922</v>
      </c>
      <c r="P49" s="229">
        <f>M49-J49</f>
        <v>0</v>
      </c>
      <c r="Q49" s="230">
        <f>O49-L49</f>
        <v>-7.3109243697481361</v>
      </c>
      <c r="R49" s="52">
        <f>O49/L49</f>
        <v>0.91714285714285448</v>
      </c>
      <c r="S49" s="415">
        <f>R58</f>
        <v>0.90765598259723101</v>
      </c>
      <c r="T49" s="191">
        <v>0.29027777777777802</v>
      </c>
      <c r="U49" s="191">
        <v>0.36805555555555602</v>
      </c>
      <c r="V49" s="55"/>
      <c r="W49" s="193">
        <f t="shared" si="4"/>
        <v>112.00000000000033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4"/>
        <v>-124.28571428571831</v>
      </c>
      <c r="AG49" s="52">
        <f t="shared" si="15"/>
        <v>0.91714285714285448</v>
      </c>
      <c r="AH49" s="403">
        <f>AG58</f>
        <v>0.90848266029877389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4584</v>
      </c>
      <c r="H50" s="231">
        <f>F50*G50</f>
        <v>229062.47999999998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1697.7777777777781</v>
      </c>
      <c r="O50" s="235">
        <f>N50/M50</f>
        <v>106.11111111111113</v>
      </c>
      <c r="P50" s="74">
        <f>M50-J50</f>
        <v>0</v>
      </c>
      <c r="Q50" s="83">
        <f>O50-L50</f>
        <v>-6.3888888888888715</v>
      </c>
      <c r="R50" s="72">
        <f>O50/L50</f>
        <v>0.94320987654320998</v>
      </c>
      <c r="S50" s="416"/>
      <c r="T50" s="21">
        <v>0.37361111111111101</v>
      </c>
      <c r="U50" s="21">
        <v>0.48611111111111099</v>
      </c>
      <c r="V50" s="30">
        <f>(T50-U49)*24*60</f>
        <v>7.9999999999991722</v>
      </c>
      <c r="W50" s="236">
        <f t="shared" si="4"/>
        <v>161.99999999999997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4"/>
        <v>-102.22222222222194</v>
      </c>
      <c r="AG50" s="72">
        <f t="shared" si="15"/>
        <v>0.94320987654320998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1742</v>
      </c>
      <c r="H51" s="231">
        <f>F51*G51</f>
        <v>87047.74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1633.1249999999773</v>
      </c>
      <c r="O51" s="235">
        <f>N51/M51</f>
        <v>102.07031249999858</v>
      </c>
      <c r="P51" s="74">
        <f>M51-J51</f>
        <v>0</v>
      </c>
      <c r="Q51" s="83">
        <f>O51-L51</f>
        <v>-10.429687500001421</v>
      </c>
      <c r="R51" s="72">
        <f>O51/L51</f>
        <v>0.90729166666665406</v>
      </c>
      <c r="S51" s="416"/>
      <c r="T51" s="21">
        <v>0.54236111111111096</v>
      </c>
      <c r="U51" s="21">
        <v>0.58680555555555602</v>
      </c>
      <c r="V51" s="30">
        <f>(T51-U50)*24*60</f>
        <v>80.999999999999957</v>
      </c>
      <c r="W51" s="236">
        <f t="shared" si="4"/>
        <v>64.000000000000895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4"/>
        <v>-166.87500000002274</v>
      </c>
      <c r="AG51" s="72">
        <f t="shared" si="15"/>
        <v>0.90729166666665406</v>
      </c>
      <c r="AH51" s="405"/>
    </row>
    <row r="52" spans="1:34" ht="15" customHeight="1">
      <c r="A52" s="428"/>
      <c r="B52" s="101" t="s">
        <v>118</v>
      </c>
      <c r="C52" s="102"/>
      <c r="D52" s="103" t="s">
        <v>123</v>
      </c>
      <c r="E52" s="104"/>
      <c r="F52" s="75">
        <f>VLOOKUP(D52,廠價表!$C$1:$E$43,3,0)</f>
        <v>49.91</v>
      </c>
      <c r="G52" s="202">
        <v>915</v>
      </c>
      <c r="H52" s="231">
        <f>F52*G52</f>
        <v>45667.649999999994</v>
      </c>
      <c r="I52" s="232"/>
      <c r="J52" s="79">
        <f>VLOOKUP(D52,產線配置圖!$A$3:$C$38,2,0)</f>
        <v>15</v>
      </c>
      <c r="K52" s="80">
        <f>VLOOKUP(D52,產線配置圖!$A$3:$C$38,3,0)</f>
        <v>1714</v>
      </c>
      <c r="L52" s="81">
        <f>K52/J52</f>
        <v>114.26666666666667</v>
      </c>
      <c r="M52" s="108">
        <v>15</v>
      </c>
      <c r="N52" s="234">
        <f>G52/W52*60</f>
        <v>1483.7837837838083</v>
      </c>
      <c r="O52" s="235">
        <f>N52/M52</f>
        <v>98.918918918920554</v>
      </c>
      <c r="P52" s="74">
        <f>M52-J52</f>
        <v>0</v>
      </c>
      <c r="Q52" s="83">
        <f>O52-L52</f>
        <v>-15.347747747746112</v>
      </c>
      <c r="R52" s="72">
        <f>O52/L52</f>
        <v>0.86568482134411218</v>
      </c>
      <c r="S52" s="416"/>
      <c r="T52" s="21">
        <v>0.59027777777777801</v>
      </c>
      <c r="U52" s="21">
        <v>0.61597222222222203</v>
      </c>
      <c r="V52" s="30">
        <f>(T52-U51)*24*60</f>
        <v>4.9999999999996625</v>
      </c>
      <c r="W52" s="236">
        <f t="shared" si="4"/>
        <v>36.999999999999389</v>
      </c>
      <c r="X52" s="22">
        <v>0.47916666666666702</v>
      </c>
      <c r="Y52" s="84">
        <v>0.52083333333333304</v>
      </c>
      <c r="Z52" s="90"/>
      <c r="AA52" s="90"/>
      <c r="AB52" s="409"/>
      <c r="AC52" s="409"/>
      <c r="AD52" s="92"/>
      <c r="AE52" s="92"/>
      <c r="AF52" s="307">
        <f t="shared" si="14"/>
        <v>-230.2162162161917</v>
      </c>
      <c r="AG52" s="72">
        <f t="shared" si="15"/>
        <v>0.86568482134411218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4"/>
        <v>0</v>
      </c>
      <c r="AG53" s="72" t="e">
        <f t="shared" si="15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6">AVERAGE(J49:J57)</f>
        <v>16</v>
      </c>
      <c r="K58" s="120">
        <f t="shared" si="16"/>
        <v>1703.5</v>
      </c>
      <c r="L58" s="117">
        <f t="shared" si="16"/>
        <v>106.87549019607843</v>
      </c>
      <c r="M58" s="120">
        <f t="shared" si="16"/>
        <v>16</v>
      </c>
      <c r="N58" s="120">
        <f t="shared" si="16"/>
        <v>1547.6002118189613</v>
      </c>
      <c r="O58" s="117">
        <f t="shared" si="16"/>
        <v>97.006178069482303</v>
      </c>
      <c r="P58" s="121">
        <f>M58-J58</f>
        <v>0</v>
      </c>
      <c r="Q58" s="122">
        <f>N58-K58</f>
        <v>-155.89978818103873</v>
      </c>
      <c r="R58" s="123">
        <f t="shared" ref="R58:R63" si="17">O58/L58</f>
        <v>0.90765598259723101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-155.89978818103873</v>
      </c>
      <c r="AG58" s="124">
        <f>N58/K58</f>
        <v>0.90848266029877389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2661</v>
      </c>
      <c r="H59" s="243">
        <f>F59*G59</f>
        <v>71820.39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>K59/J59</f>
        <v>120.38461538461539</v>
      </c>
      <c r="M59" s="244">
        <v>13</v>
      </c>
      <c r="N59" s="137">
        <f>G59/W59*60</f>
        <v>1451.4545454545432</v>
      </c>
      <c r="O59" s="138">
        <f>N59/M59</f>
        <v>111.65034965034948</v>
      </c>
      <c r="P59" s="56">
        <f>M59-J59</f>
        <v>0</v>
      </c>
      <c r="Q59" s="230">
        <f>O59-L59</f>
        <v>-8.7342657342659038</v>
      </c>
      <c r="R59" s="52">
        <f t="shared" si="17"/>
        <v>0.92744699390066665</v>
      </c>
      <c r="S59" s="415">
        <f>R69</f>
        <v>0.8342211264570214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-113.54545454545678</v>
      </c>
      <c r="AG59" s="246">
        <f>N59/K59</f>
        <v>0.92744699390066665</v>
      </c>
      <c r="AH59" s="403">
        <f>AG69</f>
        <v>0.90224944799513895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1845</v>
      </c>
      <c r="H60" s="78">
        <f>F60*G60</f>
        <v>52139.700000000004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1383.7500000000146</v>
      </c>
      <c r="O60" s="81">
        <f>N60/M60</f>
        <v>125.79545454545587</v>
      </c>
      <c r="P60" s="74">
        <f>M60-J60</f>
        <v>-1</v>
      </c>
      <c r="Q60" s="83">
        <f>O60-L60</f>
        <v>-4.6212121212107888</v>
      </c>
      <c r="R60" s="72">
        <f t="shared" si="17"/>
        <v>0.96456578565205786</v>
      </c>
      <c r="S60" s="425"/>
      <c r="T60" s="22">
        <v>0.38541666666666702</v>
      </c>
      <c r="U60" s="22">
        <v>0.44097222222222199</v>
      </c>
      <c r="V60" s="30">
        <f>(T60-U59)*24*60</f>
        <v>24.999999999999829</v>
      </c>
      <c r="W60" s="248">
        <f t="shared" si="4"/>
        <v>79.999999999999162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-181.24999999998545</v>
      </c>
      <c r="AG60" s="249">
        <f>N60/K60</f>
        <v>0.88418530351438629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1670</v>
      </c>
      <c r="H61" s="254">
        <f>F61*G61</f>
        <v>47194.200000000004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>K61/J61</f>
        <v>181.77777777777777</v>
      </c>
      <c r="M61" s="108">
        <v>11</v>
      </c>
      <c r="N61" s="107">
        <f>G61/W61*60</f>
        <v>1431.428571428575</v>
      </c>
      <c r="O61" s="238">
        <f>N61/M61</f>
        <v>130.12987012987045</v>
      </c>
      <c r="P61" s="111">
        <f>M61-J61</f>
        <v>2</v>
      </c>
      <c r="Q61" s="255">
        <f>O61-L61</f>
        <v>-51.647907647907317</v>
      </c>
      <c r="R61" s="85">
        <f t="shared" si="17"/>
        <v>0.71587336868510643</v>
      </c>
      <c r="S61" s="416"/>
      <c r="T61" s="22">
        <v>0.44791666666666702</v>
      </c>
      <c r="U61" s="22">
        <v>0.49652777777777801</v>
      </c>
      <c r="V61" s="30">
        <f>(T61-U60)*24*60</f>
        <v>10.000000000000844</v>
      </c>
      <c r="W61" s="256">
        <f t="shared" si="4"/>
        <v>69.999999999999829</v>
      </c>
      <c r="X61" s="22"/>
      <c r="Y61" s="84"/>
      <c r="Z61" s="90"/>
      <c r="AA61" s="90"/>
      <c r="AB61" s="409" t="s">
        <v>172</v>
      </c>
      <c r="AC61" s="409"/>
      <c r="AD61" s="92"/>
      <c r="AE61" s="92"/>
      <c r="AF61" s="317">
        <f>N61-K61</f>
        <v>-204.57142857142503</v>
      </c>
      <c r="AG61" s="247">
        <f>N61/K61</f>
        <v>0.87495633950401897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2089</v>
      </c>
      <c r="H62" s="254">
        <f>F62*G62</f>
        <v>59035.140000000007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11</v>
      </c>
      <c r="N62" s="107">
        <f>G62/W62*60</f>
        <v>1474.5882352941148</v>
      </c>
      <c r="O62" s="238">
        <f>N62/M62</f>
        <v>134.05347593582863</v>
      </c>
      <c r="P62" s="111">
        <f>M62-J62</f>
        <v>2</v>
      </c>
      <c r="Q62" s="255">
        <f>O62-L62</f>
        <v>-47.724301841949142</v>
      </c>
      <c r="R62" s="85">
        <f t="shared" si="17"/>
        <v>0.73745799720199123</v>
      </c>
      <c r="S62" s="416"/>
      <c r="T62" s="22">
        <v>0.54861111111111105</v>
      </c>
      <c r="U62" s="22">
        <v>0.60763888888888895</v>
      </c>
      <c r="V62" s="30"/>
      <c r="W62" s="248">
        <f t="shared" si="4"/>
        <v>85.000000000000171</v>
      </c>
      <c r="X62" s="22">
        <v>0.50347222222222199</v>
      </c>
      <c r="Y62" s="84">
        <v>0.54513888888888895</v>
      </c>
      <c r="Z62" s="90"/>
      <c r="AA62" s="90"/>
      <c r="AB62" s="409" t="s">
        <v>172</v>
      </c>
      <c r="AC62" s="409"/>
      <c r="AD62" s="92"/>
      <c r="AE62" s="92"/>
      <c r="AF62" s="317">
        <f>N62-K62</f>
        <v>-161.41176470588516</v>
      </c>
      <c r="AG62" s="247">
        <f>N62/K62</f>
        <v>0.90133755213576705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1447</v>
      </c>
      <c r="H63" s="254">
        <f>F63*G63</f>
        <v>39054.53</v>
      </c>
      <c r="I63" s="260"/>
      <c r="J63" s="106">
        <f>VLOOKUP(D63,產線配置圖!$A$3:$C$38,2,0)</f>
        <v>13</v>
      </c>
      <c r="K63" s="107">
        <f>VLOOKUP(D63,產線配置圖!$A$3:$C$38,3,0)</f>
        <v>1565</v>
      </c>
      <c r="L63" s="238">
        <f>K63/J63</f>
        <v>120.38461538461539</v>
      </c>
      <c r="M63" s="68">
        <v>13</v>
      </c>
      <c r="N63" s="107">
        <f>G63/W63*60</f>
        <v>1447.0000000000243</v>
      </c>
      <c r="O63" s="238">
        <f>N63/M63</f>
        <v>111.30769230769418</v>
      </c>
      <c r="P63" s="111">
        <f>M63-J63</f>
        <v>0</v>
      </c>
      <c r="Q63" s="255">
        <f>O63-L63</f>
        <v>-9.0769230769212044</v>
      </c>
      <c r="R63" s="85">
        <f t="shared" si="17"/>
        <v>0.92460063897765132</v>
      </c>
      <c r="S63" s="416"/>
      <c r="T63" s="22">
        <v>0.61805555555555602</v>
      </c>
      <c r="U63" s="22">
        <v>0.65972222222222199</v>
      </c>
      <c r="V63" s="30"/>
      <c r="W63" s="248">
        <f t="shared" si="4"/>
        <v>59.999999999998991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8">AVERAGE(J59:J68)</f>
        <v>11.2</v>
      </c>
      <c r="K69" s="240">
        <f t="shared" si="18"/>
        <v>1593.4</v>
      </c>
      <c r="L69" s="268">
        <f t="shared" si="18"/>
        <v>146.94829059829061</v>
      </c>
      <c r="M69" s="240">
        <f t="shared" si="18"/>
        <v>11.8</v>
      </c>
      <c r="N69" s="240">
        <f t="shared" si="18"/>
        <v>1437.6442704354545</v>
      </c>
      <c r="O69" s="268">
        <f t="shared" si="18"/>
        <v>122.58736851383972</v>
      </c>
      <c r="P69" s="269">
        <f>M69-J69</f>
        <v>0.60000000000000142</v>
      </c>
      <c r="Q69" s="222">
        <f>N69-K69</f>
        <v>-155.75572956454562</v>
      </c>
      <c r="R69" s="123">
        <f>O69/L69</f>
        <v>0.8342211264570214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-155.75572956454562</v>
      </c>
      <c r="AG69" s="124">
        <f>N69/K69</f>
        <v>0.90224944799513895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2488</v>
      </c>
      <c r="H70" s="243">
        <f>F70*G70</f>
        <v>126066.96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13</v>
      </c>
      <c r="N70" s="137">
        <f>G70/W70*60</f>
        <v>1194.2400000000082</v>
      </c>
      <c r="O70" s="138">
        <f>N70/M70</f>
        <v>91.864615384616016</v>
      </c>
      <c r="P70" s="56">
        <f>M70-J70</f>
        <v>0</v>
      </c>
      <c r="Q70" s="230">
        <f>O70-L70</f>
        <v>-18.904615384614758</v>
      </c>
      <c r="R70" s="52">
        <f>O70/L70</f>
        <v>0.82933333333333903</v>
      </c>
      <c r="S70" s="415">
        <f>R79</f>
        <v>0.82933333333333903</v>
      </c>
      <c r="T70" s="245">
        <v>0.33680555555555602</v>
      </c>
      <c r="U70" s="245">
        <v>0.42361111111111099</v>
      </c>
      <c r="V70" s="55"/>
      <c r="W70" s="54">
        <f t="shared" si="4"/>
        <v>124.99999999999916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-245.75999999999181</v>
      </c>
      <c r="AG70" s="246">
        <f>N70/K70</f>
        <v>0.82933333333333903</v>
      </c>
      <c r="AH70" s="403">
        <f>AG79</f>
        <v>0.82933333333333903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19">AVERAGE(J70:J78)</f>
        <v>13</v>
      </c>
      <c r="K79" s="240">
        <f t="shared" si="19"/>
        <v>1440</v>
      </c>
      <c r="L79" s="268">
        <f t="shared" si="19"/>
        <v>110.76923076923077</v>
      </c>
      <c r="M79" s="240">
        <f t="shared" si="19"/>
        <v>13</v>
      </c>
      <c r="N79" s="240">
        <f t="shared" si="19"/>
        <v>1194.2400000000082</v>
      </c>
      <c r="O79" s="268">
        <f t="shared" si="19"/>
        <v>91.864615384616016</v>
      </c>
      <c r="P79" s="269">
        <f>M79-J79</f>
        <v>0</v>
      </c>
      <c r="Q79" s="222">
        <f>N79-K79</f>
        <v>-245.75999999999181</v>
      </c>
      <c r="R79" s="223">
        <f>O79/L79</f>
        <v>0.82933333333333903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-245.75999999999181</v>
      </c>
      <c r="AG79" s="124">
        <f>N79/K79</f>
        <v>0.82933333333333903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5:A15"/>
    <mergeCell ref="S5:S15"/>
    <mergeCell ref="AB5:AC5"/>
    <mergeCell ref="D15:E15"/>
    <mergeCell ref="A16:A26"/>
    <mergeCell ref="S16:S26"/>
    <mergeCell ref="AB16:AC16"/>
    <mergeCell ref="D26:E26"/>
    <mergeCell ref="AB26:AC26"/>
    <mergeCell ref="AB14:AC14"/>
    <mergeCell ref="I3:I4"/>
    <mergeCell ref="P1:S2"/>
    <mergeCell ref="T1:Y2"/>
    <mergeCell ref="AB1:AC2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AB15:AC15"/>
    <mergeCell ref="AB8:AC8"/>
    <mergeCell ref="AB9:AC9"/>
    <mergeCell ref="AB10:AC10"/>
    <mergeCell ref="AB11:AC11"/>
    <mergeCell ref="AB12:AC12"/>
    <mergeCell ref="AB13:AC13"/>
    <mergeCell ref="A2:B2"/>
    <mergeCell ref="A3:A4"/>
    <mergeCell ref="B3:B4"/>
    <mergeCell ref="D3:E4"/>
    <mergeCell ref="F3:F4"/>
    <mergeCell ref="AF1:AH2"/>
    <mergeCell ref="J3:J4"/>
    <mergeCell ref="K3:K4"/>
    <mergeCell ref="L3:L4"/>
    <mergeCell ref="M3:M4"/>
    <mergeCell ref="AG3:AG4"/>
    <mergeCell ref="AH3:AH4"/>
    <mergeCell ref="G3:G4"/>
    <mergeCell ref="J1:L2"/>
    <mergeCell ref="M1:O2"/>
    <mergeCell ref="AD3:AE3"/>
    <mergeCell ref="AF3:AF4"/>
    <mergeCell ref="N3:N4"/>
    <mergeCell ref="O3:O4"/>
    <mergeCell ref="P3:P4"/>
    <mergeCell ref="Q3:Q4"/>
    <mergeCell ref="R3:R4"/>
    <mergeCell ref="S3:S4"/>
    <mergeCell ref="H3:H4"/>
  </mergeCells>
  <phoneticPr fontId="0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F09D3-C297-4070-9B77-85E0F066A44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2C92-6D99-496F-9B6E-B2D2CB5ECBB0}">
  <dimension ref="B1:O26"/>
  <sheetViews>
    <sheetView topLeftCell="A2" zoomScale="70" zoomScaleNormal="70" workbookViewId="0">
      <selection activeCell="J71" sqref="J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46133</v>
      </c>
      <c r="E3" s="399"/>
      <c r="F3" s="3" t="s">
        <v>72</v>
      </c>
      <c r="G3" s="400">
        <f>'0421'!E1</f>
        <v>66926</v>
      </c>
      <c r="H3" s="400"/>
      <c r="I3" s="3" t="s">
        <v>2</v>
      </c>
      <c r="J3" s="401">
        <f>'0421'!G1</f>
        <v>3203982.9509999994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120.49354815799667</v>
      </c>
      <c r="G6" s="397"/>
      <c r="H6" s="382">
        <f>AVERAGE(D13:H13)</f>
        <v>118.53455216189039</v>
      </c>
      <c r="I6" s="382"/>
      <c r="J6" s="382">
        <f>AVERAGE(I13)</f>
        <v>130.28852813852816</v>
      </c>
      <c r="K6" s="382"/>
      <c r="L6" s="383">
        <f>SUM(D18:J18)</f>
        <v>31</v>
      </c>
      <c r="M6" s="385">
        <f>SUM(D19:J19)</f>
        <v>104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106.74038514590563</v>
      </c>
      <c r="G7" s="389"/>
      <c r="H7" s="390">
        <f>AVERAGE(D14:H14)</f>
        <v>104.66738927007694</v>
      </c>
      <c r="I7" s="390"/>
      <c r="J7" s="390">
        <f>AVERAGE(I14)</f>
        <v>117.10536452504917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0.88585975579325416</v>
      </c>
      <c r="G8" s="374"/>
      <c r="H8" s="374">
        <f>H7/H6</f>
        <v>0.88301163973797148</v>
      </c>
      <c r="I8" s="374"/>
      <c r="J8" s="374">
        <f>J7/J6</f>
        <v>0.89881562251235114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VALUE('0421'!L15)</f>
        <v>138.05333333333334</v>
      </c>
      <c r="E13" s="13">
        <f>VALUE('0421'!L26)</f>
        <v>158.09128205128204</v>
      </c>
      <c r="F13" s="13">
        <f>VALUE('0421'!L37)</f>
        <v>86.944444444444443</v>
      </c>
      <c r="G13" s="13">
        <f>VALUE('0421'!L48)</f>
        <v>106.03958333333333</v>
      </c>
      <c r="H13" s="13">
        <f>VALUE('0421'!L58)</f>
        <v>103.54411764705883</v>
      </c>
      <c r="I13" s="13">
        <f>VALUE('0421'!L69)</f>
        <v>130.28852813852816</v>
      </c>
      <c r="J13" s="13">
        <f>'0421'!L79</f>
        <v>99.551617228087821</v>
      </c>
    </row>
    <row r="14" spans="2:15" ht="39.950000000000003" customHeight="1">
      <c r="B14" s="368"/>
      <c r="C14" s="12" t="s">
        <v>100</v>
      </c>
      <c r="D14" s="13">
        <f>VALUE('0421'!O15)</f>
        <v>129.17682984079127</v>
      </c>
      <c r="E14" s="13">
        <f>VALUE('0421'!O26)</f>
        <v>144.33350954463629</v>
      </c>
      <c r="F14" s="13">
        <f>VALUE('0421'!O37)</f>
        <v>62.672049586152831</v>
      </c>
      <c r="G14" s="13">
        <f>VALUE('0421'!O48)</f>
        <v>94.390750313282766</v>
      </c>
      <c r="H14" s="13">
        <f>VALUE('0421'!O58)</f>
        <v>92.763807065521547</v>
      </c>
      <c r="I14" s="13">
        <f>VALUE('0421'!O69)</f>
        <v>117.10536452504917</v>
      </c>
      <c r="J14" s="13">
        <f>'0421'!O79</f>
        <v>71.899155002129604</v>
      </c>
    </row>
    <row r="15" spans="2:15" ht="39.950000000000003" customHeight="1">
      <c r="B15" s="369"/>
      <c r="C15" s="10" t="s">
        <v>26</v>
      </c>
      <c r="D15" s="14">
        <f t="shared" ref="D15:I15" si="1">D14/D13</f>
        <v>0.93570236025297904</v>
      </c>
      <c r="E15" s="14">
        <f t="shared" si="1"/>
        <v>0.91297576736595143</v>
      </c>
      <c r="F15" s="14">
        <f t="shared" si="1"/>
        <v>0.72082868533594313</v>
      </c>
      <c r="G15" s="14">
        <f t="shared" si="1"/>
        <v>0.89014637125239648</v>
      </c>
      <c r="H15" s="14">
        <f t="shared" si="1"/>
        <v>0.89588678887309547</v>
      </c>
      <c r="I15" s="14">
        <f t="shared" si="1"/>
        <v>0.89881562251235114</v>
      </c>
      <c r="J15" s="15">
        <f>'0421'!S70</f>
        <v>0.72222990448661184</v>
      </c>
    </row>
    <row r="16" spans="2:15" ht="17.25" customHeight="1">
      <c r="B16" s="370" t="s">
        <v>101</v>
      </c>
      <c r="C16" s="10" t="s">
        <v>34</v>
      </c>
      <c r="D16" s="16">
        <f>'0421'!T5</f>
        <v>0.29166666666666702</v>
      </c>
      <c r="E16" s="16">
        <f>'0421'!T16</f>
        <v>0.29097222222222202</v>
      </c>
      <c r="F16" s="16">
        <f>'0421'!T27</f>
        <v>0.34027777777777801</v>
      </c>
      <c r="G16" s="16">
        <f>'0421'!T38</f>
        <v>0.33333333333333298</v>
      </c>
      <c r="H16" s="16">
        <f>'0421'!T49</f>
        <v>0.29166666666666702</v>
      </c>
      <c r="I16" s="16">
        <f>'0421'!T59</f>
        <v>0.29166666666666702</v>
      </c>
      <c r="J16" s="16">
        <f>'0421'!T70</f>
        <v>0.33333333333333298</v>
      </c>
    </row>
    <row r="17" spans="2:10" ht="17.25" customHeight="1">
      <c r="B17" s="371"/>
      <c r="C17" s="10" t="s">
        <v>35</v>
      </c>
      <c r="D17" s="22">
        <v>0.64027777777777795</v>
      </c>
      <c r="E17" s="19">
        <v>0.65208333333333302</v>
      </c>
      <c r="F17" s="19">
        <v>0.69652777777777797</v>
      </c>
      <c r="G17" s="210">
        <v>0.68055555555555602</v>
      </c>
      <c r="H17" s="21">
        <v>0.64236111111111105</v>
      </c>
      <c r="I17" s="22">
        <v>0.63541666666666696</v>
      </c>
      <c r="J17" s="22">
        <v>0.68055555555555602</v>
      </c>
    </row>
    <row r="18" spans="2:10" ht="17.25" customHeight="1">
      <c r="B18" s="372" t="s">
        <v>102</v>
      </c>
      <c r="C18" s="330" t="s">
        <v>36</v>
      </c>
      <c r="D18" s="358">
        <f>'0421'!Z15</f>
        <v>0</v>
      </c>
      <c r="E18" s="359">
        <f>'0421'!Z26</f>
        <v>1</v>
      </c>
      <c r="F18" s="359">
        <f>'0421'!Z37</f>
        <v>6</v>
      </c>
      <c r="G18" s="360">
        <f>'0421'!Z48</f>
        <v>0</v>
      </c>
      <c r="H18" s="360">
        <f>'0421'!Z58</f>
        <v>0</v>
      </c>
      <c r="I18" s="359">
        <f>'0421'!Z69</f>
        <v>0</v>
      </c>
      <c r="J18" s="359">
        <f>'0421'!AA79</f>
        <v>24</v>
      </c>
    </row>
    <row r="19" spans="2:10" ht="17.25" customHeight="1">
      <c r="B19" s="373"/>
      <c r="C19" s="330" t="s">
        <v>37</v>
      </c>
      <c r="D19" s="358">
        <f>'0421'!AA15</f>
        <v>0</v>
      </c>
      <c r="E19" s="359">
        <f>'0421'!AA26</f>
        <v>14</v>
      </c>
      <c r="F19" s="359">
        <f>'0421'!AA37</f>
        <v>90</v>
      </c>
      <c r="G19" s="360">
        <f>'0421'!AA48</f>
        <v>0</v>
      </c>
      <c r="H19" s="360">
        <f>'0421'!AA58</f>
        <v>0</v>
      </c>
      <c r="I19" s="359">
        <f>'0421'!AA69</f>
        <v>0</v>
      </c>
      <c r="J19" s="359">
        <f>'0421'!AB79</f>
        <v>0</v>
      </c>
    </row>
    <row r="20" spans="2:10" ht="17.25" customHeight="1">
      <c r="B20" s="372" t="s">
        <v>103</v>
      </c>
      <c r="C20" s="330" t="s">
        <v>36</v>
      </c>
      <c r="D20" s="358">
        <f>'0421'!AD15</f>
        <v>0</v>
      </c>
      <c r="E20" s="359">
        <f>'0421'!AD26</f>
        <v>0</v>
      </c>
      <c r="F20" s="359">
        <f>'0421'!AD37</f>
        <v>0</v>
      </c>
      <c r="G20" s="360">
        <f>'0421'!AD48</f>
        <v>0</v>
      </c>
      <c r="H20" s="360">
        <f>'0421'!AD58</f>
        <v>0</v>
      </c>
      <c r="I20" s="359">
        <f>'0421'!AD69</f>
        <v>0</v>
      </c>
      <c r="J20" s="359">
        <f>'0421'!AD79</f>
        <v>0</v>
      </c>
    </row>
    <row r="21" spans="2:10" ht="17.25" customHeight="1">
      <c r="B21" s="373"/>
      <c r="C21" s="330" t="s">
        <v>85</v>
      </c>
      <c r="D21" s="358">
        <f>'0421'!AE15</f>
        <v>0</v>
      </c>
      <c r="E21" s="359">
        <f>'0421'!AE26</f>
        <v>0</v>
      </c>
      <c r="F21" s="359">
        <f>'0421'!AE37</f>
        <v>0</v>
      </c>
      <c r="G21" s="360">
        <f>'0421'!AE48</f>
        <v>0</v>
      </c>
      <c r="H21" s="360">
        <f>'0421'!AE58</f>
        <v>0</v>
      </c>
      <c r="I21" s="359">
        <f>'0421'!AE69</f>
        <v>0</v>
      </c>
      <c r="J21" s="359">
        <f>'0421'!AE79</f>
        <v>0</v>
      </c>
    </row>
    <row r="22" spans="2:10" ht="17.25" customHeight="1">
      <c r="B22" s="364" t="s">
        <v>104</v>
      </c>
      <c r="C22" s="365"/>
      <c r="D22" s="23">
        <f>VALUE('0421'!M15)</f>
        <v>15</v>
      </c>
      <c r="E22" s="23">
        <f>VALUE('0421'!M26)</f>
        <v>13.4</v>
      </c>
      <c r="F22" s="23">
        <f>VALUE('0421'!M37)</f>
        <v>17.5</v>
      </c>
      <c r="G22" s="23">
        <f>VALUE('0421'!M48)</f>
        <v>15.5</v>
      </c>
      <c r="H22" s="23">
        <f>VALUE('0421'!M58)</f>
        <v>15.75</v>
      </c>
      <c r="I22" s="23">
        <f>VALUE('0421'!M69)</f>
        <v>12.4</v>
      </c>
      <c r="J22" s="23">
        <f>'0421'!M79</f>
        <v>12.666666666666666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1A97-3117-4D5C-B2B6-F719AFDD18AF}">
  <sheetPr>
    <tabColor theme="9" tint="0.79998168889431442"/>
  </sheetPr>
  <dimension ref="A1:AJ92"/>
  <sheetViews>
    <sheetView zoomScale="73" zoomScaleNormal="73" workbookViewId="0">
      <pane xSplit="5" ySplit="4" topLeftCell="F50" activePane="bottomRight" state="frozen"/>
      <selection activeCell="J71" sqref="J71"/>
      <selection pane="topRight" activeCell="J71" sqref="J71"/>
      <selection pane="bottomLeft" activeCell="J71" sqref="J71"/>
      <selection pane="bottomRight" activeCell="AB71" sqref="AB71:AC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66926</v>
      </c>
      <c r="F1" s="30" t="s">
        <v>2</v>
      </c>
      <c r="G1" s="31">
        <f>SUM(H5:H79)</f>
        <v>3203982.9509999994</v>
      </c>
      <c r="H1" s="32" t="s">
        <v>3</v>
      </c>
      <c r="I1" s="33">
        <f>M15+M26+M48+M58+M69+M79+M37</f>
        <v>102.21666666666667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211</v>
      </c>
      <c r="B2" s="483"/>
      <c r="C2" s="28"/>
      <c r="D2" s="28" t="s">
        <v>14</v>
      </c>
      <c r="E2" s="35">
        <f>AVERAGE(O15,O26,O37,O48,O58,O69,O79)</f>
        <v>101.76306655393763</v>
      </c>
      <c r="F2" s="36" t="s">
        <v>15</v>
      </c>
      <c r="G2" s="37">
        <f>G1/E1</f>
        <v>47.873516286644943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8</v>
      </c>
      <c r="AA2" s="339">
        <f>AA15+AA26+AA37+AA48+AA58+AA69+AA79</f>
        <v>128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2320</v>
      </c>
      <c r="H5" s="43">
        <f>F5*G5</f>
        <v>131938.4</v>
      </c>
      <c r="I5" s="44"/>
      <c r="J5" s="45">
        <v>15</v>
      </c>
      <c r="K5" s="6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2109.0909090909245</v>
      </c>
      <c r="O5" s="47">
        <f>N5/M5</f>
        <v>140.60606060606162</v>
      </c>
      <c r="P5" s="49">
        <f>M5-J5</f>
        <v>0</v>
      </c>
      <c r="Q5" s="50">
        <f>O5-L5</f>
        <v>-0.59393939393837059</v>
      </c>
      <c r="R5" s="51">
        <f>O5/L5</f>
        <v>0.99579363035454416</v>
      </c>
      <c r="S5" s="415">
        <f>R15</f>
        <v>0.93570236025297904</v>
      </c>
      <c r="T5" s="319">
        <v>0.29166666666666702</v>
      </c>
      <c r="U5" s="320">
        <v>0.33750000000000002</v>
      </c>
      <c r="V5" s="53"/>
      <c r="W5" s="54">
        <f t="shared" ref="W5:W14" si="0">(U5-T5)*24*60</f>
        <v>65.999999999999531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-8.9090909090755304</v>
      </c>
      <c r="AG5" s="52">
        <f t="shared" ref="AG5:AG11" si="2">N5/K5</f>
        <v>0.99579363035454416</v>
      </c>
      <c r="AH5" s="403">
        <f>AG15</f>
        <v>0.93570236025297904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4184</v>
      </c>
      <c r="H6" s="63">
        <f>F6*G6</f>
        <v>205601.76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2024.5161290322599</v>
      </c>
      <c r="O6" s="67">
        <f>N6/M6</f>
        <v>134.96774193548399</v>
      </c>
      <c r="P6" s="69">
        <f>M6-J6</f>
        <v>0</v>
      </c>
      <c r="Q6" s="70">
        <f>O6-L6</f>
        <v>-6.2322580645160031</v>
      </c>
      <c r="R6" s="71">
        <f>O6/L6</f>
        <v>0.95586219501050984</v>
      </c>
      <c r="S6" s="416"/>
      <c r="T6" s="16">
        <v>0.34722222222222199</v>
      </c>
      <c r="U6" s="18">
        <v>0.43333333333333302</v>
      </c>
      <c r="V6" s="30">
        <f>(T6-U5)*24*60</f>
        <v>13.999999999999631</v>
      </c>
      <c r="W6" s="73">
        <f t="shared" si="0"/>
        <v>123.99999999999989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-93.483870967740131</v>
      </c>
      <c r="AG6" s="72">
        <f t="shared" si="2"/>
        <v>0.95586219501050984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61">
        <f>VLOOKUP(D7,廠價表!$C$1:$E$43,3,0)</f>
        <v>58.17</v>
      </c>
      <c r="G7" s="66">
        <v>1975</v>
      </c>
      <c r="H7" s="63">
        <f>F7*G7</f>
        <v>114885.75</v>
      </c>
      <c r="I7" s="64"/>
      <c r="J7" s="65">
        <v>15</v>
      </c>
      <c r="K7" s="66">
        <f>VLOOKUP(D7,產線配置圖!$A$3:$C$38,3,0)</f>
        <v>2000</v>
      </c>
      <c r="L7" s="67">
        <f>K7/J7</f>
        <v>133.33333333333334</v>
      </c>
      <c r="M7" s="82">
        <v>15</v>
      </c>
      <c r="N7" s="66">
        <f>G7/W7*60</f>
        <v>1742.6470588235379</v>
      </c>
      <c r="O7" s="67">
        <f>N7/M7</f>
        <v>116.17647058823586</v>
      </c>
      <c r="P7" s="69">
        <f>M7-J7</f>
        <v>0</v>
      </c>
      <c r="Q7" s="70">
        <f>O7-L7</f>
        <v>-17.156862745097484</v>
      </c>
      <c r="R7" s="71">
        <f>O7/L7</f>
        <v>0.87132352941176883</v>
      </c>
      <c r="S7" s="416"/>
      <c r="T7" s="16">
        <v>0.43888888888888899</v>
      </c>
      <c r="U7" s="16">
        <v>0.48611111111111099</v>
      </c>
      <c r="V7" s="30">
        <f>(T7-U6)*24*60</f>
        <v>8.0000000000006111</v>
      </c>
      <c r="W7" s="73">
        <f t="shared" si="0"/>
        <v>67.999999999999673</v>
      </c>
      <c r="X7" s="22">
        <v>0.48611111111111099</v>
      </c>
      <c r="Y7" s="84">
        <v>0.52777777777777801</v>
      </c>
      <c r="Z7" s="90"/>
      <c r="AA7" s="90"/>
      <c r="AB7" s="409"/>
      <c r="AC7" s="409"/>
      <c r="AD7" s="92"/>
      <c r="AE7" s="92"/>
      <c r="AF7" s="307">
        <f t="shared" si="1"/>
        <v>-257.35294117646208</v>
      </c>
      <c r="AG7" s="72">
        <f t="shared" si="2"/>
        <v>0.87132352941176894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61">
        <f>VLOOKUP(D8,廠價表!$C$1:$E$43,3,0)</f>
        <v>58.17</v>
      </c>
      <c r="G8" s="66">
        <v>2029</v>
      </c>
      <c r="H8" s="63">
        <f>F8*G8</f>
        <v>118026.93000000001</v>
      </c>
      <c r="I8" s="64"/>
      <c r="J8" s="65">
        <v>15</v>
      </c>
      <c r="K8" s="66">
        <f>VLOOKUP(D8,產線配置圖!$A$3:$C$38,3,0)</f>
        <v>2000</v>
      </c>
      <c r="L8" s="67">
        <f>K8/J8</f>
        <v>133.33333333333334</v>
      </c>
      <c r="M8" s="82">
        <v>15</v>
      </c>
      <c r="N8" s="66">
        <f>G8/W8*60</f>
        <v>1844.5454545454656</v>
      </c>
      <c r="O8" s="67">
        <f>N8/M8</f>
        <v>122.96969696969771</v>
      </c>
      <c r="P8" s="69">
        <f>M8-J8</f>
        <v>0</v>
      </c>
      <c r="Q8" s="70">
        <f>O8-L8</f>
        <v>-10.363636363635635</v>
      </c>
      <c r="R8" s="71">
        <f>O8/L8</f>
        <v>0.9222727272727328</v>
      </c>
      <c r="S8" s="416"/>
      <c r="T8" s="16">
        <v>0.54166666666666696</v>
      </c>
      <c r="U8" s="16">
        <v>0.58750000000000002</v>
      </c>
      <c r="V8" s="30">
        <f>(T8-U7)*24*60</f>
        <v>80.000000000000597</v>
      </c>
      <c r="W8" s="73">
        <f t="shared" si="0"/>
        <v>65.999999999999602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-155.45454545453435</v>
      </c>
      <c r="AG8" s="72">
        <f t="shared" si="2"/>
        <v>0.9222727272727328</v>
      </c>
      <c r="AH8" s="405"/>
    </row>
    <row r="9" spans="1:34" ht="15" customHeight="1">
      <c r="A9" s="490"/>
      <c r="B9" s="75" t="s">
        <v>81</v>
      </c>
      <c r="C9" s="86"/>
      <c r="D9" s="59" t="s">
        <v>114</v>
      </c>
      <c r="E9" s="87"/>
      <c r="F9" s="61">
        <f>VLOOKUP(D9,廠價表!$C$1:$E$43,3,0)</f>
        <v>49.14</v>
      </c>
      <c r="G9" s="62">
        <v>2197</v>
      </c>
      <c r="H9" s="63">
        <f>F9*G9</f>
        <v>107960.58</v>
      </c>
      <c r="I9" s="64"/>
      <c r="J9" s="65">
        <v>15</v>
      </c>
      <c r="K9" s="66">
        <f>VLOOKUP(D9,產線配置圖!$A$3:$C$38,3,0)</f>
        <v>2118</v>
      </c>
      <c r="L9" s="67">
        <f>K9/J9</f>
        <v>141.19999999999999</v>
      </c>
      <c r="M9" s="82">
        <v>15</v>
      </c>
      <c r="N9" s="66">
        <f>G9/W9*60</f>
        <v>1967.4626865671571</v>
      </c>
      <c r="O9" s="67">
        <f>N9/M9</f>
        <v>131.16417910447714</v>
      </c>
      <c r="P9" s="69">
        <f>M9-J9</f>
        <v>0</v>
      </c>
      <c r="Q9" s="70">
        <f>O9-L9</f>
        <v>-10.035820895522846</v>
      </c>
      <c r="R9" s="71">
        <f>O9/L9</f>
        <v>0.928924781193181</v>
      </c>
      <c r="S9" s="417"/>
      <c r="T9" s="22">
        <v>0.59375</v>
      </c>
      <c r="U9" s="22">
        <v>0.64027777777777795</v>
      </c>
      <c r="V9" s="30">
        <f>(T9-U8)*24*60</f>
        <v>8.999999999999968</v>
      </c>
      <c r="W9" s="73">
        <f t="shared" si="0"/>
        <v>67.000000000000242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-150.53731343284289</v>
      </c>
      <c r="AG9" s="72">
        <f t="shared" si="2"/>
        <v>0.92892478119318089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2070.8000000000002</v>
      </c>
      <c r="L15" s="117">
        <f t="shared" si="3"/>
        <v>138.05333333333334</v>
      </c>
      <c r="M15" s="120">
        <f t="shared" si="3"/>
        <v>15</v>
      </c>
      <c r="N15" s="120">
        <f t="shared" si="3"/>
        <v>1937.6524476118691</v>
      </c>
      <c r="O15" s="117">
        <f t="shared" si="3"/>
        <v>129.17682984079127</v>
      </c>
      <c r="P15" s="121">
        <f t="shared" ref="P15:P20" si="4">M15-J15</f>
        <v>0</v>
      </c>
      <c r="Q15" s="122">
        <f t="shared" ref="Q15:Q20" si="5">O15-L15</f>
        <v>-8.8765034925420707</v>
      </c>
      <c r="R15" s="123">
        <f t="shared" ref="R15:R20" si="6">O15/L15</f>
        <v>0.93570236025297904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-133.14755238813109</v>
      </c>
      <c r="AG15" s="124">
        <f>N15/K15</f>
        <v>0.93570236025297904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3738</v>
      </c>
      <c r="H16" s="134">
        <f>F16*G16</f>
        <v>189404.46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1823.4146341463349</v>
      </c>
      <c r="O16" s="141">
        <f>N16/M16</f>
        <v>140.26266416510268</v>
      </c>
      <c r="P16" s="142">
        <f t="shared" si="4"/>
        <v>0</v>
      </c>
      <c r="Q16" s="143">
        <f t="shared" si="5"/>
        <v>-22.660412757974257</v>
      </c>
      <c r="R16" s="144">
        <f t="shared" si="6"/>
        <v>0.86091342499826939</v>
      </c>
      <c r="S16" s="443">
        <f>R26</f>
        <v>0.91297576736595143</v>
      </c>
      <c r="T16" s="145">
        <v>0.29097222222222202</v>
      </c>
      <c r="U16" s="145">
        <v>0.37638888888888899</v>
      </c>
      <c r="V16" s="135"/>
      <c r="W16" s="146">
        <f t="shared" ref="W16:W78" si="7">(U16-T16)*24*60</f>
        <v>123.00000000000044</v>
      </c>
      <c r="X16" s="141"/>
      <c r="Y16" s="296"/>
      <c r="Z16" s="169">
        <v>1</v>
      </c>
      <c r="AA16" s="169">
        <v>14</v>
      </c>
      <c r="AB16" s="420" t="s">
        <v>212</v>
      </c>
      <c r="AC16" s="420"/>
      <c r="AD16" s="135"/>
      <c r="AE16" s="135"/>
      <c r="AF16" s="229">
        <f>N16-K16</f>
        <v>-294.58536585366505</v>
      </c>
      <c r="AG16" s="52">
        <f>N16/K16</f>
        <v>0.86091342499826962</v>
      </c>
      <c r="AH16" s="403">
        <f>AG26</f>
        <v>0.91488113102142854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1927</v>
      </c>
      <c r="H17" s="78">
        <f>F17*G17</f>
        <v>109087.47</v>
      </c>
      <c r="I17" s="30"/>
      <c r="J17" s="79">
        <v>15</v>
      </c>
      <c r="K17" s="80">
        <f>VLOOKUP(D17,產線配置圖!$A$3:$C$38,3,0)</f>
        <v>2000</v>
      </c>
      <c r="L17" s="81">
        <f>K17/J17</f>
        <v>133.33333333333334</v>
      </c>
      <c r="M17" s="148">
        <v>15</v>
      </c>
      <c r="N17" s="95">
        <f>G17/W17*60</f>
        <v>1895.4098360655803</v>
      </c>
      <c r="O17" s="96">
        <f>N17/M17</f>
        <v>126.36065573770536</v>
      </c>
      <c r="P17" s="97">
        <f t="shared" si="4"/>
        <v>0</v>
      </c>
      <c r="Q17" s="98">
        <f t="shared" si="5"/>
        <v>-6.9726775956279852</v>
      </c>
      <c r="R17" s="99">
        <f t="shared" si="6"/>
        <v>0.94770491803279011</v>
      </c>
      <c r="S17" s="444"/>
      <c r="T17" s="19">
        <v>0.38402777777777802</v>
      </c>
      <c r="U17" s="19">
        <v>0.42638888888888898</v>
      </c>
      <c r="V17" s="30">
        <f>(T17-U16)*24*60</f>
        <v>11.000000000000201</v>
      </c>
      <c r="W17" s="149">
        <f t="shared" si="7"/>
        <v>60.999999999999787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-104.59016393441971</v>
      </c>
      <c r="AG17" s="72">
        <f>N17/K17</f>
        <v>0.94770491803279011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2500</v>
      </c>
      <c r="H18" s="78">
        <f>F18*G18</f>
        <v>125975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1807.2289156626484</v>
      </c>
      <c r="O18" s="96">
        <f>N18/M18</f>
        <v>150.60240963855404</v>
      </c>
      <c r="P18" s="97">
        <f t="shared" si="4"/>
        <v>0</v>
      </c>
      <c r="Q18" s="98">
        <f t="shared" si="5"/>
        <v>-25.897590361445964</v>
      </c>
      <c r="R18" s="99">
        <f t="shared" si="6"/>
        <v>0.85327144271135436</v>
      </c>
      <c r="S18" s="444"/>
      <c r="T18" s="19">
        <v>0.43194444444444402</v>
      </c>
      <c r="U18" s="19">
        <v>0.48958333333333298</v>
      </c>
      <c r="V18" s="30">
        <f>(T18-U17)*24*60</f>
        <v>7.9999999999992522</v>
      </c>
      <c r="W18" s="149">
        <f t="shared" si="7"/>
        <v>83.000000000000099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-310.77108433735157</v>
      </c>
      <c r="AG18" s="72">
        <f>N18/K18</f>
        <v>0.85327144271135436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3004</v>
      </c>
      <c r="H19" s="78">
        <f>F19*G19</f>
        <v>151371.56</v>
      </c>
      <c r="I19" s="30"/>
      <c r="J19" s="79">
        <v>12</v>
      </c>
      <c r="K19" s="80">
        <f>VLOOKUP(D19,產線配置圖!$A$3:$C$38,3,0)</f>
        <v>2118</v>
      </c>
      <c r="L19" s="81">
        <f>K19/J19</f>
        <v>176.5</v>
      </c>
      <c r="M19" s="148">
        <v>12</v>
      </c>
      <c r="N19" s="95">
        <f>G19/W19*60</f>
        <v>2048.1818181818217</v>
      </c>
      <c r="O19" s="96">
        <f>N19/M19</f>
        <v>170.68181818181847</v>
      </c>
      <c r="P19" s="97">
        <f t="shared" si="4"/>
        <v>0</v>
      </c>
      <c r="Q19" s="98">
        <f t="shared" si="5"/>
        <v>-5.8181818181815288</v>
      </c>
      <c r="R19" s="99">
        <f t="shared" si="6"/>
        <v>0.96703579706412734</v>
      </c>
      <c r="S19" s="444"/>
      <c r="T19" s="19">
        <v>0.54583333333333295</v>
      </c>
      <c r="U19" s="19">
        <v>0.60694444444444395</v>
      </c>
      <c r="V19" s="30">
        <f>(T19-U18)*24*60</f>
        <v>80.999999999999957</v>
      </c>
      <c r="W19" s="149">
        <f t="shared" si="7"/>
        <v>87.999999999999844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-69.818181818178346</v>
      </c>
      <c r="AG19" s="72">
        <f>N19/K19</f>
        <v>0.96703579706412734</v>
      </c>
      <c r="AH19" s="406"/>
    </row>
    <row r="20" spans="1:34" ht="15" customHeight="1">
      <c r="A20" s="450"/>
      <c r="B20" s="75" t="s">
        <v>81</v>
      </c>
      <c r="C20" s="76"/>
      <c r="D20" s="59" t="s">
        <v>147</v>
      </c>
      <c r="E20" s="77"/>
      <c r="F20" s="75">
        <f>VLOOKUP(D20,廠價表!$C$1:$E$43,3,0)</f>
        <v>56.87</v>
      </c>
      <c r="G20" s="147">
        <v>1672</v>
      </c>
      <c r="H20" s="78">
        <f>F20*G20</f>
        <v>95086.64</v>
      </c>
      <c r="I20" s="30"/>
      <c r="J20" s="79">
        <v>15</v>
      </c>
      <c r="K20" s="80">
        <f>VLOOKUP(D20,產線配置圖!$A$3:$C$38,3,0)</f>
        <v>2118</v>
      </c>
      <c r="L20" s="81">
        <f>K20/J20</f>
        <v>141.19999999999999</v>
      </c>
      <c r="M20" s="148">
        <v>15</v>
      </c>
      <c r="N20" s="95">
        <f>G20/W20*60</f>
        <v>2006.4000000000135</v>
      </c>
      <c r="O20" s="96">
        <f>N20/M20</f>
        <v>133.7600000000009</v>
      </c>
      <c r="P20" s="97">
        <f t="shared" si="4"/>
        <v>0</v>
      </c>
      <c r="Q20" s="98">
        <f t="shared" si="5"/>
        <v>-7.4399999999990882</v>
      </c>
      <c r="R20" s="99">
        <f t="shared" si="6"/>
        <v>0.9473087818696948</v>
      </c>
      <c r="S20" s="444"/>
      <c r="T20" s="19">
        <v>0.61736111111111103</v>
      </c>
      <c r="U20" s="19">
        <v>0.65208333333333302</v>
      </c>
      <c r="V20" s="30">
        <f>(T20-U19)*24*60</f>
        <v>15.000000000000586</v>
      </c>
      <c r="W20" s="149">
        <f t="shared" si="7"/>
        <v>49.999999999999659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7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8">AVERAGE(J16:J25)</f>
        <v>13.4</v>
      </c>
      <c r="K26" s="155">
        <f t="shared" si="8"/>
        <v>2094.4</v>
      </c>
      <c r="L26" s="158">
        <f t="shared" si="8"/>
        <v>158.09128205128204</v>
      </c>
      <c r="M26" s="155">
        <f t="shared" si="8"/>
        <v>13.4</v>
      </c>
      <c r="N26" s="155">
        <f t="shared" si="8"/>
        <v>1916.12704081128</v>
      </c>
      <c r="O26" s="158">
        <f t="shared" si="8"/>
        <v>144.33350954463629</v>
      </c>
      <c r="P26" s="159">
        <f>M26-J26</f>
        <v>0</v>
      </c>
      <c r="Q26" s="160">
        <f>O26-L26</f>
        <v>-13.75777250664575</v>
      </c>
      <c r="R26" s="161">
        <f>O26/L26</f>
        <v>0.91297576736595143</v>
      </c>
      <c r="S26" s="445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14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9">N26-K26</f>
        <v>-178.27295918872005</v>
      </c>
      <c r="AG26" s="124">
        <f t="shared" ref="AG26:AG31" si="10">N26/K26</f>
        <v>0.91488113102142854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3447</v>
      </c>
      <c r="H27" s="134">
        <f>F27*G27</f>
        <v>173346.18300000002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17</v>
      </c>
      <c r="N27" s="140">
        <f>G27/W27*60</f>
        <v>953.08755760368956</v>
      </c>
      <c r="O27" s="141">
        <f>N27/M27</f>
        <v>56.06397397668762</v>
      </c>
      <c r="P27" s="142">
        <f>M27-J27</f>
        <v>-1</v>
      </c>
      <c r="Q27" s="143">
        <f>O27-L27</f>
        <v>-30.880470467756822</v>
      </c>
      <c r="R27" s="144">
        <f>O27/L27</f>
        <v>0.64482525979576821</v>
      </c>
      <c r="S27" s="443">
        <f>R37</f>
        <v>0.72082868533594313</v>
      </c>
      <c r="T27" s="171">
        <v>0.34027777777777801</v>
      </c>
      <c r="U27" s="171">
        <v>0.49097222222222198</v>
      </c>
      <c r="V27" s="135"/>
      <c r="W27" s="146">
        <f t="shared" si="7"/>
        <v>216.99999999999932</v>
      </c>
      <c r="X27" s="145">
        <v>0.5</v>
      </c>
      <c r="Y27" s="363">
        <v>0.54166666666666696</v>
      </c>
      <c r="Z27" s="169">
        <v>4</v>
      </c>
      <c r="AA27" s="169">
        <v>62</v>
      </c>
      <c r="AB27" s="420" t="s">
        <v>214</v>
      </c>
      <c r="AC27" s="420"/>
      <c r="AD27" s="135"/>
      <c r="AE27" s="135"/>
      <c r="AF27" s="310">
        <f t="shared" si="9"/>
        <v>-611.91244239631044</v>
      </c>
      <c r="AG27" s="172">
        <f t="shared" si="10"/>
        <v>0.60900163425155884</v>
      </c>
      <c r="AH27" s="403">
        <f>AG37</f>
        <v>0.70291687256383839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4427</v>
      </c>
      <c r="H28" s="91">
        <f>F28*G28</f>
        <v>222629.40300000002</v>
      </c>
      <c r="I28" s="92"/>
      <c r="J28" s="79">
        <f>VLOOKUP(D28,產線配置圖!$A$3:$C$38,2,0)</f>
        <v>18</v>
      </c>
      <c r="K28" s="80">
        <f>VLOOKUP(D28,產線配置圖!$A$3:$C$38,3,0)</f>
        <v>1565</v>
      </c>
      <c r="L28" s="93">
        <f>K28/J28</f>
        <v>86.944444444444443</v>
      </c>
      <c r="M28" s="94">
        <v>18</v>
      </c>
      <c r="N28" s="95">
        <f>G28/W28*60</f>
        <v>1247.0422535211246</v>
      </c>
      <c r="O28" s="96">
        <f>N28/M28</f>
        <v>69.280125195618041</v>
      </c>
      <c r="P28" s="97">
        <f>M28-J28</f>
        <v>0</v>
      </c>
      <c r="Q28" s="98">
        <f>O28-L28</f>
        <v>-17.664319248826402</v>
      </c>
      <c r="R28" s="99">
        <f>O28/L28</f>
        <v>0.79683211087611805</v>
      </c>
      <c r="S28" s="444"/>
      <c r="T28" s="19">
        <v>0.54861111111111105</v>
      </c>
      <c r="U28" s="19">
        <v>0.69652777777777797</v>
      </c>
      <c r="V28" s="92">
        <f>(T28-U27)*24*60</f>
        <v>83.00000000000027</v>
      </c>
      <c r="W28" s="149">
        <f t="shared" si="7"/>
        <v>213.00000000000037</v>
      </c>
      <c r="X28" s="174"/>
      <c r="Y28" s="301"/>
      <c r="Z28" s="335">
        <v>2</v>
      </c>
      <c r="AA28" s="335">
        <v>28</v>
      </c>
      <c r="AB28" s="409" t="s">
        <v>215</v>
      </c>
      <c r="AC28" s="409"/>
      <c r="AD28" s="92"/>
      <c r="AE28" s="92"/>
      <c r="AF28" s="311">
        <f t="shared" si="9"/>
        <v>-317.95774647887538</v>
      </c>
      <c r="AG28" s="99">
        <f t="shared" si="10"/>
        <v>0.79683211087611794</v>
      </c>
      <c r="AH28" s="404"/>
    </row>
    <row r="29" spans="1:34" ht="15" customHeight="1">
      <c r="A29" s="44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44"/>
      <c r="T29" s="19"/>
      <c r="U29" s="19"/>
      <c r="V29" s="92"/>
      <c r="W29" s="149">
        <f t="shared" si="7"/>
        <v>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9"/>
        <v>0</v>
      </c>
      <c r="AG29" s="99" t="e">
        <f t="shared" si="10"/>
        <v>#DIV/0!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7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9"/>
        <v>0</v>
      </c>
      <c r="AG30" s="99" t="e">
        <f t="shared" si="10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7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9"/>
        <v>0</v>
      </c>
      <c r="AG31" s="99" t="e">
        <f t="shared" si="10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7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7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7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7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1">AVERAGE(J27:J36)</f>
        <v>18</v>
      </c>
      <c r="K37" s="155">
        <f t="shared" si="11"/>
        <v>1565</v>
      </c>
      <c r="L37" s="158">
        <f t="shared" si="11"/>
        <v>86.944444444444443</v>
      </c>
      <c r="M37" s="155">
        <f t="shared" si="11"/>
        <v>17.5</v>
      </c>
      <c r="N37" s="155">
        <f t="shared" si="11"/>
        <v>1100.0649055624071</v>
      </c>
      <c r="O37" s="158">
        <f t="shared" si="11"/>
        <v>62.672049586152831</v>
      </c>
      <c r="P37" s="159">
        <f>M37-J37</f>
        <v>-0.5</v>
      </c>
      <c r="Q37" s="160">
        <f>N37-K37</f>
        <v>-464.93509443759285</v>
      </c>
      <c r="R37" s="161">
        <f>O37/L37</f>
        <v>0.72082868533594313</v>
      </c>
      <c r="S37" s="445"/>
      <c r="T37" s="163"/>
      <c r="U37" s="163"/>
      <c r="V37" s="164"/>
      <c r="W37" s="164"/>
      <c r="X37" s="321"/>
      <c r="Y37" s="322"/>
      <c r="Z37" s="334">
        <f>SUM(Z27:Z36)</f>
        <v>6</v>
      </c>
      <c r="AA37" s="334">
        <f>SUM(AA27:AA36)</f>
        <v>90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-464.93509443759285</v>
      </c>
      <c r="AG37" s="124">
        <f>N37/K37</f>
        <v>0.70291687256383839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2771</v>
      </c>
      <c r="H38" s="134">
        <f>F38*G38</f>
        <v>138300.60999999999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1583.4285714285636</v>
      </c>
      <c r="O38" s="141">
        <f>N38/M38</f>
        <v>105.56190476190424</v>
      </c>
      <c r="P38" s="142">
        <f>M38-J38</f>
        <v>0</v>
      </c>
      <c r="Q38" s="143">
        <f>O38-L38</f>
        <v>-8.704761904762421</v>
      </c>
      <c r="R38" s="144">
        <f>O38/L38</f>
        <v>0.92382063677279092</v>
      </c>
      <c r="S38" s="433">
        <f>R48</f>
        <v>0.89014637125239648</v>
      </c>
      <c r="T38" s="191">
        <v>0.33333333333333298</v>
      </c>
      <c r="U38" s="191">
        <v>0.40625</v>
      </c>
      <c r="V38" s="192"/>
      <c r="W38" s="193">
        <f t="shared" si="7"/>
        <v>105.00000000000051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-130.5714285714364</v>
      </c>
      <c r="AG38" s="195">
        <f>N38/K38</f>
        <v>0.92382063677279092</v>
      </c>
      <c r="AH38" s="436">
        <f>AG48</f>
        <v>0.89071986156302196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3018</v>
      </c>
      <c r="H39" s="91">
        <f>F39*G39</f>
        <v>133697.4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1508.9999999999873</v>
      </c>
      <c r="O39" s="203">
        <f>N39/M39</f>
        <v>94.312499999999204</v>
      </c>
      <c r="P39" s="97">
        <f>M39-J39</f>
        <v>0</v>
      </c>
      <c r="Q39" s="98">
        <f>O39-L39</f>
        <v>-3.5000000000007958</v>
      </c>
      <c r="R39" s="99">
        <f>O39/L39</f>
        <v>0.96421725239615796</v>
      </c>
      <c r="S39" s="434"/>
      <c r="T39" s="20">
        <v>0.41319444444444398</v>
      </c>
      <c r="U39" s="20">
        <v>0.49652777777777801</v>
      </c>
      <c r="V39" s="92">
        <f>(T39-U38)*24*60</f>
        <v>9.999999999999325</v>
      </c>
      <c r="W39" s="205">
        <f t="shared" si="7"/>
        <v>120.00000000000101</v>
      </c>
      <c r="X39" s="22">
        <v>0.5</v>
      </c>
      <c r="Y39" s="84">
        <v>0.54166666666666696</v>
      </c>
      <c r="Z39" s="90"/>
      <c r="AA39" s="90"/>
      <c r="AB39" s="408"/>
      <c r="AC39" s="408"/>
      <c r="AD39" s="200"/>
      <c r="AE39" s="200"/>
      <c r="AF39" s="314">
        <f>N39-K39</f>
        <v>-56.000000000012733</v>
      </c>
      <c r="AG39" s="206">
        <f>N39/K39</f>
        <v>0.96421725239615796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3009</v>
      </c>
      <c r="H40" s="91">
        <f>F40*G40</f>
        <v>133298.69999999998</v>
      </c>
      <c r="I40" s="200"/>
      <c r="J40" s="148">
        <v>16</v>
      </c>
      <c r="K40" s="95">
        <f>VLOOKUP(D40,產線配置圖!$A$3:$C$38,3,0)</f>
        <v>1565</v>
      </c>
      <c r="L40" s="96">
        <f>K40/J40</f>
        <v>97.8125</v>
      </c>
      <c r="M40" s="201">
        <v>16</v>
      </c>
      <c r="N40" s="202">
        <f>G40/W40*60</f>
        <v>1337.3333333333333</v>
      </c>
      <c r="O40" s="203">
        <f>N40/M40</f>
        <v>83.583333333333329</v>
      </c>
      <c r="P40" s="97">
        <f>M40-J40</f>
        <v>0</v>
      </c>
      <c r="Q40" s="98">
        <f>O40-L40</f>
        <v>-14.229166666666671</v>
      </c>
      <c r="R40" s="99">
        <f>O40/L40</f>
        <v>0.85452609158679438</v>
      </c>
      <c r="S40" s="416"/>
      <c r="T40" s="20">
        <v>0.55555555555555602</v>
      </c>
      <c r="U40" s="20">
        <v>0.64930555555555602</v>
      </c>
      <c r="V40" s="92">
        <f>(T40-U39)*24*60</f>
        <v>85.000000000000341</v>
      </c>
      <c r="W40" s="205">
        <f t="shared" si="7"/>
        <v>135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-227.66666666666674</v>
      </c>
      <c r="AG40" s="206">
        <f>N40/K40</f>
        <v>0.85452609158679438</v>
      </c>
      <c r="AH40" s="437"/>
    </row>
    <row r="41" spans="1:34" ht="15" customHeight="1">
      <c r="A41" s="431"/>
      <c r="B41" s="75" t="s">
        <v>118</v>
      </c>
      <c r="C41" s="207"/>
      <c r="D41" s="198" t="s">
        <v>123</v>
      </c>
      <c r="E41" s="178"/>
      <c r="F41" s="75">
        <f>VLOOKUP(D41,廠價表!$C$1:$E$43,3,0)</f>
        <v>49.91</v>
      </c>
      <c r="G41" s="199">
        <v>894</v>
      </c>
      <c r="H41" s="91">
        <f>F41*G41</f>
        <v>44619.539999999994</v>
      </c>
      <c r="I41" s="200"/>
      <c r="J41" s="148">
        <f>VLOOKUP(D41,產線配置圖!$A$3:$C$38,2,0)</f>
        <v>15</v>
      </c>
      <c r="K41" s="95">
        <f>VLOOKUP(D41,產線配置圖!$A$3:$C$38,3,0)</f>
        <v>1714</v>
      </c>
      <c r="L41" s="96">
        <f>K41/J41</f>
        <v>114.26666666666667</v>
      </c>
      <c r="M41" s="201">
        <v>15</v>
      </c>
      <c r="N41" s="202">
        <f>G41/W41*60</f>
        <v>1411.5789473684142</v>
      </c>
      <c r="O41" s="203">
        <f>N41/M41</f>
        <v>94.105263157894285</v>
      </c>
      <c r="P41" s="97">
        <f>M41-J41</f>
        <v>0</v>
      </c>
      <c r="Q41" s="98">
        <f>O41-L41</f>
        <v>-20.161403508772381</v>
      </c>
      <c r="R41" s="99">
        <f>O41/L41</f>
        <v>0.82355831235030008</v>
      </c>
      <c r="S41" s="416"/>
      <c r="T41" s="20">
        <v>0.65416666666666701</v>
      </c>
      <c r="U41" s="210">
        <v>0.68055555555555602</v>
      </c>
      <c r="V41" s="92">
        <f>(T41-U40)*24*60</f>
        <v>6.9999999999998153</v>
      </c>
      <c r="W41" s="205">
        <f t="shared" si="7"/>
        <v>38.000000000000185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-302.42105263158578</v>
      </c>
      <c r="AG41" s="206">
        <f>N41/K41</f>
        <v>0.82355831235029997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2">AVERAGE(J38:J47)</f>
        <v>15.5</v>
      </c>
      <c r="K48" s="155">
        <f t="shared" si="12"/>
        <v>1639.5</v>
      </c>
      <c r="L48" s="158">
        <f t="shared" si="12"/>
        <v>106.03958333333333</v>
      </c>
      <c r="M48" s="155">
        <f t="shared" si="12"/>
        <v>15.5</v>
      </c>
      <c r="N48" s="155">
        <f t="shared" si="12"/>
        <v>1460.3352130325745</v>
      </c>
      <c r="O48" s="158">
        <f t="shared" si="12"/>
        <v>94.390750313282766</v>
      </c>
      <c r="P48" s="221">
        <f>M48-J48</f>
        <v>0</v>
      </c>
      <c r="Q48" s="222">
        <f>N48-K48</f>
        <v>-179.16478696742547</v>
      </c>
      <c r="R48" s="223">
        <f>O48/L48</f>
        <v>0.89014637125239648</v>
      </c>
      <c r="S48" s="419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3">N48-K48</f>
        <v>-179.16478696742547</v>
      </c>
      <c r="AG48" s="162">
        <f t="shared" ref="AG48:AG53" si="14">N48/K48</f>
        <v>0.89071986156302196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2348</v>
      </c>
      <c r="H49" s="134">
        <f>F49*G49</f>
        <v>116272.96000000001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1482.9473684210579</v>
      </c>
      <c r="O49" s="141">
        <f>N49/M49</f>
        <v>87.232198142415172</v>
      </c>
      <c r="P49" s="229">
        <f>M49-J49</f>
        <v>0</v>
      </c>
      <c r="Q49" s="230">
        <f>O49-L49</f>
        <v>-1.0030959752318864</v>
      </c>
      <c r="R49" s="52">
        <f>O49/L49</f>
        <v>0.98863157894737197</v>
      </c>
      <c r="S49" s="415">
        <f>R58</f>
        <v>0.89588678887309547</v>
      </c>
      <c r="T49" s="191">
        <v>0.29166666666666702</v>
      </c>
      <c r="U49" s="191">
        <v>0.35763888888888901</v>
      </c>
      <c r="V49" s="55"/>
      <c r="W49" s="193">
        <f t="shared" si="7"/>
        <v>94.999999999999659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3"/>
        <v>-17.052631578942055</v>
      </c>
      <c r="AG49" s="52">
        <f t="shared" si="14"/>
        <v>0.98863157894737197</v>
      </c>
      <c r="AH49" s="403">
        <f>AG58</f>
        <v>0.85788719095936605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4311</v>
      </c>
      <c r="H50" s="231">
        <f>F50*G50</f>
        <v>215420.66999999998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1596.6666666666661</v>
      </c>
      <c r="O50" s="235">
        <f>N50/M50</f>
        <v>99.791666666666629</v>
      </c>
      <c r="P50" s="74">
        <f>M50-J50</f>
        <v>0</v>
      </c>
      <c r="Q50" s="83">
        <f>O50-L50</f>
        <v>-12.708333333333371</v>
      </c>
      <c r="R50" s="72">
        <f>O50/L50</f>
        <v>0.88703703703703674</v>
      </c>
      <c r="S50" s="416"/>
      <c r="T50" s="21">
        <v>0.36666666666666697</v>
      </c>
      <c r="U50" s="21">
        <v>0.47916666666666702</v>
      </c>
      <c r="V50" s="30">
        <f>(T50-U49)*24*60</f>
        <v>13.000000000000274</v>
      </c>
      <c r="W50" s="236">
        <f t="shared" si="7"/>
        <v>162.00000000000006</v>
      </c>
      <c r="X50" s="22">
        <v>0.48611111111111099</v>
      </c>
      <c r="Y50" s="84">
        <v>0.52777777777777801</v>
      </c>
      <c r="Z50" s="90"/>
      <c r="AA50" s="90"/>
      <c r="AB50" s="409"/>
      <c r="AC50" s="409"/>
      <c r="AD50" s="92"/>
      <c r="AE50" s="92"/>
      <c r="AF50" s="307">
        <f t="shared" si="13"/>
        <v>-203.33333333333394</v>
      </c>
      <c r="AG50" s="72">
        <f t="shared" si="14"/>
        <v>0.88703703703703674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1709</v>
      </c>
      <c r="H51" s="231">
        <f>F51*G51</f>
        <v>85398.73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1530.4477611940208</v>
      </c>
      <c r="O51" s="235">
        <f>N51/M51</f>
        <v>95.652985074626301</v>
      </c>
      <c r="P51" s="74">
        <f>M51-J51</f>
        <v>0</v>
      </c>
      <c r="Q51" s="83">
        <f>O51-L51</f>
        <v>-16.847014925373699</v>
      </c>
      <c r="R51" s="72">
        <f>O51/L51</f>
        <v>0.8502487562189005</v>
      </c>
      <c r="S51" s="416"/>
      <c r="T51" s="21">
        <v>0.53819444444444398</v>
      </c>
      <c r="U51" s="21">
        <v>0.58472222222222203</v>
      </c>
      <c r="V51" s="30">
        <f>(T51-U50)*24*60</f>
        <v>84.99999999999882</v>
      </c>
      <c r="W51" s="236">
        <f t="shared" si="7"/>
        <v>67.000000000000398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13"/>
        <v>-269.55223880597919</v>
      </c>
      <c r="AG51" s="72">
        <f t="shared" si="14"/>
        <v>0.8502487562189005</v>
      </c>
      <c r="AH51" s="405"/>
    </row>
    <row r="52" spans="1:34" ht="15" customHeight="1">
      <c r="A52" s="428"/>
      <c r="B52" s="75" t="s">
        <v>81</v>
      </c>
      <c r="C52" s="86"/>
      <c r="D52" s="103" t="s">
        <v>113</v>
      </c>
      <c r="E52" s="87"/>
      <c r="F52" s="75">
        <f>VLOOKUP(D52,廠價表!$C$1:$E$43,3,0)</f>
        <v>57.21</v>
      </c>
      <c r="G52" s="202">
        <v>1526</v>
      </c>
      <c r="H52" s="231">
        <f>F52*G52</f>
        <v>87302.46</v>
      </c>
      <c r="I52" s="232"/>
      <c r="J52" s="79">
        <v>17</v>
      </c>
      <c r="K52" s="80">
        <v>1716</v>
      </c>
      <c r="L52" s="81">
        <f>K52/J52</f>
        <v>100.94117647058823</v>
      </c>
      <c r="M52" s="233">
        <v>14</v>
      </c>
      <c r="N52" s="234">
        <f>G52/W52*60</f>
        <v>1237.2972972972937</v>
      </c>
      <c r="O52" s="235">
        <f>N52/M52</f>
        <v>88.378378378378116</v>
      </c>
      <c r="P52" s="74">
        <f>M52-J52</f>
        <v>-3</v>
      </c>
      <c r="Q52" s="83">
        <f>O52-L52</f>
        <v>-12.562798092210116</v>
      </c>
      <c r="R52" s="72">
        <f>O52/L52</f>
        <v>0.87554337554337303</v>
      </c>
      <c r="S52" s="416"/>
      <c r="T52" s="21">
        <v>0.59097222222222201</v>
      </c>
      <c r="U52" s="21">
        <v>0.64236111111111105</v>
      </c>
      <c r="V52" s="30">
        <f>(T52-U51)*24*60</f>
        <v>8.999999999999968</v>
      </c>
      <c r="W52" s="236">
        <f t="shared" si="7"/>
        <v>74.000000000000213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13"/>
        <v>-478.70270270270635</v>
      </c>
      <c r="AG52" s="72">
        <f t="shared" si="14"/>
        <v>0.72103572103571889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3"/>
        <v>0</v>
      </c>
      <c r="AG53" s="72" t="e">
        <f t="shared" si="14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5">AVERAGE(J49:J57)</f>
        <v>16.5</v>
      </c>
      <c r="K58" s="120">
        <f t="shared" si="15"/>
        <v>1704</v>
      </c>
      <c r="L58" s="117">
        <f t="shared" si="15"/>
        <v>103.54411764705883</v>
      </c>
      <c r="M58" s="120">
        <f t="shared" si="15"/>
        <v>15.75</v>
      </c>
      <c r="N58" s="120">
        <f t="shared" si="15"/>
        <v>1461.8397733947597</v>
      </c>
      <c r="O58" s="117">
        <f t="shared" si="15"/>
        <v>92.763807065521547</v>
      </c>
      <c r="P58" s="121">
        <f>M58-J58</f>
        <v>-0.75</v>
      </c>
      <c r="Q58" s="122">
        <f>N58-K58</f>
        <v>-242.16022660524027</v>
      </c>
      <c r="R58" s="123">
        <f t="shared" ref="R58:R63" si="16">O58/L58</f>
        <v>0.89588678887309547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-242.16022660524027</v>
      </c>
      <c r="AG58" s="124">
        <f>N58/K58</f>
        <v>0.85788719095936605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2601</v>
      </c>
      <c r="H59" s="243">
        <f>F59*G59</f>
        <v>70200.989999999991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14</v>
      </c>
      <c r="N59" s="137">
        <f>G59/W59*60</f>
        <v>1486.2857142857285</v>
      </c>
      <c r="O59" s="138">
        <f>N59/M59</f>
        <v>106.16326530612346</v>
      </c>
      <c r="P59" s="56">
        <f>M59-J59</f>
        <v>0</v>
      </c>
      <c r="Q59" s="230">
        <f>O59-L59</f>
        <v>-5.6224489795908283</v>
      </c>
      <c r="R59" s="52">
        <f t="shared" si="16"/>
        <v>0.94970333181196709</v>
      </c>
      <c r="S59" s="415">
        <f>R69</f>
        <v>0.89881562251235114</v>
      </c>
      <c r="T59" s="245">
        <v>0.29166666666666702</v>
      </c>
      <c r="U59" s="245">
        <v>0.36458333333333298</v>
      </c>
      <c r="V59" s="55"/>
      <c r="W59" s="54">
        <f t="shared" si="7"/>
        <v>104.99999999999899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-78.714285714271455</v>
      </c>
      <c r="AG59" s="246">
        <f>N59/K59</f>
        <v>0.94970333181196709</v>
      </c>
      <c r="AH59" s="403">
        <f>AG69</f>
        <v>0.89947972570179502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1674</v>
      </c>
      <c r="H60" s="78">
        <f>F60*G60</f>
        <v>47307.240000000005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1434.8571428571463</v>
      </c>
      <c r="O60" s="81">
        <f>N60/M60</f>
        <v>119.57142857142885</v>
      </c>
      <c r="P60" s="74">
        <f>M60-J60</f>
        <v>0</v>
      </c>
      <c r="Q60" s="83">
        <f>O60-L60</f>
        <v>-10.845238095237804</v>
      </c>
      <c r="R60" s="72">
        <f t="shared" si="16"/>
        <v>0.91684162482884746</v>
      </c>
      <c r="S60" s="425"/>
      <c r="T60" s="22">
        <v>0.37152777777777801</v>
      </c>
      <c r="U60" s="22">
        <v>0.42013888888888901</v>
      </c>
      <c r="V60" s="30">
        <f>(T60-U59)*24*60</f>
        <v>10.000000000000844</v>
      </c>
      <c r="W60" s="248">
        <f t="shared" si="7"/>
        <v>69.999999999999829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-130.1428571428537</v>
      </c>
      <c r="AG60" s="249">
        <f>N60/K60</f>
        <v>0.91684162482884746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2403</v>
      </c>
      <c r="H61" s="254">
        <f>F61*G61</f>
        <v>67908.78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1550.3225806451444</v>
      </c>
      <c r="O61" s="238">
        <f>N61/M61</f>
        <v>140.93841642228585</v>
      </c>
      <c r="P61" s="111">
        <f>M61-J61</f>
        <v>0</v>
      </c>
      <c r="Q61" s="255">
        <f>O61-L61</f>
        <v>-7.7888563049868651</v>
      </c>
      <c r="R61" s="85">
        <f t="shared" si="16"/>
        <v>0.94762993926964822</v>
      </c>
      <c r="S61" s="416"/>
      <c r="T61" s="22">
        <v>0.42847222222222198</v>
      </c>
      <c r="U61" s="22">
        <v>0.49305555555555602</v>
      </c>
      <c r="V61" s="30">
        <f>(T61-U60)*24*60</f>
        <v>11.999999999999478</v>
      </c>
      <c r="W61" s="256">
        <f t="shared" si="7"/>
        <v>93.000000000001023</v>
      </c>
      <c r="X61" s="22">
        <v>0.5</v>
      </c>
      <c r="Y61" s="84">
        <v>0.54166666666666696</v>
      </c>
      <c r="Z61" s="90"/>
      <c r="AA61" s="90"/>
      <c r="AB61" s="409"/>
      <c r="AC61" s="409"/>
      <c r="AD61" s="92"/>
      <c r="AE61" s="92"/>
      <c r="AF61" s="317">
        <f>N61-K61</f>
        <v>-85.677419354855601</v>
      </c>
      <c r="AG61" s="247">
        <f>N61/K61</f>
        <v>0.94762993926964811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1196</v>
      </c>
      <c r="H62" s="254">
        <f>F62*G62</f>
        <v>33798.959999999999</v>
      </c>
      <c r="I62" s="182"/>
      <c r="J62" s="106">
        <v>11</v>
      </c>
      <c r="K62" s="107">
        <f>VLOOKUP(D62,產線配置圖!$A$3:$C$38,3,0)</f>
        <v>1636</v>
      </c>
      <c r="L62" s="238">
        <f>K62/J62</f>
        <v>148.72727272727272</v>
      </c>
      <c r="M62" s="108">
        <v>11</v>
      </c>
      <c r="N62" s="107">
        <f>G62/W62*60</f>
        <v>1353.9622641509277</v>
      </c>
      <c r="O62" s="238">
        <f>N62/M62</f>
        <v>123.08747855917524</v>
      </c>
      <c r="P62" s="111">
        <f>M62-J62</f>
        <v>0</v>
      </c>
      <c r="Q62" s="255">
        <f>O62-L62</f>
        <v>-25.639794168097481</v>
      </c>
      <c r="R62" s="85">
        <f t="shared" si="16"/>
        <v>0.82760529593577492</v>
      </c>
      <c r="S62" s="416"/>
      <c r="T62" s="22">
        <v>0.55347222222222203</v>
      </c>
      <c r="U62" s="22">
        <v>0.59027777777777801</v>
      </c>
      <c r="V62" s="30">
        <f t="shared" ref="V62:V63" si="17">(T62-U61)*24*60</f>
        <v>86.999999999999048</v>
      </c>
      <c r="W62" s="248">
        <f t="shared" si="7"/>
        <v>53.000000000000611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-282.03773584907231</v>
      </c>
      <c r="AG62" s="247">
        <f>N62/K62</f>
        <v>0.82760529593577492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1229</v>
      </c>
      <c r="H63" s="254">
        <f>F63*G63</f>
        <v>33170.71</v>
      </c>
      <c r="I63" s="182"/>
      <c r="J63" s="79">
        <v>14</v>
      </c>
      <c r="K63" s="107">
        <f>VLOOKUP(D63,產線配置圖!$A$3:$C$38,3,0)</f>
        <v>1565</v>
      </c>
      <c r="L63" s="238">
        <f>K63/J63</f>
        <v>111.78571428571429</v>
      </c>
      <c r="M63" s="68">
        <v>14</v>
      </c>
      <c r="N63" s="107">
        <f>G63/W63*60</f>
        <v>1340.7272727272541</v>
      </c>
      <c r="O63" s="238">
        <f>N63/M63</f>
        <v>95.766233766232432</v>
      </c>
      <c r="P63" s="111">
        <f>M63-J63</f>
        <v>0</v>
      </c>
      <c r="Q63" s="255">
        <f>O63-L63</f>
        <v>-16.01948051948186</v>
      </c>
      <c r="R63" s="85">
        <f t="shared" si="16"/>
        <v>0.85669474295671177</v>
      </c>
      <c r="S63" s="416"/>
      <c r="T63" s="22">
        <v>0.59722222222222199</v>
      </c>
      <c r="U63" s="22">
        <v>0.63541666666666696</v>
      </c>
      <c r="V63" s="30">
        <f t="shared" si="17"/>
        <v>9.999999999999325</v>
      </c>
      <c r="W63" s="248">
        <f t="shared" si="7"/>
        <v>55.000000000000767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8">AVERAGE(J59:J68)</f>
        <v>12.4</v>
      </c>
      <c r="K69" s="240">
        <f t="shared" si="18"/>
        <v>1593.4</v>
      </c>
      <c r="L69" s="268">
        <f t="shared" si="18"/>
        <v>130.28852813852816</v>
      </c>
      <c r="M69" s="240">
        <f t="shared" si="18"/>
        <v>12.4</v>
      </c>
      <c r="N69" s="240">
        <f t="shared" si="18"/>
        <v>1433.2309949332403</v>
      </c>
      <c r="O69" s="268">
        <f t="shared" si="18"/>
        <v>117.10536452504917</v>
      </c>
      <c r="P69" s="269">
        <f>M69-J69</f>
        <v>0</v>
      </c>
      <c r="Q69" s="222">
        <f>N69-K69</f>
        <v>-160.16900506675984</v>
      </c>
      <c r="R69" s="123">
        <f>O69/L69</f>
        <v>0.89881562251235114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-160.16900506675984</v>
      </c>
      <c r="AG69" s="124">
        <f>N69/K69</f>
        <v>0.89947972570179502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2102</v>
      </c>
      <c r="H70" s="243">
        <f>F70*G70</f>
        <v>106508.34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12</v>
      </c>
      <c r="N70" s="137">
        <f>G70/W70*60</f>
        <v>1146.5454545454529</v>
      </c>
      <c r="O70" s="138">
        <f>N70/M70</f>
        <v>95.545454545454405</v>
      </c>
      <c r="P70" s="56">
        <f>M70-J70</f>
        <v>-1</v>
      </c>
      <c r="Q70" s="230">
        <f>O70-L70</f>
        <v>-15.223776223776369</v>
      </c>
      <c r="R70" s="52">
        <f>O70/L70</f>
        <v>0.86256313131313</v>
      </c>
      <c r="S70" s="415">
        <f>R79</f>
        <v>0.72222990448661184</v>
      </c>
      <c r="T70" s="245">
        <v>0.33333333333333298</v>
      </c>
      <c r="U70" s="245">
        <v>0.40972222222222199</v>
      </c>
      <c r="V70" s="55"/>
      <c r="W70" s="54">
        <f t="shared" si="7"/>
        <v>110.00000000000017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-293.45454545454709</v>
      </c>
      <c r="AG70" s="246">
        <f>N70/K70</f>
        <v>0.79621212121212004</v>
      </c>
      <c r="AH70" s="403">
        <f>AG79</f>
        <v>0.57292110940908181</v>
      </c>
    </row>
    <row r="71" spans="1:36" ht="15" customHeight="1">
      <c r="A71" s="413"/>
      <c r="B71" s="75" t="s">
        <v>81</v>
      </c>
      <c r="C71" s="76"/>
      <c r="D71" s="59" t="s">
        <v>113</v>
      </c>
      <c r="E71" s="77"/>
      <c r="F71" s="250">
        <f>VLOOKUP(D71,廠價表!$C$1:$E$43,3,0)</f>
        <v>57.21</v>
      </c>
      <c r="G71" s="30">
        <v>1290</v>
      </c>
      <c r="H71" s="78">
        <f>F71*G71</f>
        <v>73800.899999999994</v>
      </c>
      <c r="I71" s="232"/>
      <c r="J71" s="106">
        <v>17</v>
      </c>
      <c r="K71" s="107">
        <v>1716</v>
      </c>
      <c r="L71" s="238">
        <f>K71/J71</f>
        <v>100.94117647058823</v>
      </c>
      <c r="M71" s="82">
        <v>14</v>
      </c>
      <c r="N71" s="80">
        <f>G71/W71*60</f>
        <v>814.73684210526608</v>
      </c>
      <c r="O71" s="81">
        <f>N71/M71</f>
        <v>58.195488721804722</v>
      </c>
      <c r="P71" s="74">
        <f>M71-J71</f>
        <v>-3</v>
      </c>
      <c r="Q71" s="83">
        <f>O71-L71</f>
        <v>-42.74568774878351</v>
      </c>
      <c r="R71" s="72">
        <f t="shared" ref="R71:R72" si="19">O71/L71</f>
        <v>0.57652873442347341</v>
      </c>
      <c r="S71" s="416"/>
      <c r="T71" s="22">
        <v>0.42361111111111099</v>
      </c>
      <c r="U71" s="22">
        <v>0.48958333333333298</v>
      </c>
      <c r="V71" s="30">
        <f>(T71-U70)*24*60</f>
        <v>20.000000000000171</v>
      </c>
      <c r="W71" s="73">
        <f t="shared" si="7"/>
        <v>94.999999999999659</v>
      </c>
      <c r="X71" s="271">
        <v>0.5</v>
      </c>
      <c r="Y71" s="293">
        <v>0.54166666666666696</v>
      </c>
      <c r="Z71" s="90"/>
      <c r="AA71" s="90"/>
      <c r="AB71" s="408" t="s">
        <v>216</v>
      </c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 t="s">
        <v>81</v>
      </c>
      <c r="C72" s="86"/>
      <c r="D72" s="59" t="s">
        <v>213</v>
      </c>
      <c r="E72" s="87"/>
      <c r="F72" s="250">
        <f>VLOOKUP(D72,廠價表!$C$1:$E$43,3,0)</f>
        <v>50.289000000000001</v>
      </c>
      <c r="G72" s="202">
        <v>1425</v>
      </c>
      <c r="H72" s="254">
        <f>F72*G72</f>
        <v>71661.824999999997</v>
      </c>
      <c r="I72" s="232"/>
      <c r="J72" s="79">
        <f>VLOOKUP(D72,產線配置圖!$A$3:$C$38,2,0)</f>
        <v>18</v>
      </c>
      <c r="K72" s="80">
        <f>VLOOKUP(D72,產線配置圖!$A$3:$C$38,3,0)</f>
        <v>1565</v>
      </c>
      <c r="L72" s="93">
        <f>K72/J72</f>
        <v>86.944444444444443</v>
      </c>
      <c r="M72" s="82">
        <v>12</v>
      </c>
      <c r="N72" s="107">
        <f>G72/W72*60</f>
        <v>743.47826086955649</v>
      </c>
      <c r="O72" s="238">
        <f>N72/M72</f>
        <v>61.956521739129705</v>
      </c>
      <c r="P72" s="111">
        <f>M72-J72</f>
        <v>-6</v>
      </c>
      <c r="Q72" s="255">
        <f>O72-L72</f>
        <v>-24.987922705314737</v>
      </c>
      <c r="R72" s="85">
        <f t="shared" si="19"/>
        <v>0.71259897207944711</v>
      </c>
      <c r="S72" s="416"/>
      <c r="T72" s="22">
        <v>0.60069444444444398</v>
      </c>
      <c r="U72" s="22">
        <v>0.68055555555555602</v>
      </c>
      <c r="V72" s="30">
        <f>(T72-U71)*24*60</f>
        <v>159.99999999999983</v>
      </c>
      <c r="W72" s="73">
        <f t="shared" si="7"/>
        <v>115.00000000000135</v>
      </c>
      <c r="X72" s="272"/>
      <c r="Y72" s="288"/>
      <c r="Z72" s="90">
        <v>1</v>
      </c>
      <c r="AA72" s="90">
        <v>24</v>
      </c>
      <c r="AB72" s="409" t="s">
        <v>217</v>
      </c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250"/>
      <c r="G73" s="202"/>
      <c r="H73" s="254"/>
      <c r="I73" s="232"/>
      <c r="J73" s="79"/>
      <c r="K73" s="107"/>
      <c r="L73" s="238"/>
      <c r="M73" s="82"/>
      <c r="N73" s="107"/>
      <c r="O73" s="238"/>
      <c r="P73" s="111"/>
      <c r="Q73" s="255"/>
      <c r="R73" s="85"/>
      <c r="S73" s="416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59"/>
      <c r="E74" s="60"/>
      <c r="F74" s="250"/>
      <c r="G74" s="273"/>
      <c r="H74" s="254"/>
      <c r="I74" s="182"/>
      <c r="J74" s="79"/>
      <c r="K74" s="107"/>
      <c r="L74" s="238"/>
      <c r="M74" s="94"/>
      <c r="N74" s="107"/>
      <c r="O74" s="238"/>
      <c r="P74" s="111"/>
      <c r="Q74" s="255"/>
      <c r="R74" s="85"/>
      <c r="S74" s="416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250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2"/>
      <c r="U75" s="22"/>
      <c r="V75" s="30"/>
      <c r="W75" s="256">
        <f t="shared" si="7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20">AVERAGE(J70:J78)</f>
        <v>16</v>
      </c>
      <c r="K79" s="240">
        <f t="shared" si="20"/>
        <v>1573.6666666666667</v>
      </c>
      <c r="L79" s="268">
        <f t="shared" si="20"/>
        <v>99.551617228087821</v>
      </c>
      <c r="M79" s="240">
        <f t="shared" si="20"/>
        <v>12.666666666666666</v>
      </c>
      <c r="N79" s="240">
        <f t="shared" si="20"/>
        <v>901.58685250675853</v>
      </c>
      <c r="O79" s="268">
        <f t="shared" si="20"/>
        <v>71.899155002129604</v>
      </c>
      <c r="P79" s="269">
        <f>M79-J79</f>
        <v>-3.3333333333333339</v>
      </c>
      <c r="Q79" s="222">
        <f>N79-K79</f>
        <v>-672.07981415990821</v>
      </c>
      <c r="R79" s="223">
        <f>O79/L79</f>
        <v>0.72222990448661184</v>
      </c>
      <c r="S79" s="419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24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-672.07981415990821</v>
      </c>
      <c r="AG79" s="124">
        <f>N79/K79</f>
        <v>0.57292110940908181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T3:U3"/>
    <mergeCell ref="V3:V4"/>
    <mergeCell ref="W3:W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2C91FD-B5AC-4705-8151-EA4EF316077C}">
          <x14:formula1>
            <xm:f>'C:\Users\CHENG191\Desktop\生產日報(工廠寄)\長家\114.12\人時性\[長家生產日報1201-1224.xlsx]廠價表'!#REF!</xm:f>
          </x14:formula1>
          <xm:sqref>D1:D26 D76:D1048576 D29:D71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FA34-0617-4E3D-969E-3D7EE3CCE63E}">
  <dimension ref="B1:O26"/>
  <sheetViews>
    <sheetView topLeftCell="A2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46134</v>
      </c>
      <c r="E3" s="399"/>
      <c r="F3" s="3" t="s">
        <v>72</v>
      </c>
      <c r="G3" s="400">
        <f>'0422'!E1</f>
        <v>55651</v>
      </c>
      <c r="H3" s="400"/>
      <c r="I3" s="3" t="s">
        <v>2</v>
      </c>
      <c r="J3" s="401">
        <f>'0422'!G1</f>
        <v>2657296.415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120.45845162190751</v>
      </c>
      <c r="G6" s="397"/>
      <c r="H6" s="382">
        <f>AVERAGE(D13:H13)</f>
        <v>117.56729562594269</v>
      </c>
      <c r="I6" s="382"/>
      <c r="J6" s="382">
        <f>AVERAGE(I13)</f>
        <v>134.91423160173161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107.3760327215992</v>
      </c>
      <c r="G7" s="389"/>
      <c r="H7" s="390">
        <f>AVERAGE(D14:H14)</f>
        <v>103.880191975587</v>
      </c>
      <c r="I7" s="390"/>
      <c r="J7" s="390">
        <f>AVERAGE(I14)</f>
        <v>124.85523645166023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0.89139476122961359</v>
      </c>
      <c r="G8" s="374"/>
      <c r="H8" s="374">
        <f>H7/H6</f>
        <v>0.88358068817111191</v>
      </c>
      <c r="I8" s="374"/>
      <c r="J8" s="374">
        <f>J7/J6</f>
        <v>0.92544155623429225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VALUE('0422'!L15)</f>
        <v>138.05333333333334</v>
      </c>
      <c r="E13" s="13">
        <f>VALUE('0422'!L26)</f>
        <v>156.51794871794874</v>
      </c>
      <c r="F13" s="13">
        <f>VALUE('0422'!L37)</f>
        <v>86.944444444444443</v>
      </c>
      <c r="G13" s="13">
        <f>VALUE('0422'!L48)</f>
        <v>103.29722222222222</v>
      </c>
      <c r="H13" s="13">
        <f>VALUE('0422'!L58)</f>
        <v>103.02352941176471</v>
      </c>
      <c r="I13" s="13">
        <f>VALUE('0422'!L69)</f>
        <v>134.91423160173161</v>
      </c>
      <c r="J13" s="13">
        <f>'0422'!L79</f>
        <v>110.76923076923077</v>
      </c>
    </row>
    <row r="14" spans="2:15" ht="39.950000000000003" customHeight="1">
      <c r="B14" s="368"/>
      <c r="C14" s="12" t="s">
        <v>100</v>
      </c>
      <c r="D14" s="13">
        <f>VALUE('0422'!O15)</f>
        <v>130.30952832243943</v>
      </c>
      <c r="E14" s="13">
        <f>VALUE('0422'!O26)</f>
        <v>137.58135583071481</v>
      </c>
      <c r="F14" s="13">
        <f>VALUE('0422'!O37)</f>
        <v>65.925480769230688</v>
      </c>
      <c r="G14" s="13">
        <f>VALUE('0422'!O48)</f>
        <v>91.726601355632894</v>
      </c>
      <c r="H14" s="13">
        <f>VALUE('0422'!O58)</f>
        <v>93.857993599917094</v>
      </c>
      <c r="I14" s="13">
        <f>VALUE('0422'!O69)</f>
        <v>124.85523645166023</v>
      </c>
      <c r="J14" s="13">
        <f>'0422'!O79</f>
        <v>90.99173553719119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0.94390714933194486</v>
      </c>
      <c r="E15" s="14">
        <f t="shared" si="1"/>
        <v>0.87901328223155806</v>
      </c>
      <c r="F15" s="14">
        <f t="shared" si="1"/>
        <v>0.75824834111575234</v>
      </c>
      <c r="G15" s="14">
        <f t="shared" si="1"/>
        <v>0.88798710538703962</v>
      </c>
      <c r="H15" s="14">
        <f t="shared" si="1"/>
        <v>0.91103453876817997</v>
      </c>
      <c r="I15" s="14">
        <f t="shared" si="1"/>
        <v>0.92544155623429225</v>
      </c>
      <c r="J15" s="15">
        <f>'0422'!S70</f>
        <v>0.82145316804408708</v>
      </c>
    </row>
    <row r="16" spans="2:15" ht="17.25" customHeight="1">
      <c r="B16" s="370" t="s">
        <v>101</v>
      </c>
      <c r="C16" s="10" t="s">
        <v>34</v>
      </c>
      <c r="D16" s="16">
        <f>'0422'!T5</f>
        <v>0.28819444444444398</v>
      </c>
      <c r="E16" s="16">
        <f>'0422'!T16</f>
        <v>0.29027777777777802</v>
      </c>
      <c r="F16" s="16">
        <f>'0422'!T27</f>
        <v>0.33680555555555602</v>
      </c>
      <c r="G16" s="16">
        <f>'0422'!T38</f>
        <v>0.33333333333333298</v>
      </c>
      <c r="H16" s="16">
        <f>'0422'!T49</f>
        <v>0.28819444444444398</v>
      </c>
      <c r="I16" s="16">
        <f>'0422'!T59</f>
        <v>0.29166666666666702</v>
      </c>
      <c r="J16" s="16">
        <f>'0422'!T70</f>
        <v>0.33680555555555602</v>
      </c>
    </row>
    <row r="17" spans="2:10" ht="17.25" customHeight="1">
      <c r="B17" s="371"/>
      <c r="C17" s="10" t="s">
        <v>35</v>
      </c>
      <c r="D17" s="16">
        <v>0.63541666666666696</v>
      </c>
      <c r="E17" s="19">
        <v>0.57986111111111105</v>
      </c>
      <c r="F17" s="19">
        <v>0.61805555555555602</v>
      </c>
      <c r="G17" s="210">
        <v>0.57152777777777797</v>
      </c>
      <c r="H17" s="21">
        <v>0.63541666666666696</v>
      </c>
      <c r="I17" s="22">
        <v>0.59722222222222199</v>
      </c>
      <c r="J17" s="22">
        <v>0.41319444444444398</v>
      </c>
    </row>
    <row r="18" spans="2:10" ht="17.25" customHeight="1">
      <c r="B18" s="372" t="s">
        <v>102</v>
      </c>
      <c r="C18" s="330" t="s">
        <v>36</v>
      </c>
      <c r="D18" s="358">
        <f>'0422'!Z15</f>
        <v>0</v>
      </c>
      <c r="E18" s="359">
        <f>'0422'!Z26</f>
        <v>0</v>
      </c>
      <c r="F18" s="359">
        <f>'0422'!Z37</f>
        <v>0</v>
      </c>
      <c r="G18" s="360">
        <f>'0422'!Z48</f>
        <v>0</v>
      </c>
      <c r="H18" s="360">
        <f>'0422'!Z58</f>
        <v>0</v>
      </c>
      <c r="I18" s="359">
        <f>'0422'!Z69</f>
        <v>0</v>
      </c>
      <c r="J18" s="359">
        <f>'0422'!AA79</f>
        <v>0</v>
      </c>
    </row>
    <row r="19" spans="2:10" ht="17.25" customHeight="1">
      <c r="B19" s="373"/>
      <c r="C19" s="330" t="s">
        <v>37</v>
      </c>
      <c r="D19" s="358">
        <f>'0422'!AA15</f>
        <v>0</v>
      </c>
      <c r="E19" s="359">
        <f>'0422'!AA26</f>
        <v>0</v>
      </c>
      <c r="F19" s="359">
        <f>'0422'!AA37</f>
        <v>0</v>
      </c>
      <c r="G19" s="360">
        <f>'0422'!AA48</f>
        <v>0</v>
      </c>
      <c r="H19" s="360">
        <f>'0422'!AA58</f>
        <v>0</v>
      </c>
      <c r="I19" s="359">
        <f>'0422'!AA69</f>
        <v>0</v>
      </c>
      <c r="J19" s="359">
        <f>'0422'!AB79</f>
        <v>0</v>
      </c>
    </row>
    <row r="20" spans="2:10" ht="17.25" customHeight="1">
      <c r="B20" s="372" t="s">
        <v>103</v>
      </c>
      <c r="C20" s="330" t="s">
        <v>36</v>
      </c>
      <c r="D20" s="358">
        <f>'0422'!AD15</f>
        <v>0</v>
      </c>
      <c r="E20" s="359">
        <f>'0422'!AD26</f>
        <v>0</v>
      </c>
      <c r="F20" s="359">
        <f>'0422'!AD37</f>
        <v>0</v>
      </c>
      <c r="G20" s="360">
        <f>'0422'!AD48</f>
        <v>0</v>
      </c>
      <c r="H20" s="360">
        <f>'0422'!AD58</f>
        <v>0</v>
      </c>
      <c r="I20" s="359">
        <f>'0422'!AD69</f>
        <v>0</v>
      </c>
      <c r="J20" s="359">
        <f>'0422'!AD79</f>
        <v>0</v>
      </c>
    </row>
    <row r="21" spans="2:10" ht="17.25" customHeight="1">
      <c r="B21" s="373"/>
      <c r="C21" s="330" t="s">
        <v>85</v>
      </c>
      <c r="D21" s="358">
        <f>'0422'!AE15</f>
        <v>0</v>
      </c>
      <c r="E21" s="359">
        <f>'0422'!AE26</f>
        <v>0</v>
      </c>
      <c r="F21" s="359">
        <f>'0422'!AE37</f>
        <v>0</v>
      </c>
      <c r="G21" s="360">
        <f>'0422'!AE48</f>
        <v>0</v>
      </c>
      <c r="H21" s="360">
        <f>'0422'!AE58</f>
        <v>0</v>
      </c>
      <c r="I21" s="359">
        <f>'0422'!AE69</f>
        <v>0</v>
      </c>
      <c r="J21" s="359">
        <f>'0422'!AE79</f>
        <v>0</v>
      </c>
    </row>
    <row r="22" spans="2:10" ht="17.25" customHeight="1">
      <c r="B22" s="364" t="s">
        <v>104</v>
      </c>
      <c r="C22" s="365"/>
      <c r="D22" s="23">
        <f>VALUE('0422'!M15)</f>
        <v>15</v>
      </c>
      <c r="E22" s="23">
        <f>VALUE('0422'!M26)</f>
        <v>13.4</v>
      </c>
      <c r="F22" s="23">
        <f>VALUE('0422'!M37)</f>
        <v>16</v>
      </c>
      <c r="G22" s="23">
        <f>VALUE('0422'!M48)</f>
        <v>15.333333333333334</v>
      </c>
      <c r="H22" s="23">
        <f>VALUE('0422'!M58)</f>
        <v>16.600000000000001</v>
      </c>
      <c r="I22" s="23">
        <f>VALUE('0422'!M69)</f>
        <v>12</v>
      </c>
      <c r="J22" s="23">
        <f>'0422'!M79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7FE2-6D84-4D00-86B5-71899D9C7D72}">
  <sheetPr>
    <tabColor theme="9" tint="0.79998168889431442"/>
  </sheetPr>
  <dimension ref="A1:AJ92"/>
  <sheetViews>
    <sheetView zoomScale="73" zoomScaleNormal="73" workbookViewId="0">
      <pane xSplit="5" ySplit="4" topLeftCell="F53" activePane="bottomRight" state="frozen"/>
      <selection activeCell="U53" sqref="U53"/>
      <selection pane="topRight" activeCell="U53" sqref="U53"/>
      <selection pane="bottomLeft" activeCell="U53" sqref="U53"/>
      <selection pane="bottomRight" activeCell="J39" sqref="J3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55651</v>
      </c>
      <c r="F1" s="30" t="s">
        <v>2</v>
      </c>
      <c r="G1" s="31">
        <f>SUM(H5:H79)</f>
        <v>2657296.415</v>
      </c>
      <c r="H1" s="32" t="s">
        <v>3</v>
      </c>
      <c r="I1" s="33">
        <f>M15+M26+M48+M58+M69+M79+M37</f>
        <v>99.333333333333343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218</v>
      </c>
      <c r="B2" s="483"/>
      <c r="C2" s="28"/>
      <c r="D2" s="28" t="s">
        <v>14</v>
      </c>
      <c r="E2" s="35">
        <f>AVERAGE(O15,O26,O37,O48,O58,O69,O79)</f>
        <v>105.03541883811235</v>
      </c>
      <c r="F2" s="36" t="s">
        <v>15</v>
      </c>
      <c r="G2" s="37">
        <f>G1/E1</f>
        <v>47.749302168873875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3571</v>
      </c>
      <c r="H5" s="43">
        <f>F5*G5</f>
        <v>203082.77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1983.8888888888887</v>
      </c>
      <c r="O5" s="47">
        <f>N5/M5</f>
        <v>132.25925925925924</v>
      </c>
      <c r="P5" s="49">
        <f>M5-J5</f>
        <v>0</v>
      </c>
      <c r="Q5" s="50">
        <f>O5-L5</f>
        <v>-8.9407407407407504</v>
      </c>
      <c r="R5" s="51">
        <f>O5/L5</f>
        <v>0.9366803063686916</v>
      </c>
      <c r="S5" s="415">
        <f>R15</f>
        <v>0.94390714933194486</v>
      </c>
      <c r="T5" s="319">
        <v>0.28819444444444398</v>
      </c>
      <c r="U5" s="320">
        <v>0.36319444444444399</v>
      </c>
      <c r="V5" s="53"/>
      <c r="W5" s="54">
        <f t="shared" ref="W5:W14" si="0">(U5-T5)*24*60</f>
        <v>108.00000000000001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-134.11111111111131</v>
      </c>
      <c r="AG5" s="52">
        <f t="shared" ref="AG5:AG11" si="2">N5/K5</f>
        <v>0.9366803063686916</v>
      </c>
      <c r="AH5" s="403">
        <f>AG15</f>
        <v>0.94390714933194464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3640</v>
      </c>
      <c r="H6" s="63">
        <f>F6*G6</f>
        <v>178869.6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1949.9999999999945</v>
      </c>
      <c r="O6" s="67">
        <f>N6/M6</f>
        <v>129.99999999999963</v>
      </c>
      <c r="P6" s="69">
        <f>M6-J6</f>
        <v>0</v>
      </c>
      <c r="Q6" s="70">
        <f>O6-L6</f>
        <v>-11.200000000000358</v>
      </c>
      <c r="R6" s="71">
        <f>O6/L6</f>
        <v>0.9206798866855499</v>
      </c>
      <c r="S6" s="416"/>
      <c r="T6" s="16">
        <v>0.36875000000000002</v>
      </c>
      <c r="U6" s="16">
        <v>0.44652777777777802</v>
      </c>
      <c r="V6" s="30">
        <f>(T6-U5)*24*60</f>
        <v>8.000000000000691</v>
      </c>
      <c r="W6" s="73">
        <f t="shared" si="0"/>
        <v>112.00000000000033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-168.00000000000546</v>
      </c>
      <c r="AG6" s="72">
        <f t="shared" si="2"/>
        <v>0.92067988668554979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1594</v>
      </c>
      <c r="H7" s="78">
        <f>F7*G7</f>
        <v>92722.98</v>
      </c>
      <c r="I7" s="73"/>
      <c r="J7" s="79">
        <v>15</v>
      </c>
      <c r="K7" s="80">
        <f>VLOOKUP(D7,產線配置圖!$A$3:$C$38,3,0)</f>
        <v>2000</v>
      </c>
      <c r="L7" s="81">
        <f>K7/J7</f>
        <v>133.33333333333334</v>
      </c>
      <c r="M7" s="82">
        <v>15</v>
      </c>
      <c r="N7" s="80">
        <f>G7/W7*60</f>
        <v>1912.8000000000129</v>
      </c>
      <c r="O7" s="81">
        <f>N7/M7</f>
        <v>127.52000000000086</v>
      </c>
      <c r="P7" s="74">
        <f>M7-J7</f>
        <v>0</v>
      </c>
      <c r="Q7" s="83">
        <f>O7-L7</f>
        <v>-5.8133333333324799</v>
      </c>
      <c r="R7" s="72">
        <f>O7/L7</f>
        <v>0.95640000000000636</v>
      </c>
      <c r="S7" s="416"/>
      <c r="T7" s="18">
        <v>0.45138888888888901</v>
      </c>
      <c r="U7" s="18">
        <v>0.48611111111111099</v>
      </c>
      <c r="V7" s="30">
        <f>(T7-U6)*24*60</f>
        <v>6.9999999999998153</v>
      </c>
      <c r="W7" s="73">
        <f t="shared" si="0"/>
        <v>49.999999999999659</v>
      </c>
      <c r="X7" s="22">
        <v>0.49305555555555602</v>
      </c>
      <c r="Y7" s="84">
        <v>0.53472222222222199</v>
      </c>
      <c r="Z7" s="90"/>
      <c r="AA7" s="90"/>
      <c r="AB7" s="409"/>
      <c r="AC7" s="409"/>
      <c r="AD7" s="92"/>
      <c r="AE7" s="92"/>
      <c r="AF7" s="307">
        <f t="shared" si="1"/>
        <v>-87.199999999987085</v>
      </c>
      <c r="AG7" s="72">
        <f t="shared" si="2"/>
        <v>0.95640000000000647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2188</v>
      </c>
      <c r="H8" s="78">
        <f t="shared" ref="H8:H9" si="3">F8*G8</f>
        <v>127275.96</v>
      </c>
      <c r="I8" s="73"/>
      <c r="J8" s="79">
        <v>15</v>
      </c>
      <c r="K8" s="80">
        <f>VLOOKUP(D8,產線配置圖!$A$3:$C$38,3,0)</f>
        <v>2000</v>
      </c>
      <c r="L8" s="81">
        <f t="shared" ref="L8:L9" si="4">K8/J8</f>
        <v>133.33333333333334</v>
      </c>
      <c r="M8" s="82">
        <v>15</v>
      </c>
      <c r="N8" s="80">
        <f t="shared" ref="N8:N9" si="5">G8/W8*60</f>
        <v>1930.5882352940837</v>
      </c>
      <c r="O8" s="81">
        <f t="shared" ref="O8:O9" si="6">N8/M8</f>
        <v>128.70588235293891</v>
      </c>
      <c r="P8" s="74">
        <f t="shared" ref="P8:P9" si="7">M8-J8</f>
        <v>0</v>
      </c>
      <c r="Q8" s="83">
        <f t="shared" ref="Q8:Q9" si="8">O8-L8</f>
        <v>-4.6274509803944284</v>
      </c>
      <c r="R8" s="72">
        <f t="shared" ref="R8:R9" si="9">O8/L8</f>
        <v>0.96529411764704176</v>
      </c>
      <c r="S8" s="416"/>
      <c r="T8" s="16">
        <v>0.53819444444444398</v>
      </c>
      <c r="U8" s="16">
        <v>0.58541666666666703</v>
      </c>
      <c r="V8" s="30">
        <f>(T8-U7)*24*60</f>
        <v>74.999999999999488</v>
      </c>
      <c r="W8" s="73">
        <f t="shared" si="0"/>
        <v>68.000000000001194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-69.411764705916312</v>
      </c>
      <c r="AG8" s="72">
        <f t="shared" si="2"/>
        <v>0.96529411764704187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2129</v>
      </c>
      <c r="H9" s="78">
        <f t="shared" si="3"/>
        <v>104619.06</v>
      </c>
      <c r="I9" s="73"/>
      <c r="J9" s="79">
        <v>15</v>
      </c>
      <c r="K9" s="80">
        <f>VLOOKUP(D9,產線配置圖!$A$3:$C$38,3,0)</f>
        <v>2118</v>
      </c>
      <c r="L9" s="81">
        <f t="shared" si="4"/>
        <v>141.19999999999999</v>
      </c>
      <c r="M9" s="82">
        <v>15</v>
      </c>
      <c r="N9" s="80">
        <f t="shared" si="5"/>
        <v>1995.937499999977</v>
      </c>
      <c r="O9" s="81">
        <f t="shared" si="6"/>
        <v>133.06249999999847</v>
      </c>
      <c r="P9" s="74">
        <f t="shared" si="7"/>
        <v>0</v>
      </c>
      <c r="Q9" s="83">
        <f t="shared" si="8"/>
        <v>-8.1375000000015234</v>
      </c>
      <c r="R9" s="72">
        <f t="shared" si="9"/>
        <v>0.94236898016996085</v>
      </c>
      <c r="S9" s="417"/>
      <c r="T9" s="16">
        <v>0.59097222222222201</v>
      </c>
      <c r="U9" s="16">
        <v>0.63541666666666696</v>
      </c>
      <c r="V9" s="30">
        <f>(T9-U8)*24*60</f>
        <v>7.9999999999991722</v>
      </c>
      <c r="W9" s="73">
        <f t="shared" si="0"/>
        <v>64.000000000000739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-122.06250000002296</v>
      </c>
      <c r="AG9" s="72">
        <f t="shared" si="2"/>
        <v>0.94236898016996085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2070.8000000000002</v>
      </c>
      <c r="L15" s="117">
        <f t="shared" si="10"/>
        <v>138.05333333333334</v>
      </c>
      <c r="M15" s="120">
        <f t="shared" si="10"/>
        <v>15</v>
      </c>
      <c r="N15" s="120">
        <f t="shared" si="10"/>
        <v>1954.6429248365912</v>
      </c>
      <c r="O15" s="117">
        <f t="shared" si="10"/>
        <v>130.30952832243943</v>
      </c>
      <c r="P15" s="121">
        <f>M15-J15</f>
        <v>0</v>
      </c>
      <c r="Q15" s="122">
        <f>O15-L15</f>
        <v>-7.743805010893908</v>
      </c>
      <c r="R15" s="123">
        <f>O15/L15</f>
        <v>0.94390714933194486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-116.15707516340899</v>
      </c>
      <c r="AG15" s="124">
        <f>N15/K15</f>
        <v>0.94390714933194464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3314</v>
      </c>
      <c r="H16" s="134">
        <f>F16*G16</f>
        <v>167920.38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1988.4000000000137</v>
      </c>
      <c r="O16" s="141">
        <f>N16/M16</f>
        <v>152.95384615384722</v>
      </c>
      <c r="P16" s="142">
        <f>M16-J16</f>
        <v>0</v>
      </c>
      <c r="Q16" s="143">
        <f>O16-L16</f>
        <v>-9.9692307692297106</v>
      </c>
      <c r="R16" s="144">
        <f>O16/L16</f>
        <v>0.93881019830028978</v>
      </c>
      <c r="S16" s="443">
        <f>R26</f>
        <v>0.87901328223155806</v>
      </c>
      <c r="T16" s="145">
        <v>0.29027777777777802</v>
      </c>
      <c r="U16" s="145">
        <v>0.359722222222222</v>
      </c>
      <c r="V16" s="135"/>
      <c r="W16" s="146">
        <f t="shared" ref="W16:W78" si="11">(U16-T16)*24*60</f>
        <v>99.999999999999318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-129.59999999998627</v>
      </c>
      <c r="AG16" s="52">
        <f>N16/K16</f>
        <v>0.93881019830028978</v>
      </c>
      <c r="AH16" s="403">
        <f>AG26</f>
        <v>0.87136712343024247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1819</v>
      </c>
      <c r="H17" s="78">
        <f>F17*G17</f>
        <v>102973.59</v>
      </c>
      <c r="I17" s="30"/>
      <c r="J17" s="79">
        <v>15</v>
      </c>
      <c r="K17" s="80">
        <f>VLOOKUP(D17,產線配置圖!$A$3:$C$38,3,0)</f>
        <v>2000</v>
      </c>
      <c r="L17" s="81">
        <f>K17/J17</f>
        <v>133.33333333333334</v>
      </c>
      <c r="M17" s="148">
        <v>15</v>
      </c>
      <c r="N17" s="95">
        <f>G17/W17*60</f>
        <v>1818.9999999999845</v>
      </c>
      <c r="O17" s="96">
        <f>N17/M17</f>
        <v>121.26666666666564</v>
      </c>
      <c r="P17" s="97">
        <f>M17-J17</f>
        <v>0</v>
      </c>
      <c r="Q17" s="98">
        <f>O17-L17</f>
        <v>-12.0666666666677</v>
      </c>
      <c r="R17" s="99">
        <f>O17/L17</f>
        <v>0.9094999999999922</v>
      </c>
      <c r="S17" s="444"/>
      <c r="T17" s="19">
        <v>0.36597222222222198</v>
      </c>
      <c r="U17" s="19">
        <v>0.40763888888888899</v>
      </c>
      <c r="V17" s="30">
        <f>(T17-U16)*24*60</f>
        <v>8.999999999999968</v>
      </c>
      <c r="W17" s="149">
        <f t="shared" si="11"/>
        <v>60.000000000000504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-181.00000000001546</v>
      </c>
      <c r="AG17" s="72">
        <f>N17/K17</f>
        <v>0.90949999999999231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3644</v>
      </c>
      <c r="H18" s="78">
        <f>F18*G18</f>
        <v>183621.16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2005.8715596330389</v>
      </c>
      <c r="O18" s="96">
        <f>N18/M18</f>
        <v>167.15596330275324</v>
      </c>
      <c r="P18" s="97">
        <f>M18-J18</f>
        <v>0</v>
      </c>
      <c r="Q18" s="98">
        <f>O18-L18</f>
        <v>-9.3440366972467643</v>
      </c>
      <c r="R18" s="99">
        <f>O18/L18</f>
        <v>0.9470592821685736</v>
      </c>
      <c r="S18" s="444"/>
      <c r="T18" s="19">
        <v>0.41388888888888897</v>
      </c>
      <c r="U18" s="19">
        <v>0.48958333333333298</v>
      </c>
      <c r="V18" s="30">
        <f>(T18-U17)*24*60</f>
        <v>8.999999999999968</v>
      </c>
      <c r="W18" s="149">
        <f t="shared" si="11"/>
        <v>108.99999999999937</v>
      </c>
      <c r="X18" s="22">
        <v>0.49305555555555602</v>
      </c>
      <c r="Y18" s="84">
        <v>0.53472222222222199</v>
      </c>
      <c r="Z18" s="90"/>
      <c r="AA18" s="90"/>
      <c r="AB18" s="409"/>
      <c r="AC18" s="409"/>
      <c r="AD18" s="92"/>
      <c r="AE18" s="92"/>
      <c r="AF18" s="307">
        <f>N18-K18</f>
        <v>-112.12844036696106</v>
      </c>
      <c r="AG18" s="72">
        <f>N18/K18</f>
        <v>0.9470592821685736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1076</v>
      </c>
      <c r="H19" s="78">
        <f t="shared" ref="H19:H20" si="12">F19*G19</f>
        <v>54219.64</v>
      </c>
      <c r="I19" s="30"/>
      <c r="J19" s="79">
        <v>12</v>
      </c>
      <c r="K19" s="80">
        <f>VLOOKUP(D19,產線配置圖!$A$3:$C$38,3,0)</f>
        <v>2118</v>
      </c>
      <c r="L19" s="81">
        <f t="shared" ref="L19:L20" si="13">K19/J19</f>
        <v>176.5</v>
      </c>
      <c r="M19" s="148">
        <v>12</v>
      </c>
      <c r="N19" s="95">
        <f t="shared" ref="N19:N20" si="14">G19/W19*60</f>
        <v>1956.3636363636906</v>
      </c>
      <c r="O19" s="96">
        <f t="shared" ref="O19:O20" si="15">N19/M19</f>
        <v>163.03030303030755</v>
      </c>
      <c r="P19" s="97">
        <f t="shared" ref="P19:P20" si="16">M19-J19</f>
        <v>0</v>
      </c>
      <c r="Q19" s="98">
        <f t="shared" ref="Q19:Q20" si="17">O19-L19</f>
        <v>-13.46969696969245</v>
      </c>
      <c r="R19" s="99">
        <f t="shared" ref="R19:R20" si="18">O19/L19</f>
        <v>0.92368443643233744</v>
      </c>
      <c r="S19" s="444"/>
      <c r="T19" s="19">
        <v>0.54027777777777797</v>
      </c>
      <c r="U19" s="19">
        <v>0.563194444444444</v>
      </c>
      <c r="V19" s="30">
        <f>(T19-U18)*24*60</f>
        <v>73.000000000000782</v>
      </c>
      <c r="W19" s="149">
        <f t="shared" si="11"/>
        <v>32.999999999999083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-161.6363636363094</v>
      </c>
      <c r="AG19" s="72">
        <f>N19/K19</f>
        <v>0.92368443643233744</v>
      </c>
      <c r="AH19" s="406"/>
    </row>
    <row r="20" spans="1:34" ht="15" customHeight="1">
      <c r="A20" s="450"/>
      <c r="B20" s="75" t="s">
        <v>81</v>
      </c>
      <c r="C20" s="76"/>
      <c r="D20" s="59" t="s">
        <v>182</v>
      </c>
      <c r="E20" s="77"/>
      <c r="F20" s="75">
        <f>VLOOKUP(D20,廠價表!$C$1:$E$43,3,0)</f>
        <v>56.61</v>
      </c>
      <c r="G20" s="147">
        <v>334</v>
      </c>
      <c r="H20" s="78">
        <f t="shared" si="12"/>
        <v>18907.740000000002</v>
      </c>
      <c r="I20" s="30"/>
      <c r="J20" s="79">
        <v>15</v>
      </c>
      <c r="K20" s="80">
        <f>VLOOKUP(D20,產線配置圖!$A$3:$C$38,3,0)</f>
        <v>2000</v>
      </c>
      <c r="L20" s="81">
        <f t="shared" si="13"/>
        <v>133.33333333333334</v>
      </c>
      <c r="M20" s="148">
        <v>15</v>
      </c>
      <c r="N20" s="95">
        <f t="shared" si="14"/>
        <v>1252.5000000000045</v>
      </c>
      <c r="O20" s="96">
        <f t="shared" si="15"/>
        <v>83.500000000000298</v>
      </c>
      <c r="P20" s="97">
        <f t="shared" si="16"/>
        <v>0</v>
      </c>
      <c r="Q20" s="98">
        <f t="shared" si="17"/>
        <v>-49.833333333333044</v>
      </c>
      <c r="R20" s="99">
        <f t="shared" si="18"/>
        <v>0.62625000000000219</v>
      </c>
      <c r="S20" s="444"/>
      <c r="T20" s="19">
        <v>0.56874999999999998</v>
      </c>
      <c r="U20" s="19">
        <v>0.57986111111111105</v>
      </c>
      <c r="V20" s="30">
        <f>(T20-U19)*24*60</f>
        <v>8.0000000000006111</v>
      </c>
      <c r="W20" s="149">
        <f t="shared" si="11"/>
        <v>15.999999999999943</v>
      </c>
      <c r="X20" s="19"/>
      <c r="Y20" s="297"/>
      <c r="Z20" s="90"/>
      <c r="AA20" s="90"/>
      <c r="AB20" s="409" t="s">
        <v>219</v>
      </c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1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1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19">AVERAGE(J16:J25)</f>
        <v>13.4</v>
      </c>
      <c r="K26" s="155">
        <f t="shared" si="19"/>
        <v>2070.8000000000002</v>
      </c>
      <c r="L26" s="158">
        <f t="shared" si="19"/>
        <v>156.51794871794874</v>
      </c>
      <c r="M26" s="155">
        <f t="shared" si="19"/>
        <v>13.4</v>
      </c>
      <c r="N26" s="155">
        <f t="shared" si="19"/>
        <v>1804.4270391993464</v>
      </c>
      <c r="O26" s="158">
        <f t="shared" si="19"/>
        <v>137.58135583071481</v>
      </c>
      <c r="P26" s="159">
        <f>M26-J26</f>
        <v>0</v>
      </c>
      <c r="Q26" s="160">
        <f>O26-L26</f>
        <v>-18.936592887233928</v>
      </c>
      <c r="R26" s="161">
        <f>O26/L26</f>
        <v>0.87901328223155806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0">N26-K26</f>
        <v>-266.3729608006538</v>
      </c>
      <c r="AG26" s="124">
        <f t="shared" ref="AG26:AG31" si="21">N26/K26</f>
        <v>0.87136712343024247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3603</v>
      </c>
      <c r="H27" s="134">
        <f>F27*G27</f>
        <v>181191.26699999999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16</v>
      </c>
      <c r="N27" s="140">
        <f>G27/W27*60</f>
        <v>1108.6153846153904</v>
      </c>
      <c r="O27" s="141">
        <f>N27/M27</f>
        <v>69.288461538461902</v>
      </c>
      <c r="P27" s="142">
        <f>M27-J27</f>
        <v>-2</v>
      </c>
      <c r="Q27" s="143">
        <f>O27-L27</f>
        <v>-17.65598290598254</v>
      </c>
      <c r="R27" s="144">
        <f>O27/L27</f>
        <v>0.79692799213566412</v>
      </c>
      <c r="S27" s="443">
        <f>R37</f>
        <v>0.75824834111575234</v>
      </c>
      <c r="T27" s="171">
        <v>0.33680555555555602</v>
      </c>
      <c r="U27" s="171">
        <v>0.47222222222222199</v>
      </c>
      <c r="V27" s="135"/>
      <c r="W27" s="146">
        <f t="shared" si="11"/>
        <v>194.99999999999898</v>
      </c>
      <c r="X27" s="145">
        <v>0.47916666666666702</v>
      </c>
      <c r="Y27" s="363">
        <v>0.52083333333333304</v>
      </c>
      <c r="Z27" s="169"/>
      <c r="AA27" s="169"/>
      <c r="AB27" s="420" t="s">
        <v>220</v>
      </c>
      <c r="AC27" s="420"/>
      <c r="AD27" s="135"/>
      <c r="AE27" s="135"/>
      <c r="AF27" s="310">
        <f t="shared" si="20"/>
        <v>-456.38461538460956</v>
      </c>
      <c r="AG27" s="172">
        <f t="shared" si="21"/>
        <v>0.70838043745392365</v>
      </c>
      <c r="AH27" s="403">
        <f>AG37</f>
        <v>0.67399852543622429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2002</v>
      </c>
      <c r="H28" s="91">
        <f>F28*G28</f>
        <v>100678.57800000001</v>
      </c>
      <c r="I28" s="92"/>
      <c r="J28" s="79">
        <f>VLOOKUP(D28,產線配置圖!$A$3:$C$38,2,0)</f>
        <v>18</v>
      </c>
      <c r="K28" s="80">
        <f>VLOOKUP(D28,產線配置圖!$A$3:$C$38,3,0)</f>
        <v>1565</v>
      </c>
      <c r="L28" s="93">
        <f>K28/J28</f>
        <v>86.944444444444443</v>
      </c>
      <c r="M28" s="94">
        <v>16</v>
      </c>
      <c r="N28" s="95">
        <f>G28/W28*60</f>
        <v>1000.9999999999915</v>
      </c>
      <c r="O28" s="96">
        <f>N28/M28</f>
        <v>62.562499999999467</v>
      </c>
      <c r="P28" s="97">
        <f>M28-J28</f>
        <v>-2</v>
      </c>
      <c r="Q28" s="98">
        <f>O28-L28</f>
        <v>-24.381944444444976</v>
      </c>
      <c r="R28" s="99">
        <f>O28/L28</f>
        <v>0.71956869009584057</v>
      </c>
      <c r="S28" s="444"/>
      <c r="T28" s="19">
        <v>0.53472222222222199</v>
      </c>
      <c r="U28" s="19">
        <v>0.61805555555555602</v>
      </c>
      <c r="V28" s="92">
        <f>(T28-U27)*24*60</f>
        <v>90</v>
      </c>
      <c r="W28" s="149">
        <f t="shared" si="11"/>
        <v>120.00000000000101</v>
      </c>
      <c r="X28" s="174"/>
      <c r="Y28" s="301"/>
      <c r="Z28" s="335"/>
      <c r="AA28" s="335"/>
      <c r="AB28" s="409" t="s">
        <v>221</v>
      </c>
      <c r="AC28" s="409"/>
      <c r="AD28" s="92"/>
      <c r="AE28" s="92"/>
      <c r="AF28" s="311">
        <f t="shared" si="20"/>
        <v>-564.00000000000853</v>
      </c>
      <c r="AG28" s="99">
        <f t="shared" si="21"/>
        <v>0.63961661341852494</v>
      </c>
      <c r="AH28" s="404"/>
    </row>
    <row r="29" spans="1:34" ht="15" customHeight="1">
      <c r="A29" s="44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44"/>
      <c r="T29" s="19"/>
      <c r="U29" s="19"/>
      <c r="V29" s="92"/>
      <c r="W29" s="149">
        <f t="shared" si="11"/>
        <v>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20"/>
        <v>0</v>
      </c>
      <c r="AG29" s="99" t="e">
        <f t="shared" si="21"/>
        <v>#DIV/0!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0"/>
        <v>0</v>
      </c>
      <c r="AG30" s="99" t="e">
        <f t="shared" si="21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0"/>
        <v>0</v>
      </c>
      <c r="AG31" s="99" t="e">
        <f t="shared" si="21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22">AVERAGE(J27:J36)</f>
        <v>18</v>
      </c>
      <c r="K37" s="155">
        <f t="shared" si="22"/>
        <v>1565</v>
      </c>
      <c r="L37" s="158">
        <f t="shared" si="22"/>
        <v>86.944444444444443</v>
      </c>
      <c r="M37" s="155">
        <f t="shared" si="22"/>
        <v>16</v>
      </c>
      <c r="N37" s="155">
        <f t="shared" si="22"/>
        <v>1054.807692307691</v>
      </c>
      <c r="O37" s="158">
        <f t="shared" si="22"/>
        <v>65.925480769230688</v>
      </c>
      <c r="P37" s="159">
        <f>M37-J37</f>
        <v>-2</v>
      </c>
      <c r="Q37" s="160">
        <f>N37-K37</f>
        <v>-510.19230769230899</v>
      </c>
      <c r="R37" s="161">
        <f>O37/L37</f>
        <v>0.75824834111575234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-510.19230769230899</v>
      </c>
      <c r="AG37" s="124">
        <f>N37/K37</f>
        <v>0.67399852543622429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2228</v>
      </c>
      <c r="H38" s="134">
        <f>F38*G38</f>
        <v>111199.48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14</v>
      </c>
      <c r="N38" s="140">
        <f>G38/W38*60</f>
        <v>1437.419354838695</v>
      </c>
      <c r="O38" s="141">
        <f>N38/M38</f>
        <v>102.67281105990678</v>
      </c>
      <c r="P38" s="142">
        <f>M38-J38</f>
        <v>-1</v>
      </c>
      <c r="Q38" s="143">
        <f>O38-L38</f>
        <v>-11.593855606759888</v>
      </c>
      <c r="R38" s="144">
        <f>O38/L38</f>
        <v>0.898536852916337</v>
      </c>
      <c r="S38" s="433">
        <f>R48</f>
        <v>0.88798710538703962</v>
      </c>
      <c r="T38" s="191">
        <v>0.33333333333333298</v>
      </c>
      <c r="U38" s="191">
        <v>0.39791666666666697</v>
      </c>
      <c r="V38" s="192"/>
      <c r="W38" s="193">
        <f t="shared" si="11"/>
        <v>93.000000000000952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-276.58064516130503</v>
      </c>
      <c r="AG38" s="195">
        <f>N38/K38</f>
        <v>0.83863439605524792</v>
      </c>
      <c r="AH38" s="436">
        <f>AG48</f>
        <v>0.86654237055131389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3136</v>
      </c>
      <c r="H39" s="91">
        <f>F39*G39</f>
        <v>138924.79999999999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1447.3846153846116</v>
      </c>
      <c r="O39" s="203">
        <f>N39/M39</f>
        <v>90.461538461538225</v>
      </c>
      <c r="P39" s="97">
        <f>M39-J39</f>
        <v>0</v>
      </c>
      <c r="Q39" s="98">
        <f>O39-L39</f>
        <v>-7.3509615384617746</v>
      </c>
      <c r="R39" s="99">
        <f>O39/L39</f>
        <v>0.92484639960678061</v>
      </c>
      <c r="S39" s="434"/>
      <c r="T39" s="20">
        <v>0.40277777777777801</v>
      </c>
      <c r="U39" s="20">
        <v>0.49305555555555602</v>
      </c>
      <c r="V39" s="92">
        <f>(T39-U38)*24*60</f>
        <v>6.9999999999998952</v>
      </c>
      <c r="W39" s="205">
        <f t="shared" si="11"/>
        <v>130.00000000000034</v>
      </c>
      <c r="X39" s="22">
        <v>0.5</v>
      </c>
      <c r="Y39" s="84">
        <v>0.54166666666666696</v>
      </c>
      <c r="Z39" s="90"/>
      <c r="AA39" s="90"/>
      <c r="AB39" s="408"/>
      <c r="AC39" s="408"/>
      <c r="AD39" s="200"/>
      <c r="AE39" s="200"/>
      <c r="AF39" s="314">
        <f>N39-K39</f>
        <v>-117.61538461538839</v>
      </c>
      <c r="AG39" s="206">
        <f>N39/K39</f>
        <v>0.92484639960678061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722</v>
      </c>
      <c r="H40" s="91">
        <f>F40*G40</f>
        <v>31984.6</v>
      </c>
      <c r="I40" s="200"/>
      <c r="J40" s="148">
        <v>16</v>
      </c>
      <c r="K40" s="95">
        <f>VLOOKUP(D40,產線配置圖!$A$3:$C$38,3,0)</f>
        <v>1565</v>
      </c>
      <c r="L40" s="96">
        <f>K40/J40</f>
        <v>97.8125</v>
      </c>
      <c r="M40" s="201">
        <v>16</v>
      </c>
      <c r="N40" s="202">
        <f>G40/W40*60</f>
        <v>1312.7272727272582</v>
      </c>
      <c r="O40" s="203">
        <f>N40/M40</f>
        <v>82.045454545453637</v>
      </c>
      <c r="P40" s="97">
        <f>M40-J40</f>
        <v>0</v>
      </c>
      <c r="Q40" s="98">
        <f>O40-L40</f>
        <v>-15.767045454546363</v>
      </c>
      <c r="R40" s="99">
        <f>O40/L40</f>
        <v>0.83880336915479758</v>
      </c>
      <c r="S40" s="416"/>
      <c r="T40" s="20">
        <v>0.54861111111111105</v>
      </c>
      <c r="U40" s="20">
        <v>0.57152777777777797</v>
      </c>
      <c r="V40" s="92">
        <f>(T40-U39)*24*60</f>
        <v>79.999999999999233</v>
      </c>
      <c r="W40" s="205">
        <f t="shared" si="11"/>
        <v>33.000000000000362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-252.2727272727418</v>
      </c>
      <c r="AG40" s="206">
        <f>N40/K40</f>
        <v>0.83880336915479758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23">AVERAGE(J38:J47)</f>
        <v>15.666666666666666</v>
      </c>
      <c r="K48" s="155">
        <f t="shared" si="23"/>
        <v>1614.6666666666667</v>
      </c>
      <c r="L48" s="158">
        <f t="shared" si="23"/>
        <v>103.29722222222222</v>
      </c>
      <c r="M48" s="155">
        <f t="shared" si="23"/>
        <v>15.333333333333334</v>
      </c>
      <c r="N48" s="155">
        <f t="shared" si="23"/>
        <v>1399.1770809835216</v>
      </c>
      <c r="O48" s="158">
        <f t="shared" si="23"/>
        <v>91.726601355632894</v>
      </c>
      <c r="P48" s="221">
        <f>M48-J48</f>
        <v>-0.33333333333333215</v>
      </c>
      <c r="Q48" s="222">
        <f>N48-K48</f>
        <v>-215.48958568314515</v>
      </c>
      <c r="R48" s="223">
        <f>O48/L48</f>
        <v>0.88798710538703962</v>
      </c>
      <c r="S48" s="419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24">N48-K48</f>
        <v>-215.48958568314515</v>
      </c>
      <c r="AG48" s="162">
        <f t="shared" ref="AG48:AG53" si="25">N48/K48</f>
        <v>0.86654237055131389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1981</v>
      </c>
      <c r="H49" s="134">
        <f>F49*G49</f>
        <v>98099.12000000001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1398.352941176465</v>
      </c>
      <c r="O49" s="141">
        <f>N49/M49</f>
        <v>82.256055363321479</v>
      </c>
      <c r="P49" s="229">
        <f>M49-J49</f>
        <v>0</v>
      </c>
      <c r="Q49" s="230">
        <f>O49-L49</f>
        <v>-5.9792387543255785</v>
      </c>
      <c r="R49" s="52">
        <f>O49/L49</f>
        <v>0.9322352941176435</v>
      </c>
      <c r="S49" s="415">
        <f>R58</f>
        <v>0.91103453876817997</v>
      </c>
      <c r="T49" s="191">
        <v>0.28819444444444398</v>
      </c>
      <c r="U49" s="191">
        <v>0.34722222222222199</v>
      </c>
      <c r="V49" s="55"/>
      <c r="W49" s="236">
        <f t="shared" si="11"/>
        <v>85.000000000000341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24"/>
        <v>-101.64705882353496</v>
      </c>
      <c r="AG49" s="52">
        <f t="shared" si="25"/>
        <v>0.93223529411764339</v>
      </c>
      <c r="AH49" s="403">
        <f>AG58</f>
        <v>0.91126799376202083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3310</v>
      </c>
      <c r="H50" s="231">
        <f>F50*G50</f>
        <v>165400.69999999998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1668.907563025208</v>
      </c>
      <c r="O50" s="235">
        <f>N50/M50</f>
        <v>104.3067226890755</v>
      </c>
      <c r="P50" s="74">
        <f>M50-J50</f>
        <v>0</v>
      </c>
      <c r="Q50" s="83">
        <f>O50-L50</f>
        <v>-8.1932773109245005</v>
      </c>
      <c r="R50" s="72">
        <f>O50/L50</f>
        <v>0.92717086834733775</v>
      </c>
      <c r="S50" s="416"/>
      <c r="T50" s="21">
        <v>0.35208333333333303</v>
      </c>
      <c r="U50" s="21">
        <v>0.43472222222222201</v>
      </c>
      <c r="V50" s="30">
        <f>(T50-U49)*24*60</f>
        <v>6.9999999999998952</v>
      </c>
      <c r="W50" s="236">
        <f t="shared" si="11"/>
        <v>119.00000000000014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24"/>
        <v>-131.09243697479201</v>
      </c>
      <c r="AG50" s="72">
        <f t="shared" si="25"/>
        <v>0.92717086834733775</v>
      </c>
      <c r="AH50" s="405"/>
    </row>
    <row r="51" spans="1:34" ht="15" customHeight="1">
      <c r="A51" s="428"/>
      <c r="B51" s="75" t="s">
        <v>81</v>
      </c>
      <c r="C51" s="76"/>
      <c r="D51" s="59" t="s">
        <v>113</v>
      </c>
      <c r="E51" s="77"/>
      <c r="F51" s="75">
        <f>VLOOKUP(D51,廠價表!$C$1:$E$43,3,0)</f>
        <v>57.21</v>
      </c>
      <c r="G51" s="202">
        <v>1497</v>
      </c>
      <c r="H51" s="231">
        <f>F51*G51</f>
        <v>85643.37</v>
      </c>
      <c r="I51" s="232"/>
      <c r="J51" s="79">
        <v>17</v>
      </c>
      <c r="K51" s="80">
        <v>1716</v>
      </c>
      <c r="L51" s="81">
        <f>K51/J51</f>
        <v>100.94117647058823</v>
      </c>
      <c r="M51" s="233">
        <v>17</v>
      </c>
      <c r="N51" s="234">
        <f>G51/W51*60</f>
        <v>1575.7894736842227</v>
      </c>
      <c r="O51" s="235">
        <f>N51/M51</f>
        <v>92.693498452013102</v>
      </c>
      <c r="P51" s="74">
        <f>M51-J51</f>
        <v>0</v>
      </c>
      <c r="Q51" s="83">
        <f>O51-L51</f>
        <v>-8.2476780185751295</v>
      </c>
      <c r="R51" s="72">
        <f>O51/L51</f>
        <v>0.9182922340817149</v>
      </c>
      <c r="S51" s="416"/>
      <c r="T51" s="21">
        <v>0.44166666666666698</v>
      </c>
      <c r="U51" s="19">
        <v>0.48125000000000001</v>
      </c>
      <c r="V51" s="30">
        <f>(T51-U50)*24*60</f>
        <v>10.000000000000764</v>
      </c>
      <c r="W51" s="236">
        <f t="shared" si="11"/>
        <v>56.999999999999559</v>
      </c>
      <c r="X51" s="22">
        <v>0.48611111111111099</v>
      </c>
      <c r="Y51" s="84">
        <v>0.52777777777777801</v>
      </c>
      <c r="Z51" s="90"/>
      <c r="AA51" s="90"/>
      <c r="AB51" s="409"/>
      <c r="AC51" s="409"/>
      <c r="AD51" s="92"/>
      <c r="AE51" s="92"/>
      <c r="AF51" s="307">
        <f t="shared" si="24"/>
        <v>-140.21052631577732</v>
      </c>
      <c r="AG51" s="72">
        <f t="shared" si="25"/>
        <v>0.9182922340817149</v>
      </c>
      <c r="AH51" s="405"/>
    </row>
    <row r="52" spans="1:34" ht="15" customHeight="1">
      <c r="A52" s="428"/>
      <c r="B52" s="75" t="s">
        <v>81</v>
      </c>
      <c r="C52" s="86"/>
      <c r="D52" s="59" t="s">
        <v>113</v>
      </c>
      <c r="E52" s="87"/>
      <c r="F52" s="75">
        <f>VLOOKUP(D52,廠價表!$C$1:$E$43,3,0)</f>
        <v>57.21</v>
      </c>
      <c r="G52" s="202">
        <v>1320</v>
      </c>
      <c r="H52" s="231">
        <f t="shared" ref="H52:H53" si="26">F52*G52</f>
        <v>75517.2</v>
      </c>
      <c r="I52" s="232"/>
      <c r="J52" s="79">
        <v>17</v>
      </c>
      <c r="K52" s="80">
        <v>1716</v>
      </c>
      <c r="L52" s="81">
        <f t="shared" ref="L52:L53" si="27">K52/J52</f>
        <v>100.94117647058823</v>
      </c>
      <c r="M52" s="233">
        <v>17</v>
      </c>
      <c r="N52" s="234">
        <f t="shared" ref="N52:N53" si="28">G52/W52*60</f>
        <v>1552.9411764706181</v>
      </c>
      <c r="O52" s="235">
        <f t="shared" ref="O52:O53" si="29">N52/M52</f>
        <v>91.349480968859893</v>
      </c>
      <c r="P52" s="74">
        <f t="shared" ref="P52:P53" si="30">M52-J52</f>
        <v>0</v>
      </c>
      <c r="Q52" s="83">
        <f t="shared" ref="Q52:Q53" si="31">O52-L52</f>
        <v>-9.5916955017283385</v>
      </c>
      <c r="R52" s="72">
        <f t="shared" ref="R52:R53" si="32">O52/L52</f>
        <v>0.90497737556562829</v>
      </c>
      <c r="S52" s="416"/>
      <c r="T52" s="21">
        <v>0.54166666666666696</v>
      </c>
      <c r="U52" s="21">
        <v>0.57708333333333295</v>
      </c>
      <c r="V52" s="30">
        <f>(T52-U51)*24*60</f>
        <v>87.000000000000412</v>
      </c>
      <c r="W52" s="236">
        <f t="shared" si="11"/>
        <v>50.999999999999019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24"/>
        <v>-163.05882352938193</v>
      </c>
      <c r="AG52" s="72">
        <f t="shared" si="25"/>
        <v>0.90497737556562829</v>
      </c>
      <c r="AH52" s="405"/>
    </row>
    <row r="53" spans="1:34" ht="15" customHeight="1">
      <c r="A53" s="428"/>
      <c r="B53" s="101" t="s">
        <v>81</v>
      </c>
      <c r="C53" s="102"/>
      <c r="D53" s="103" t="s">
        <v>126</v>
      </c>
      <c r="E53" s="104"/>
      <c r="F53" s="75">
        <f>VLOOKUP(D53,廠價表!$C$1:$E$43,3,0)</f>
        <v>49.97</v>
      </c>
      <c r="G53" s="202">
        <v>2000</v>
      </c>
      <c r="H53" s="231">
        <f t="shared" si="26"/>
        <v>99940</v>
      </c>
      <c r="I53" s="232"/>
      <c r="J53" s="79">
        <f>VLOOKUP(D53,產線配置圖!$A$3:$C$38,2,0)</f>
        <v>16</v>
      </c>
      <c r="K53" s="80">
        <f>VLOOKUP(D53,產線配置圖!$A$3:$C$38,3,0)</f>
        <v>1800</v>
      </c>
      <c r="L53" s="81">
        <f t="shared" si="27"/>
        <v>112.5</v>
      </c>
      <c r="M53" s="108">
        <v>16</v>
      </c>
      <c r="N53" s="234">
        <f t="shared" si="28"/>
        <v>1578.9473684210482</v>
      </c>
      <c r="O53" s="235">
        <f t="shared" si="29"/>
        <v>98.68421052631551</v>
      </c>
      <c r="P53" s="74">
        <f t="shared" si="30"/>
        <v>0</v>
      </c>
      <c r="Q53" s="83">
        <f t="shared" si="31"/>
        <v>-13.81578947368449</v>
      </c>
      <c r="R53" s="72">
        <f t="shared" si="32"/>
        <v>0.87719298245613786</v>
      </c>
      <c r="S53" s="416"/>
      <c r="T53" s="21">
        <v>0.58263888888888904</v>
      </c>
      <c r="U53" s="21">
        <v>0.63541666666666696</v>
      </c>
      <c r="V53" s="30">
        <f>(T53-U52)*24*60</f>
        <v>8.0000000000007709</v>
      </c>
      <c r="W53" s="236">
        <f t="shared" si="11"/>
        <v>76.000000000000213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24"/>
        <v>-221.05263157895183</v>
      </c>
      <c r="AG53" s="72">
        <f t="shared" si="25"/>
        <v>0.87719298245613786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1706.4</v>
      </c>
      <c r="L58" s="117">
        <f t="shared" si="33"/>
        <v>103.02352941176471</v>
      </c>
      <c r="M58" s="120">
        <f t="shared" si="33"/>
        <v>16.600000000000001</v>
      </c>
      <c r="N58" s="120">
        <f t="shared" si="33"/>
        <v>1554.9877045555124</v>
      </c>
      <c r="O58" s="117">
        <f t="shared" si="33"/>
        <v>93.857993599917094</v>
      </c>
      <c r="P58" s="121">
        <f>M58-J58</f>
        <v>0</v>
      </c>
      <c r="Q58" s="122">
        <f>N58-K58</f>
        <v>-151.41229544448765</v>
      </c>
      <c r="R58" s="123">
        <f>O58/L58</f>
        <v>0.91103453876817997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-151.41229544448765</v>
      </c>
      <c r="AG58" s="124">
        <f>N58/K58</f>
        <v>0.91126799376202083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3593</v>
      </c>
      <c r="H59" s="243">
        <f>F59*G59</f>
        <v>96975.069999999992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14</v>
      </c>
      <c r="N59" s="137">
        <f>G59/W59*60</f>
        <v>1486.7586206896622</v>
      </c>
      <c r="O59" s="138">
        <f>N59/M59</f>
        <v>106.19704433497587</v>
      </c>
      <c r="P59" s="56">
        <f>M59-J59</f>
        <v>0</v>
      </c>
      <c r="Q59" s="230">
        <f>O59-L59</f>
        <v>-5.5886699507384208</v>
      </c>
      <c r="R59" s="52">
        <f>O59/L59</f>
        <v>0.9500055084278991</v>
      </c>
      <c r="S59" s="415">
        <f>R69</f>
        <v>0.92544155623429225</v>
      </c>
      <c r="T59" s="245">
        <v>0.29166666666666702</v>
      </c>
      <c r="U59" s="245">
        <v>0.39236111111111099</v>
      </c>
      <c r="V59" s="55"/>
      <c r="W59" s="54">
        <f t="shared" si="11"/>
        <v>144.99999999999932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-78.241379310337834</v>
      </c>
      <c r="AG59" s="246">
        <f>N59/K59</f>
        <v>0.9500055084278991</v>
      </c>
      <c r="AH59" s="403">
        <f>AG69</f>
        <v>0.92681821205785664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1625</v>
      </c>
      <c r="H60" s="78">
        <f>F60*G60</f>
        <v>45922.5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1455.2238805970392</v>
      </c>
      <c r="O60" s="81">
        <f>N60/M60</f>
        <v>121.26865671641993</v>
      </c>
      <c r="P60" s="74">
        <f>M60-J60</f>
        <v>0</v>
      </c>
      <c r="Q60" s="83">
        <f>O60-L60</f>
        <v>-9.1480099502467311</v>
      </c>
      <c r="R60" s="72">
        <f>O60/L60</f>
        <v>0.92985551475849149</v>
      </c>
      <c r="S60" s="425"/>
      <c r="T60" s="22">
        <v>0.39930555555555602</v>
      </c>
      <c r="U60" s="22">
        <v>0.44583333333333303</v>
      </c>
      <c r="V60" s="30">
        <f>(T60-U59)*24*60</f>
        <v>10.000000000000844</v>
      </c>
      <c r="W60" s="248">
        <f t="shared" si="11"/>
        <v>66.999999999998877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-109.77611940296083</v>
      </c>
      <c r="AG60" s="249">
        <f>N60/K60</f>
        <v>0.92985551475849149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1621</v>
      </c>
      <c r="H61" s="254">
        <f>F61*G61</f>
        <v>45809.46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1496.3076923076885</v>
      </c>
      <c r="O61" s="238">
        <f>N61/M61</f>
        <v>136.02797202797169</v>
      </c>
      <c r="P61" s="111">
        <f>M61-J61</f>
        <v>0</v>
      </c>
      <c r="Q61" s="255">
        <f>O61-L61</f>
        <v>-12.699300699301034</v>
      </c>
      <c r="R61" s="85">
        <f>O61/L61</f>
        <v>0.9146135038555554</v>
      </c>
      <c r="S61" s="416"/>
      <c r="T61" s="22">
        <v>0.452777777777778</v>
      </c>
      <c r="U61" s="22">
        <v>0.49791666666666701</v>
      </c>
      <c r="V61" s="30">
        <f>(T61-U60)*24*60</f>
        <v>10.000000000000764</v>
      </c>
      <c r="W61" s="256">
        <f t="shared" si="11"/>
        <v>65.000000000000171</v>
      </c>
      <c r="X61" s="22">
        <v>0.5</v>
      </c>
      <c r="Y61" s="84">
        <v>0.54166666666666696</v>
      </c>
      <c r="Z61" s="90"/>
      <c r="AA61" s="90"/>
      <c r="AB61" s="409"/>
      <c r="AC61" s="409"/>
      <c r="AD61" s="92"/>
      <c r="AE61" s="92"/>
      <c r="AF61" s="317">
        <f>N61-K61</f>
        <v>-139.69230769231149</v>
      </c>
      <c r="AG61" s="247">
        <f>N61/K61</f>
        <v>0.91461350385555529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1869</v>
      </c>
      <c r="H62" s="254">
        <f>F62*G62</f>
        <v>52817.94</v>
      </c>
      <c r="I62" s="182"/>
      <c r="J62" s="106">
        <v>11</v>
      </c>
      <c r="K62" s="107">
        <f>VLOOKUP(D62,產線配置圖!$A$3:$C$38,3,0)</f>
        <v>1636</v>
      </c>
      <c r="L62" s="238">
        <f>K62/J62</f>
        <v>148.72727272727272</v>
      </c>
      <c r="M62" s="108">
        <v>11</v>
      </c>
      <c r="N62" s="107">
        <f>G62/W62*60</f>
        <v>1495.2000000000085</v>
      </c>
      <c r="O62" s="238">
        <f>N62/M62</f>
        <v>135.9272727272735</v>
      </c>
      <c r="P62" s="111">
        <f>M62-J62</f>
        <v>0</v>
      </c>
      <c r="Q62" s="255">
        <f>O62-L62</f>
        <v>-12.799999999999216</v>
      </c>
      <c r="R62" s="85">
        <f>O62/L62</f>
        <v>0.91393643031785365</v>
      </c>
      <c r="S62" s="416"/>
      <c r="T62" s="22">
        <v>0.54513888888888895</v>
      </c>
      <c r="U62" s="22">
        <v>0.59722222222222199</v>
      </c>
      <c r="V62" s="30">
        <f>(T62-U61)*24*60</f>
        <v>67.999999999999602</v>
      </c>
      <c r="W62" s="248">
        <f t="shared" si="11"/>
        <v>74.999999999999574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-140.79999999999154</v>
      </c>
      <c r="AG62" s="247">
        <f>N62/K62</f>
        <v>0.91393643031785354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34">AVERAGE(J59:J68)</f>
        <v>12</v>
      </c>
      <c r="K69" s="240">
        <f t="shared" si="34"/>
        <v>1600.5</v>
      </c>
      <c r="L69" s="268">
        <f t="shared" si="34"/>
        <v>134.91423160173161</v>
      </c>
      <c r="M69" s="240">
        <f t="shared" si="34"/>
        <v>12</v>
      </c>
      <c r="N69" s="240">
        <f t="shared" si="34"/>
        <v>1483.3725483985995</v>
      </c>
      <c r="O69" s="268">
        <f t="shared" si="34"/>
        <v>124.85523645166023</v>
      </c>
      <c r="P69" s="269">
        <f>M69-J69</f>
        <v>0</v>
      </c>
      <c r="Q69" s="222">
        <f>N69-K69</f>
        <v>-117.12745160140048</v>
      </c>
      <c r="R69" s="123">
        <f>O69/L69</f>
        <v>0.92544155623429225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-117.12745160140048</v>
      </c>
      <c r="AG69" s="124">
        <f>N69/K69</f>
        <v>0.92681821205785664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1835</v>
      </c>
      <c r="H70" s="243">
        <f>F70*G70</f>
        <v>92979.45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11</v>
      </c>
      <c r="N70" s="137">
        <f>G70/W70*60</f>
        <v>1000.9090909091032</v>
      </c>
      <c r="O70" s="138">
        <f>N70/M70</f>
        <v>90.99173553719119</v>
      </c>
      <c r="P70" s="56">
        <f>M70-J70</f>
        <v>-2</v>
      </c>
      <c r="Q70" s="230">
        <f>O70-L70</f>
        <v>-19.777495232039584</v>
      </c>
      <c r="R70" s="52">
        <f>O70/L70</f>
        <v>0.82145316804408708</v>
      </c>
      <c r="S70" s="415">
        <f>R79</f>
        <v>0.82145316804408708</v>
      </c>
      <c r="T70" s="245">
        <v>0.33680555555555602</v>
      </c>
      <c r="U70" s="245">
        <v>0.41319444444444398</v>
      </c>
      <c r="V70" s="55"/>
      <c r="W70" s="54">
        <f t="shared" si="11"/>
        <v>109.99999999999865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-439.09090909089684</v>
      </c>
      <c r="AG70" s="246">
        <f>N70/K70</f>
        <v>0.69507575757576612</v>
      </c>
      <c r="AH70" s="403">
        <f>AG79</f>
        <v>0.69507575757576612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35">AVERAGE(J70:J78)</f>
        <v>13</v>
      </c>
      <c r="K79" s="240">
        <f t="shared" si="35"/>
        <v>1440</v>
      </c>
      <c r="L79" s="268">
        <f t="shared" si="35"/>
        <v>110.76923076923077</v>
      </c>
      <c r="M79" s="240">
        <f t="shared" si="35"/>
        <v>11</v>
      </c>
      <c r="N79" s="240">
        <f t="shared" si="35"/>
        <v>1000.9090909091032</v>
      </c>
      <c r="O79" s="268">
        <f t="shared" si="35"/>
        <v>90.99173553719119</v>
      </c>
      <c r="P79" s="269">
        <f>M79-J79</f>
        <v>-2</v>
      </c>
      <c r="Q79" s="222">
        <f>N79-K79</f>
        <v>-439.09090909089684</v>
      </c>
      <c r="R79" s="223">
        <f>O79/L79</f>
        <v>0.82145316804408708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-439.09090909089684</v>
      </c>
      <c r="AG79" s="124">
        <f>N79/K79</f>
        <v>0.69507575757576612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W3:W4"/>
    <mergeCell ref="X3:Y3"/>
    <mergeCell ref="Z3:AA3"/>
    <mergeCell ref="AB3:AC4"/>
    <mergeCell ref="N3:N4"/>
    <mergeCell ref="O3:O4"/>
    <mergeCell ref="P3:P4"/>
    <mergeCell ref="Q3:Q4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2:B2"/>
    <mergeCell ref="A3:A4"/>
    <mergeCell ref="B3:B4"/>
    <mergeCell ref="D3:E4"/>
    <mergeCell ref="F3:F4"/>
    <mergeCell ref="P1:S2"/>
    <mergeCell ref="A5:A15"/>
    <mergeCell ref="S5:S15"/>
    <mergeCell ref="AB5:AC5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879DB-3B85-4043-AACA-8DAF84EDBEE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08A-BC88-4215-B032-327DBCD86549}">
  <dimension ref="B1:O26"/>
  <sheetViews>
    <sheetView topLeftCell="A2" zoomScale="70" zoomScaleNormal="70" workbookViewId="0">
      <selection activeCell="U62" sqref="U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46135</v>
      </c>
      <c r="E3" s="399"/>
      <c r="F3" s="3" t="s">
        <v>72</v>
      </c>
      <c r="G3" s="400">
        <f>'0423'!E1</f>
        <v>51043</v>
      </c>
      <c r="H3" s="400"/>
      <c r="I3" s="3" t="s">
        <v>2</v>
      </c>
      <c r="J3" s="401">
        <f>'0423'!G1</f>
        <v>2430989.0590000004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122.29425122807477</v>
      </c>
      <c r="G6" s="397"/>
      <c r="H6" s="382">
        <f>AVERAGE(D13:H13)</f>
        <v>119.7702551533434</v>
      </c>
      <c r="I6" s="382"/>
      <c r="J6" s="382">
        <f>AVERAGE(I13)</f>
        <v>134.91423160173161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110.14809257627178</v>
      </c>
      <c r="G7" s="389"/>
      <c r="H7" s="390">
        <f>AVERAGE(D14:H14)</f>
        <v>108.86901906926259</v>
      </c>
      <c r="I7" s="390"/>
      <c r="J7" s="390">
        <f>AVERAGE(I14)</f>
        <v>116.54346011131776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0.90068086987056484</v>
      </c>
      <c r="G8" s="374"/>
      <c r="H8" s="374">
        <f>H7/H6</f>
        <v>0.90898210853668293</v>
      </c>
      <c r="I8" s="374"/>
      <c r="J8" s="374">
        <f>J7/J6</f>
        <v>0.86383370180957197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VALUE('0423'!L15)</f>
        <v>137.26666666666668</v>
      </c>
      <c r="E13" s="13">
        <f>VALUE('0423'!L26)</f>
        <v>162.31410256410257</v>
      </c>
      <c r="F13" s="13">
        <f>VALUE('0423'!L37)</f>
        <v>86.944444444444443</v>
      </c>
      <c r="G13" s="13">
        <f>VALUE('0423'!L48)</f>
        <v>108.78194444444443</v>
      </c>
      <c r="H13" s="13">
        <f>VALUE('0423'!L58)</f>
        <v>103.54411764705883</v>
      </c>
      <c r="I13" s="13">
        <f>VALUE('0423'!L69)</f>
        <v>134.91423160173161</v>
      </c>
      <c r="J13" s="13">
        <f>'0423'!L79</f>
        <v>110.76923076923077</v>
      </c>
    </row>
    <row r="14" spans="2:15" ht="39.950000000000003" customHeight="1">
      <c r="B14" s="368"/>
      <c r="C14" s="12" t="s">
        <v>100</v>
      </c>
      <c r="D14" s="13">
        <f>VALUE('0423'!O15)</f>
        <v>130.71105925471022</v>
      </c>
      <c r="E14" s="13">
        <f>VALUE('0423'!O26)</f>
        <v>150.98118504519886</v>
      </c>
      <c r="F14" s="13">
        <f>VALUE('0423'!O37)</f>
        <v>70.626193659281853</v>
      </c>
      <c r="G14" s="13">
        <f>VALUE('0423'!O48)</f>
        <v>97.476646984549745</v>
      </c>
      <c r="H14" s="13">
        <f>VALUE('0423'!O58)</f>
        <v>94.550010402572269</v>
      </c>
      <c r="I14" s="13">
        <f>VALUE('0423'!O69)</f>
        <v>116.54346011131776</v>
      </c>
      <c r="J14" s="13">
        <f>'0423'!O79</f>
        <v>92.428571428570976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0.95224181098623273</v>
      </c>
      <c r="E15" s="14">
        <f t="shared" si="1"/>
        <v>0.93017909510094465</v>
      </c>
      <c r="F15" s="14">
        <f t="shared" si="1"/>
        <v>0.81231404847736322</v>
      </c>
      <c r="G15" s="14">
        <f t="shared" si="1"/>
        <v>0.89607376924882631</v>
      </c>
      <c r="H15" s="14">
        <f t="shared" si="1"/>
        <v>0.91313743891136401</v>
      </c>
      <c r="I15" s="14">
        <f t="shared" si="1"/>
        <v>0.86383370180957197</v>
      </c>
      <c r="J15" s="15">
        <f>'0423'!S70</f>
        <v>0.8344246031745991</v>
      </c>
    </row>
    <row r="16" spans="2:15" ht="17.25" customHeight="1">
      <c r="B16" s="370" t="s">
        <v>101</v>
      </c>
      <c r="C16" s="10" t="s">
        <v>34</v>
      </c>
      <c r="D16" s="16">
        <f>'0423'!T5</f>
        <v>0.29166666666666702</v>
      </c>
      <c r="E16" s="16">
        <f>'0423'!T16</f>
        <v>0.29027777777777802</v>
      </c>
      <c r="F16" s="16">
        <f>'0423'!T27</f>
        <v>0.34375</v>
      </c>
      <c r="G16" s="16">
        <f>'0423'!T38</f>
        <v>0.33333333333333298</v>
      </c>
      <c r="H16" s="16">
        <f>'0423'!T49</f>
        <v>0.29166666666666702</v>
      </c>
      <c r="I16" s="16">
        <f>'0423'!T59</f>
        <v>0.29166666666666702</v>
      </c>
      <c r="J16" s="16">
        <f>'0423'!T70</f>
        <v>0.33333333333333298</v>
      </c>
    </row>
    <row r="17" spans="2:10" ht="17.25" customHeight="1">
      <c r="B17" s="371"/>
      <c r="C17" s="10" t="s">
        <v>35</v>
      </c>
      <c r="D17" s="16">
        <v>0.58541666666666703</v>
      </c>
      <c r="E17" s="19">
        <v>0.57569444444444395</v>
      </c>
      <c r="F17" s="19">
        <v>0.58541666666666703</v>
      </c>
      <c r="G17" s="20">
        <v>0.58680555555555602</v>
      </c>
      <c r="H17" s="21">
        <v>0.57986111111111105</v>
      </c>
      <c r="I17" s="22">
        <v>0.61111111111111105</v>
      </c>
      <c r="J17" s="22">
        <v>0.40625</v>
      </c>
    </row>
    <row r="18" spans="2:10" ht="17.25" customHeight="1">
      <c r="B18" s="372" t="s">
        <v>102</v>
      </c>
      <c r="C18" s="330" t="s">
        <v>36</v>
      </c>
      <c r="D18" s="358">
        <f>'0423'!Z15</f>
        <v>0</v>
      </c>
      <c r="E18" s="359">
        <f>'0423'!Z26</f>
        <v>0</v>
      </c>
      <c r="F18" s="359">
        <f>'0423'!Z37</f>
        <v>0</v>
      </c>
      <c r="G18" s="360">
        <f>'0423'!Z48</f>
        <v>0</v>
      </c>
      <c r="H18" s="360">
        <f>'0423'!Z58</f>
        <v>0</v>
      </c>
      <c r="I18" s="359">
        <f>'0423'!Z69</f>
        <v>0</v>
      </c>
      <c r="J18" s="359">
        <f>'0423'!AA79</f>
        <v>0</v>
      </c>
    </row>
    <row r="19" spans="2:10" ht="17.25" customHeight="1">
      <c r="B19" s="373"/>
      <c r="C19" s="330" t="s">
        <v>37</v>
      </c>
      <c r="D19" s="358">
        <f>'0423'!AA15</f>
        <v>0</v>
      </c>
      <c r="E19" s="359">
        <f>'0423'!AA26</f>
        <v>0</v>
      </c>
      <c r="F19" s="359">
        <f>'0423'!AA37</f>
        <v>0</v>
      </c>
      <c r="G19" s="360">
        <f>'0423'!AA48</f>
        <v>0</v>
      </c>
      <c r="H19" s="360">
        <f>'0423'!AA58</f>
        <v>0</v>
      </c>
      <c r="I19" s="359">
        <f>'0423'!AA69</f>
        <v>0</v>
      </c>
      <c r="J19" s="359">
        <f>'0423'!AB79</f>
        <v>0</v>
      </c>
    </row>
    <row r="20" spans="2:10" ht="17.25" customHeight="1">
      <c r="B20" s="372" t="s">
        <v>103</v>
      </c>
      <c r="C20" s="330" t="s">
        <v>36</v>
      </c>
      <c r="D20" s="358">
        <f>'0423'!AD15</f>
        <v>0</v>
      </c>
      <c r="E20" s="359">
        <f>'0423'!AD26</f>
        <v>0</v>
      </c>
      <c r="F20" s="359">
        <f>'0423'!AD37</f>
        <v>0</v>
      </c>
      <c r="G20" s="360">
        <f>'0423'!AD48</f>
        <v>0</v>
      </c>
      <c r="H20" s="360">
        <f>'0423'!AD58</f>
        <v>0</v>
      </c>
      <c r="I20" s="359">
        <f>'0423'!AD69</f>
        <v>0</v>
      </c>
      <c r="J20" s="359">
        <f>'0423'!AD79</f>
        <v>0</v>
      </c>
    </row>
    <row r="21" spans="2:10" ht="17.25" customHeight="1">
      <c r="B21" s="373"/>
      <c r="C21" s="330" t="s">
        <v>85</v>
      </c>
      <c r="D21" s="358">
        <f>'0423'!AE15</f>
        <v>0</v>
      </c>
      <c r="E21" s="359">
        <f>'0423'!AE26</f>
        <v>0</v>
      </c>
      <c r="F21" s="359">
        <f>'0423'!AE37</f>
        <v>0</v>
      </c>
      <c r="G21" s="360">
        <f>'0423'!AE48</f>
        <v>0</v>
      </c>
      <c r="H21" s="360">
        <f>'0423'!AE58</f>
        <v>0</v>
      </c>
      <c r="I21" s="359">
        <f>'0423'!AE69</f>
        <v>0</v>
      </c>
      <c r="J21" s="359">
        <f>'0423'!AE79</f>
        <v>0</v>
      </c>
    </row>
    <row r="22" spans="2:10" ht="17.25" customHeight="1">
      <c r="B22" s="364" t="s">
        <v>104</v>
      </c>
      <c r="C22" s="365"/>
      <c r="D22" s="23">
        <f>VALUE('0423'!M15)</f>
        <v>15</v>
      </c>
      <c r="E22" s="23">
        <f>VALUE('0423'!M26)</f>
        <v>13</v>
      </c>
      <c r="F22" s="23">
        <f>VALUE('0423'!M37)</f>
        <v>16.5</v>
      </c>
      <c r="G22" s="23">
        <f>VALUE('0423'!M48)</f>
        <v>15.333333333333334</v>
      </c>
      <c r="H22" s="23">
        <f>VALUE('0423'!M58)</f>
        <v>16.5</v>
      </c>
      <c r="I22" s="23">
        <f>VALUE('0423'!M69)</f>
        <v>12</v>
      </c>
      <c r="J22" s="23">
        <f>'0423'!M79</f>
        <v>12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2A3D-E4D3-4ED8-AE01-315E4DAADCA9}">
  <sheetPr>
    <tabColor theme="9" tint="0.79998168889431442"/>
  </sheetPr>
  <dimension ref="A1:AJ92"/>
  <sheetViews>
    <sheetView zoomScale="73" zoomScaleNormal="73" workbookViewId="0">
      <pane xSplit="5" ySplit="4" topLeftCell="F35" activePane="bottomRight" state="frozen"/>
      <selection activeCell="U62" sqref="U62"/>
      <selection pane="topRight" activeCell="U62" sqref="U62"/>
      <selection pane="bottomLeft" activeCell="U62" sqref="U62"/>
      <selection pane="bottomRight" activeCell="J39" sqref="J3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51043</v>
      </c>
      <c r="F1" s="30" t="s">
        <v>2</v>
      </c>
      <c r="G1" s="31">
        <f>SUM(H5:H79)</f>
        <v>2430989.0590000004</v>
      </c>
      <c r="H1" s="32" t="s">
        <v>3</v>
      </c>
      <c r="I1" s="33">
        <f>M15+M26+M48+M58+M69+M79+M37</f>
        <v>100.33333333333334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222</v>
      </c>
      <c r="B2" s="483"/>
      <c r="C2" s="28"/>
      <c r="D2" s="28" t="s">
        <v>14</v>
      </c>
      <c r="E2" s="35">
        <f>AVERAGE(O15,O26,O37,O48,O58,O69,O79)</f>
        <v>107.61673241231452</v>
      </c>
      <c r="F2" s="36" t="s">
        <v>15</v>
      </c>
      <c r="G2" s="37">
        <f>G1/E1</f>
        <v>47.626296632251247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3080</v>
      </c>
      <c r="H5" s="43">
        <f>F5*G5</f>
        <v>175159.6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1987.0967741935585</v>
      </c>
      <c r="O5" s="47">
        <f>N5/M5</f>
        <v>132.47311827957057</v>
      </c>
      <c r="P5" s="49">
        <f>M5-J5</f>
        <v>0</v>
      </c>
      <c r="Q5" s="50">
        <f>O5-L5</f>
        <v>-8.726881720429418</v>
      </c>
      <c r="R5" s="51">
        <f>O5/L5</f>
        <v>0.93819488866551404</v>
      </c>
      <c r="S5" s="415">
        <f>R15</f>
        <v>0.95224181098623273</v>
      </c>
      <c r="T5" s="319">
        <v>0.29166666666666702</v>
      </c>
      <c r="U5" s="320">
        <v>0.35625000000000001</v>
      </c>
      <c r="V5" s="53"/>
      <c r="W5" s="54">
        <f t="shared" ref="W5:W14" si="0">(U5-T5)*24*60</f>
        <v>92.999999999999517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-130.90322580644147</v>
      </c>
      <c r="AG5" s="52">
        <f t="shared" ref="AG5:AG11" si="2">N5/K5</f>
        <v>0.93819488866551393</v>
      </c>
      <c r="AH5" s="403">
        <f>AG15</f>
        <v>0.95224181098623262</v>
      </c>
    </row>
    <row r="6" spans="1:34" ht="15" customHeight="1">
      <c r="A6" s="489"/>
      <c r="B6" s="75" t="s">
        <v>81</v>
      </c>
      <c r="C6" s="76"/>
      <c r="D6" s="59" t="s">
        <v>114</v>
      </c>
      <c r="E6" s="77"/>
      <c r="F6" s="75">
        <f>VLOOKUP(D6,廠價表!$C$1:$E$43,3,0)</f>
        <v>49.14</v>
      </c>
      <c r="G6" s="66">
        <v>3511</v>
      </c>
      <c r="H6" s="78">
        <f>F6*G6</f>
        <v>172530.54</v>
      </c>
      <c r="I6" s="73"/>
      <c r="J6" s="79">
        <v>15</v>
      </c>
      <c r="K6" s="80">
        <f>VLOOKUP(D6,產線配置圖!$A$3:$C$38,3,0)</f>
        <v>2118</v>
      </c>
      <c r="L6" s="81">
        <f>K6/J6</f>
        <v>141.19999999999999</v>
      </c>
      <c r="M6" s="82">
        <v>15</v>
      </c>
      <c r="N6" s="80">
        <f>G6/W6*60</f>
        <v>2025.5769230769288</v>
      </c>
      <c r="O6" s="81">
        <f>N6/M6</f>
        <v>135.03846153846192</v>
      </c>
      <c r="P6" s="74">
        <f>M6-J6</f>
        <v>0</v>
      </c>
      <c r="Q6" s="83">
        <f>O6-L6</f>
        <v>-6.1615384615380719</v>
      </c>
      <c r="R6" s="72">
        <f>O6/L6</f>
        <v>0.95636304205709577</v>
      </c>
      <c r="S6" s="416"/>
      <c r="T6" s="18">
        <v>0.36180555555555599</v>
      </c>
      <c r="U6" s="18">
        <v>0.43402777777777801</v>
      </c>
      <c r="V6" s="30">
        <f>(T6-U5)*24*60</f>
        <v>8.0000000000006111</v>
      </c>
      <c r="W6" s="73">
        <f t="shared" si="0"/>
        <v>103.99999999999972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-92.423076923071221</v>
      </c>
      <c r="AG6" s="72">
        <f t="shared" si="2"/>
        <v>0.95636304205709577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1854</v>
      </c>
      <c r="H7" s="78">
        <f t="shared" ref="H7:H8" si="3">F7*G7</f>
        <v>107847.18000000001</v>
      </c>
      <c r="I7" s="73"/>
      <c r="J7" s="79">
        <v>15</v>
      </c>
      <c r="K7" s="80">
        <f>VLOOKUP(D7,產線配置圖!$A$3:$C$38,3,0)</f>
        <v>2000</v>
      </c>
      <c r="L7" s="81">
        <f t="shared" ref="L7:L8" si="4">K7/J7</f>
        <v>133.33333333333334</v>
      </c>
      <c r="M7" s="82">
        <v>15</v>
      </c>
      <c r="N7" s="80">
        <f t="shared" ref="N7:N8" si="5">G7/W7*60</f>
        <v>1917.9310344827468</v>
      </c>
      <c r="O7" s="81">
        <f t="shared" ref="O7:O8" si="6">N7/M7</f>
        <v>127.86206896551646</v>
      </c>
      <c r="P7" s="74">
        <f t="shared" ref="P7:P8" si="7">M7-J7</f>
        <v>0</v>
      </c>
      <c r="Q7" s="83">
        <f t="shared" ref="Q7:Q8" si="8">O7-L7</f>
        <v>-5.471264367816886</v>
      </c>
      <c r="R7" s="72">
        <f t="shared" ref="R7:R8" si="9">O7/L7</f>
        <v>0.95896551724137336</v>
      </c>
      <c r="S7" s="416"/>
      <c r="T7" s="16">
        <v>0.43888888888888899</v>
      </c>
      <c r="U7" s="16">
        <v>0.47916666666666702</v>
      </c>
      <c r="V7" s="30">
        <f>(T7-U6)*24*60</f>
        <v>6.9999999999998153</v>
      </c>
      <c r="W7" s="73">
        <f t="shared" si="0"/>
        <v>58.000000000000355</v>
      </c>
      <c r="X7" s="22">
        <v>0.48611111111111099</v>
      </c>
      <c r="Y7" s="84">
        <v>0.52777777777777801</v>
      </c>
      <c r="Z7" s="90"/>
      <c r="AA7" s="90"/>
      <c r="AB7" s="409"/>
      <c r="AC7" s="409"/>
      <c r="AD7" s="92"/>
      <c r="AE7" s="92"/>
      <c r="AF7" s="307">
        <f t="shared" si="1"/>
        <v>-82.068965517253218</v>
      </c>
      <c r="AG7" s="72">
        <f t="shared" si="2"/>
        <v>0.95896551724137336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2167</v>
      </c>
      <c r="H8" s="78">
        <f t="shared" si="3"/>
        <v>126054.39</v>
      </c>
      <c r="I8" s="73"/>
      <c r="J8" s="79">
        <v>15</v>
      </c>
      <c r="K8" s="80">
        <f>VLOOKUP(D8,產線配置圖!$A$3:$C$38,3,0)</f>
        <v>2000</v>
      </c>
      <c r="L8" s="81">
        <f t="shared" si="4"/>
        <v>133.33333333333334</v>
      </c>
      <c r="M8" s="82">
        <v>15</v>
      </c>
      <c r="N8" s="80">
        <f t="shared" si="5"/>
        <v>1912.0588235293783</v>
      </c>
      <c r="O8" s="81">
        <f t="shared" si="6"/>
        <v>127.47058823529188</v>
      </c>
      <c r="P8" s="74">
        <f t="shared" si="7"/>
        <v>0</v>
      </c>
      <c r="Q8" s="83">
        <f t="shared" si="8"/>
        <v>-5.8627450980414579</v>
      </c>
      <c r="R8" s="72">
        <f t="shared" si="9"/>
        <v>0.95602941176468903</v>
      </c>
      <c r="S8" s="416"/>
      <c r="T8" s="16">
        <v>0.53819444444444398</v>
      </c>
      <c r="U8" s="16">
        <v>0.58541666666666703</v>
      </c>
      <c r="V8" s="30">
        <f>(T8-U7)*24*60</f>
        <v>84.99999999999882</v>
      </c>
      <c r="W8" s="73">
        <f t="shared" si="0"/>
        <v>68.000000000001194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-87.941176470621713</v>
      </c>
      <c r="AG8" s="72">
        <f t="shared" si="2"/>
        <v>0.95602941176468914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2059</v>
      </c>
      <c r="L15" s="117">
        <f t="shared" si="10"/>
        <v>137.26666666666668</v>
      </c>
      <c r="M15" s="120">
        <f t="shared" si="10"/>
        <v>15</v>
      </c>
      <c r="N15" s="120">
        <f t="shared" si="10"/>
        <v>1960.665888820653</v>
      </c>
      <c r="O15" s="117">
        <f t="shared" si="10"/>
        <v>130.71105925471022</v>
      </c>
      <c r="P15" s="121">
        <f>M15-J15</f>
        <v>0</v>
      </c>
      <c r="Q15" s="122">
        <f>O15-L15</f>
        <v>-6.5556074119564585</v>
      </c>
      <c r="R15" s="123">
        <f>O15/L15</f>
        <v>0.95224181098623273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-98.334111179347019</v>
      </c>
      <c r="AG15" s="124">
        <f>N15/K15</f>
        <v>0.95224181098623262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3296</v>
      </c>
      <c r="H16" s="134">
        <f>F16*G16</f>
        <v>167008.32000000001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2038.762886597942</v>
      </c>
      <c r="O16" s="141">
        <f>N16/M16</f>
        <v>156.82791435368785</v>
      </c>
      <c r="P16" s="142">
        <f>M16-J16</f>
        <v>0</v>
      </c>
      <c r="Q16" s="143">
        <f>O16-L16</f>
        <v>-6.095162569389089</v>
      </c>
      <c r="R16" s="144">
        <f>O16/L16</f>
        <v>0.96258870944189889</v>
      </c>
      <c r="S16" s="443">
        <f>R26</f>
        <v>0.93017909510094465</v>
      </c>
      <c r="T16" s="145">
        <v>0.29027777777777802</v>
      </c>
      <c r="U16" s="145">
        <v>0.35763888888888901</v>
      </c>
      <c r="V16" s="135"/>
      <c r="W16" s="146">
        <f t="shared" ref="W16:W78" si="11">(U16-T16)*24*60</f>
        <v>96.999999999999815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-79.237113402057958</v>
      </c>
      <c r="AG16" s="52">
        <f>N16/K16</f>
        <v>0.962588709441899</v>
      </c>
      <c r="AH16" s="403">
        <f>AG26</f>
        <v>0.93088708150301269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3052</v>
      </c>
      <c r="H17" s="78">
        <f>F17*G17</f>
        <v>153790.28</v>
      </c>
      <c r="I17" s="30"/>
      <c r="J17" s="79">
        <v>12</v>
      </c>
      <c r="K17" s="80">
        <f>VLOOKUP(D17,產線配置圖!$A$3:$C$38,3,0)</f>
        <v>2118</v>
      </c>
      <c r="L17" s="81">
        <f>K17/J17</f>
        <v>176.5</v>
      </c>
      <c r="M17" s="148">
        <v>12</v>
      </c>
      <c r="N17" s="95">
        <f>G17/W17*60</f>
        <v>1969.0322580645266</v>
      </c>
      <c r="O17" s="96">
        <f>N17/M17</f>
        <v>164.0860215053772</v>
      </c>
      <c r="P17" s="97">
        <f>M17-J17</f>
        <v>0</v>
      </c>
      <c r="Q17" s="98">
        <f>O17-L17</f>
        <v>-12.413978494622796</v>
      </c>
      <c r="R17" s="99">
        <f>O17/L17</f>
        <v>0.92966584422310028</v>
      </c>
      <c r="S17" s="444"/>
      <c r="T17" s="19">
        <v>0.36249999999999999</v>
      </c>
      <c r="U17" s="19">
        <v>0.42708333333333298</v>
      </c>
      <c r="V17" s="30">
        <f>(T17-U16)*24*60</f>
        <v>6.9999999999998153</v>
      </c>
      <c r="W17" s="149">
        <f t="shared" si="11"/>
        <v>92.999999999999517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-148.96774193547344</v>
      </c>
      <c r="AG17" s="72">
        <f>N17/K17</f>
        <v>0.92966584422310039</v>
      </c>
      <c r="AH17" s="405"/>
    </row>
    <row r="18" spans="1:34" ht="15" customHeight="1">
      <c r="A18" s="450"/>
      <c r="B18" s="75" t="s">
        <v>81</v>
      </c>
      <c r="C18" s="76"/>
      <c r="D18" s="59" t="s">
        <v>182</v>
      </c>
      <c r="E18" s="77"/>
      <c r="F18" s="75">
        <f>VLOOKUP(D18,廠價表!$C$1:$E$43,3,0)</f>
        <v>56.61</v>
      </c>
      <c r="G18" s="147">
        <v>2112</v>
      </c>
      <c r="H18" s="78">
        <f>F18*G18</f>
        <v>119560.31999999999</v>
      </c>
      <c r="I18" s="30"/>
      <c r="J18" s="79">
        <v>15</v>
      </c>
      <c r="K18" s="80">
        <f>VLOOKUP(D18,產線配置圖!$A$3:$C$38,3,0)</f>
        <v>2000</v>
      </c>
      <c r="L18" s="81">
        <f>K18/J18</f>
        <v>133.33333333333334</v>
      </c>
      <c r="M18" s="148">
        <v>15</v>
      </c>
      <c r="N18" s="95">
        <f>G18/W18*60</f>
        <v>1863.5294117646752</v>
      </c>
      <c r="O18" s="96">
        <f>N18/M18</f>
        <v>124.23529411764501</v>
      </c>
      <c r="P18" s="97">
        <f>M18-J18</f>
        <v>0</v>
      </c>
      <c r="Q18" s="98">
        <f>O18-L18</f>
        <v>-9.0980392156883312</v>
      </c>
      <c r="R18" s="99">
        <f>O18/L18</f>
        <v>0.93176470588233751</v>
      </c>
      <c r="S18" s="444"/>
      <c r="T18" s="19">
        <v>0.43194444444444402</v>
      </c>
      <c r="U18" s="19">
        <v>0.47916666666666702</v>
      </c>
      <c r="V18" s="30">
        <f>(T18-U17)*24*60</f>
        <v>6.9999999999998952</v>
      </c>
      <c r="W18" s="149">
        <f t="shared" si="11"/>
        <v>68.000000000001123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-136.47058823532484</v>
      </c>
      <c r="AG18" s="72">
        <f>N18/K18</f>
        <v>0.93176470588233762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1556</v>
      </c>
      <c r="H19" s="78">
        <f>F19*G19</f>
        <v>78406.84</v>
      </c>
      <c r="I19" s="30"/>
      <c r="J19" s="79">
        <v>12</v>
      </c>
      <c r="K19" s="80">
        <f>VLOOKUP(D19,產線配置圖!$A$3:$C$38,3,0)</f>
        <v>2118</v>
      </c>
      <c r="L19" s="81">
        <f>K19/J19</f>
        <v>176.5</v>
      </c>
      <c r="M19" s="148">
        <v>12</v>
      </c>
      <c r="N19" s="95">
        <f>G19/W19*60</f>
        <v>1905.3061224490239</v>
      </c>
      <c r="O19" s="96">
        <f>N19/M19</f>
        <v>158.77551020408532</v>
      </c>
      <c r="P19" s="97">
        <f>M19-J19</f>
        <v>0</v>
      </c>
      <c r="Q19" s="98">
        <f>O19-L19</f>
        <v>-17.724489795914678</v>
      </c>
      <c r="R19" s="99">
        <f>O19/L19</f>
        <v>0.89957796149623415</v>
      </c>
      <c r="S19" s="444"/>
      <c r="T19" s="19">
        <v>0.54166666666666696</v>
      </c>
      <c r="U19" s="19">
        <v>0.57569444444444395</v>
      </c>
      <c r="V19" s="30">
        <f>(T19-U18)*24*60</f>
        <v>89.999999999999915</v>
      </c>
      <c r="W19" s="149">
        <f t="shared" si="11"/>
        <v>48.999999999998863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-212.69387755097614</v>
      </c>
      <c r="AG19" s="72">
        <f>N19/K19</f>
        <v>0.89957796149623415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11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1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1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2088.5</v>
      </c>
      <c r="L26" s="158">
        <f t="shared" si="12"/>
        <v>162.31410256410257</v>
      </c>
      <c r="M26" s="155">
        <f t="shared" si="12"/>
        <v>13</v>
      </c>
      <c r="N26" s="155">
        <f t="shared" si="12"/>
        <v>1944.1576697190419</v>
      </c>
      <c r="O26" s="158">
        <f t="shared" si="12"/>
        <v>150.98118504519886</v>
      </c>
      <c r="P26" s="159">
        <f>M26-J26</f>
        <v>0</v>
      </c>
      <c r="Q26" s="160">
        <f>O26-L26</f>
        <v>-11.332917518903713</v>
      </c>
      <c r="R26" s="161">
        <f>O26/L26</f>
        <v>0.93017909510094465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13">N26-K26</f>
        <v>-144.34233028095809</v>
      </c>
      <c r="AG26" s="124">
        <f t="shared" ref="AG26:AG31" si="14">N26/K26</f>
        <v>0.93088708150301269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3681</v>
      </c>
      <c r="H27" s="134">
        <f>F27*G27</f>
        <v>185113.80900000001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17</v>
      </c>
      <c r="N27" s="140">
        <f>G27/W27*60</f>
        <v>1314.6428571428537</v>
      </c>
      <c r="O27" s="141">
        <f>N27/M27</f>
        <v>77.331932773109045</v>
      </c>
      <c r="P27" s="142">
        <f>M27-J27</f>
        <v>-1</v>
      </c>
      <c r="Q27" s="143">
        <f>O27-L27</f>
        <v>-9.6125116713353975</v>
      </c>
      <c r="R27" s="144">
        <f>O27/L27</f>
        <v>0.88944076032968866</v>
      </c>
      <c r="S27" s="443">
        <f>R37</f>
        <v>0.81231404847736322</v>
      </c>
      <c r="T27" s="171">
        <v>0.34375</v>
      </c>
      <c r="U27" s="171">
        <v>0.46041666666666697</v>
      </c>
      <c r="V27" s="135"/>
      <c r="W27" s="146">
        <f t="shared" si="11"/>
        <v>168.00000000000045</v>
      </c>
      <c r="X27" s="145">
        <v>0.47222222222222199</v>
      </c>
      <c r="Y27" s="363">
        <v>0.51388888888888895</v>
      </c>
      <c r="Z27" s="169"/>
      <c r="AA27" s="169"/>
      <c r="AB27" s="420"/>
      <c r="AC27" s="420"/>
      <c r="AD27" s="135"/>
      <c r="AE27" s="135"/>
      <c r="AF27" s="310">
        <f t="shared" si="13"/>
        <v>-250.3571428571463</v>
      </c>
      <c r="AG27" s="172">
        <f t="shared" si="14"/>
        <v>0.84002738475581706</v>
      </c>
      <c r="AH27" s="403">
        <f>AG37</f>
        <v>0.74676361976681405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1500</v>
      </c>
      <c r="H28" s="91">
        <f>F28*G28</f>
        <v>75433.5</v>
      </c>
      <c r="I28" s="92"/>
      <c r="J28" s="79">
        <f>VLOOKUP(D28,產線配置圖!$A$3:$C$38,2,0)</f>
        <v>18</v>
      </c>
      <c r="K28" s="80">
        <f>VLOOKUP(D28,產線配置圖!$A$3:$C$38,3,0)</f>
        <v>1565</v>
      </c>
      <c r="L28" s="93">
        <f>K28/J28</f>
        <v>86.944444444444443</v>
      </c>
      <c r="M28" s="94">
        <v>16</v>
      </c>
      <c r="N28" s="95">
        <f>G28/W28*60</f>
        <v>1022.7272727272746</v>
      </c>
      <c r="O28" s="96">
        <f>N28/M28</f>
        <v>63.92045454545466</v>
      </c>
      <c r="P28" s="97">
        <f>M28-J28</f>
        <v>-2</v>
      </c>
      <c r="Q28" s="98">
        <f>O28-L28</f>
        <v>-23.023989898989782</v>
      </c>
      <c r="R28" s="99">
        <f>O28/L28</f>
        <v>0.73518733662503766</v>
      </c>
      <c r="S28" s="444"/>
      <c r="T28" s="19">
        <v>0.52430555555555602</v>
      </c>
      <c r="U28" s="19">
        <v>0.58541666666666703</v>
      </c>
      <c r="V28" s="92">
        <f>(T28-U27)*24*60</f>
        <v>92.000000000000227</v>
      </c>
      <c r="W28" s="149">
        <f t="shared" si="11"/>
        <v>87.999999999999844</v>
      </c>
      <c r="X28" s="174"/>
      <c r="Y28" s="301"/>
      <c r="Z28" s="335"/>
      <c r="AA28" s="335"/>
      <c r="AB28" s="409" t="s">
        <v>223</v>
      </c>
      <c r="AC28" s="409"/>
      <c r="AD28" s="92"/>
      <c r="AE28" s="92"/>
      <c r="AF28" s="311">
        <f t="shared" si="13"/>
        <v>-542.27272727272543</v>
      </c>
      <c r="AG28" s="99">
        <f t="shared" si="14"/>
        <v>0.65349985477781125</v>
      </c>
      <c r="AH28" s="404"/>
    </row>
    <row r="29" spans="1:34" ht="15" customHeight="1">
      <c r="A29" s="44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44"/>
      <c r="T29" s="19"/>
      <c r="U29" s="19"/>
      <c r="V29" s="92"/>
      <c r="W29" s="149">
        <f t="shared" si="11"/>
        <v>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13"/>
        <v>0</v>
      </c>
      <c r="AG29" s="99" t="e">
        <f t="shared" si="14"/>
        <v>#DIV/0!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13"/>
        <v>0</v>
      </c>
      <c r="AG30" s="99" t="e">
        <f t="shared" si="14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13"/>
        <v>0</v>
      </c>
      <c r="AG31" s="99" t="e">
        <f t="shared" si="14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5">AVERAGE(J27:J36)</f>
        <v>18</v>
      </c>
      <c r="K37" s="155">
        <f t="shared" si="15"/>
        <v>1565</v>
      </c>
      <c r="L37" s="158">
        <f t="shared" si="15"/>
        <v>86.944444444444443</v>
      </c>
      <c r="M37" s="155">
        <f t="shared" si="15"/>
        <v>16.5</v>
      </c>
      <c r="N37" s="155">
        <f t="shared" si="15"/>
        <v>1168.685064935064</v>
      </c>
      <c r="O37" s="158">
        <f t="shared" si="15"/>
        <v>70.626193659281853</v>
      </c>
      <c r="P37" s="159">
        <f>M37-J37</f>
        <v>-1.5</v>
      </c>
      <c r="Q37" s="160">
        <f>N37-K37</f>
        <v>-396.31493506493598</v>
      </c>
      <c r="R37" s="161">
        <f>O37/L37</f>
        <v>0.81231404847736322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-396.31493506493598</v>
      </c>
      <c r="AG37" s="124">
        <f>N37/K37</f>
        <v>0.74676361976681405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1650</v>
      </c>
      <c r="H38" s="134">
        <f>F38*G38</f>
        <v>82351.5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1455.8823529411525</v>
      </c>
      <c r="O38" s="141">
        <f>N38/M38</f>
        <v>97.058823529410162</v>
      </c>
      <c r="P38" s="142">
        <f>M38-J38</f>
        <v>0</v>
      </c>
      <c r="Q38" s="143">
        <f>O38-L38</f>
        <v>-17.207843137256503</v>
      </c>
      <c r="R38" s="144">
        <f>O38/L38</f>
        <v>0.84940627359460474</v>
      </c>
      <c r="S38" s="433">
        <f>R48</f>
        <v>0.89607376924882631</v>
      </c>
      <c r="T38" s="191">
        <v>0.33333333333333298</v>
      </c>
      <c r="U38" s="191">
        <v>0.38055555555555598</v>
      </c>
      <c r="V38" s="192"/>
      <c r="W38" s="193">
        <f t="shared" si="11"/>
        <v>68.000000000001123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-258.11764705884752</v>
      </c>
      <c r="AG38" s="195">
        <f>N38/K38</f>
        <v>0.84940627359460474</v>
      </c>
      <c r="AH38" s="436">
        <f>AG48</f>
        <v>0.89647244109666502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4207</v>
      </c>
      <c r="H39" s="91">
        <f>F39*G39</f>
        <v>186370.09999999998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1434.2045454545487</v>
      </c>
      <c r="O39" s="203">
        <f>N39/M39</f>
        <v>89.637784090909292</v>
      </c>
      <c r="P39" s="97">
        <f>M39-J39</f>
        <v>0</v>
      </c>
      <c r="Q39" s="98">
        <f>O39-L39</f>
        <v>-8.1747159090907076</v>
      </c>
      <c r="R39" s="99">
        <f>O39/L39</f>
        <v>0.91642462968341765</v>
      </c>
      <c r="S39" s="434"/>
      <c r="T39" s="20">
        <v>0.38472222222222202</v>
      </c>
      <c r="U39" s="20">
        <v>0.50694444444444398</v>
      </c>
      <c r="V39" s="92">
        <f>(T39-U38)*24*60</f>
        <v>5.9999999999990994</v>
      </c>
      <c r="W39" s="205">
        <f t="shared" si="11"/>
        <v>175.9999999999996</v>
      </c>
      <c r="X39" s="22">
        <v>0.51388888888888895</v>
      </c>
      <c r="Y39" s="84">
        <v>0.55555555555555602</v>
      </c>
      <c r="Z39" s="90"/>
      <c r="AA39" s="90"/>
      <c r="AB39" s="408"/>
      <c r="AC39" s="408"/>
      <c r="AD39" s="200"/>
      <c r="AE39" s="200"/>
      <c r="AF39" s="314">
        <f>N39-K39</f>
        <v>-130.79545454545132</v>
      </c>
      <c r="AG39" s="206">
        <f>N39/K39</f>
        <v>0.91642462968341765</v>
      </c>
      <c r="AH39" s="437"/>
    </row>
    <row r="40" spans="1:34" ht="15" customHeight="1">
      <c r="A40" s="431"/>
      <c r="B40" s="75" t="s">
        <v>118</v>
      </c>
      <c r="C40" s="207"/>
      <c r="D40" s="198" t="s">
        <v>123</v>
      </c>
      <c r="E40" s="178"/>
      <c r="F40" s="75">
        <f>VLOOKUP(D40,廠價表!$C$1:$E$43,3,0)</f>
        <v>49.91</v>
      </c>
      <c r="G40" s="199">
        <v>793</v>
      </c>
      <c r="H40" s="91">
        <f>F40*G40</f>
        <v>39578.629999999997</v>
      </c>
      <c r="I40" s="200"/>
      <c r="J40" s="148">
        <f>VLOOKUP(D40,產線配置圖!$A$3:$C$38,2,0)</f>
        <v>15</v>
      </c>
      <c r="K40" s="95">
        <f>VLOOKUP(D40,產線配置圖!$A$3:$C$38,3,0)</f>
        <v>1714</v>
      </c>
      <c r="L40" s="96">
        <f>K40/J40</f>
        <v>114.26666666666667</v>
      </c>
      <c r="M40" s="201">
        <v>15</v>
      </c>
      <c r="N40" s="202">
        <f>G40/W40*60</f>
        <v>1585.9999999999466</v>
      </c>
      <c r="O40" s="203">
        <f>N40/M40</f>
        <v>105.73333333332977</v>
      </c>
      <c r="P40" s="97">
        <f>M40-J40</f>
        <v>0</v>
      </c>
      <c r="Q40" s="98">
        <f>O40-L40</f>
        <v>-8.5333333333368984</v>
      </c>
      <c r="R40" s="99">
        <f>O40/L40</f>
        <v>0.92532088681443792</v>
      </c>
      <c r="S40" s="416"/>
      <c r="T40" s="20">
        <v>0.56597222222222199</v>
      </c>
      <c r="U40" s="20">
        <v>0.58680555555555602</v>
      </c>
      <c r="V40" s="92">
        <f>(T40-U39)*24*60</f>
        <v>85.000000000000341</v>
      </c>
      <c r="W40" s="205">
        <f t="shared" si="11"/>
        <v>30.000000000001013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-128.00000000005343</v>
      </c>
      <c r="AG40" s="206">
        <f>N40/K40</f>
        <v>0.92532088681443792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6">AVERAGE(J38:J47)</f>
        <v>15.333333333333334</v>
      </c>
      <c r="K48" s="155">
        <f t="shared" si="16"/>
        <v>1664.3333333333333</v>
      </c>
      <c r="L48" s="158">
        <f t="shared" si="16"/>
        <v>108.78194444444443</v>
      </c>
      <c r="M48" s="155">
        <f t="shared" si="16"/>
        <v>15.333333333333334</v>
      </c>
      <c r="N48" s="155">
        <f t="shared" si="16"/>
        <v>1492.0289661318827</v>
      </c>
      <c r="O48" s="158">
        <f t="shared" si="16"/>
        <v>97.476646984549745</v>
      </c>
      <c r="P48" s="221">
        <f>M48-J48</f>
        <v>0</v>
      </c>
      <c r="Q48" s="222">
        <f>N48-K48</f>
        <v>-172.30436720145053</v>
      </c>
      <c r="R48" s="223">
        <f>O48/L48</f>
        <v>0.89607376924882631</v>
      </c>
      <c r="S48" s="419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7">N48-K48</f>
        <v>-172.30436720145053</v>
      </c>
      <c r="AG48" s="162">
        <f t="shared" ref="AG48:AG53" si="18">N48/K48</f>
        <v>0.89647244109666502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2105</v>
      </c>
      <c r="H49" s="134">
        <f>F49*G49</f>
        <v>104239.6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1403.3333333333333</v>
      </c>
      <c r="O49" s="141">
        <f>N49/M49</f>
        <v>82.549019607843135</v>
      </c>
      <c r="P49" s="229">
        <f>M49-J49</f>
        <v>0</v>
      </c>
      <c r="Q49" s="230">
        <f>O49-L49</f>
        <v>-5.6862745098039227</v>
      </c>
      <c r="R49" s="52">
        <f>O49/L49</f>
        <v>0.93555555555555558</v>
      </c>
      <c r="S49" s="415">
        <f>R58</f>
        <v>0.91313743891136401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7"/>
        <v>-96.666666666666742</v>
      </c>
      <c r="AG49" s="52">
        <f t="shared" si="18"/>
        <v>0.93555555555555547</v>
      </c>
      <c r="AH49" s="403">
        <f>AG58</f>
        <v>0.91382857507708459</v>
      </c>
    </row>
    <row r="50" spans="1:34" ht="15" customHeight="1">
      <c r="A50" s="428"/>
      <c r="B50" s="75" t="s">
        <v>81</v>
      </c>
      <c r="C50" s="76"/>
      <c r="D50" s="59" t="s">
        <v>113</v>
      </c>
      <c r="E50" s="77"/>
      <c r="F50" s="75">
        <f>VLOOKUP(D50,廠價表!$C$1:$E$43,3,0)</f>
        <v>57.21</v>
      </c>
      <c r="G50" s="202">
        <v>2689</v>
      </c>
      <c r="H50" s="231">
        <f>F50*G50</f>
        <v>153837.69</v>
      </c>
      <c r="I50" s="232"/>
      <c r="J50" s="79">
        <v>17</v>
      </c>
      <c r="K50" s="80">
        <v>1716</v>
      </c>
      <c r="L50" s="81">
        <f>K50/J50</f>
        <v>100.94117647058823</v>
      </c>
      <c r="M50" s="233">
        <v>17</v>
      </c>
      <c r="N50" s="234">
        <f>G50/W50*60</f>
        <v>1613.3999999999876</v>
      </c>
      <c r="O50" s="235">
        <f>N50/M50</f>
        <v>94.905882352940452</v>
      </c>
      <c r="P50" s="74">
        <f>M50-J50</f>
        <v>0</v>
      </c>
      <c r="Q50" s="83">
        <f>O50-L50</f>
        <v>-6.0352941176477799</v>
      </c>
      <c r="R50" s="72">
        <f>O50/L50</f>
        <v>0.94020979020978301</v>
      </c>
      <c r="S50" s="416"/>
      <c r="T50" s="21">
        <v>0.359722222222222</v>
      </c>
      <c r="U50" s="21">
        <v>0.42916666666666697</v>
      </c>
      <c r="V50" s="30">
        <f>(T50-U49)*24*60</f>
        <v>7.9999999999991722</v>
      </c>
      <c r="W50" s="236">
        <f t="shared" si="11"/>
        <v>100.00000000000077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7"/>
        <v>-102.60000000001241</v>
      </c>
      <c r="AG50" s="72">
        <f t="shared" si="18"/>
        <v>0.94020979020978301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1125</v>
      </c>
      <c r="H51" s="231">
        <f>F51*G51</f>
        <v>56216.25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1534.0909090908867</v>
      </c>
      <c r="O51" s="235">
        <f>N51/M51</f>
        <v>95.88068181818042</v>
      </c>
      <c r="P51" s="74">
        <f>M51-J51</f>
        <v>0</v>
      </c>
      <c r="Q51" s="83">
        <f>O51-L51</f>
        <v>-16.61931818181958</v>
      </c>
      <c r="R51" s="72">
        <f>O51/L51</f>
        <v>0.85227272727271486</v>
      </c>
      <c r="S51" s="416"/>
      <c r="T51" s="21">
        <v>0.43472222222222201</v>
      </c>
      <c r="U51" s="19">
        <v>0.46527777777777801</v>
      </c>
      <c r="V51" s="30">
        <f>(T51-U50)*24*60</f>
        <v>7.9999999999992522</v>
      </c>
      <c r="W51" s="236">
        <f t="shared" si="11"/>
        <v>44.000000000000639</v>
      </c>
      <c r="X51" s="22">
        <v>0.47222222222222199</v>
      </c>
      <c r="Y51" s="84">
        <v>0.51388888888888895</v>
      </c>
      <c r="Z51" s="90"/>
      <c r="AA51" s="90"/>
      <c r="AB51" s="409"/>
      <c r="AC51" s="409"/>
      <c r="AD51" s="92"/>
      <c r="AE51" s="92"/>
      <c r="AF51" s="307">
        <f t="shared" si="17"/>
        <v>-265.90909090911327</v>
      </c>
      <c r="AG51" s="72">
        <f t="shared" si="18"/>
        <v>0.85227272727271486</v>
      </c>
      <c r="AH51" s="405"/>
    </row>
    <row r="52" spans="1:34" ht="15" customHeight="1">
      <c r="A52" s="428"/>
      <c r="B52" s="75" t="s">
        <v>81</v>
      </c>
      <c r="C52" s="86"/>
      <c r="D52" s="59" t="s">
        <v>126</v>
      </c>
      <c r="E52" s="87"/>
      <c r="F52" s="75">
        <f>VLOOKUP(D52,廠價表!$C$1:$E$43,3,0)</f>
        <v>49.97</v>
      </c>
      <c r="G52" s="202">
        <v>2321</v>
      </c>
      <c r="H52" s="231">
        <f>F52*G52</f>
        <v>115980.37</v>
      </c>
      <c r="I52" s="232"/>
      <c r="J52" s="79">
        <f>VLOOKUP(D52,產線配置圖!$A$3:$C$38,2,0)</f>
        <v>16</v>
      </c>
      <c r="K52" s="80">
        <f>VLOOKUP(D52,產線配置圖!$A$3:$C$38,3,0)</f>
        <v>1800</v>
      </c>
      <c r="L52" s="81">
        <f>K52/J52</f>
        <v>112.5</v>
      </c>
      <c r="M52" s="233">
        <v>16</v>
      </c>
      <c r="N52" s="234">
        <f>G52/W52*60</f>
        <v>1677.8313253012011</v>
      </c>
      <c r="O52" s="235">
        <f>N52/M52</f>
        <v>104.86445783132507</v>
      </c>
      <c r="P52" s="74">
        <f>M52-J52</f>
        <v>0</v>
      </c>
      <c r="Q52" s="83">
        <f>O52-L52</f>
        <v>-7.635542168674931</v>
      </c>
      <c r="R52" s="72">
        <f>O52/L52</f>
        <v>0.93212851405622288</v>
      </c>
      <c r="S52" s="416"/>
      <c r="T52" s="21">
        <v>0.52222222222222203</v>
      </c>
      <c r="U52" s="21">
        <v>0.57986111111111105</v>
      </c>
      <c r="V52" s="30">
        <f>(T52-U51)*24*60</f>
        <v>81.999999999999389</v>
      </c>
      <c r="W52" s="236">
        <f t="shared" si="11"/>
        <v>83.000000000000185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17"/>
        <v>-122.1686746987989</v>
      </c>
      <c r="AG52" s="72">
        <f t="shared" si="18"/>
        <v>0.93212851405622288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7"/>
        <v>0</v>
      </c>
      <c r="AG53" s="72" t="e">
        <f t="shared" si="18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16.5</v>
      </c>
      <c r="N58" s="120">
        <f t="shared" si="19"/>
        <v>1557.1638919313521</v>
      </c>
      <c r="O58" s="117">
        <f t="shared" si="19"/>
        <v>94.550010402572269</v>
      </c>
      <c r="P58" s="121">
        <f>M58-J58</f>
        <v>0</v>
      </c>
      <c r="Q58" s="122">
        <f>N58-K58</f>
        <v>-146.83610806864795</v>
      </c>
      <c r="R58" s="123">
        <f>O58/L58</f>
        <v>0.91313743891136401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-146.83610806864795</v>
      </c>
      <c r="AG58" s="124">
        <f>N58/K58</f>
        <v>0.91382857507708459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3393</v>
      </c>
      <c r="H59" s="243">
        <f>F59*G59</f>
        <v>91577.069999999992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14</v>
      </c>
      <c r="N59" s="137">
        <f>G59/W59*60</f>
        <v>1454.1428571428607</v>
      </c>
      <c r="O59" s="138">
        <f>N59/M59</f>
        <v>103.86734693877577</v>
      </c>
      <c r="P59" s="56">
        <f>M59-J59</f>
        <v>0</v>
      </c>
      <c r="Q59" s="230">
        <f>O59-L59</f>
        <v>-7.9183673469385241</v>
      </c>
      <c r="R59" s="52">
        <f>O59/L59</f>
        <v>0.92916476494751477</v>
      </c>
      <c r="S59" s="415">
        <f>R69</f>
        <v>0.86383370180957197</v>
      </c>
      <c r="T59" s="245">
        <v>0.29166666666666702</v>
      </c>
      <c r="U59" s="245">
        <v>0.38888888888888901</v>
      </c>
      <c r="V59" s="55"/>
      <c r="W59" s="54">
        <f t="shared" si="11"/>
        <v>139.99999999999966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-110.85714285713925</v>
      </c>
      <c r="AG59" s="246">
        <f>N59/K59</f>
        <v>0.92916476494751488</v>
      </c>
      <c r="AH59" s="403">
        <f>AG69</f>
        <v>0.86690319989289455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1656</v>
      </c>
      <c r="H60" s="78">
        <f>F60*G60</f>
        <v>46798.560000000005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1324.800000000009</v>
      </c>
      <c r="O60" s="81">
        <f>N60/M60</f>
        <v>110.40000000000076</v>
      </c>
      <c r="P60" s="74">
        <f>M60-J60</f>
        <v>0</v>
      </c>
      <c r="Q60" s="83">
        <f>O60-L60</f>
        <v>-20.016666666665898</v>
      </c>
      <c r="R60" s="72">
        <f>O60/L60</f>
        <v>0.84651757188498988</v>
      </c>
      <c r="S60" s="425"/>
      <c r="T60" s="22">
        <v>0.39930555555555602</v>
      </c>
      <c r="U60" s="22">
        <v>0.45138888888888901</v>
      </c>
      <c r="V60" s="30">
        <f>(T60-U59)*24*60</f>
        <v>15.000000000000506</v>
      </c>
      <c r="W60" s="248">
        <f t="shared" si="11"/>
        <v>74.999999999999488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-240.19999999999095</v>
      </c>
      <c r="AG60" s="249">
        <f>N60/K60</f>
        <v>0.84651757188498977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1536</v>
      </c>
      <c r="H61" s="254">
        <f>F61*G61</f>
        <v>43407.360000000001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1316.5714285714319</v>
      </c>
      <c r="O61" s="238">
        <f>N61/M61</f>
        <v>119.68831168831198</v>
      </c>
      <c r="P61" s="111">
        <f>M61-J61</f>
        <v>0</v>
      </c>
      <c r="Q61" s="255">
        <f>O61-L61</f>
        <v>-29.038961038960736</v>
      </c>
      <c r="R61" s="85">
        <f>O61/L61</f>
        <v>0.80475026196297794</v>
      </c>
      <c r="S61" s="416"/>
      <c r="T61" s="22">
        <v>0.45833333333333298</v>
      </c>
      <c r="U61" s="22">
        <v>0.50694444444444398</v>
      </c>
      <c r="V61" s="30">
        <f>(T61-U60)*24*60</f>
        <v>9.999999999999325</v>
      </c>
      <c r="W61" s="256">
        <f t="shared" si="11"/>
        <v>69.999999999999829</v>
      </c>
      <c r="X61" s="22">
        <v>0.51041666666666696</v>
      </c>
      <c r="Y61" s="84">
        <v>0.55208333333333304</v>
      </c>
      <c r="Z61" s="90"/>
      <c r="AA61" s="90"/>
      <c r="AB61" s="409"/>
      <c r="AC61" s="409"/>
      <c r="AD61" s="92"/>
      <c r="AE61" s="92"/>
      <c r="AF61" s="317">
        <f>N61-K61</f>
        <v>-319.42857142856815</v>
      </c>
      <c r="AG61" s="247">
        <f>N61/K61</f>
        <v>0.80475026196297794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1818</v>
      </c>
      <c r="H62" s="254">
        <f>F62*G62</f>
        <v>51376.68</v>
      </c>
      <c r="I62" s="182"/>
      <c r="J62" s="106">
        <v>11</v>
      </c>
      <c r="K62" s="107">
        <f>VLOOKUP(D62,產線配置圖!$A$3:$C$38,3,0)</f>
        <v>1636</v>
      </c>
      <c r="L62" s="238">
        <f>K62/J62</f>
        <v>148.72727272727272</v>
      </c>
      <c r="M62" s="108">
        <v>11</v>
      </c>
      <c r="N62" s="107">
        <f>G62/W62*60</f>
        <v>1454.4000000000083</v>
      </c>
      <c r="O62" s="238">
        <f>N62/M62</f>
        <v>132.21818181818256</v>
      </c>
      <c r="P62" s="111">
        <f>M62-J62</f>
        <v>0</v>
      </c>
      <c r="Q62" s="255">
        <f>O62-L62</f>
        <v>-16.509090909090162</v>
      </c>
      <c r="R62" s="85">
        <f>O62/L62</f>
        <v>0.88899755501222999</v>
      </c>
      <c r="S62" s="416"/>
      <c r="T62" s="22">
        <v>0.55902777777777801</v>
      </c>
      <c r="U62" s="22">
        <v>0.61111111111111105</v>
      </c>
      <c r="V62" s="30">
        <f>(T62-U61)*24*60</f>
        <v>75.000000000001009</v>
      </c>
      <c r="W62" s="248">
        <f t="shared" si="11"/>
        <v>74.999999999999574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-181.59999999999172</v>
      </c>
      <c r="AG62" s="247">
        <f>N62/K62</f>
        <v>0.88899755501222999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20">AVERAGE(J59:J68)</f>
        <v>12</v>
      </c>
      <c r="K69" s="240">
        <f t="shared" si="20"/>
        <v>1600.5</v>
      </c>
      <c r="L69" s="268">
        <f t="shared" si="20"/>
        <v>134.91423160173161</v>
      </c>
      <c r="M69" s="240">
        <f t="shared" si="20"/>
        <v>12</v>
      </c>
      <c r="N69" s="240">
        <f t="shared" si="20"/>
        <v>1387.4785714285777</v>
      </c>
      <c r="O69" s="268">
        <f t="shared" si="20"/>
        <v>116.54346011131776</v>
      </c>
      <c r="P69" s="269">
        <f>M69-J69</f>
        <v>0</v>
      </c>
      <c r="Q69" s="222">
        <f>N69-K69</f>
        <v>-213.02142857142235</v>
      </c>
      <c r="R69" s="123">
        <f>O69/L69</f>
        <v>0.86383370180957197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-213.02142857142235</v>
      </c>
      <c r="AG69" s="124">
        <f>N69/K69</f>
        <v>0.86690319989289455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1941</v>
      </c>
      <c r="H70" s="243">
        <f>F70*G70</f>
        <v>98350.47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12</v>
      </c>
      <c r="N70" s="137">
        <f>G70/W70*60</f>
        <v>1109.1428571428517</v>
      </c>
      <c r="O70" s="138">
        <f>N70/M70</f>
        <v>92.428571428570976</v>
      </c>
      <c r="P70" s="56">
        <f>M70-J70</f>
        <v>-1</v>
      </c>
      <c r="Q70" s="230">
        <f>O70-L70</f>
        <v>-18.340659340659798</v>
      </c>
      <c r="R70" s="52">
        <f>O70/L70</f>
        <v>0.8344246031745991</v>
      </c>
      <c r="S70" s="415">
        <f>R79</f>
        <v>0.8344246031745991</v>
      </c>
      <c r="T70" s="245">
        <v>0.33333333333333298</v>
      </c>
      <c r="U70" s="245">
        <v>0.40625</v>
      </c>
      <c r="V70" s="55"/>
      <c r="W70" s="54">
        <f t="shared" si="11"/>
        <v>105.00000000000051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-330.85714285714835</v>
      </c>
      <c r="AG70" s="246">
        <f>N70/K70</f>
        <v>0.77023809523809139</v>
      </c>
      <c r="AH70" s="403">
        <f>AG79</f>
        <v>0.77023809523809139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21">AVERAGE(J70:J78)</f>
        <v>13</v>
      </c>
      <c r="K79" s="240">
        <f t="shared" si="21"/>
        <v>1440</v>
      </c>
      <c r="L79" s="268">
        <f t="shared" si="21"/>
        <v>110.76923076923077</v>
      </c>
      <c r="M79" s="240">
        <f t="shared" si="21"/>
        <v>12</v>
      </c>
      <c r="N79" s="240">
        <f t="shared" si="21"/>
        <v>1109.1428571428517</v>
      </c>
      <c r="O79" s="268">
        <f t="shared" si="21"/>
        <v>92.428571428570976</v>
      </c>
      <c r="P79" s="269">
        <f>M79-J79</f>
        <v>-1</v>
      </c>
      <c r="Q79" s="222">
        <f>N79-K79</f>
        <v>-330.85714285714835</v>
      </c>
      <c r="R79" s="223">
        <f>O79/L79</f>
        <v>0.8344246031745991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-330.85714285714835</v>
      </c>
      <c r="AG79" s="124">
        <f>N79/K79</f>
        <v>0.77023809523809139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6B9160-70F9-4EF8-B1F1-77AFD549221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8B19-7085-4D2B-B4BA-CE6CEF275F93}">
  <dimension ref="B1:O26"/>
  <sheetViews>
    <sheetView topLeftCell="A2" zoomScale="70" zoomScaleNormal="70" workbookViewId="0">
      <selection activeCell="AA7" sqref="AA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46136</v>
      </c>
      <c r="E3" s="399"/>
      <c r="F3" s="3" t="s">
        <v>72</v>
      </c>
      <c r="G3" s="400">
        <f>'0424'!E1</f>
        <v>53527</v>
      </c>
      <c r="H3" s="400"/>
      <c r="I3" s="3" t="s">
        <v>2</v>
      </c>
      <c r="J3" s="401">
        <f>'0424'!G1</f>
        <v>2582704.0180000006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123.9400654215973</v>
      </c>
      <c r="G6" s="397"/>
      <c r="H6" s="382">
        <f>AVERAGE(D13:H13)</f>
        <v>121.92513478297303</v>
      </c>
      <c r="I6" s="382"/>
      <c r="J6" s="382">
        <f>AVERAGE(I13)</f>
        <v>134.01471861471862</v>
      </c>
      <c r="K6" s="382"/>
      <c r="L6" s="383">
        <f>SUM(D18:J18)</f>
        <v>1</v>
      </c>
      <c r="M6" s="385">
        <f>SUM(D19:J19)</f>
        <v>15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109.29871818772095</v>
      </c>
      <c r="G7" s="389"/>
      <c r="H7" s="390">
        <f>AVERAGE(D14:H14)</f>
        <v>108.05739564164575</v>
      </c>
      <c r="I7" s="390"/>
      <c r="J7" s="390">
        <f>AVERAGE(I14)</f>
        <v>115.50533091809689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0.88186752053041106</v>
      </c>
      <c r="G8" s="374"/>
      <c r="H8" s="374">
        <f>H7/H6</f>
        <v>0.88626021069394856</v>
      </c>
      <c r="I8" s="374"/>
      <c r="J8" s="374">
        <f>J7/J6</f>
        <v>0.8618854116327721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VALUE('0424'!L15)</f>
        <v>138.05333333333334</v>
      </c>
      <c r="E13" s="13">
        <f>VALUE('0424'!L26)</f>
        <v>162.31410256410257</v>
      </c>
      <c r="F13" s="13">
        <f>VALUE('0424'!L37)</f>
        <v>99.674537037037041</v>
      </c>
      <c r="G13" s="13">
        <f>VALUE('0424'!L48)</f>
        <v>106.03958333333333</v>
      </c>
      <c r="H13" s="13">
        <f>VALUE('0424'!L58)</f>
        <v>103.54411764705883</v>
      </c>
      <c r="I13" s="13">
        <f>VALUE('0424'!L69)</f>
        <v>134.01471861471862</v>
      </c>
      <c r="J13" s="13">
        <f>'0424'!L79</f>
        <v>110.76923076923077</v>
      </c>
    </row>
    <row r="14" spans="2:15" ht="39.950000000000003" customHeight="1">
      <c r="B14" s="368"/>
      <c r="C14" s="12" t="s">
        <v>100</v>
      </c>
      <c r="D14" s="13">
        <f>VALUE('0424'!O15)</f>
        <v>130.4276822238225</v>
      </c>
      <c r="E14" s="13">
        <f>VALUE('0424'!O26)</f>
        <v>154.53457570207593</v>
      </c>
      <c r="F14" s="13">
        <f>VALUE('0424'!O37)</f>
        <v>76.651571408707014</v>
      </c>
      <c r="G14" s="13">
        <f>VALUE('0424'!O48)</f>
        <v>84.607209488272474</v>
      </c>
      <c r="H14" s="13">
        <f>VALUE('0424'!O58)</f>
        <v>94.065939385350859</v>
      </c>
      <c r="I14" s="13">
        <f>VALUE('0424'!O69)</f>
        <v>115.50533091809689</v>
      </c>
      <c r="J14" s="13">
        <f>'0424'!O79</f>
        <v>99.436363636363481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0.94476300625716503</v>
      </c>
      <c r="E15" s="14">
        <f t="shared" si="1"/>
        <v>0.95207115870320458</v>
      </c>
      <c r="F15" s="14">
        <f t="shared" si="1"/>
        <v>0.76901858475876184</v>
      </c>
      <c r="G15" s="14">
        <f t="shared" si="1"/>
        <v>0.79788326989470892</v>
      </c>
      <c r="H15" s="14">
        <f t="shared" si="1"/>
        <v>0.9084624170151766</v>
      </c>
      <c r="I15" s="14">
        <f t="shared" si="1"/>
        <v>0.8618854116327721</v>
      </c>
      <c r="J15" s="15">
        <f>'0424'!S70</f>
        <v>0.89768939393939251</v>
      </c>
    </row>
    <row r="16" spans="2:15" ht="17.25" customHeight="1">
      <c r="B16" s="370" t="s">
        <v>101</v>
      </c>
      <c r="C16" s="10" t="s">
        <v>34</v>
      </c>
      <c r="D16" s="16">
        <f>'0424'!T5</f>
        <v>0.29166666666666702</v>
      </c>
      <c r="E16" s="16">
        <f>'0424'!T16</f>
        <v>0.29027777777777802</v>
      </c>
      <c r="F16" s="16">
        <f>'0424'!T27</f>
        <v>0.33194444444444399</v>
      </c>
      <c r="G16" s="16">
        <f>'0424'!T38</f>
        <v>0.33333333333333298</v>
      </c>
      <c r="H16" s="16">
        <f>'0424'!T49</f>
        <v>0.29027777777777802</v>
      </c>
      <c r="I16" s="16">
        <f>'0424'!T59</f>
        <v>0.29027777777777802</v>
      </c>
      <c r="J16" s="16">
        <f>'0424'!T70</f>
        <v>0.33333333333333298</v>
      </c>
    </row>
    <row r="17" spans="2:10" ht="17.25" customHeight="1">
      <c r="B17" s="371"/>
      <c r="C17" s="10" t="s">
        <v>35</v>
      </c>
      <c r="D17" s="16">
        <v>0.65902777777777799</v>
      </c>
      <c r="E17" s="19">
        <v>0.58541666666666703</v>
      </c>
      <c r="F17" s="19">
        <v>0.60416666666666696</v>
      </c>
      <c r="G17" s="20">
        <v>0.5</v>
      </c>
      <c r="H17" s="21">
        <v>0.59861111111111098</v>
      </c>
      <c r="I17" s="22">
        <v>0.60069444444444398</v>
      </c>
      <c r="J17" s="22">
        <v>0.40972222222222199</v>
      </c>
    </row>
    <row r="18" spans="2:10" ht="17.25" customHeight="1">
      <c r="B18" s="372" t="s">
        <v>102</v>
      </c>
      <c r="C18" s="330" t="s">
        <v>36</v>
      </c>
      <c r="D18" s="358">
        <f>'0424'!Z15</f>
        <v>1</v>
      </c>
      <c r="E18" s="359">
        <f>'0424'!Z26</f>
        <v>0</v>
      </c>
      <c r="F18" s="359">
        <f>'0424'!Z37</f>
        <v>0</v>
      </c>
      <c r="G18" s="360">
        <f>'0424'!Z48</f>
        <v>0</v>
      </c>
      <c r="H18" s="360">
        <f>'0424'!Z58</f>
        <v>0</v>
      </c>
      <c r="I18" s="359">
        <f>'0424'!Z69</f>
        <v>0</v>
      </c>
      <c r="J18" s="359">
        <f>'0424'!AA79</f>
        <v>0</v>
      </c>
    </row>
    <row r="19" spans="2:10" ht="17.25" customHeight="1">
      <c r="B19" s="373"/>
      <c r="C19" s="330" t="s">
        <v>37</v>
      </c>
      <c r="D19" s="358">
        <f>'0424'!AA15</f>
        <v>15</v>
      </c>
      <c r="E19" s="359">
        <f>'0424'!AA26</f>
        <v>0</v>
      </c>
      <c r="F19" s="359">
        <f>'0424'!AA37</f>
        <v>0</v>
      </c>
      <c r="G19" s="360">
        <f>'0424'!AA48</f>
        <v>0</v>
      </c>
      <c r="H19" s="360">
        <f>'0424'!AA58</f>
        <v>0</v>
      </c>
      <c r="I19" s="359">
        <f>'0424'!AA69</f>
        <v>0</v>
      </c>
      <c r="J19" s="359">
        <f>'0424'!AB79</f>
        <v>0</v>
      </c>
    </row>
    <row r="20" spans="2:10" ht="17.25" customHeight="1">
      <c r="B20" s="372" t="s">
        <v>103</v>
      </c>
      <c r="C20" s="330" t="s">
        <v>36</v>
      </c>
      <c r="D20" s="358">
        <f>'0424'!AD15</f>
        <v>0</v>
      </c>
      <c r="E20" s="359">
        <f>'0424'!AD26</f>
        <v>0</v>
      </c>
      <c r="F20" s="359">
        <f>'0424'!AD37</f>
        <v>0</v>
      </c>
      <c r="G20" s="360">
        <f>'0424'!AD48</f>
        <v>0</v>
      </c>
      <c r="H20" s="360">
        <f>'0424'!AD58</f>
        <v>0</v>
      </c>
      <c r="I20" s="359">
        <f>'0424'!AD69</f>
        <v>0</v>
      </c>
      <c r="J20" s="359">
        <f>'0424'!AD79</f>
        <v>0</v>
      </c>
    </row>
    <row r="21" spans="2:10" ht="17.25" customHeight="1">
      <c r="B21" s="373"/>
      <c r="C21" s="330" t="s">
        <v>85</v>
      </c>
      <c r="D21" s="358">
        <f>'0424'!AE15</f>
        <v>0</v>
      </c>
      <c r="E21" s="359">
        <f>'0424'!AE26</f>
        <v>0</v>
      </c>
      <c r="F21" s="359">
        <f>'0424'!AE37</f>
        <v>0</v>
      </c>
      <c r="G21" s="360">
        <f>'0424'!AE48</f>
        <v>0</v>
      </c>
      <c r="H21" s="360">
        <f>'0424'!AE58</f>
        <v>0</v>
      </c>
      <c r="I21" s="359">
        <f>'0424'!AE69</f>
        <v>0</v>
      </c>
      <c r="J21" s="359">
        <f>'0424'!AE79</f>
        <v>0</v>
      </c>
    </row>
    <row r="22" spans="2:10" ht="17.25" customHeight="1">
      <c r="B22" s="364" t="s">
        <v>104</v>
      </c>
      <c r="C22" s="365"/>
      <c r="D22" s="23">
        <f>VALUE('0424'!M15)</f>
        <v>15</v>
      </c>
      <c r="E22" s="23">
        <f>VALUE('0424'!M26)</f>
        <v>13</v>
      </c>
      <c r="F22" s="23">
        <f>VALUE('0424'!M37)</f>
        <v>16</v>
      </c>
      <c r="G22" s="23">
        <f>VALUE('0424'!M48)</f>
        <v>15</v>
      </c>
      <c r="H22" s="23">
        <f>VALUE('0424'!M58)</f>
        <v>16.5</v>
      </c>
      <c r="I22" s="23">
        <f>VALUE('0424'!M69)</f>
        <v>11.8</v>
      </c>
      <c r="J22" s="23">
        <f>'0424'!M79</f>
        <v>10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1D9-EE81-4A4A-8C72-EBDABBA19CD5}">
  <sheetPr>
    <tabColor theme="9" tint="0.79998168889431442"/>
  </sheetPr>
  <dimension ref="A1:AJ92"/>
  <sheetViews>
    <sheetView zoomScale="73" zoomScaleNormal="73" workbookViewId="0">
      <pane xSplit="5" ySplit="4" topLeftCell="J51" activePane="bottomRight" state="frozen"/>
      <selection activeCell="AA7" sqref="AA7"/>
      <selection pane="topRight" activeCell="AA7" sqref="AA7"/>
      <selection pane="bottomLeft" activeCell="AA7" sqref="AA7"/>
      <selection pane="bottomRight" activeCell="AA7" sqref="AA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53527</v>
      </c>
      <c r="F1" s="30" t="s">
        <v>2</v>
      </c>
      <c r="G1" s="31">
        <f>SUM(H5:H79)</f>
        <v>2582704.0180000006</v>
      </c>
      <c r="H1" s="32" t="s">
        <v>3</v>
      </c>
      <c r="I1" s="33">
        <f>M15+M26+M48+M58+M69+M79+M37</f>
        <v>97.3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224</v>
      </c>
      <c r="B2" s="483"/>
      <c r="C2" s="28"/>
      <c r="D2" s="28" t="s">
        <v>14</v>
      </c>
      <c r="E2" s="35">
        <f>AVERAGE(O15,O26,O37,O48,O58,O69,O79)</f>
        <v>107.88981039466988</v>
      </c>
      <c r="F2" s="36" t="s">
        <v>15</v>
      </c>
      <c r="G2" s="37">
        <f>G1/E1</f>
        <v>48.250490742989534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15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3242</v>
      </c>
      <c r="H5" s="43">
        <f>F5*G5</f>
        <v>184372.53999999998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2091.6129032258177</v>
      </c>
      <c r="O5" s="47">
        <f>N5/M5</f>
        <v>139.44086021505453</v>
      </c>
      <c r="P5" s="49">
        <f>M5-J5</f>
        <v>0</v>
      </c>
      <c r="Q5" s="50">
        <f>O5-L5</f>
        <v>-1.7591397849454609</v>
      </c>
      <c r="R5" s="51">
        <f>O5/L5</f>
        <v>0.98754150293947973</v>
      </c>
      <c r="S5" s="415">
        <f>R15</f>
        <v>0.94476300625716503</v>
      </c>
      <c r="T5" s="319">
        <v>0.29166666666666702</v>
      </c>
      <c r="U5" s="320">
        <v>0.35625000000000001</v>
      </c>
      <c r="V5" s="53"/>
      <c r="W5" s="54">
        <f t="shared" ref="W5:W14" si="0">(U5-T5)*24*60</f>
        <v>92.999999999999517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-26.387096774182282</v>
      </c>
      <c r="AG5" s="52">
        <f t="shared" ref="AG5:AG11" si="2">N5/K5</f>
        <v>0.98754150293947951</v>
      </c>
      <c r="AH5" s="403">
        <f>AG15</f>
        <v>0.94476300625716492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3310</v>
      </c>
      <c r="H6" s="63">
        <f>F6*G6</f>
        <v>162653.4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1873.5849056603543</v>
      </c>
      <c r="O6" s="67">
        <f>N6/M6</f>
        <v>124.90566037735695</v>
      </c>
      <c r="P6" s="69">
        <f>M6-J6</f>
        <v>0</v>
      </c>
      <c r="Q6" s="70">
        <f>O6-L6</f>
        <v>-16.294339622643037</v>
      </c>
      <c r="R6" s="71">
        <f>O6/L6</f>
        <v>0.88460099417391613</v>
      </c>
      <c r="S6" s="416"/>
      <c r="T6" s="16">
        <v>0.36319444444444399</v>
      </c>
      <c r="U6" s="16">
        <v>0.436805555555556</v>
      </c>
      <c r="V6" s="30">
        <f>(T6-U5)*24*60</f>
        <v>9.999999999999325</v>
      </c>
      <c r="W6" s="73">
        <f t="shared" si="0"/>
        <v>106.00000000000131</v>
      </c>
      <c r="X6" s="22"/>
      <c r="Y6" s="84"/>
      <c r="Z6" s="90">
        <v>1</v>
      </c>
      <c r="AA6" s="90">
        <v>15</v>
      </c>
      <c r="AB6" s="453" t="s">
        <v>225</v>
      </c>
      <c r="AC6" s="453"/>
      <c r="AD6" s="149"/>
      <c r="AE6" s="149"/>
      <c r="AF6" s="307">
        <f t="shared" si="1"/>
        <v>-244.41509433964575</v>
      </c>
      <c r="AG6" s="72">
        <f t="shared" si="2"/>
        <v>0.88460099417391602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1922</v>
      </c>
      <c r="H7" s="78">
        <f>F7*G7</f>
        <v>111802.74</v>
      </c>
      <c r="I7" s="73"/>
      <c r="J7" s="79">
        <v>15</v>
      </c>
      <c r="K7" s="80">
        <f>VLOOKUP(D7,產線配置圖!$A$3:$C$38,3,0)</f>
        <v>2000</v>
      </c>
      <c r="L7" s="81">
        <f>K7/J7</f>
        <v>133.33333333333334</v>
      </c>
      <c r="M7" s="82">
        <v>15</v>
      </c>
      <c r="N7" s="80">
        <f>G7/W7*60</f>
        <v>1890.4918032786927</v>
      </c>
      <c r="O7" s="81">
        <f>N7/M7</f>
        <v>126.03278688524618</v>
      </c>
      <c r="P7" s="74">
        <f>M7-J7</f>
        <v>0</v>
      </c>
      <c r="Q7" s="83">
        <f>O7-L7</f>
        <v>-7.3005464480871609</v>
      </c>
      <c r="R7" s="72">
        <f>O7/L7</f>
        <v>0.9452459016393463</v>
      </c>
      <c r="S7" s="416"/>
      <c r="T7" s="18">
        <v>0.44374999999999998</v>
      </c>
      <c r="U7" s="18">
        <v>0.48611111111111099</v>
      </c>
      <c r="V7" s="30">
        <f>(T7-U6)*24*60</f>
        <v>9.999999999999325</v>
      </c>
      <c r="W7" s="73">
        <f t="shared" si="0"/>
        <v>60.999999999999865</v>
      </c>
      <c r="X7" s="22">
        <v>0.49305555555555602</v>
      </c>
      <c r="Y7" s="84">
        <v>0.53472222222222199</v>
      </c>
      <c r="Z7" s="90"/>
      <c r="AA7" s="90"/>
      <c r="AB7" s="409"/>
      <c r="AC7" s="409"/>
      <c r="AD7" s="92"/>
      <c r="AE7" s="92"/>
      <c r="AF7" s="307">
        <f t="shared" si="1"/>
        <v>-109.50819672130729</v>
      </c>
      <c r="AG7" s="72">
        <f t="shared" si="2"/>
        <v>0.94524590163934641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3798</v>
      </c>
      <c r="H8" s="78">
        <f t="shared" ref="H8:H9" si="3">F8*G8</f>
        <v>220929.66</v>
      </c>
      <c r="I8" s="73"/>
      <c r="J8" s="79">
        <v>15</v>
      </c>
      <c r="K8" s="80">
        <f>VLOOKUP(D8,產線配置圖!$A$3:$C$38,3,0)</f>
        <v>2000</v>
      </c>
      <c r="L8" s="81">
        <f t="shared" ref="L8:L9" si="4">K8/J8</f>
        <v>133.33333333333334</v>
      </c>
      <c r="M8" s="82">
        <v>15</v>
      </c>
      <c r="N8" s="80">
        <f t="shared" ref="N8:N9" si="5">G8/W8*60</f>
        <v>1914.957983193274</v>
      </c>
      <c r="O8" s="81">
        <f t="shared" ref="O8:O9" si="6">N8/M8</f>
        <v>127.66386554621826</v>
      </c>
      <c r="P8" s="74">
        <f t="shared" ref="P8:P9" si="7">M8-J8</f>
        <v>0</v>
      </c>
      <c r="Q8" s="83">
        <f t="shared" ref="Q8:Q9" si="8">O8-L8</f>
        <v>-5.6694677871150816</v>
      </c>
      <c r="R8" s="72">
        <f t="shared" ref="R8:R9" si="9">O8/L8</f>
        <v>0.95747899159663685</v>
      </c>
      <c r="S8" s="416"/>
      <c r="T8" s="16">
        <v>0.54166666666666696</v>
      </c>
      <c r="U8" s="16">
        <v>0.624305555555556</v>
      </c>
      <c r="V8" s="30">
        <f t="shared" ref="V8:V9" si="10">(T8-U7)*24*60</f>
        <v>80.000000000000597</v>
      </c>
      <c r="W8" s="73">
        <f t="shared" si="0"/>
        <v>119.00000000000021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-85.042016806725997</v>
      </c>
      <c r="AG8" s="72">
        <f t="shared" si="2"/>
        <v>0.95747899159663696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1408</v>
      </c>
      <c r="H9" s="78">
        <f t="shared" si="3"/>
        <v>69189.119999999995</v>
      </c>
      <c r="I9" s="73"/>
      <c r="J9" s="79">
        <v>15</v>
      </c>
      <c r="K9" s="80">
        <f>VLOOKUP(D9,產線配置圖!$A$3:$C$38,3,0)</f>
        <v>2118</v>
      </c>
      <c r="L9" s="81">
        <f t="shared" si="4"/>
        <v>141.19999999999999</v>
      </c>
      <c r="M9" s="82">
        <v>15</v>
      </c>
      <c r="N9" s="80">
        <f t="shared" si="5"/>
        <v>2011.4285714285481</v>
      </c>
      <c r="O9" s="81">
        <f t="shared" si="6"/>
        <v>134.09523809523654</v>
      </c>
      <c r="P9" s="74">
        <f t="shared" si="7"/>
        <v>0</v>
      </c>
      <c r="Q9" s="83">
        <f t="shared" si="8"/>
        <v>-7.1047619047634498</v>
      </c>
      <c r="R9" s="72">
        <f t="shared" si="9"/>
        <v>0.94968298934303508</v>
      </c>
      <c r="S9" s="417"/>
      <c r="T9" s="16">
        <v>0.62986111111111098</v>
      </c>
      <c r="U9" s="16">
        <v>0.65902777777777799</v>
      </c>
      <c r="V9" s="30">
        <f t="shared" si="10"/>
        <v>7.9999999999991722</v>
      </c>
      <c r="W9" s="73">
        <f t="shared" si="0"/>
        <v>42.00000000000049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-106.57142857145186</v>
      </c>
      <c r="AG9" s="72">
        <f t="shared" si="2"/>
        <v>0.94968298934303497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2070.8000000000002</v>
      </c>
      <c r="L15" s="117">
        <f t="shared" si="11"/>
        <v>138.05333333333334</v>
      </c>
      <c r="M15" s="120">
        <f t="shared" si="11"/>
        <v>15</v>
      </c>
      <c r="N15" s="120">
        <f t="shared" si="11"/>
        <v>1956.4152333573372</v>
      </c>
      <c r="O15" s="117">
        <f t="shared" si="11"/>
        <v>130.4276822238225</v>
      </c>
      <c r="P15" s="121">
        <f>M15-J15</f>
        <v>0</v>
      </c>
      <c r="Q15" s="122">
        <f>O15-L15</f>
        <v>-7.6256511095108408</v>
      </c>
      <c r="R15" s="123">
        <f>O15/L15</f>
        <v>0.94476300625716503</v>
      </c>
      <c r="S15" s="419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-114.38476664266295</v>
      </c>
      <c r="AG15" s="124">
        <f>N15/K15</f>
        <v>0.94476300625716492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3331</v>
      </c>
      <c r="H16" s="134">
        <f>F16*G16</f>
        <v>168781.77000000002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1998.6000000000138</v>
      </c>
      <c r="O16" s="141">
        <f>N16/M16</f>
        <v>153.73846153846259</v>
      </c>
      <c r="P16" s="142">
        <f>M16-J16</f>
        <v>0</v>
      </c>
      <c r="Q16" s="143">
        <f>O16-L16</f>
        <v>-9.1846153846143466</v>
      </c>
      <c r="R16" s="144">
        <f>O16/L16</f>
        <v>0.94362606232295254</v>
      </c>
      <c r="S16" s="443">
        <f>R26</f>
        <v>0.95207115870320458</v>
      </c>
      <c r="T16" s="145">
        <v>0.29027777777777802</v>
      </c>
      <c r="U16" s="145">
        <v>0.359722222222222</v>
      </c>
      <c r="V16" s="135"/>
      <c r="W16" s="146">
        <f t="shared" ref="W16:W78" si="12">(U16-T16)*24*60</f>
        <v>99.999999999999318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-119.39999999998622</v>
      </c>
      <c r="AG16" s="52">
        <f>N16/K16</f>
        <v>0.94362606232295265</v>
      </c>
      <c r="AH16" s="403">
        <f>AG26</f>
        <v>0.95188389935816486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3172</v>
      </c>
      <c r="H17" s="78">
        <f>F17*G17</f>
        <v>179566.91999999998</v>
      </c>
      <c r="I17" s="30"/>
      <c r="J17" s="79">
        <v>15</v>
      </c>
      <c r="K17" s="80">
        <f>VLOOKUP(D17,產線配置圖!$A$3:$C$38,3,0)</f>
        <v>2000</v>
      </c>
      <c r="L17" s="81">
        <f>K17/J17</f>
        <v>133.33333333333334</v>
      </c>
      <c r="M17" s="148">
        <v>15</v>
      </c>
      <c r="N17" s="95">
        <f>G17/W17*60</f>
        <v>1903.2000000000114</v>
      </c>
      <c r="O17" s="96">
        <f>N17/M17</f>
        <v>126.88000000000076</v>
      </c>
      <c r="P17" s="97">
        <f>M17-J17</f>
        <v>0</v>
      </c>
      <c r="Q17" s="98">
        <f>O17-L17</f>
        <v>-6.45333333333258</v>
      </c>
      <c r="R17" s="99">
        <f>O17/L17</f>
        <v>0.95160000000000566</v>
      </c>
      <c r="S17" s="444"/>
      <c r="T17" s="19">
        <v>0.36527777777777798</v>
      </c>
      <c r="U17" s="19">
        <v>0.43472222222222201</v>
      </c>
      <c r="V17" s="30">
        <f>(T17-U16)*24*60</f>
        <v>8.0000000000006111</v>
      </c>
      <c r="W17" s="149">
        <f t="shared" si="12"/>
        <v>99.999999999999403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-96.799999999988586</v>
      </c>
      <c r="AG17" s="72">
        <f>N17/K17</f>
        <v>0.95160000000000566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1910</v>
      </c>
      <c r="H18" s="78">
        <f>F18*G18</f>
        <v>96244.9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2046.4285714285641</v>
      </c>
      <c r="O18" s="96">
        <f>N18/M18</f>
        <v>170.53571428571368</v>
      </c>
      <c r="P18" s="97">
        <f>M18-J18</f>
        <v>0</v>
      </c>
      <c r="Q18" s="98">
        <f>O18-L18</f>
        <v>-5.9642857142863193</v>
      </c>
      <c r="R18" s="99">
        <f>O18/L18</f>
        <v>0.96620801295021919</v>
      </c>
      <c r="S18" s="444"/>
      <c r="T18" s="19">
        <v>0.44027777777777799</v>
      </c>
      <c r="U18" s="19">
        <v>0.47916666666666702</v>
      </c>
      <c r="V18" s="30">
        <f>(T18-U17)*24*60</f>
        <v>8.0000000000006111</v>
      </c>
      <c r="W18" s="149">
        <f t="shared" si="12"/>
        <v>56.000000000000199</v>
      </c>
      <c r="X18" s="22">
        <v>0.49305555555555602</v>
      </c>
      <c r="Y18" s="84">
        <v>0.53472222222222199</v>
      </c>
      <c r="Z18" s="90"/>
      <c r="AA18" s="90"/>
      <c r="AB18" s="409"/>
      <c r="AC18" s="409"/>
      <c r="AD18" s="92"/>
      <c r="AE18" s="92"/>
      <c r="AF18" s="307">
        <f>N18-K18</f>
        <v>-71.571428571435945</v>
      </c>
      <c r="AG18" s="72">
        <f>N18/K18</f>
        <v>0.96620801295021908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2104</v>
      </c>
      <c r="H19" s="78">
        <f>F19*G19</f>
        <v>106020.56</v>
      </c>
      <c r="I19" s="30"/>
      <c r="J19" s="79">
        <v>12</v>
      </c>
      <c r="K19" s="80">
        <f>VLOOKUP(D19,產線配置圖!$A$3:$C$38,3,0)</f>
        <v>2118</v>
      </c>
      <c r="L19" s="81">
        <f>K19/J19</f>
        <v>176.5</v>
      </c>
      <c r="M19" s="148">
        <v>12</v>
      </c>
      <c r="N19" s="95">
        <f>G19/W19*60</f>
        <v>2003.8095238095204</v>
      </c>
      <c r="O19" s="96">
        <f>N19/M19</f>
        <v>166.9841269841267</v>
      </c>
      <c r="P19" s="97">
        <f>M19-J19</f>
        <v>0</v>
      </c>
      <c r="Q19" s="98">
        <f>O19-L19</f>
        <v>-9.5158730158732965</v>
      </c>
      <c r="R19" s="99">
        <f>O19/L19</f>
        <v>0.94608570529250258</v>
      </c>
      <c r="S19" s="444"/>
      <c r="T19" s="19">
        <v>0.54166666666666696</v>
      </c>
      <c r="U19" s="19">
        <v>0.58541666666666703</v>
      </c>
      <c r="V19" s="30">
        <f>(T19-U18)*24*60</f>
        <v>89.999999999999915</v>
      </c>
      <c r="W19" s="149">
        <f t="shared" si="12"/>
        <v>63.000000000000099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-114.19047619047956</v>
      </c>
      <c r="AG19" s="72">
        <f>N19/K19</f>
        <v>0.94608570529250258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/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2088.5</v>
      </c>
      <c r="L26" s="158">
        <f t="shared" si="13"/>
        <v>162.31410256410257</v>
      </c>
      <c r="M26" s="155">
        <f t="shared" si="13"/>
        <v>13</v>
      </c>
      <c r="N26" s="155">
        <f t="shared" si="13"/>
        <v>1988.0095238095273</v>
      </c>
      <c r="O26" s="158">
        <f t="shared" si="13"/>
        <v>154.53457570207593</v>
      </c>
      <c r="P26" s="159">
        <f>M26-J26</f>
        <v>0</v>
      </c>
      <c r="Q26" s="160">
        <f>O26-L26</f>
        <v>-7.7795268620266427</v>
      </c>
      <c r="R26" s="161">
        <f>O26/L26</f>
        <v>0.95207115870320458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14">N26-K26</f>
        <v>-100.49047619047269</v>
      </c>
      <c r="AG26" s="124">
        <f t="shared" ref="AG26:AG31" si="15">N26/K26</f>
        <v>0.95188389935816486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3752</v>
      </c>
      <c r="H27" s="134">
        <f>F27*G27</f>
        <v>188684.32800000001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17</v>
      </c>
      <c r="N27" s="140">
        <f>G27/W27*60</f>
        <v>1197.4468085106339</v>
      </c>
      <c r="O27" s="141">
        <f>N27/M27</f>
        <v>70.438047559449046</v>
      </c>
      <c r="P27" s="142">
        <f>M27-J27</f>
        <v>-1</v>
      </c>
      <c r="Q27" s="143">
        <f>O27-L27</f>
        <v>-16.506396884995397</v>
      </c>
      <c r="R27" s="144">
        <f>O27/L27</f>
        <v>0.81015006777641074</v>
      </c>
      <c r="S27" s="443">
        <f>R37</f>
        <v>0.76901858475876184</v>
      </c>
      <c r="T27" s="171">
        <v>0.33194444444444399</v>
      </c>
      <c r="U27" s="171">
        <v>0.46250000000000002</v>
      </c>
      <c r="V27" s="135"/>
      <c r="W27" s="146">
        <f t="shared" si="12"/>
        <v>188.00000000000068</v>
      </c>
      <c r="X27" s="145">
        <v>0.46527777777777801</v>
      </c>
      <c r="Y27" s="363">
        <v>0.51736111111111105</v>
      </c>
      <c r="Z27" s="169"/>
      <c r="AA27" s="169"/>
      <c r="AB27" s="420"/>
      <c r="AC27" s="420"/>
      <c r="AD27" s="135"/>
      <c r="AE27" s="135"/>
      <c r="AF27" s="310">
        <f t="shared" si="14"/>
        <v>-367.5531914893661</v>
      </c>
      <c r="AG27" s="172">
        <f t="shared" si="15"/>
        <v>0.76514173067772129</v>
      </c>
      <c r="AH27" s="403">
        <f>AG37</f>
        <v>0.75779936867135556</v>
      </c>
    </row>
    <row r="28" spans="1:34" ht="15" customHeight="1">
      <c r="A28" s="441"/>
      <c r="B28" s="75" t="s">
        <v>118</v>
      </c>
      <c r="C28" s="173"/>
      <c r="D28" s="59" t="s">
        <v>123</v>
      </c>
      <c r="E28" s="104"/>
      <c r="F28" s="75">
        <f>VLOOKUP(D28,廠價表!$C$1:$E$43,3,0)</f>
        <v>49.91</v>
      </c>
      <c r="G28" s="90">
        <v>296</v>
      </c>
      <c r="H28" s="91">
        <f>F28*G28</f>
        <v>14773.359999999999</v>
      </c>
      <c r="I28" s="92"/>
      <c r="J28" s="79">
        <f>VLOOKUP(D28,產線配置圖!$A$3:$C$38,2,0)</f>
        <v>15</v>
      </c>
      <c r="K28" s="80">
        <f>VLOOKUP(D28,產線配置圖!$A$3:$C$38,3,0)</f>
        <v>1714</v>
      </c>
      <c r="L28" s="93">
        <f>K28/J28</f>
        <v>114.26666666666667</v>
      </c>
      <c r="M28" s="94">
        <v>15</v>
      </c>
      <c r="N28" s="95">
        <f>G28/W28*60</f>
        <v>1184.00000000008</v>
      </c>
      <c r="O28" s="96">
        <f>N28/M28</f>
        <v>78.933333333338666</v>
      </c>
      <c r="P28" s="97">
        <f>M28-J28</f>
        <v>0</v>
      </c>
      <c r="Q28" s="98">
        <f>O28-L28</f>
        <v>-35.333333333328</v>
      </c>
      <c r="R28" s="99">
        <f>O28/L28</f>
        <v>0.69078179696620767</v>
      </c>
      <c r="S28" s="444"/>
      <c r="T28" s="19">
        <v>0.52430555555555602</v>
      </c>
      <c r="U28" s="19">
        <v>0.53472222222222199</v>
      </c>
      <c r="V28" s="92">
        <f>(T28-U27)*24*60</f>
        <v>89.000000000000639</v>
      </c>
      <c r="W28" s="149">
        <f t="shared" si="12"/>
        <v>14.999999999998987</v>
      </c>
      <c r="X28" s="174"/>
      <c r="Y28" s="301"/>
      <c r="Z28" s="335"/>
      <c r="AA28" s="335"/>
      <c r="AB28" s="409" t="s">
        <v>134</v>
      </c>
      <c r="AC28" s="409"/>
      <c r="AD28" s="92"/>
      <c r="AE28" s="92"/>
      <c r="AF28" s="311">
        <f t="shared" si="14"/>
        <v>-529.99999999991996</v>
      </c>
      <c r="AG28" s="99">
        <f t="shared" si="15"/>
        <v>0.69078179696620767</v>
      </c>
      <c r="AH28" s="404"/>
    </row>
    <row r="29" spans="1:34" ht="15" customHeight="1">
      <c r="A29" s="441"/>
      <c r="B29" s="75" t="s">
        <v>118</v>
      </c>
      <c r="C29" s="173"/>
      <c r="D29" s="59" t="s">
        <v>124</v>
      </c>
      <c r="E29" s="104"/>
      <c r="F29" s="75">
        <f>VLOOKUP(D29,廠價表!$C$1:$E$43,3,0)</f>
        <v>44.3</v>
      </c>
      <c r="G29" s="90">
        <v>1934</v>
      </c>
      <c r="H29" s="91">
        <f>F29*G29</f>
        <v>85676.2</v>
      </c>
      <c r="I29" s="92"/>
      <c r="J29" s="79">
        <v>16</v>
      </c>
      <c r="K29" s="80">
        <f>VLOOKUP(D29,產線配置圖!$A$3:$C$38,3,0)</f>
        <v>1565</v>
      </c>
      <c r="L29" s="93">
        <f>K29/J29</f>
        <v>97.8125</v>
      </c>
      <c r="M29" s="94">
        <v>16</v>
      </c>
      <c r="N29" s="95">
        <f>G29/W29*60</f>
        <v>1289.3333333333333</v>
      </c>
      <c r="O29" s="96">
        <f>N29/M29</f>
        <v>80.583333333333329</v>
      </c>
      <c r="P29" s="97">
        <f>M29-J29</f>
        <v>0</v>
      </c>
      <c r="Q29" s="98">
        <f>O29-L29</f>
        <v>-17.229166666666671</v>
      </c>
      <c r="R29" s="99">
        <f>O29/L29</f>
        <v>0.82385516506922252</v>
      </c>
      <c r="S29" s="444"/>
      <c r="T29" s="19">
        <v>0.54166666666666696</v>
      </c>
      <c r="U29" s="19">
        <v>0.60416666666666696</v>
      </c>
      <c r="V29" s="92">
        <f>(T29-U28)*24*60</f>
        <v>10.000000000000764</v>
      </c>
      <c r="W29" s="149">
        <f t="shared" si="12"/>
        <v>90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14"/>
        <v>-275.66666666666674</v>
      </c>
      <c r="AG29" s="99">
        <f t="shared" si="15"/>
        <v>0.82385516506922252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14"/>
        <v>0</v>
      </c>
      <c r="AG30" s="99" t="e">
        <f t="shared" si="15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14"/>
        <v>0</v>
      </c>
      <c r="AG31" s="99" t="e">
        <f t="shared" si="15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16">AVERAGE(J27:J36)</f>
        <v>16.333333333333332</v>
      </c>
      <c r="K37" s="155">
        <f t="shared" si="16"/>
        <v>1614.6666666666667</v>
      </c>
      <c r="L37" s="158">
        <f t="shared" si="16"/>
        <v>99.674537037037041</v>
      </c>
      <c r="M37" s="155">
        <f t="shared" si="16"/>
        <v>16</v>
      </c>
      <c r="N37" s="155">
        <f t="shared" si="16"/>
        <v>1223.5933806146822</v>
      </c>
      <c r="O37" s="158">
        <f t="shared" si="16"/>
        <v>76.651571408707014</v>
      </c>
      <c r="P37" s="159">
        <f>M37-J37</f>
        <v>-0.33333333333333215</v>
      </c>
      <c r="Q37" s="160">
        <f>N37-K37</f>
        <v>-391.0732860519845</v>
      </c>
      <c r="R37" s="161">
        <f>O37/L37</f>
        <v>0.76901858475876184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-391.0732860519845</v>
      </c>
      <c r="AG37" s="124">
        <f>N37/K37</f>
        <v>0.75779936867135556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2185</v>
      </c>
      <c r="H38" s="134">
        <f>F38*G38</f>
        <v>109053.34999999999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14</v>
      </c>
      <c r="N38" s="140">
        <f>G38/W38*60</f>
        <v>1365.6249999999925</v>
      </c>
      <c r="O38" s="141">
        <f>N38/M38</f>
        <v>97.544642857142321</v>
      </c>
      <c r="P38" s="142">
        <f>M38-J38</f>
        <v>-1</v>
      </c>
      <c r="Q38" s="143">
        <f>O38-L38</f>
        <v>-16.722023809524345</v>
      </c>
      <c r="R38" s="144">
        <f>O38/L38</f>
        <v>0.85365790131688146</v>
      </c>
      <c r="S38" s="433">
        <f>R48</f>
        <v>0.79788326989470892</v>
      </c>
      <c r="T38" s="191">
        <v>0.33333333333333298</v>
      </c>
      <c r="U38" s="191">
        <v>0.4</v>
      </c>
      <c r="V38" s="192"/>
      <c r="W38" s="193">
        <f t="shared" si="12"/>
        <v>96.00000000000054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-348.3750000000075</v>
      </c>
      <c r="AG38" s="195">
        <f>N38/K38</f>
        <v>0.79674737456242273</v>
      </c>
      <c r="AH38" s="436">
        <f>AG48</f>
        <v>0.76619134428497548</v>
      </c>
    </row>
    <row r="39" spans="1:34" ht="15" customHeight="1">
      <c r="A39" s="431"/>
      <c r="B39" s="75" t="s">
        <v>118</v>
      </c>
      <c r="C39" s="207"/>
      <c r="D39" s="198" t="s">
        <v>124</v>
      </c>
      <c r="E39" s="178"/>
      <c r="F39" s="75">
        <f>VLOOKUP(D39,廠價表!$C$1:$E$43,3,0)</f>
        <v>44.3</v>
      </c>
      <c r="G39" s="199">
        <v>2561</v>
      </c>
      <c r="H39" s="91">
        <f>F39*G39</f>
        <v>113452.29999999999</v>
      </c>
      <c r="I39" s="92"/>
      <c r="J39" s="79">
        <v>16</v>
      </c>
      <c r="K39" s="80">
        <f>VLOOKUP(D39,產線配置圖!$A$3:$C$38,3,0)</f>
        <v>1565</v>
      </c>
      <c r="L39" s="93">
        <f>K39/J39</f>
        <v>97.8125</v>
      </c>
      <c r="M39" s="201">
        <v>16</v>
      </c>
      <c r="N39" s="95">
        <f>G39/W39*60</f>
        <v>1146.7164179104423</v>
      </c>
      <c r="O39" s="96">
        <f>N39/M39</f>
        <v>71.669776119402641</v>
      </c>
      <c r="P39" s="97">
        <f>M39-J39</f>
        <v>0</v>
      </c>
      <c r="Q39" s="98">
        <f>O39-L39</f>
        <v>-26.142723880597359</v>
      </c>
      <c r="R39" s="99">
        <f>O39/L39</f>
        <v>0.73272614562967553</v>
      </c>
      <c r="S39" s="434"/>
      <c r="T39" s="20">
        <v>0.406944444444444</v>
      </c>
      <c r="U39" s="210">
        <v>0.5</v>
      </c>
      <c r="V39" s="92">
        <f>(T39-U38)*24*60</f>
        <v>9.999999999999325</v>
      </c>
      <c r="W39" s="205">
        <f t="shared" si="12"/>
        <v>134.00000000000065</v>
      </c>
      <c r="X39" s="22"/>
      <c r="Y39" s="84"/>
      <c r="Z39" s="90"/>
      <c r="AA39" s="90"/>
      <c r="AB39" s="408" t="s">
        <v>226</v>
      </c>
      <c r="AC39" s="408"/>
      <c r="AD39" s="200"/>
      <c r="AE39" s="200"/>
      <c r="AF39" s="314">
        <f>N39-K39</f>
        <v>-418.28358208955774</v>
      </c>
      <c r="AG39" s="206">
        <f>N39/K39</f>
        <v>0.73272614562967553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0</v>
      </c>
      <c r="AG40" s="206" t="e">
        <f>N40/K40</f>
        <v>#DIV/0!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17">AVERAGE(J38:J47)</f>
        <v>15.5</v>
      </c>
      <c r="K48" s="155">
        <f t="shared" si="17"/>
        <v>1639.5</v>
      </c>
      <c r="L48" s="158">
        <f t="shared" si="17"/>
        <v>106.03958333333333</v>
      </c>
      <c r="M48" s="155">
        <f t="shared" si="17"/>
        <v>15</v>
      </c>
      <c r="N48" s="155">
        <f t="shared" si="17"/>
        <v>1256.1707089552174</v>
      </c>
      <c r="O48" s="158">
        <f t="shared" si="17"/>
        <v>84.607209488272474</v>
      </c>
      <c r="P48" s="221">
        <f>M48-J48</f>
        <v>-0.5</v>
      </c>
      <c r="Q48" s="222">
        <f>N48-K48</f>
        <v>-383.32929104478262</v>
      </c>
      <c r="R48" s="223">
        <f>O48/L48</f>
        <v>0.79788326989470892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18">N48-K48</f>
        <v>-383.32929104478262</v>
      </c>
      <c r="AG48" s="162">
        <f t="shared" ref="AG48:AG53" si="19">N48/K48</f>
        <v>0.76619134428497548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2010</v>
      </c>
      <c r="H49" s="134">
        <f>F49*G49</f>
        <v>99535.200000000012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1453.0120481927693</v>
      </c>
      <c r="O49" s="141">
        <f>N49/M49</f>
        <v>85.471296952515843</v>
      </c>
      <c r="P49" s="229">
        <f>M49-J49</f>
        <v>0</v>
      </c>
      <c r="Q49" s="230">
        <f>O49-L49</f>
        <v>-2.7639971651312152</v>
      </c>
      <c r="R49" s="52">
        <f>O49/L49</f>
        <v>0.96867469879517953</v>
      </c>
      <c r="S49" s="415">
        <f>R58</f>
        <v>0.9084624170151766</v>
      </c>
      <c r="T49" s="191">
        <v>0.29027777777777802</v>
      </c>
      <c r="U49" s="191">
        <v>0.34791666666666698</v>
      </c>
      <c r="V49" s="55"/>
      <c r="W49" s="193">
        <f t="shared" si="12"/>
        <v>83.000000000000099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8"/>
        <v>-46.987951807230729</v>
      </c>
      <c r="AG49" s="52">
        <f t="shared" si="19"/>
        <v>0.96867469879517953</v>
      </c>
      <c r="AH49" s="403">
        <f>AG58</f>
        <v>0.90964242813438823</v>
      </c>
    </row>
    <row r="50" spans="1:34" ht="15" customHeight="1">
      <c r="A50" s="428"/>
      <c r="B50" s="75" t="s">
        <v>81</v>
      </c>
      <c r="C50" s="76"/>
      <c r="D50" s="59" t="s">
        <v>113</v>
      </c>
      <c r="E50" s="77"/>
      <c r="F50" s="75">
        <f>VLOOKUP(D50,廠價表!$C$1:$E$43,3,0)</f>
        <v>57.21</v>
      </c>
      <c r="G50" s="202">
        <v>2408</v>
      </c>
      <c r="H50" s="231">
        <f>F50*G50</f>
        <v>137761.68</v>
      </c>
      <c r="I50" s="232"/>
      <c r="J50" s="79">
        <v>17</v>
      </c>
      <c r="K50" s="80">
        <v>1716</v>
      </c>
      <c r="L50" s="81">
        <f>K50/J50</f>
        <v>100.94117647058823</v>
      </c>
      <c r="M50" s="233">
        <v>17</v>
      </c>
      <c r="N50" s="234">
        <f>G50/W50*60</f>
        <v>1605.3333333333335</v>
      </c>
      <c r="O50" s="235">
        <f>N50/M50</f>
        <v>94.431372549019613</v>
      </c>
      <c r="P50" s="74">
        <f>M50-J50</f>
        <v>0</v>
      </c>
      <c r="Q50" s="83">
        <f>O50-L50</f>
        <v>-6.5098039215686185</v>
      </c>
      <c r="R50" s="72">
        <f>O50/L50</f>
        <v>0.93550893550893555</v>
      </c>
      <c r="S50" s="416"/>
      <c r="T50" s="21">
        <v>0.35416666666666702</v>
      </c>
      <c r="U50" s="21">
        <v>0.41666666666666702</v>
      </c>
      <c r="V50" s="30">
        <f>(T50-U49)*24*60</f>
        <v>9.000000000000048</v>
      </c>
      <c r="W50" s="236">
        <f t="shared" si="12"/>
        <v>90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18"/>
        <v>-110.66666666666652</v>
      </c>
      <c r="AG50" s="72">
        <f t="shared" si="19"/>
        <v>0.93550893550893555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2301</v>
      </c>
      <c r="H51" s="231">
        <f>F51*G51</f>
        <v>114980.97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1605.3488372093082</v>
      </c>
      <c r="O51" s="235">
        <f>N51/M51</f>
        <v>100.33430232558176</v>
      </c>
      <c r="P51" s="74">
        <f>M51-J51</f>
        <v>0</v>
      </c>
      <c r="Q51" s="83">
        <f>O51-L51</f>
        <v>-12.16569767441824</v>
      </c>
      <c r="R51" s="72">
        <f>O51/L51</f>
        <v>0.89186046511628236</v>
      </c>
      <c r="S51" s="416"/>
      <c r="T51" s="21">
        <v>0.422916666666667</v>
      </c>
      <c r="U51" s="19">
        <v>0.48263888888888901</v>
      </c>
      <c r="V51" s="30">
        <f>(T51-U50)*24*60</f>
        <v>8.999999999999968</v>
      </c>
      <c r="W51" s="236">
        <f t="shared" si="12"/>
        <v>85.999999999999687</v>
      </c>
      <c r="X51" s="22">
        <v>0.48958333333333298</v>
      </c>
      <c r="Y51" s="84">
        <v>0.53819444444444398</v>
      </c>
      <c r="Z51" s="90"/>
      <c r="AA51" s="90"/>
      <c r="AB51" s="409"/>
      <c r="AC51" s="409"/>
      <c r="AD51" s="92"/>
      <c r="AE51" s="92"/>
      <c r="AF51" s="307">
        <f t="shared" si="18"/>
        <v>-194.65116279069184</v>
      </c>
      <c r="AG51" s="72">
        <f t="shared" si="19"/>
        <v>0.89186046511628236</v>
      </c>
      <c r="AH51" s="405"/>
    </row>
    <row r="52" spans="1:34" ht="15" customHeight="1">
      <c r="A52" s="428"/>
      <c r="B52" s="75" t="s">
        <v>81</v>
      </c>
      <c r="C52" s="86"/>
      <c r="D52" s="59" t="s">
        <v>126</v>
      </c>
      <c r="E52" s="87"/>
      <c r="F52" s="75">
        <f>VLOOKUP(D52,廠價表!$C$1:$E$43,3,0)</f>
        <v>49.97</v>
      </c>
      <c r="G52" s="202">
        <v>2151</v>
      </c>
      <c r="H52" s="231">
        <f>F52*G52</f>
        <v>107485.47</v>
      </c>
      <c r="I52" s="232"/>
      <c r="J52" s="79">
        <f>VLOOKUP(D52,產線配置圖!$A$3:$C$38,2,0)</f>
        <v>16</v>
      </c>
      <c r="K52" s="80">
        <f>VLOOKUP(D52,產線配置圖!$A$3:$C$38,3,0)</f>
        <v>1800</v>
      </c>
      <c r="L52" s="81">
        <f>K52/J52</f>
        <v>112.5</v>
      </c>
      <c r="M52" s="233">
        <v>16</v>
      </c>
      <c r="N52" s="234">
        <f>G52/W52*60</f>
        <v>1536.4285714285797</v>
      </c>
      <c r="O52" s="235">
        <f>N52/M52</f>
        <v>96.026785714286234</v>
      </c>
      <c r="P52" s="74">
        <f>M52-J52</f>
        <v>0</v>
      </c>
      <c r="Q52" s="83">
        <f>O52-L52</f>
        <v>-16.473214285713766</v>
      </c>
      <c r="R52" s="72">
        <f>O52/L52</f>
        <v>0.8535714285714332</v>
      </c>
      <c r="S52" s="416"/>
      <c r="T52" s="21">
        <v>0.54027777777777797</v>
      </c>
      <c r="U52" s="21">
        <v>0.59861111111111098</v>
      </c>
      <c r="V52" s="30">
        <f>(T52-U51)*24*60</f>
        <v>83.000000000000099</v>
      </c>
      <c r="W52" s="236">
        <f t="shared" si="12"/>
        <v>83.999999999999545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18"/>
        <v>-263.57142857142026</v>
      </c>
      <c r="AG52" s="72">
        <f t="shared" si="19"/>
        <v>0.8535714285714332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8"/>
        <v>0</v>
      </c>
      <c r="AG53" s="72" t="e">
        <f t="shared" si="19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20">AVERAGE(J49:J57)</f>
        <v>16.5</v>
      </c>
      <c r="K58" s="120">
        <f t="shared" si="20"/>
        <v>1704</v>
      </c>
      <c r="L58" s="117">
        <f t="shared" si="20"/>
        <v>103.54411764705883</v>
      </c>
      <c r="M58" s="120">
        <f t="shared" si="20"/>
        <v>16.5</v>
      </c>
      <c r="N58" s="120">
        <f t="shared" si="20"/>
        <v>1550.0306975409976</v>
      </c>
      <c r="O58" s="117">
        <f t="shared" si="20"/>
        <v>94.065939385350859</v>
      </c>
      <c r="P58" s="121">
        <f>M58-J58</f>
        <v>0</v>
      </c>
      <c r="Q58" s="122">
        <f>N58-K58</f>
        <v>-153.96930245900239</v>
      </c>
      <c r="R58" s="123">
        <f>O58/L58</f>
        <v>0.9084624170151766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-153.96930245900239</v>
      </c>
      <c r="AG58" s="124">
        <f>N58/K58</f>
        <v>0.90964242813438823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3260</v>
      </c>
      <c r="H59" s="243">
        <f>F59*G59</f>
        <v>87987.4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14</v>
      </c>
      <c r="N59" s="137">
        <f>G59/W59*60</f>
        <v>1481.8181818181934</v>
      </c>
      <c r="O59" s="138">
        <f>N59/M59</f>
        <v>105.84415584415667</v>
      </c>
      <c r="P59" s="56">
        <f>M59-J59</f>
        <v>0</v>
      </c>
      <c r="Q59" s="230">
        <f>O59-L59</f>
        <v>-5.9415584415576177</v>
      </c>
      <c r="R59" s="52">
        <f>O59/L59</f>
        <v>0.94684867847807885</v>
      </c>
      <c r="S59" s="415">
        <f>R69</f>
        <v>0.8618854116327721</v>
      </c>
      <c r="T59" s="245">
        <v>0.29027777777777802</v>
      </c>
      <c r="U59" s="245">
        <v>0.38194444444444398</v>
      </c>
      <c r="V59" s="55"/>
      <c r="W59" s="54">
        <f t="shared" si="12"/>
        <v>131.99999999999898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-83.181818181806648</v>
      </c>
      <c r="AG59" s="246">
        <f>N59/K59</f>
        <v>0.94684867847807885</v>
      </c>
      <c r="AH59" s="403">
        <f>AG69</f>
        <v>0.8514231995720799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902</v>
      </c>
      <c r="H60" s="78">
        <f>F60*G60</f>
        <v>25490.52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1202.6666666666667</v>
      </c>
      <c r="O60" s="81">
        <f>N60/M60</f>
        <v>109.33333333333334</v>
      </c>
      <c r="P60" s="74">
        <f>M60-J60</f>
        <v>-1</v>
      </c>
      <c r="Q60" s="83">
        <f>O60-L60</f>
        <v>-21.083333333333314</v>
      </c>
      <c r="R60" s="72">
        <f>O60/L60</f>
        <v>0.83833865814696495</v>
      </c>
      <c r="S60" s="425"/>
      <c r="T60" s="22">
        <v>0.38888888888888901</v>
      </c>
      <c r="U60" s="22">
        <v>0.42013888888888901</v>
      </c>
      <c r="V60" s="30">
        <f>(T60-U59)*24*60</f>
        <v>10.000000000000844</v>
      </c>
      <c r="W60" s="248">
        <f t="shared" si="12"/>
        <v>45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-362.33333333333326</v>
      </c>
      <c r="AG60" s="249">
        <f>N60/K60</f>
        <v>0.76847710330138452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2071</v>
      </c>
      <c r="H61" s="254">
        <f>F61*G61</f>
        <v>58526.460000000006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1321.9148936170159</v>
      </c>
      <c r="O61" s="238">
        <f>N61/M61</f>
        <v>120.17408123791053</v>
      </c>
      <c r="P61" s="111">
        <f>M61-J61</f>
        <v>0</v>
      </c>
      <c r="Q61" s="255">
        <f>O61-L61</f>
        <v>-28.553191489362192</v>
      </c>
      <c r="R61" s="85">
        <f>O61/L61</f>
        <v>0.80801643864120776</v>
      </c>
      <c r="S61" s="416"/>
      <c r="T61" s="22">
        <v>0.42708333333333298</v>
      </c>
      <c r="U61" s="22">
        <v>0.49236111111111103</v>
      </c>
      <c r="V61" s="30">
        <f>(T61-U60)*24*60</f>
        <v>9.999999999999325</v>
      </c>
      <c r="W61" s="256">
        <f t="shared" si="12"/>
        <v>94.000000000000384</v>
      </c>
      <c r="X61" s="22">
        <v>0.50347222222222199</v>
      </c>
      <c r="Y61" s="84">
        <v>0.54513888888888895</v>
      </c>
      <c r="Z61" s="90"/>
      <c r="AA61" s="90"/>
      <c r="AB61" s="409"/>
      <c r="AC61" s="409"/>
      <c r="AD61" s="92"/>
      <c r="AE61" s="92"/>
      <c r="AF61" s="317">
        <f>N61-K61</f>
        <v>-314.08510638298412</v>
      </c>
      <c r="AG61" s="247">
        <f>N61/K61</f>
        <v>0.80801643864120776</v>
      </c>
      <c r="AH61" s="405"/>
    </row>
    <row r="62" spans="1:34" ht="15" customHeight="1">
      <c r="A62" s="423"/>
      <c r="B62" s="250" t="s">
        <v>128</v>
      </c>
      <c r="C62" s="251"/>
      <c r="D62" s="257" t="s">
        <v>130</v>
      </c>
      <c r="E62" s="253"/>
      <c r="F62" s="250">
        <f>VLOOKUP(D62,廠價表!$C$1:$E$43,3,0)</f>
        <v>28.26</v>
      </c>
      <c r="G62" s="38">
        <v>610</v>
      </c>
      <c r="H62" s="254">
        <f t="shared" ref="H62:H63" si="21">F62*G62</f>
        <v>17238.600000000002</v>
      </c>
      <c r="I62" s="182"/>
      <c r="J62" s="106">
        <f>VLOOKUP(D62,產線配置圖!$A$3:$C$38,2,0)</f>
        <v>12</v>
      </c>
      <c r="K62" s="107">
        <f>VLOOKUP(D62,產線配置圖!$A$3:$C$38,3,0)</f>
        <v>1565</v>
      </c>
      <c r="L62" s="238">
        <f t="shared" ref="L62:L63" si="22">K62/J62</f>
        <v>130.41666666666666</v>
      </c>
      <c r="M62" s="108">
        <v>12</v>
      </c>
      <c r="N62" s="107">
        <f t="shared" ref="N62:N63" si="23">G62/W62*60</f>
        <v>1355.5555555555522</v>
      </c>
      <c r="O62" s="238">
        <f t="shared" ref="O62:O63" si="24">N62/M62</f>
        <v>112.96296296296269</v>
      </c>
      <c r="P62" s="111">
        <f t="shared" ref="P62:P63" si="25">M62-J62</f>
        <v>0</v>
      </c>
      <c r="Q62" s="255">
        <f t="shared" ref="Q62:Q63" si="26">O62-L62</f>
        <v>-17.453703703703965</v>
      </c>
      <c r="R62" s="85">
        <f t="shared" ref="R62:R63" si="27">O62/L62</f>
        <v>0.86616968406105588</v>
      </c>
      <c r="S62" s="416"/>
      <c r="T62" s="22">
        <v>0.54513888888888895</v>
      </c>
      <c r="U62" s="22">
        <v>0.56388888888888899</v>
      </c>
      <c r="V62" s="30">
        <f>(T62-U61)*24*60</f>
        <v>76.000000000000213</v>
      </c>
      <c r="W62" s="248">
        <f t="shared" si="12"/>
        <v>27.000000000000064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-209.44444444444775</v>
      </c>
      <c r="AG62" s="247">
        <f>N62/K62</f>
        <v>0.86616968406105577</v>
      </c>
      <c r="AH62" s="405"/>
    </row>
    <row r="63" spans="1:34" ht="15" customHeight="1">
      <c r="A63" s="423"/>
      <c r="B63" s="258" t="s">
        <v>128</v>
      </c>
      <c r="C63" s="58"/>
      <c r="D63" s="259" t="s">
        <v>131</v>
      </c>
      <c r="E63" s="60"/>
      <c r="F63" s="250">
        <f>VLOOKUP(D63,廠價表!$C$1:$E$43,3,0)</f>
        <v>28.26</v>
      </c>
      <c r="G63" s="260">
        <v>1066</v>
      </c>
      <c r="H63" s="254">
        <f t="shared" si="21"/>
        <v>30125.16</v>
      </c>
      <c r="I63" s="182"/>
      <c r="J63" s="106">
        <v>11</v>
      </c>
      <c r="K63" s="107">
        <f>VLOOKUP(D63,產線配置圖!$A$3:$C$38,3,0)</f>
        <v>1636</v>
      </c>
      <c r="L63" s="238">
        <f t="shared" si="22"/>
        <v>148.72727272727272</v>
      </c>
      <c r="M63" s="68">
        <v>11</v>
      </c>
      <c r="N63" s="107">
        <f t="shared" si="23"/>
        <v>1421.3333333333335</v>
      </c>
      <c r="O63" s="238">
        <f t="shared" si="24"/>
        <v>129.21212121212122</v>
      </c>
      <c r="P63" s="111">
        <f t="shared" si="25"/>
        <v>0</v>
      </c>
      <c r="Q63" s="255">
        <f t="shared" si="26"/>
        <v>-19.515151515151501</v>
      </c>
      <c r="R63" s="85">
        <f t="shared" si="27"/>
        <v>0.86878565607171976</v>
      </c>
      <c r="S63" s="416"/>
      <c r="T63" s="22">
        <v>0.56944444444444398</v>
      </c>
      <c r="U63" s="22">
        <v>0.60069444444444398</v>
      </c>
      <c r="V63" s="30">
        <f>(T63-U62)*24*60</f>
        <v>7.9999999999991722</v>
      </c>
      <c r="W63" s="248">
        <f t="shared" si="12"/>
        <v>45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1593.4</v>
      </c>
      <c r="L69" s="268">
        <f t="shared" si="28"/>
        <v>134.01471861471862</v>
      </c>
      <c r="M69" s="240">
        <f t="shared" si="28"/>
        <v>11.8</v>
      </c>
      <c r="N69" s="240">
        <f t="shared" si="28"/>
        <v>1356.6577261981522</v>
      </c>
      <c r="O69" s="268">
        <f t="shared" si="28"/>
        <v>115.50533091809689</v>
      </c>
      <c r="P69" s="269">
        <f>M69-J69</f>
        <v>-0.19999999999999929</v>
      </c>
      <c r="Q69" s="222">
        <f>N69-K69</f>
        <v>-236.74227380184789</v>
      </c>
      <c r="R69" s="123">
        <f>O69/L69</f>
        <v>0.8618854116327721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-236.74227380184789</v>
      </c>
      <c r="AG69" s="124">
        <f>N69/K69</f>
        <v>0.8514231995720799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1823</v>
      </c>
      <c r="H70" s="243">
        <f>F70*G70</f>
        <v>92371.41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10</v>
      </c>
      <c r="N70" s="137">
        <f>G70/W70*60</f>
        <v>994.36363636363478</v>
      </c>
      <c r="O70" s="138">
        <f>N70/M70</f>
        <v>99.436363636363481</v>
      </c>
      <c r="P70" s="56">
        <f>M70-J70</f>
        <v>-3</v>
      </c>
      <c r="Q70" s="230">
        <f>O70-L70</f>
        <v>-11.332867132867293</v>
      </c>
      <c r="R70" s="52">
        <f>O70/L70</f>
        <v>0.89768939393939251</v>
      </c>
      <c r="S70" s="415">
        <f>R79</f>
        <v>0.89768939393939251</v>
      </c>
      <c r="T70" s="245">
        <v>0.33333333333333298</v>
      </c>
      <c r="U70" s="245">
        <v>0.40972222222222199</v>
      </c>
      <c r="V70" s="55"/>
      <c r="W70" s="54">
        <f t="shared" si="12"/>
        <v>110.00000000000017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-445.63636363636522</v>
      </c>
      <c r="AG70" s="246">
        <f>N70/K70</f>
        <v>0.69053030303030194</v>
      </c>
      <c r="AH70" s="403">
        <f>AG79</f>
        <v>0.69053030303030194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29">AVERAGE(J70:J78)</f>
        <v>13</v>
      </c>
      <c r="K79" s="240">
        <f t="shared" si="29"/>
        <v>1440</v>
      </c>
      <c r="L79" s="268">
        <f t="shared" si="29"/>
        <v>110.76923076923077</v>
      </c>
      <c r="M79" s="240">
        <f t="shared" si="29"/>
        <v>10</v>
      </c>
      <c r="N79" s="240">
        <f t="shared" si="29"/>
        <v>994.36363636363478</v>
      </c>
      <c r="O79" s="268">
        <f t="shared" si="29"/>
        <v>99.436363636363481</v>
      </c>
      <c r="P79" s="269">
        <f>M79-J79</f>
        <v>-3</v>
      </c>
      <c r="Q79" s="222">
        <f>N79-K79</f>
        <v>-445.63636363636522</v>
      </c>
      <c r="R79" s="223">
        <f>O79/L79</f>
        <v>0.89768939393939251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-445.63636363636522</v>
      </c>
      <c r="AG79" s="124">
        <f>N79/K79</f>
        <v>0.69053030303030194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2AF036-B2BF-4DF6-A245-A05F6B758A2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A9C-5B19-485B-A656-ED5207612861}">
  <dimension ref="B1:O26"/>
  <sheetViews>
    <sheetView topLeftCell="A4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46137</v>
      </c>
      <c r="E3" s="399"/>
      <c r="F3" s="3" t="s">
        <v>72</v>
      </c>
      <c r="G3" s="400">
        <f>'0425'!E1</f>
        <v>56882</v>
      </c>
      <c r="H3" s="400"/>
      <c r="I3" s="3" t="s">
        <v>2</v>
      </c>
      <c r="J3" s="401">
        <f>'0425'!G1</f>
        <v>2728639.0970000005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122.60706213766262</v>
      </c>
      <c r="G6" s="397"/>
      <c r="H6" s="382">
        <f>AVERAGE(D13:H13)</f>
        <v>121.07076893748952</v>
      </c>
      <c r="I6" s="382"/>
      <c r="J6" s="382">
        <f>AVERAGE(I13)</f>
        <v>130.28852813852816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113.96044095466551</v>
      </c>
      <c r="G7" s="389"/>
      <c r="H7" s="390">
        <f>AVERAGE(D14:H14)</f>
        <v>112.41722445029386</v>
      </c>
      <c r="I7" s="390"/>
      <c r="J7" s="390">
        <f>AVERAGE(I14)</f>
        <v>121.67652347652381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0.92947697275962193</v>
      </c>
      <c r="G8" s="374"/>
      <c r="H8" s="374">
        <f>H7/H6</f>
        <v>0.92852490685292</v>
      </c>
      <c r="I8" s="374"/>
      <c r="J8" s="374">
        <f>J7/J6</f>
        <v>0.93390051461132706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VALUE('0425'!L15)</f>
        <v>141.19999999999999</v>
      </c>
      <c r="E13" s="13">
        <f>VALUE('0425'!L26)</f>
        <v>159.66461538461539</v>
      </c>
      <c r="F13" s="13">
        <f>VALUE('0425'!L37)</f>
        <v>96.05185185185185</v>
      </c>
      <c r="G13" s="13">
        <f>VALUE('0425'!L48)</f>
        <v>106.03958333333333</v>
      </c>
      <c r="H13" s="13">
        <f>VALUE('0425'!L58)</f>
        <v>102.39779411764707</v>
      </c>
      <c r="I13" s="13">
        <f>VALUE('0425'!L69)</f>
        <v>130.28852813852816</v>
      </c>
      <c r="J13" s="13">
        <f>'0425'!L79</f>
        <v>110.76923076923077</v>
      </c>
    </row>
    <row r="14" spans="2:15" ht="39.950000000000003" customHeight="1">
      <c r="B14" s="368"/>
      <c r="C14" s="12" t="s">
        <v>100</v>
      </c>
      <c r="D14" s="13">
        <f>VALUE('0425'!O15)</f>
        <v>133.82595437698001</v>
      </c>
      <c r="E14" s="13">
        <f>VALUE('0425'!O26)</f>
        <v>150.3585948163437</v>
      </c>
      <c r="F14" s="13">
        <f>VALUE('0425'!O37)</f>
        <v>83.489842093033289</v>
      </c>
      <c r="G14" s="13">
        <f>VALUE('0425'!O48)</f>
        <v>98.998469387754341</v>
      </c>
      <c r="H14" s="13">
        <f>VALUE('0425'!O58)</f>
        <v>95.413261577357929</v>
      </c>
      <c r="I14" s="13">
        <f>VALUE('0425'!O69)</f>
        <v>121.67652347652381</v>
      </c>
      <c r="J14" s="13">
        <f>'0425'!O79</f>
        <v>79.51999999999957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0.94777588085679898</v>
      </c>
      <c r="E15" s="14">
        <f t="shared" si="1"/>
        <v>0.94171519753544353</v>
      </c>
      <c r="F15" s="14">
        <f t="shared" si="1"/>
        <v>0.86921637098476856</v>
      </c>
      <c r="G15" s="14">
        <f t="shared" si="1"/>
        <v>0.9335991926387962</v>
      </c>
      <c r="H15" s="14">
        <f t="shared" si="1"/>
        <v>0.93179020504812382</v>
      </c>
      <c r="I15" s="14">
        <f t="shared" si="1"/>
        <v>0.93390051461132706</v>
      </c>
      <c r="J15" s="15">
        <f>'0425'!S70</f>
        <v>0.71788888888888502</v>
      </c>
    </row>
    <row r="16" spans="2:15" ht="17.25" customHeight="1">
      <c r="B16" s="370" t="s">
        <v>101</v>
      </c>
      <c r="C16" s="10" t="s">
        <v>34</v>
      </c>
      <c r="D16" s="16">
        <f>'0425'!T5</f>
        <v>0.29027777777777802</v>
      </c>
      <c r="E16" s="16">
        <f>'0425'!T16</f>
        <v>0.29166666666666702</v>
      </c>
      <c r="F16" s="16">
        <f>'0425'!T27</f>
        <v>0.34375</v>
      </c>
      <c r="G16" s="16">
        <f>'0425'!T38</f>
        <v>0.32986111111111099</v>
      </c>
      <c r="H16" s="16">
        <f>'0425'!T49</f>
        <v>0.28819444444444398</v>
      </c>
      <c r="I16" s="16">
        <f>'0425'!T59</f>
        <v>0.29166666666666702</v>
      </c>
      <c r="J16" s="16">
        <f>'0425'!T70</f>
        <v>0.33333333333333298</v>
      </c>
    </row>
    <row r="17" spans="2:10" ht="17.25" customHeight="1">
      <c r="B17" s="371"/>
      <c r="C17" s="10" t="s">
        <v>35</v>
      </c>
      <c r="D17" s="16">
        <v>0.64861111111111103</v>
      </c>
      <c r="E17" s="19">
        <v>0.60763888888888895</v>
      </c>
      <c r="F17" s="19">
        <v>0.63749999999999996</v>
      </c>
      <c r="G17" s="20">
        <v>0.49305555555555602</v>
      </c>
      <c r="H17" s="21">
        <v>0.65277777777777801</v>
      </c>
      <c r="I17" s="22">
        <v>0.62361111111111101</v>
      </c>
      <c r="J17" s="22">
        <v>0.42013888888888901</v>
      </c>
    </row>
    <row r="18" spans="2:10" ht="17.25" customHeight="1">
      <c r="B18" s="372" t="s">
        <v>102</v>
      </c>
      <c r="C18" s="330" t="s">
        <v>36</v>
      </c>
      <c r="D18" s="358">
        <f>'0425'!Z15</f>
        <v>0</v>
      </c>
      <c r="E18" s="359">
        <f>'0425'!Z26</f>
        <v>0</v>
      </c>
      <c r="F18" s="359">
        <f>'0425'!Z37</f>
        <v>0</v>
      </c>
      <c r="G18" s="360">
        <f>'0425'!Z48</f>
        <v>0</v>
      </c>
      <c r="H18" s="360">
        <f>'0425'!Z58</f>
        <v>0</v>
      </c>
      <c r="I18" s="359">
        <f>'0425'!Z69</f>
        <v>0</v>
      </c>
      <c r="J18" s="359">
        <f>'0425'!AA79</f>
        <v>0</v>
      </c>
    </row>
    <row r="19" spans="2:10" ht="17.25" customHeight="1">
      <c r="B19" s="373"/>
      <c r="C19" s="330" t="s">
        <v>37</v>
      </c>
      <c r="D19" s="358">
        <f>'0425'!AA15</f>
        <v>0</v>
      </c>
      <c r="E19" s="359">
        <f>'0425'!AA26</f>
        <v>0</v>
      </c>
      <c r="F19" s="359">
        <f>'0425'!AA37</f>
        <v>0</v>
      </c>
      <c r="G19" s="360">
        <f>'0425'!AA48</f>
        <v>0</v>
      </c>
      <c r="H19" s="360">
        <f>'0425'!AA58</f>
        <v>0</v>
      </c>
      <c r="I19" s="359">
        <f>'0425'!AA69</f>
        <v>0</v>
      </c>
      <c r="J19" s="359">
        <f>'0425'!AB79</f>
        <v>0</v>
      </c>
    </row>
    <row r="20" spans="2:10" ht="17.25" customHeight="1">
      <c r="B20" s="372" t="s">
        <v>103</v>
      </c>
      <c r="C20" s="330" t="s">
        <v>36</v>
      </c>
      <c r="D20" s="358">
        <f>'0425'!AD15</f>
        <v>0</v>
      </c>
      <c r="E20" s="359">
        <f>'0425'!AD26</f>
        <v>0</v>
      </c>
      <c r="F20" s="359">
        <f>'0425'!AD37</f>
        <v>0</v>
      </c>
      <c r="G20" s="360">
        <f>'0425'!AD48</f>
        <v>0</v>
      </c>
      <c r="H20" s="360">
        <f>'0425'!AD58</f>
        <v>0</v>
      </c>
      <c r="I20" s="359">
        <f>'0425'!AD69</f>
        <v>0</v>
      </c>
      <c r="J20" s="359">
        <f>'0425'!AD79</f>
        <v>0</v>
      </c>
    </row>
    <row r="21" spans="2:10" ht="17.25" customHeight="1">
      <c r="B21" s="373"/>
      <c r="C21" s="330" t="s">
        <v>85</v>
      </c>
      <c r="D21" s="358">
        <f>'0425'!AE15</f>
        <v>0</v>
      </c>
      <c r="E21" s="359">
        <f>'0425'!AE26</f>
        <v>0</v>
      </c>
      <c r="F21" s="359">
        <f>'0425'!AE37</f>
        <v>0</v>
      </c>
      <c r="G21" s="360">
        <f>'0425'!AE48</f>
        <v>0</v>
      </c>
      <c r="H21" s="360">
        <f>'0425'!AE58</f>
        <v>0</v>
      </c>
      <c r="I21" s="359">
        <f>'0425'!AE69</f>
        <v>0</v>
      </c>
      <c r="J21" s="359">
        <f>'0425'!AE79</f>
        <v>0</v>
      </c>
    </row>
    <row r="22" spans="2:10" ht="17.25" customHeight="1">
      <c r="B22" s="364" t="s">
        <v>104</v>
      </c>
      <c r="C22" s="365"/>
      <c r="D22" s="23">
        <f>VALUE('0425'!M15)</f>
        <v>15</v>
      </c>
      <c r="E22" s="23">
        <f>VALUE('0425'!M26)</f>
        <v>13.4</v>
      </c>
      <c r="F22" s="23">
        <f>VALUE('0425'!M37)</f>
        <v>14</v>
      </c>
      <c r="G22" s="23">
        <f>VALUE('0425'!M48)</f>
        <v>15.5</v>
      </c>
      <c r="H22" s="23">
        <f>VALUE('0425'!M58)</f>
        <v>15.8</v>
      </c>
      <c r="I22" s="23">
        <f>VALUE('0425'!M69)</f>
        <v>12.2</v>
      </c>
      <c r="J22" s="23">
        <f>'0425'!M79</f>
        <v>12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FB5E-B1BE-4773-9245-BF25A83FD5D5}">
  <sheetPr>
    <tabColor theme="9" tint="0.79998168889431442"/>
  </sheetPr>
  <dimension ref="A1:AJ92"/>
  <sheetViews>
    <sheetView zoomScale="70" zoomScaleNormal="70" workbookViewId="0">
      <pane xSplit="5" ySplit="4" topLeftCell="F51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56882</v>
      </c>
      <c r="F1" s="30" t="s">
        <v>2</v>
      </c>
      <c r="G1" s="31">
        <f>SUM(H5:H79)</f>
        <v>2728639.0970000005</v>
      </c>
      <c r="H1" s="32" t="s">
        <v>3</v>
      </c>
      <c r="I1" s="33">
        <f>M15+M26+M48+M58+M69+M79+M37</f>
        <v>97.9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227</v>
      </c>
      <c r="B2" s="483"/>
      <c r="C2" s="28"/>
      <c r="D2" s="28" t="s">
        <v>14</v>
      </c>
      <c r="E2" s="35">
        <f>AVERAGE(O15,O26,O37,O48,O58,O69,O79)</f>
        <v>109.0403779611418</v>
      </c>
      <c r="F2" s="36" t="s">
        <v>15</v>
      </c>
      <c r="G2" s="37">
        <f>G1/E1</f>
        <v>47.970168014486141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3454</v>
      </c>
      <c r="H5" s="43">
        <f>F5*G5</f>
        <v>196428.97999999998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2031.7647058823634</v>
      </c>
      <c r="O5" s="47">
        <f>N5/M5</f>
        <v>135.45098039215756</v>
      </c>
      <c r="P5" s="49">
        <f>M5-J5</f>
        <v>0</v>
      </c>
      <c r="Q5" s="50">
        <f>O5-L5</f>
        <v>-5.7490196078424276</v>
      </c>
      <c r="R5" s="51">
        <f>O5/L5</f>
        <v>0.95928456368383552</v>
      </c>
      <c r="S5" s="415">
        <f>R15</f>
        <v>0.94777588085679898</v>
      </c>
      <c r="T5" s="319">
        <v>0.29027777777777802</v>
      </c>
      <c r="U5" s="320">
        <v>0.36111111111111099</v>
      </c>
      <c r="V5" s="53"/>
      <c r="W5" s="54">
        <f t="shared" ref="W5:W14" si="0">(U5-T5)*24*60</f>
        <v>101.99999999999947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-86.235294117636613</v>
      </c>
      <c r="AG5" s="52">
        <f t="shared" ref="AG5:AG11" si="2">N5/K5</f>
        <v>0.95928456368383541</v>
      </c>
      <c r="AH5" s="403">
        <f>AG15</f>
        <v>0.94777588085679887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3470</v>
      </c>
      <c r="H6" s="63">
        <f>F6*G6</f>
        <v>170515.8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2001.9230769230824</v>
      </c>
      <c r="O6" s="67">
        <f>N6/M6</f>
        <v>133.46153846153882</v>
      </c>
      <c r="P6" s="69">
        <f>M6-J6</f>
        <v>0</v>
      </c>
      <c r="Q6" s="70">
        <f>O6-L6</f>
        <v>-7.7384615384611664</v>
      </c>
      <c r="R6" s="71">
        <f>O6/L6</f>
        <v>0.94519503159730056</v>
      </c>
      <c r="S6" s="416"/>
      <c r="T6" s="16">
        <v>0.36666666666666697</v>
      </c>
      <c r="U6" s="16">
        <v>0.43888888888888899</v>
      </c>
      <c r="V6" s="30">
        <f>(T6-U5)*24*60</f>
        <v>8.0000000000006111</v>
      </c>
      <c r="W6" s="73">
        <f t="shared" si="0"/>
        <v>103.99999999999972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-116.07692307691764</v>
      </c>
      <c r="AG6" s="72">
        <f t="shared" si="2"/>
        <v>0.94519503159730045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1733</v>
      </c>
      <c r="H7" s="78">
        <f>F7*G7</f>
        <v>100808.61</v>
      </c>
      <c r="I7" s="73"/>
      <c r="J7" s="79">
        <v>15</v>
      </c>
      <c r="K7" s="80">
        <v>2118</v>
      </c>
      <c r="L7" s="81">
        <f>K7/J7</f>
        <v>141.19999999999999</v>
      </c>
      <c r="M7" s="82">
        <v>15</v>
      </c>
      <c r="N7" s="80">
        <f>G7/W7*60</f>
        <v>1999.6153846153331</v>
      </c>
      <c r="O7" s="81">
        <f>N7/M7</f>
        <v>133.30769230768888</v>
      </c>
      <c r="P7" s="74">
        <f>M7-J7</f>
        <v>0</v>
      </c>
      <c r="Q7" s="83">
        <f>O7-L7</f>
        <v>-7.8923076923111068</v>
      </c>
      <c r="R7" s="72">
        <f>O7/L7</f>
        <v>0.94410546960119612</v>
      </c>
      <c r="S7" s="416"/>
      <c r="T7" s="18">
        <v>0.44444444444444398</v>
      </c>
      <c r="U7" s="18">
        <v>0.48055555555555601</v>
      </c>
      <c r="V7" s="30">
        <f>(T7-U6)*24*60</f>
        <v>7.9999999999991722</v>
      </c>
      <c r="W7" s="73">
        <f t="shared" si="0"/>
        <v>52.000000000001336</v>
      </c>
      <c r="X7" s="22">
        <v>0.49305555555555602</v>
      </c>
      <c r="Y7" s="84">
        <v>0.53472222222222199</v>
      </c>
      <c r="Z7" s="90"/>
      <c r="AA7" s="90"/>
      <c r="AB7" s="409"/>
      <c r="AC7" s="409"/>
      <c r="AD7" s="92"/>
      <c r="AE7" s="92"/>
      <c r="AF7" s="307">
        <f t="shared" si="1"/>
        <v>-118.38461538466686</v>
      </c>
      <c r="AG7" s="72">
        <f t="shared" si="2"/>
        <v>0.94410546960119601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2848</v>
      </c>
      <c r="H8" s="78">
        <f t="shared" ref="H8:H9" si="3">F8*G8</f>
        <v>165668.16</v>
      </c>
      <c r="I8" s="73"/>
      <c r="J8" s="79">
        <v>15</v>
      </c>
      <c r="K8" s="80">
        <v>2118</v>
      </c>
      <c r="L8" s="81">
        <f t="shared" ref="L8:L9" si="4">K8/J8</f>
        <v>141.19999999999999</v>
      </c>
      <c r="M8" s="82">
        <v>15</v>
      </c>
      <c r="N8" s="80">
        <f t="shared" ref="N8:N9" si="5">G8/W8*60</f>
        <v>1986.9767441860538</v>
      </c>
      <c r="O8" s="81">
        <f t="shared" ref="O8:O9" si="6">N8/M8</f>
        <v>132.46511627907026</v>
      </c>
      <c r="P8" s="74">
        <f t="shared" ref="P8:P9" si="7">M8-J8</f>
        <v>0</v>
      </c>
      <c r="Q8" s="83">
        <f t="shared" ref="Q8:Q9" si="8">O8-L8</f>
        <v>-8.7348837209297301</v>
      </c>
      <c r="R8" s="72">
        <f t="shared" ref="R8:R9" si="9">O8/L8</f>
        <v>0.93813821727386881</v>
      </c>
      <c r="S8" s="416"/>
      <c r="T8" s="16">
        <v>0.54166666666666696</v>
      </c>
      <c r="U8" s="16">
        <v>0.60138888888888897</v>
      </c>
      <c r="V8" s="30">
        <f t="shared" ref="V8:V9" si="10">(T8-U7)*24*60</f>
        <v>87.999999999999773</v>
      </c>
      <c r="W8" s="73">
        <f t="shared" si="0"/>
        <v>85.999999999999687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-131.02325581394621</v>
      </c>
      <c r="AG8" s="72">
        <f t="shared" si="2"/>
        <v>0.93813821727386859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1815</v>
      </c>
      <c r="H9" s="78">
        <f t="shared" si="3"/>
        <v>89189.1</v>
      </c>
      <c r="I9" s="73"/>
      <c r="J9" s="79">
        <v>15</v>
      </c>
      <c r="K9" s="80">
        <f>VLOOKUP(D9,產線配置圖!$A$3:$C$38,3,0)</f>
        <v>2118</v>
      </c>
      <c r="L9" s="81">
        <f t="shared" si="4"/>
        <v>141.19999999999999</v>
      </c>
      <c r="M9" s="82">
        <v>15</v>
      </c>
      <c r="N9" s="80">
        <f t="shared" si="5"/>
        <v>2016.6666666666677</v>
      </c>
      <c r="O9" s="81">
        <f t="shared" si="6"/>
        <v>134.44444444444451</v>
      </c>
      <c r="P9" s="74">
        <f t="shared" si="7"/>
        <v>0</v>
      </c>
      <c r="Q9" s="83">
        <f t="shared" si="8"/>
        <v>-6.7555555555554747</v>
      </c>
      <c r="R9" s="72">
        <f t="shared" si="9"/>
        <v>0.9521561221277941</v>
      </c>
      <c r="S9" s="417"/>
      <c r="T9" s="16">
        <v>0.61111111111111105</v>
      </c>
      <c r="U9" s="16">
        <v>0.64861111111111103</v>
      </c>
      <c r="V9" s="30">
        <f t="shared" si="10"/>
        <v>13.99999999999979</v>
      </c>
      <c r="W9" s="73">
        <f t="shared" si="0"/>
        <v>53.999999999999972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-101.33333333333235</v>
      </c>
      <c r="AG9" s="72">
        <f t="shared" si="2"/>
        <v>0.95215612212779399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2118</v>
      </c>
      <c r="L15" s="117">
        <f t="shared" si="11"/>
        <v>141.19999999999999</v>
      </c>
      <c r="M15" s="120">
        <f t="shared" si="11"/>
        <v>15</v>
      </c>
      <c r="N15" s="120">
        <f t="shared" si="11"/>
        <v>2007.3893156547001</v>
      </c>
      <c r="O15" s="117">
        <f t="shared" si="11"/>
        <v>133.82595437698001</v>
      </c>
      <c r="P15" s="121">
        <f>M15-J15</f>
        <v>0</v>
      </c>
      <c r="Q15" s="122">
        <f>O15-L15</f>
        <v>-7.3740456230199811</v>
      </c>
      <c r="R15" s="123">
        <f>O15/L15</f>
        <v>0.94777588085679898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-110.61068434529989</v>
      </c>
      <c r="AG15" s="124">
        <f>N15/K15</f>
        <v>0.94777588085679887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3476</v>
      </c>
      <c r="H16" s="134">
        <f>F16*G16</f>
        <v>176128.92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2044.7058823529519</v>
      </c>
      <c r="O16" s="141">
        <f>N16/M16</f>
        <v>157.285067873304</v>
      </c>
      <c r="P16" s="142">
        <f>M16-J16</f>
        <v>0</v>
      </c>
      <c r="Q16" s="143">
        <f>O16-L16</f>
        <v>-5.6380090497729327</v>
      </c>
      <c r="R16" s="144">
        <f>O16/L16</f>
        <v>0.96539465644615297</v>
      </c>
      <c r="S16" s="443">
        <f>R26</f>
        <v>0.94171519753544353</v>
      </c>
      <c r="T16" s="145">
        <v>0.29166666666666702</v>
      </c>
      <c r="U16" s="145">
        <v>0.36249999999999999</v>
      </c>
      <c r="V16" s="135"/>
      <c r="W16" s="146">
        <f t="shared" ref="W16:W78" si="12">(U16-T16)*24*60</f>
        <v>101.99999999999947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-73.294117647048097</v>
      </c>
      <c r="AG16" s="52">
        <f>N16/K16</f>
        <v>0.96539465644615297</v>
      </c>
      <c r="AH16" s="403">
        <f>AG26</f>
        <v>0.94078596199235986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2058</v>
      </c>
      <c r="H17" s="78">
        <f>F17*G17</f>
        <v>116503.38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1991.6129032258343</v>
      </c>
      <c r="O17" s="96">
        <f>N17/M17</f>
        <v>132.77419354838895</v>
      </c>
      <c r="P17" s="97">
        <f>M17-J17</f>
        <v>0</v>
      </c>
      <c r="Q17" s="98">
        <f>O17-L17</f>
        <v>-8.425806451611038</v>
      </c>
      <c r="R17" s="99">
        <f>O17/L17</f>
        <v>0.94032714977612575</v>
      </c>
      <c r="S17" s="444"/>
      <c r="T17" s="19">
        <v>0.36805555555555602</v>
      </c>
      <c r="U17" s="19">
        <v>0.41111111111111098</v>
      </c>
      <c r="V17" s="30">
        <f>(T17-U16)*24*60</f>
        <v>8.000000000000691</v>
      </c>
      <c r="W17" s="149">
        <f t="shared" si="12"/>
        <v>61.99999999999914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-126.38709677416568</v>
      </c>
      <c r="AG17" s="72">
        <f>N17/K17</f>
        <v>0.94032714977612575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3174</v>
      </c>
      <c r="H18" s="78">
        <f>F18*G18</f>
        <v>159937.86000000002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2004.6315789473758</v>
      </c>
      <c r="O18" s="96">
        <f>N18/M18</f>
        <v>167.052631578948</v>
      </c>
      <c r="P18" s="97">
        <f>M18-J18</f>
        <v>0</v>
      </c>
      <c r="Q18" s="98">
        <f>O18-L18</f>
        <v>-9.4473684210520048</v>
      </c>
      <c r="R18" s="99">
        <f>O18/L18</f>
        <v>0.94647383330848722</v>
      </c>
      <c r="S18" s="444"/>
      <c r="T18" s="19">
        <v>0.41666666666666702</v>
      </c>
      <c r="U18" s="19">
        <v>0.48263888888888901</v>
      </c>
      <c r="V18" s="30">
        <f>(T18-U17)*24*60</f>
        <v>8.000000000000691</v>
      </c>
      <c r="W18" s="149">
        <f t="shared" si="12"/>
        <v>94.999999999999659</v>
      </c>
      <c r="X18" s="22">
        <v>0.49305555555555602</v>
      </c>
      <c r="Y18" s="84">
        <v>0.53472222222222199</v>
      </c>
      <c r="Z18" s="90"/>
      <c r="AA18" s="90"/>
      <c r="AB18" s="409"/>
      <c r="AC18" s="409"/>
      <c r="AD18" s="92"/>
      <c r="AE18" s="92"/>
      <c r="AF18" s="307">
        <f>N18-K18</f>
        <v>-113.36842105262417</v>
      </c>
      <c r="AG18" s="72">
        <f>N18/K18</f>
        <v>0.94647383330848722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1229</v>
      </c>
      <c r="H19" s="78">
        <f t="shared" ref="H19:H20" si="13">F19*G19</f>
        <v>61929.31</v>
      </c>
      <c r="I19" s="30"/>
      <c r="J19" s="79">
        <v>12</v>
      </c>
      <c r="K19" s="80">
        <f>VLOOKUP(D19,產線配置圖!$A$3:$C$38,3,0)</f>
        <v>2118</v>
      </c>
      <c r="L19" s="81">
        <f t="shared" ref="L19:L20" si="14">K19/J19</f>
        <v>176.5</v>
      </c>
      <c r="M19" s="148">
        <v>12</v>
      </c>
      <c r="N19" s="95">
        <f t="shared" ref="N19:N20" si="15">G19/W19*60</f>
        <v>1992.9729729729368</v>
      </c>
      <c r="O19" s="96">
        <f t="shared" ref="O19:O20" si="16">N19/M19</f>
        <v>166.08108108107805</v>
      </c>
      <c r="P19" s="97">
        <f t="shared" ref="P19:P20" si="17">M19-J19</f>
        <v>0</v>
      </c>
      <c r="Q19" s="98">
        <f t="shared" ref="Q19:Q20" si="18">O19-L19</f>
        <v>-10.418918918921946</v>
      </c>
      <c r="R19" s="99">
        <f t="shared" ref="R19:R20" si="19">O19/L19</f>
        <v>0.94096929790979067</v>
      </c>
      <c r="S19" s="444"/>
      <c r="T19" s="19">
        <v>0.54722222222222205</v>
      </c>
      <c r="U19" s="19">
        <v>0.57291666666666696</v>
      </c>
      <c r="V19" s="30">
        <f>(T19-U18)*24*60</f>
        <v>92.999999999999588</v>
      </c>
      <c r="W19" s="149">
        <f t="shared" si="12"/>
        <v>37.000000000000668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-125.02702702706324</v>
      </c>
      <c r="AG19" s="72">
        <f>N19/K19</f>
        <v>0.94096929790979078</v>
      </c>
      <c r="AH19" s="406"/>
    </row>
    <row r="20" spans="1:34" ht="15" customHeight="1">
      <c r="A20" s="450"/>
      <c r="B20" s="75" t="s">
        <v>81</v>
      </c>
      <c r="C20" s="76"/>
      <c r="D20" s="59" t="s">
        <v>182</v>
      </c>
      <c r="E20" s="77"/>
      <c r="F20" s="75">
        <f>VLOOKUP(D20,廠價表!$C$1:$E$43,3,0)</f>
        <v>56.61</v>
      </c>
      <c r="G20" s="147">
        <v>1286</v>
      </c>
      <c r="H20" s="78">
        <f t="shared" si="13"/>
        <v>72800.460000000006</v>
      </c>
      <c r="I20" s="30"/>
      <c r="J20" s="79">
        <v>15</v>
      </c>
      <c r="K20" s="80">
        <v>2118</v>
      </c>
      <c r="L20" s="81">
        <f t="shared" si="14"/>
        <v>141.19999999999999</v>
      </c>
      <c r="M20" s="148">
        <v>15</v>
      </c>
      <c r="N20" s="95">
        <f t="shared" si="15"/>
        <v>1928.9999999999914</v>
      </c>
      <c r="O20" s="96">
        <f t="shared" si="16"/>
        <v>128.59999999999943</v>
      </c>
      <c r="P20" s="97">
        <f t="shared" si="17"/>
        <v>0</v>
      </c>
      <c r="Q20" s="98">
        <f t="shared" si="18"/>
        <v>-12.600000000000563</v>
      </c>
      <c r="R20" s="99">
        <f t="shared" si="19"/>
        <v>0.9107648725212425</v>
      </c>
      <c r="S20" s="444"/>
      <c r="T20" s="19">
        <v>0.57986111111111105</v>
      </c>
      <c r="U20" s="19">
        <v>0.60763888888888895</v>
      </c>
      <c r="V20" s="30">
        <f>(T20-U19)*24*60</f>
        <v>9.9999999999994849</v>
      </c>
      <c r="W20" s="149">
        <f t="shared" si="12"/>
        <v>40.000000000000178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13.4</v>
      </c>
      <c r="K26" s="155">
        <f t="shared" si="20"/>
        <v>2118</v>
      </c>
      <c r="L26" s="158">
        <f t="shared" si="20"/>
        <v>159.66461538461539</v>
      </c>
      <c r="M26" s="155">
        <f t="shared" si="20"/>
        <v>13.4</v>
      </c>
      <c r="N26" s="155">
        <f t="shared" si="20"/>
        <v>1992.5846674998181</v>
      </c>
      <c r="O26" s="158">
        <f t="shared" si="20"/>
        <v>150.3585948163437</v>
      </c>
      <c r="P26" s="159">
        <f>M26-J26</f>
        <v>0</v>
      </c>
      <c r="Q26" s="160">
        <f>O26-L26</f>
        <v>-9.3060205682716912</v>
      </c>
      <c r="R26" s="161">
        <f>O26/L26</f>
        <v>0.94171519753544353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1">N26-K26</f>
        <v>-125.41533250018188</v>
      </c>
      <c r="AG26" s="124">
        <f t="shared" ref="AG26:AG31" si="22">N26/K26</f>
        <v>0.94078596199235986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2273</v>
      </c>
      <c r="H27" s="134">
        <f>F27*G27</f>
        <v>114306.897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12</v>
      </c>
      <c r="N27" s="140">
        <f>G27/W27*60</f>
        <v>770.50847457626912</v>
      </c>
      <c r="O27" s="141">
        <f>N27/M27</f>
        <v>64.209039548022432</v>
      </c>
      <c r="P27" s="142">
        <f>M27-J27</f>
        <v>-6</v>
      </c>
      <c r="Q27" s="143">
        <f>O27-L27</f>
        <v>-22.735404896422011</v>
      </c>
      <c r="R27" s="144">
        <f>O27/L27</f>
        <v>0.73850652515297366</v>
      </c>
      <c r="S27" s="443">
        <f>R37</f>
        <v>0.86921637098476856</v>
      </c>
      <c r="T27" s="171">
        <v>0.34375</v>
      </c>
      <c r="U27" s="171">
        <v>0.46666666666666701</v>
      </c>
      <c r="V27" s="135"/>
      <c r="W27" s="146">
        <f t="shared" si="12"/>
        <v>177.00000000000048</v>
      </c>
      <c r="X27" s="145">
        <v>0.47222222222222199</v>
      </c>
      <c r="Y27" s="363">
        <v>0.52430555555555602</v>
      </c>
      <c r="Z27" s="169"/>
      <c r="AA27" s="169"/>
      <c r="AB27" s="420" t="s">
        <v>228</v>
      </c>
      <c r="AC27" s="420"/>
      <c r="AD27" s="135"/>
      <c r="AE27" s="135"/>
      <c r="AF27" s="310">
        <f t="shared" si="21"/>
        <v>-794.49152542373088</v>
      </c>
      <c r="AG27" s="172">
        <f t="shared" si="22"/>
        <v>0.49233768343531575</v>
      </c>
      <c r="AH27" s="403">
        <f>AG37</f>
        <v>0.72457882451025057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2500</v>
      </c>
      <c r="H28" s="91">
        <f>F28*G28</f>
        <v>125722.5</v>
      </c>
      <c r="I28" s="92"/>
      <c r="J28" s="79">
        <f>VLOOKUP(D28,產線配置圖!$A$3:$C$38,2,0)</f>
        <v>18</v>
      </c>
      <c r="K28" s="80">
        <f>VLOOKUP(D28,產線配置圖!$A$3:$C$38,3,0)</f>
        <v>1565</v>
      </c>
      <c r="L28" s="93">
        <f>K28/J28</f>
        <v>86.944444444444443</v>
      </c>
      <c r="M28" s="94">
        <v>17</v>
      </c>
      <c r="N28" s="95">
        <f>G28/W28*60</f>
        <v>1351.3513513513581</v>
      </c>
      <c r="O28" s="96">
        <f>N28/M28</f>
        <v>79.491255961844587</v>
      </c>
      <c r="P28" s="97">
        <f>M28-J28</f>
        <v>-1</v>
      </c>
      <c r="Q28" s="98">
        <f>O28-L28</f>
        <v>-7.453188482599856</v>
      </c>
      <c r="R28" s="99">
        <f>O28/L28</f>
        <v>0.91427642639821249</v>
      </c>
      <c r="S28" s="444"/>
      <c r="T28" s="19">
        <v>0.53125</v>
      </c>
      <c r="U28" s="19">
        <v>0.60833333333333295</v>
      </c>
      <c r="V28" s="92">
        <f>(T28-U27)*24*60</f>
        <v>92.999999999999517</v>
      </c>
      <c r="W28" s="149">
        <f t="shared" si="12"/>
        <v>110.99999999999945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21"/>
        <v>-213.64864864864194</v>
      </c>
      <c r="AG28" s="99">
        <f t="shared" si="22"/>
        <v>0.86348329159831183</v>
      </c>
      <c r="AH28" s="404"/>
    </row>
    <row r="29" spans="1:34" ht="15" customHeight="1">
      <c r="A29" s="441"/>
      <c r="B29" s="75" t="s">
        <v>118</v>
      </c>
      <c r="C29" s="173"/>
      <c r="D29" s="59" t="s">
        <v>123</v>
      </c>
      <c r="E29" s="104"/>
      <c r="F29" s="75">
        <f>VLOOKUP(D29,廠價表!$C$1:$E$43,3,0)</f>
        <v>49.91</v>
      </c>
      <c r="G29" s="90">
        <v>694</v>
      </c>
      <c r="H29" s="91">
        <f>F29*G29</f>
        <v>34637.54</v>
      </c>
      <c r="I29" s="92"/>
      <c r="J29" s="79">
        <f>VLOOKUP(D29,產線配置圖!$A$3:$C$38,2,0)</f>
        <v>15</v>
      </c>
      <c r="K29" s="80">
        <f>VLOOKUP(D29,產線配置圖!$A$3:$C$38,3,0)</f>
        <v>1714</v>
      </c>
      <c r="L29" s="93">
        <f>K29/J29</f>
        <v>114.26666666666667</v>
      </c>
      <c r="M29" s="94">
        <v>13</v>
      </c>
      <c r="N29" s="95">
        <f>G29/W29*60</f>
        <v>1388.0000000000271</v>
      </c>
      <c r="O29" s="96">
        <f>N29/M29</f>
        <v>106.76923076923285</v>
      </c>
      <c r="P29" s="97">
        <f>M29-J29</f>
        <v>-2</v>
      </c>
      <c r="Q29" s="98">
        <f>O29-L29</f>
        <v>-7.4974358974338173</v>
      </c>
      <c r="R29" s="99">
        <f>O29/L29</f>
        <v>0.93438650031417314</v>
      </c>
      <c r="S29" s="444"/>
      <c r="T29" s="19">
        <v>0.61666666666666703</v>
      </c>
      <c r="U29" s="19">
        <v>0.63749999999999996</v>
      </c>
      <c r="V29" s="92">
        <f>(T29-U28)*24*60</f>
        <v>12.000000000001076</v>
      </c>
      <c r="W29" s="149">
        <f t="shared" si="12"/>
        <v>29.999999999999414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21"/>
        <v>-325.99999999997294</v>
      </c>
      <c r="AG29" s="99">
        <f t="shared" si="22"/>
        <v>0.80980163360561674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1"/>
        <v>0</v>
      </c>
      <c r="AG30" s="99" t="e">
        <f t="shared" si="22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1"/>
        <v>0</v>
      </c>
      <c r="AG31" s="99" t="e">
        <f t="shared" si="22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1614.6666666666667</v>
      </c>
      <c r="L37" s="158">
        <f t="shared" si="23"/>
        <v>96.05185185185185</v>
      </c>
      <c r="M37" s="155">
        <f t="shared" si="23"/>
        <v>14</v>
      </c>
      <c r="N37" s="155">
        <f t="shared" si="23"/>
        <v>1169.953275309218</v>
      </c>
      <c r="O37" s="158">
        <f t="shared" si="23"/>
        <v>83.489842093033289</v>
      </c>
      <c r="P37" s="159">
        <f>M37-J37</f>
        <v>-3</v>
      </c>
      <c r="Q37" s="160">
        <f>N37-K37</f>
        <v>-444.7133913574487</v>
      </c>
      <c r="R37" s="161">
        <f>O37/L37</f>
        <v>0.86921637098476856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-444.7133913574487</v>
      </c>
      <c r="AG37" s="124">
        <f>N37/K37</f>
        <v>0.72457882451025057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2138</v>
      </c>
      <c r="H38" s="134">
        <f>F38*G38</f>
        <v>106707.57999999999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1603.4999999999861</v>
      </c>
      <c r="O38" s="141">
        <f>N38/M38</f>
        <v>106.89999999999908</v>
      </c>
      <c r="P38" s="142">
        <f>M38-J38</f>
        <v>0</v>
      </c>
      <c r="Q38" s="143">
        <f>O38-L38</f>
        <v>-7.3666666666675837</v>
      </c>
      <c r="R38" s="144">
        <f>O38/L38</f>
        <v>0.9355309218202954</v>
      </c>
      <c r="S38" s="433">
        <f>R48</f>
        <v>0.9335991926387962</v>
      </c>
      <c r="T38" s="191">
        <v>0.32986111111111099</v>
      </c>
      <c r="U38" s="191">
        <v>0.38541666666666702</v>
      </c>
      <c r="V38" s="192"/>
      <c r="W38" s="193">
        <f t="shared" si="12"/>
        <v>80.000000000000682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-110.50000000001387</v>
      </c>
      <c r="AG38" s="195">
        <f>N38/K38</f>
        <v>0.93553092182029529</v>
      </c>
      <c r="AH38" s="436">
        <f>AG48</f>
        <v>0.93353187569629137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3571</v>
      </c>
      <c r="H39" s="91">
        <f>F39*G39</f>
        <v>158195.29999999999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1457.5510204081534</v>
      </c>
      <c r="O39" s="203">
        <f>N39/M39</f>
        <v>91.096938775509585</v>
      </c>
      <c r="P39" s="97">
        <f>M39-J39</f>
        <v>0</v>
      </c>
      <c r="Q39" s="98">
        <f>O39-L39</f>
        <v>-6.7155612244904148</v>
      </c>
      <c r="R39" s="99">
        <f>O39/L39</f>
        <v>0.9313425050531331</v>
      </c>
      <c r="S39" s="434"/>
      <c r="T39" s="20">
        <v>0.390972222222222</v>
      </c>
      <c r="U39" s="20">
        <v>0.49305555555555602</v>
      </c>
      <c r="V39" s="92">
        <f>(T39-U38)*24*60</f>
        <v>7.9999999999991722</v>
      </c>
      <c r="W39" s="205">
        <f t="shared" si="12"/>
        <v>147.00000000000099</v>
      </c>
      <c r="X39" s="22"/>
      <c r="Y39" s="84"/>
      <c r="Z39" s="90"/>
      <c r="AA39" s="90"/>
      <c r="AB39" s="408"/>
      <c r="AC39" s="408"/>
      <c r="AD39" s="200"/>
      <c r="AE39" s="200"/>
      <c r="AF39" s="314">
        <f>N39-K39</f>
        <v>-107.44897959184664</v>
      </c>
      <c r="AG39" s="206">
        <f>N39/K39</f>
        <v>0.9313425050531331</v>
      </c>
      <c r="AH39" s="437"/>
    </row>
    <row r="40" spans="1:34" ht="15" customHeight="1">
      <c r="A40" s="43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6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0</v>
      </c>
      <c r="AG40" s="206" t="e">
        <f>N40/K40</f>
        <v>#DIV/0!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24">AVERAGE(J38:J47)</f>
        <v>15.5</v>
      </c>
      <c r="K48" s="155">
        <f t="shared" si="24"/>
        <v>1639.5</v>
      </c>
      <c r="L48" s="158">
        <f t="shared" si="24"/>
        <v>106.03958333333333</v>
      </c>
      <c r="M48" s="155">
        <f t="shared" si="24"/>
        <v>15.5</v>
      </c>
      <c r="N48" s="155">
        <f t="shared" si="24"/>
        <v>1530.5255102040696</v>
      </c>
      <c r="O48" s="158">
        <f t="shared" si="24"/>
        <v>98.998469387754341</v>
      </c>
      <c r="P48" s="221">
        <f>M48-J48</f>
        <v>0</v>
      </c>
      <c r="Q48" s="222">
        <f>N48-K48</f>
        <v>-108.97448979593037</v>
      </c>
      <c r="R48" s="223">
        <f>O48/L48</f>
        <v>0.9335991926387962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25">N48-K48</f>
        <v>-108.97448979593037</v>
      </c>
      <c r="AG48" s="162">
        <f t="shared" ref="AG48:AG53" si="26">N48/K48</f>
        <v>0.93353187569629137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2177</v>
      </c>
      <c r="H49" s="134">
        <f>F49*G49</f>
        <v>107805.04000000001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16</v>
      </c>
      <c r="N49" s="140">
        <f>G49/W49*60</f>
        <v>1306.1999999999891</v>
      </c>
      <c r="O49" s="141">
        <f>N49/M49</f>
        <v>81.637499999999321</v>
      </c>
      <c r="P49" s="229">
        <f>M49-J49</f>
        <v>-1</v>
      </c>
      <c r="Q49" s="230">
        <f>O49-L49</f>
        <v>-6.5977941176477373</v>
      </c>
      <c r="R49" s="52">
        <f>O49/L49</f>
        <v>0.9252249999999923</v>
      </c>
      <c r="S49" s="415">
        <f>R58</f>
        <v>0.93179020504812382</v>
      </c>
      <c r="T49" s="191">
        <v>0.28819444444444398</v>
      </c>
      <c r="U49" s="191">
        <v>0.35763888888888901</v>
      </c>
      <c r="V49" s="55"/>
      <c r="W49" s="193">
        <f t="shared" si="12"/>
        <v>100.00000000000084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25"/>
        <v>-193.80000000001087</v>
      </c>
      <c r="AG49" s="52">
        <f t="shared" si="26"/>
        <v>0.8707999999999928</v>
      </c>
      <c r="AH49" s="403">
        <f>AG58</f>
        <v>0.89714313901846654</v>
      </c>
    </row>
    <row r="50" spans="1:34" ht="15" customHeight="1">
      <c r="A50" s="428"/>
      <c r="B50" s="75" t="s">
        <v>81</v>
      </c>
      <c r="C50" s="76"/>
      <c r="D50" s="59" t="s">
        <v>113</v>
      </c>
      <c r="E50" s="77"/>
      <c r="F50" s="75">
        <f>VLOOKUP(D50,廠價表!$C$1:$E$43,3,0)</f>
        <v>57.21</v>
      </c>
      <c r="G50" s="202">
        <v>2455</v>
      </c>
      <c r="H50" s="231">
        <f>F50*G50</f>
        <v>140450.54999999999</v>
      </c>
      <c r="I50" s="232"/>
      <c r="J50" s="79">
        <v>17</v>
      </c>
      <c r="K50" s="80">
        <v>1716</v>
      </c>
      <c r="L50" s="81">
        <f>K50/J50</f>
        <v>100.94117647058823</v>
      </c>
      <c r="M50" s="233">
        <v>17</v>
      </c>
      <c r="N50" s="234">
        <f>G50/W50*60</f>
        <v>1636.6666666666667</v>
      </c>
      <c r="O50" s="235">
        <f>N50/M50</f>
        <v>96.274509803921575</v>
      </c>
      <c r="P50" s="74">
        <f>M50-J50</f>
        <v>0</v>
      </c>
      <c r="Q50" s="83">
        <f>O50-L50</f>
        <v>-4.6666666666666572</v>
      </c>
      <c r="R50" s="72">
        <f>O50/L50</f>
        <v>0.95376845376845387</v>
      </c>
      <c r="S50" s="416"/>
      <c r="T50" s="21">
        <v>0.36249999999999999</v>
      </c>
      <c r="U50" s="21">
        <v>0.42499999999999999</v>
      </c>
      <c r="V50" s="30">
        <f>(T50-U49)*24*60</f>
        <v>6.9999999999998153</v>
      </c>
      <c r="W50" s="236">
        <f t="shared" si="12"/>
        <v>90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25"/>
        <v>-79.333333333333258</v>
      </c>
      <c r="AG50" s="72">
        <f t="shared" si="26"/>
        <v>0.95376845376845376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2278</v>
      </c>
      <c r="H51" s="231">
        <f>F51*G51</f>
        <v>113831.66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15</v>
      </c>
      <c r="N51" s="234">
        <f>G51/W51*60</f>
        <v>1553.1818181818223</v>
      </c>
      <c r="O51" s="235">
        <f>N51/M51</f>
        <v>103.54545454545482</v>
      </c>
      <c r="P51" s="74">
        <f>M51-J51</f>
        <v>-1</v>
      </c>
      <c r="Q51" s="83">
        <f>O51-L51</f>
        <v>-8.9545454545451832</v>
      </c>
      <c r="R51" s="72">
        <f>O51/L51</f>
        <v>0.92040404040404278</v>
      </c>
      <c r="S51" s="416"/>
      <c r="T51" s="21">
        <v>0.43055555555555602</v>
      </c>
      <c r="U51" s="19">
        <v>0.49166666666666697</v>
      </c>
      <c r="V51" s="30">
        <f>(T51-U50)*24*60</f>
        <v>8.000000000000691</v>
      </c>
      <c r="W51" s="236">
        <f t="shared" si="12"/>
        <v>87.999999999999773</v>
      </c>
      <c r="X51" s="22">
        <v>0.49166666666666697</v>
      </c>
      <c r="Y51" s="84">
        <v>0.54166666666666696</v>
      </c>
      <c r="Z51" s="90"/>
      <c r="AA51" s="90"/>
      <c r="AB51" s="409"/>
      <c r="AC51" s="409"/>
      <c r="AD51" s="92"/>
      <c r="AE51" s="92"/>
      <c r="AF51" s="307">
        <f t="shared" si="25"/>
        <v>-246.81818181817766</v>
      </c>
      <c r="AG51" s="72">
        <f t="shared" si="26"/>
        <v>0.86287878787879013</v>
      </c>
      <c r="AH51" s="405"/>
    </row>
    <row r="52" spans="1:34" ht="15" customHeight="1">
      <c r="A52" s="428"/>
      <c r="B52" s="75" t="s">
        <v>81</v>
      </c>
      <c r="C52" s="86"/>
      <c r="D52" s="59" t="s">
        <v>126</v>
      </c>
      <c r="E52" s="87"/>
      <c r="F52" s="75">
        <f>VLOOKUP(D52,廠價表!$C$1:$E$43,3,0)</f>
        <v>49.97</v>
      </c>
      <c r="G52" s="202">
        <v>2564</v>
      </c>
      <c r="H52" s="231">
        <f t="shared" ref="H52:H53" si="27">F52*G52</f>
        <v>128123.08</v>
      </c>
      <c r="I52" s="232"/>
      <c r="J52" s="79">
        <f>VLOOKUP(D52,產線配置圖!$A$3:$C$38,2,0)</f>
        <v>16</v>
      </c>
      <c r="K52" s="80">
        <f>VLOOKUP(D52,產線配置圖!$A$3:$C$38,3,0)</f>
        <v>1800</v>
      </c>
      <c r="L52" s="81">
        <f t="shared" ref="L52:L53" si="28">K52/J52</f>
        <v>112.5</v>
      </c>
      <c r="M52" s="233">
        <v>15</v>
      </c>
      <c r="N52" s="234">
        <f t="shared" ref="N52:N53" si="29">G52/W52*60</f>
        <v>1602.4999999999925</v>
      </c>
      <c r="O52" s="235">
        <f t="shared" ref="O52:O53" si="30">N52/M52</f>
        <v>106.83333333333283</v>
      </c>
      <c r="P52" s="74">
        <f t="shared" ref="P52:P53" si="31">M52-J52</f>
        <v>-1</v>
      </c>
      <c r="Q52" s="83">
        <f t="shared" ref="Q52:Q53" si="32">O52-L52</f>
        <v>-5.6666666666671688</v>
      </c>
      <c r="R52" s="72">
        <f t="shared" ref="R52:R53" si="33">O52/L52</f>
        <v>0.94962962962962516</v>
      </c>
      <c r="S52" s="416"/>
      <c r="T52" s="21">
        <v>0.54236111111111096</v>
      </c>
      <c r="U52" s="21">
        <v>0.60902777777777795</v>
      </c>
      <c r="V52" s="30">
        <f>(T52-U51)*24*60</f>
        <v>72.999999999999346</v>
      </c>
      <c r="W52" s="236">
        <f t="shared" si="12"/>
        <v>96.000000000000455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25"/>
        <v>-197.5000000000075</v>
      </c>
      <c r="AG52" s="72">
        <f t="shared" si="26"/>
        <v>0.89027777777777362</v>
      </c>
      <c r="AH52" s="405"/>
    </row>
    <row r="53" spans="1:34" ht="15" customHeight="1">
      <c r="A53" s="428"/>
      <c r="B53" s="101" t="s">
        <v>118</v>
      </c>
      <c r="C53" s="102"/>
      <c r="D53" s="103" t="s">
        <v>124</v>
      </c>
      <c r="E53" s="104"/>
      <c r="F53" s="75">
        <f>VLOOKUP(D53,廠價表!$C$1:$E$43,3,0)</f>
        <v>44.3</v>
      </c>
      <c r="G53" s="202">
        <v>1160</v>
      </c>
      <c r="H53" s="231">
        <f t="shared" si="27"/>
        <v>51388</v>
      </c>
      <c r="I53" s="232"/>
      <c r="J53" s="79">
        <v>16</v>
      </c>
      <c r="K53" s="80">
        <f>VLOOKUP(D53,產線配置圖!$A$3:$C$38,3,0)</f>
        <v>1565</v>
      </c>
      <c r="L53" s="81">
        <f t="shared" si="28"/>
        <v>97.8125</v>
      </c>
      <c r="M53" s="108">
        <v>16</v>
      </c>
      <c r="N53" s="234">
        <f t="shared" si="29"/>
        <v>1420.4081632652974</v>
      </c>
      <c r="O53" s="235">
        <f t="shared" si="30"/>
        <v>88.775510204081087</v>
      </c>
      <c r="P53" s="74">
        <f t="shared" si="31"/>
        <v>0</v>
      </c>
      <c r="Q53" s="83">
        <f t="shared" si="32"/>
        <v>-9.0369897959189132</v>
      </c>
      <c r="R53" s="72">
        <f t="shared" si="33"/>
        <v>0.90760905000977465</v>
      </c>
      <c r="S53" s="416"/>
      <c r="T53" s="21">
        <v>0.61875000000000002</v>
      </c>
      <c r="U53" s="21">
        <v>0.65277777777777801</v>
      </c>
      <c r="V53" s="30">
        <f>(T53-U52)*24*60</f>
        <v>13.99999999999979</v>
      </c>
      <c r="W53" s="236">
        <f t="shared" si="12"/>
        <v>49.000000000000306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25"/>
        <v>-144.59183673470261</v>
      </c>
      <c r="AG53" s="72">
        <f t="shared" si="26"/>
        <v>0.90760905000977465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34">AVERAGE(J49:J57)</f>
        <v>16.399999999999999</v>
      </c>
      <c r="K58" s="120">
        <f t="shared" si="34"/>
        <v>1676.2</v>
      </c>
      <c r="L58" s="117">
        <f t="shared" si="34"/>
        <v>102.39779411764707</v>
      </c>
      <c r="M58" s="120">
        <f t="shared" si="34"/>
        <v>15.8</v>
      </c>
      <c r="N58" s="120">
        <f t="shared" si="34"/>
        <v>1503.7913296227537</v>
      </c>
      <c r="O58" s="117">
        <f t="shared" si="34"/>
        <v>95.413261577357929</v>
      </c>
      <c r="P58" s="121">
        <f>M58-J58</f>
        <v>-0.59999999999999787</v>
      </c>
      <c r="Q58" s="122">
        <f>N58-K58</f>
        <v>-172.40867037724638</v>
      </c>
      <c r="R58" s="123">
        <f>O58/L58</f>
        <v>0.93179020504812382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-172.40867037724638</v>
      </c>
      <c r="AG58" s="124">
        <f>N58/K58</f>
        <v>0.89714313901846654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2682</v>
      </c>
      <c r="H59" s="243">
        <f>F59*G59</f>
        <v>72387.179999999993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14</v>
      </c>
      <c r="N59" s="137">
        <f>G59/W59*60</f>
        <v>1462.9090909090887</v>
      </c>
      <c r="O59" s="138">
        <f>N59/M59</f>
        <v>104.49350649350633</v>
      </c>
      <c r="P59" s="56">
        <f>M59-J59</f>
        <v>0</v>
      </c>
      <c r="Q59" s="230">
        <f>O59-L59</f>
        <v>-7.2922077922079609</v>
      </c>
      <c r="R59" s="52">
        <f>O59/L59</f>
        <v>0.93476619227417801</v>
      </c>
      <c r="S59" s="415">
        <f>R69</f>
        <v>0.93390051461132706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/>
      <c r="AA59" s="169"/>
      <c r="AB59" s="420" t="s">
        <v>229</v>
      </c>
      <c r="AC59" s="420"/>
      <c r="AD59" s="135"/>
      <c r="AE59" s="135"/>
      <c r="AF59" s="310">
        <f>N59-K59</f>
        <v>-102.09090909091128</v>
      </c>
      <c r="AG59" s="246">
        <f>N59/K59</f>
        <v>0.93476619227417812</v>
      </c>
      <c r="AH59" s="403">
        <f>AG69</f>
        <v>0.9172627297391972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1722</v>
      </c>
      <c r="H60" s="78">
        <f>F60*G60</f>
        <v>48663.72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1377.6000000000095</v>
      </c>
      <c r="O60" s="81">
        <f>N60/M60</f>
        <v>125.2363636363645</v>
      </c>
      <c r="P60" s="74">
        <f>M60-J60</f>
        <v>-1</v>
      </c>
      <c r="Q60" s="83">
        <f>O60-L60</f>
        <v>-5.1803030303021558</v>
      </c>
      <c r="R60" s="72">
        <f>O60/L60</f>
        <v>0.96027882660471187</v>
      </c>
      <c r="S60" s="425"/>
      <c r="T60" s="22">
        <v>0.38888888888888901</v>
      </c>
      <c r="U60" s="22">
        <v>0.44097222222222199</v>
      </c>
      <c r="V60" s="30">
        <f>(T60-U59)*24*60</f>
        <v>29.999999999999496</v>
      </c>
      <c r="W60" s="248">
        <f t="shared" si="12"/>
        <v>74.999999999999488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-187.39999999999054</v>
      </c>
      <c r="AG60" s="249">
        <f>N60/K60</f>
        <v>0.88025559105431916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1938</v>
      </c>
      <c r="H61" s="254">
        <f>F61*G61</f>
        <v>54767.880000000005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1550.4000000000106</v>
      </c>
      <c r="O61" s="238">
        <f>N61/M61</f>
        <v>140.9454545454555</v>
      </c>
      <c r="P61" s="111">
        <f>M61-J61</f>
        <v>0</v>
      </c>
      <c r="Q61" s="255">
        <f>O61-L61</f>
        <v>-7.781818181817215</v>
      </c>
      <c r="R61" s="85">
        <f>O61/L61</f>
        <v>0.94767726161369847</v>
      </c>
      <c r="S61" s="416"/>
      <c r="T61" s="22">
        <v>0.44791666666666702</v>
      </c>
      <c r="U61" s="22">
        <v>0.5</v>
      </c>
      <c r="V61" s="30">
        <f>(T61-U60)*24*60</f>
        <v>10.000000000000844</v>
      </c>
      <c r="W61" s="256">
        <f t="shared" si="12"/>
        <v>74.999999999999488</v>
      </c>
      <c r="X61" s="22">
        <v>0.51041666666666696</v>
      </c>
      <c r="Y61" s="84">
        <v>0.55208333333333304</v>
      </c>
      <c r="Z61" s="90"/>
      <c r="AA61" s="90"/>
      <c r="AB61" s="409"/>
      <c r="AC61" s="409"/>
      <c r="AD61" s="92"/>
      <c r="AE61" s="92"/>
      <c r="AF61" s="317">
        <f>N61-K61</f>
        <v>-85.59999999998945</v>
      </c>
      <c r="AG61" s="247">
        <f>N61/K61</f>
        <v>0.94767726161369836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1306</v>
      </c>
      <c r="H62" s="254">
        <f t="shared" ref="H62:H63" si="35">F62*G62</f>
        <v>36907.560000000005</v>
      </c>
      <c r="I62" s="182"/>
      <c r="J62" s="106">
        <v>11</v>
      </c>
      <c r="K62" s="107">
        <f>VLOOKUP(D62,產線配置圖!$A$3:$C$38,3,0)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1506.9230769230824</v>
      </c>
      <c r="O62" s="238">
        <f t="shared" ref="O62:O63" si="38">N62/M62</f>
        <v>136.9930069930075</v>
      </c>
      <c r="P62" s="111">
        <f t="shared" ref="P62:P63" si="39">M62-J62</f>
        <v>0</v>
      </c>
      <c r="Q62" s="255">
        <f t="shared" ref="Q62:Q63" si="40">O62-L62</f>
        <v>-11.734265734265222</v>
      </c>
      <c r="R62" s="85">
        <f t="shared" ref="R62:R63" si="41">O62/L62</f>
        <v>0.92110212525860791</v>
      </c>
      <c r="S62" s="416"/>
      <c r="T62" s="22">
        <v>0.55416666666666703</v>
      </c>
      <c r="U62" s="22">
        <v>0.59027777777777801</v>
      </c>
      <c r="V62" s="30">
        <f>(T62-U61)*24*60</f>
        <v>78.000000000000526</v>
      </c>
      <c r="W62" s="248">
        <f t="shared" si="12"/>
        <v>51.999999999999815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-129.07692307691764</v>
      </c>
      <c r="AG62" s="247">
        <f>N62/K62</f>
        <v>0.9211021252586078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893</v>
      </c>
      <c r="H63" s="254">
        <f t="shared" si="35"/>
        <v>24102.07</v>
      </c>
      <c r="I63" s="182"/>
      <c r="J63" s="106">
        <v>14</v>
      </c>
      <c r="K63" s="107">
        <f>VLOOKUP(D63,產線配置圖!$A$3:$C$38,3,0)</f>
        <v>1565</v>
      </c>
      <c r="L63" s="238">
        <f t="shared" si="36"/>
        <v>111.78571428571429</v>
      </c>
      <c r="M63" s="68">
        <v>14</v>
      </c>
      <c r="N63" s="107">
        <f t="shared" si="37"/>
        <v>1409.9999999999932</v>
      </c>
      <c r="O63" s="238">
        <f t="shared" si="38"/>
        <v>100.71428571428523</v>
      </c>
      <c r="P63" s="111">
        <f t="shared" si="39"/>
        <v>0</v>
      </c>
      <c r="Q63" s="255">
        <f t="shared" si="40"/>
        <v>-11.071428571429067</v>
      </c>
      <c r="R63" s="85">
        <f t="shared" si="41"/>
        <v>0.90095846645366973</v>
      </c>
      <c r="S63" s="416"/>
      <c r="T63" s="22">
        <v>0.59722222222222199</v>
      </c>
      <c r="U63" s="22">
        <v>0.62361111111111101</v>
      </c>
      <c r="V63" s="30">
        <f>(T63-U62)*24*60</f>
        <v>9.999999999999325</v>
      </c>
      <c r="W63" s="248">
        <f t="shared" si="12"/>
        <v>38.000000000000185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42">AVERAGE(J59:J68)</f>
        <v>12.4</v>
      </c>
      <c r="K69" s="240">
        <f t="shared" si="42"/>
        <v>1593.4</v>
      </c>
      <c r="L69" s="268">
        <f t="shared" si="42"/>
        <v>130.28852813852816</v>
      </c>
      <c r="M69" s="240">
        <f t="shared" si="42"/>
        <v>12.2</v>
      </c>
      <c r="N69" s="240">
        <f t="shared" si="42"/>
        <v>1461.5664335664369</v>
      </c>
      <c r="O69" s="268">
        <f t="shared" si="42"/>
        <v>121.67652347652381</v>
      </c>
      <c r="P69" s="269">
        <f>M69-J69</f>
        <v>-0.20000000000000107</v>
      </c>
      <c r="Q69" s="222">
        <f>N69-K69</f>
        <v>-131.83356643356319</v>
      </c>
      <c r="R69" s="123">
        <f>O69/L69</f>
        <v>0.93390051461132706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-131.83356643356319</v>
      </c>
      <c r="AG69" s="124">
        <f>N69/K69</f>
        <v>0.9172627297391972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1988</v>
      </c>
      <c r="H70" s="243">
        <f>F70*G70</f>
        <v>100731.96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12</v>
      </c>
      <c r="N70" s="137">
        <f>G70/W70*60</f>
        <v>954.23999999999478</v>
      </c>
      <c r="O70" s="138">
        <f>N70/M70</f>
        <v>79.51999999999957</v>
      </c>
      <c r="P70" s="56">
        <f>M70-J70</f>
        <v>-1</v>
      </c>
      <c r="Q70" s="230">
        <f>O70-L70</f>
        <v>-31.249230769231204</v>
      </c>
      <c r="R70" s="52">
        <f>O70/L70</f>
        <v>0.71788888888888502</v>
      </c>
      <c r="S70" s="415">
        <f>R79</f>
        <v>0.71788888888888502</v>
      </c>
      <c r="T70" s="245">
        <v>0.33333333333333298</v>
      </c>
      <c r="U70" s="245">
        <v>0.42013888888888901</v>
      </c>
      <c r="V70" s="55"/>
      <c r="W70" s="54">
        <f t="shared" si="12"/>
        <v>125.00000000000068</v>
      </c>
      <c r="X70" s="270"/>
      <c r="Y70" s="292"/>
      <c r="Z70" s="169"/>
      <c r="AA70" s="169"/>
      <c r="AB70" s="420" t="s">
        <v>230</v>
      </c>
      <c r="AC70" s="420"/>
      <c r="AD70" s="135"/>
      <c r="AE70" s="135"/>
      <c r="AF70" s="310">
        <f>N70-K70</f>
        <v>-485.76000000000522</v>
      </c>
      <c r="AG70" s="246">
        <f>N70/K70</f>
        <v>0.66266666666666307</v>
      </c>
      <c r="AH70" s="403">
        <f>AG79</f>
        <v>0.66266666666666307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2"/>
      <c r="U74" s="22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43">AVERAGE(J70:J78)</f>
        <v>13</v>
      </c>
      <c r="K79" s="240">
        <f t="shared" si="43"/>
        <v>1440</v>
      </c>
      <c r="L79" s="268">
        <f t="shared" si="43"/>
        <v>110.76923076923077</v>
      </c>
      <c r="M79" s="240">
        <f t="shared" si="43"/>
        <v>12</v>
      </c>
      <c r="N79" s="240">
        <f t="shared" si="43"/>
        <v>954.23999999999478</v>
      </c>
      <c r="O79" s="268">
        <f t="shared" si="43"/>
        <v>79.51999999999957</v>
      </c>
      <c r="P79" s="269">
        <f>M79-J79</f>
        <v>-1</v>
      </c>
      <c r="Q79" s="222">
        <f>N79-K79</f>
        <v>-485.76000000000522</v>
      </c>
      <c r="R79" s="223">
        <f>O79/L79</f>
        <v>0.71788888888888502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-485.76000000000522</v>
      </c>
      <c r="AG79" s="124">
        <f>N79/K79</f>
        <v>0.66266666666666307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E7E9B9-9517-4779-B52E-117993559F1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2F0C-B5BC-4C4C-ACE5-28B816081171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46138</v>
      </c>
      <c r="E3" s="399"/>
      <c r="F3" s="3" t="s">
        <v>72</v>
      </c>
      <c r="G3" s="400">
        <f>'0426'!E1</f>
        <v>72110</v>
      </c>
      <c r="H3" s="400"/>
      <c r="I3" s="3" t="s">
        <v>2</v>
      </c>
      <c r="J3" s="401">
        <f>'0426'!G1</f>
        <v>3471635.068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121.35256640418406</v>
      </c>
      <c r="G6" s="397"/>
      <c r="H6" s="382">
        <f>AVERAGE(D13:H13)</f>
        <v>119.56537405731524</v>
      </c>
      <c r="I6" s="382"/>
      <c r="J6" s="382">
        <f>AVERAGE(I13)</f>
        <v>130.28852813852816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112.48002316785637</v>
      </c>
      <c r="G7" s="389"/>
      <c r="H7" s="390">
        <f>AVERAGE(D14:H14)</f>
        <v>111.00710325229238</v>
      </c>
      <c r="I7" s="390"/>
      <c r="J7" s="390">
        <f>AVERAGE(I14)</f>
        <v>119.84462274567636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0.92688623323567576</v>
      </c>
      <c r="G8" s="374"/>
      <c r="H8" s="374">
        <f>H7/H6</f>
        <v>0.92842182887396529</v>
      </c>
      <c r="I8" s="374"/>
      <c r="J8" s="374">
        <f>J7/J6</f>
        <v>0.91984017670575413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VALUE('0426'!L15)</f>
        <v>141.19999999999999</v>
      </c>
      <c r="E13" s="13">
        <f>VALUE('0426'!L26)</f>
        <v>159.66461538461539</v>
      </c>
      <c r="F13" s="13">
        <f>VALUE('0426'!L37)</f>
        <v>86.944444444444443</v>
      </c>
      <c r="G13" s="13">
        <f>VALUE('0426'!L48)</f>
        <v>103.29722222222222</v>
      </c>
      <c r="H13" s="13">
        <f>VALUE('0426'!L58)</f>
        <v>106.72058823529412</v>
      </c>
      <c r="I13" s="13">
        <f>VALUE('0426'!L69)</f>
        <v>130.28852813852816</v>
      </c>
      <c r="J13" s="13">
        <f>'0426'!L79</f>
        <v>103.39819004524887</v>
      </c>
    </row>
    <row r="14" spans="2:15" ht="39.950000000000003" customHeight="1">
      <c r="B14" s="368"/>
      <c r="C14" s="12" t="s">
        <v>100</v>
      </c>
      <c r="D14" s="13">
        <f>VALUE('0426'!O15)</f>
        <v>133.80080396169217</v>
      </c>
      <c r="E14" s="13">
        <f>VALUE('0426'!O26)</f>
        <v>151.14437297844358</v>
      </c>
      <c r="F14" s="13">
        <f>VALUE('0426'!O37)</f>
        <v>74.295693277311045</v>
      </c>
      <c r="G14" s="13">
        <f>VALUE('0426'!O48)</f>
        <v>95.995402399254672</v>
      </c>
      <c r="H14" s="13">
        <f>VALUE('0426'!O58)</f>
        <v>99.799243644760395</v>
      </c>
      <c r="I14" s="13">
        <f>VALUE('0426'!O69)</f>
        <v>119.84462274567636</v>
      </c>
      <c r="J14" s="13">
        <f>'0426'!O79</f>
        <v>79.504010410619571</v>
      </c>
    </row>
    <row r="15" spans="2:15" ht="39.950000000000003" customHeight="1">
      <c r="B15" s="369"/>
      <c r="C15" s="10" t="s">
        <v>26</v>
      </c>
      <c r="D15" s="14">
        <f t="shared" ref="D15:I15" si="1">D14/D13</f>
        <v>0.94759776176835819</v>
      </c>
      <c r="E15" s="14">
        <f t="shared" si="1"/>
        <v>0.94663662712212449</v>
      </c>
      <c r="F15" s="14">
        <f t="shared" si="1"/>
        <v>0.85451915590517502</v>
      </c>
      <c r="G15" s="14">
        <f t="shared" si="1"/>
        <v>0.92931252490740535</v>
      </c>
      <c r="H15" s="14">
        <f t="shared" si="1"/>
        <v>0.9351451795292417</v>
      </c>
      <c r="I15" s="14">
        <f t="shared" si="1"/>
        <v>0.91984017670575413</v>
      </c>
      <c r="J15" s="15">
        <f>'0426'!S70</f>
        <v>0.76891104550115641</v>
      </c>
    </row>
    <row r="16" spans="2:15" ht="17.25" customHeight="1">
      <c r="B16" s="370" t="s">
        <v>101</v>
      </c>
      <c r="C16" s="10" t="s">
        <v>34</v>
      </c>
      <c r="D16" s="16">
        <f>'0426'!T5</f>
        <v>0.29166666666666702</v>
      </c>
      <c r="E16" s="16">
        <f>'0426'!T16</f>
        <v>0.29097222222222202</v>
      </c>
      <c r="F16" s="16">
        <f>'0426'!T27</f>
        <v>0.32986111111111099</v>
      </c>
      <c r="G16" s="16">
        <f>'0426'!T38</f>
        <v>0.32986111111111099</v>
      </c>
      <c r="H16" s="16">
        <f>'0426'!T49</f>
        <v>0.29166666666666702</v>
      </c>
      <c r="I16" s="16">
        <f>'0426'!T59</f>
        <v>0.29166666666666702</v>
      </c>
      <c r="J16" s="16">
        <f>'0426'!T70</f>
        <v>0.33333333333333298</v>
      </c>
    </row>
    <row r="17" spans="2:10" ht="17.25" customHeight="1">
      <c r="B17" s="371"/>
      <c r="C17" s="10" t="s">
        <v>35</v>
      </c>
      <c r="D17" s="16">
        <v>0.69444444444444398</v>
      </c>
      <c r="E17" s="19">
        <v>0.66319444444444398</v>
      </c>
      <c r="F17" s="19">
        <v>0.63194444444444398</v>
      </c>
      <c r="G17" s="20">
        <v>0.65902777777777799</v>
      </c>
      <c r="H17" s="21">
        <v>0.63541666666666696</v>
      </c>
      <c r="I17" s="22">
        <v>0.67708333333333304</v>
      </c>
      <c r="J17" s="22">
        <v>0.625</v>
      </c>
    </row>
    <row r="18" spans="2:10" ht="17.25" customHeight="1">
      <c r="B18" s="372" t="s">
        <v>102</v>
      </c>
      <c r="C18" s="330" t="s">
        <v>36</v>
      </c>
      <c r="D18" s="358">
        <f>'0426'!Z15</f>
        <v>0</v>
      </c>
      <c r="E18" s="359">
        <f>'0426'!Z26</f>
        <v>0</v>
      </c>
      <c r="F18" s="359">
        <f>'0426'!Z37</f>
        <v>0</v>
      </c>
      <c r="G18" s="360">
        <f>'0426'!Z48</f>
        <v>0</v>
      </c>
      <c r="H18" s="360">
        <f>'0426'!Z58</f>
        <v>0</v>
      </c>
      <c r="I18" s="359">
        <f>'0426'!Z69</f>
        <v>0</v>
      </c>
      <c r="J18" s="359">
        <f>'0426'!AA79</f>
        <v>0</v>
      </c>
    </row>
    <row r="19" spans="2:10" ht="17.25" customHeight="1">
      <c r="B19" s="373"/>
      <c r="C19" s="330" t="s">
        <v>37</v>
      </c>
      <c r="D19" s="358">
        <f>'0426'!AA15</f>
        <v>0</v>
      </c>
      <c r="E19" s="359">
        <f>'0426'!AA26</f>
        <v>0</v>
      </c>
      <c r="F19" s="359">
        <f>'0426'!AA37</f>
        <v>0</v>
      </c>
      <c r="G19" s="360">
        <f>'0426'!AA48</f>
        <v>0</v>
      </c>
      <c r="H19" s="360">
        <f>'0426'!AA58</f>
        <v>0</v>
      </c>
      <c r="I19" s="359">
        <f>'0426'!AA69</f>
        <v>0</v>
      </c>
      <c r="J19" s="359">
        <f>'0426'!AB79</f>
        <v>0</v>
      </c>
    </row>
    <row r="20" spans="2:10" ht="17.25" customHeight="1">
      <c r="B20" s="372" t="s">
        <v>103</v>
      </c>
      <c r="C20" s="330" t="s">
        <v>36</v>
      </c>
      <c r="D20" s="358">
        <f>'0426'!AD15</f>
        <v>0</v>
      </c>
      <c r="E20" s="359">
        <f>'0426'!AD26</f>
        <v>0</v>
      </c>
      <c r="F20" s="359">
        <f>'0426'!AD37</f>
        <v>0</v>
      </c>
      <c r="G20" s="360">
        <f>'0426'!AD48</f>
        <v>0</v>
      </c>
      <c r="H20" s="360">
        <f>'0426'!AD58</f>
        <v>0</v>
      </c>
      <c r="I20" s="359">
        <f>'0426'!AD69</f>
        <v>0</v>
      </c>
      <c r="J20" s="359">
        <f>'0426'!AD79</f>
        <v>0</v>
      </c>
    </row>
    <row r="21" spans="2:10" ht="17.25" customHeight="1">
      <c r="B21" s="373"/>
      <c r="C21" s="330" t="s">
        <v>85</v>
      </c>
      <c r="D21" s="358">
        <f>'0426'!AE15</f>
        <v>0</v>
      </c>
      <c r="E21" s="359">
        <f>'0426'!AE26</f>
        <v>0</v>
      </c>
      <c r="F21" s="359">
        <f>'0426'!AE37</f>
        <v>0</v>
      </c>
      <c r="G21" s="360">
        <f>'0426'!AE48</f>
        <v>0</v>
      </c>
      <c r="H21" s="360">
        <f>'0426'!AE58</f>
        <v>0</v>
      </c>
      <c r="I21" s="359">
        <f>'0426'!AE69</f>
        <v>0</v>
      </c>
      <c r="J21" s="359">
        <f>'0426'!AE79</f>
        <v>0</v>
      </c>
    </row>
    <row r="22" spans="2:10" ht="17.25" customHeight="1">
      <c r="B22" s="364" t="s">
        <v>104</v>
      </c>
      <c r="C22" s="365"/>
      <c r="D22" s="23">
        <f>VALUE('0426'!M15)</f>
        <v>15</v>
      </c>
      <c r="E22" s="23">
        <f>VALUE('0426'!M26)</f>
        <v>13.4</v>
      </c>
      <c r="F22" s="23">
        <f>VALUE('0426'!M37)</f>
        <v>16.5</v>
      </c>
      <c r="G22" s="23">
        <f>VALUE('0426'!M48)</f>
        <v>15.666666666666666</v>
      </c>
      <c r="H22" s="23">
        <f>VALUE('0426'!M58)</f>
        <v>16.25</v>
      </c>
      <c r="I22" s="23">
        <f>VALUE('0426'!M69)</f>
        <v>11.6</v>
      </c>
      <c r="J22" s="23">
        <f>'0426'!M79</f>
        <v>11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F155-3E8E-4751-986D-603B0E8E9251}">
  <sheetPr>
    <tabColor theme="9" tint="0.79998168889431442"/>
  </sheetPr>
  <dimension ref="A1:AJ92"/>
  <sheetViews>
    <sheetView zoomScale="70" zoomScaleNormal="70" workbookViewId="0">
      <pane xSplit="5" ySplit="4" topLeftCell="F5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72110</v>
      </c>
      <c r="F1" s="30" t="s">
        <v>2</v>
      </c>
      <c r="G1" s="31">
        <f>SUM(H5:H79)</f>
        <v>3471635.068</v>
      </c>
      <c r="H1" s="32" t="s">
        <v>3</v>
      </c>
      <c r="I1" s="33">
        <f>M15+M26+M48+M58+M69+M79+M37</f>
        <v>99.416666666666657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231</v>
      </c>
      <c r="B2" s="483"/>
      <c r="C2" s="28"/>
      <c r="D2" s="28" t="s">
        <v>14</v>
      </c>
      <c r="E2" s="35">
        <f>AVERAGE(O15,O26,O37,O48,O58,O69,O79)</f>
        <v>107.76916420253683</v>
      </c>
      <c r="F2" s="36" t="s">
        <v>15</v>
      </c>
      <c r="G2" s="37">
        <f>G1/E1</f>
        <v>48.143600998474554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3247</v>
      </c>
      <c r="H5" s="43">
        <f>F5*G5</f>
        <v>184656.88999999998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1987.959183673486</v>
      </c>
      <c r="O5" s="47">
        <f>N5/M5</f>
        <v>132.53061224489906</v>
      </c>
      <c r="P5" s="49">
        <f>M5-J5</f>
        <v>0</v>
      </c>
      <c r="Q5" s="50">
        <f>O5-L5</f>
        <v>-8.669387755100928</v>
      </c>
      <c r="R5" s="51">
        <f>O5/L5</f>
        <v>0.93860206972308124</v>
      </c>
      <c r="S5" s="415">
        <f>R15</f>
        <v>0.94759776176835819</v>
      </c>
      <c r="T5" s="319">
        <v>0.29166666666666702</v>
      </c>
      <c r="U5" s="320">
        <v>0.359722222222222</v>
      </c>
      <c r="V5" s="53"/>
      <c r="W5" s="54">
        <f t="shared" ref="W5:W14" si="0">(U5-T5)*24*60</f>
        <v>97.999999999999176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-130.040816326514</v>
      </c>
      <c r="AG5" s="52">
        <f t="shared" ref="AG5:AG11" si="2">N5/K5</f>
        <v>0.93860206972308124</v>
      </c>
      <c r="AH5" s="403">
        <f>AG15</f>
        <v>0.94759776176835819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4268</v>
      </c>
      <c r="H6" s="63">
        <f>F6*G6</f>
        <v>209729.52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1969.8461538461486</v>
      </c>
      <c r="O6" s="67">
        <f>N6/M6</f>
        <v>131.32307692307657</v>
      </c>
      <c r="P6" s="69">
        <f>M6-J6</f>
        <v>0</v>
      </c>
      <c r="Q6" s="70">
        <f>O6-L6</f>
        <v>-9.8769230769234184</v>
      </c>
      <c r="R6" s="71">
        <f>O6/L6</f>
        <v>0.93005011985181718</v>
      </c>
      <c r="S6" s="416"/>
      <c r="T6" s="16">
        <v>0.36458333333333298</v>
      </c>
      <c r="U6" s="16">
        <v>0.45486111111111099</v>
      </c>
      <c r="V6" s="30">
        <f>(T6-U5)*24*60</f>
        <v>6.9999999999998153</v>
      </c>
      <c r="W6" s="73">
        <f t="shared" si="0"/>
        <v>130.00000000000034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-148.15384615385142</v>
      </c>
      <c r="AG6" s="72">
        <f t="shared" si="2"/>
        <v>0.93005011985181707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1631</v>
      </c>
      <c r="H7" s="78">
        <f>F7*G7</f>
        <v>94875.27</v>
      </c>
      <c r="I7" s="73"/>
      <c r="J7" s="79">
        <v>15</v>
      </c>
      <c r="K7" s="80">
        <v>2118</v>
      </c>
      <c r="L7" s="81">
        <f>K7/J7</f>
        <v>141.19999999999999</v>
      </c>
      <c r="M7" s="82">
        <v>15</v>
      </c>
      <c r="N7" s="80">
        <f>G7/W7*60</f>
        <v>2038.7499999999563</v>
      </c>
      <c r="O7" s="81">
        <f>N7/M7</f>
        <v>135.91666666666376</v>
      </c>
      <c r="P7" s="74">
        <f>M7-J7</f>
        <v>0</v>
      </c>
      <c r="Q7" s="83">
        <f>O7-L7</f>
        <v>-5.2833333333362305</v>
      </c>
      <c r="R7" s="72">
        <f>O7/L7</f>
        <v>0.9625826251180154</v>
      </c>
      <c r="S7" s="416"/>
      <c r="T7" s="18">
        <v>0.45972222222222198</v>
      </c>
      <c r="U7" s="18">
        <v>0.49305555555555602</v>
      </c>
      <c r="V7" s="30">
        <f>(T7-U6)*24*60</f>
        <v>6.9999999999998153</v>
      </c>
      <c r="W7" s="73">
        <f t="shared" si="0"/>
        <v>48.00000000000103</v>
      </c>
      <c r="X7" s="22">
        <v>0.5</v>
      </c>
      <c r="Y7" s="84">
        <v>0.54166666666666696</v>
      </c>
      <c r="Z7" s="90"/>
      <c r="AA7" s="90"/>
      <c r="AB7" s="409"/>
      <c r="AC7" s="409"/>
      <c r="AD7" s="92"/>
      <c r="AE7" s="92"/>
      <c r="AF7" s="307">
        <f t="shared" si="1"/>
        <v>-79.250000000043656</v>
      </c>
      <c r="AG7" s="72">
        <f t="shared" si="2"/>
        <v>0.96258262511801529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4278</v>
      </c>
      <c r="H8" s="78">
        <f t="shared" ref="H8:H9" si="3">F8*G8</f>
        <v>248851.26</v>
      </c>
      <c r="I8" s="73"/>
      <c r="J8" s="79">
        <v>15</v>
      </c>
      <c r="K8" s="80">
        <v>2118</v>
      </c>
      <c r="L8" s="81">
        <f t="shared" ref="L8:L9" si="4">K8/J8</f>
        <v>141.19999999999999</v>
      </c>
      <c r="M8" s="82">
        <v>15</v>
      </c>
      <c r="N8" s="80">
        <f t="shared" ref="N8:N9" si="5">G8/W8*60</f>
        <v>2021.1023622047137</v>
      </c>
      <c r="O8" s="81">
        <f t="shared" ref="O8:O9" si="6">N8/M8</f>
        <v>134.74015748031425</v>
      </c>
      <c r="P8" s="74">
        <f t="shared" ref="P8:P9" si="7">M8-J8</f>
        <v>0</v>
      </c>
      <c r="Q8" s="83">
        <f t="shared" ref="Q8:Q9" si="8">O8-L8</f>
        <v>-6.4598425196857363</v>
      </c>
      <c r="R8" s="72">
        <f t="shared" ref="R8:R9" si="9">O8/L8</f>
        <v>0.95425040708437858</v>
      </c>
      <c r="S8" s="416"/>
      <c r="T8" s="16">
        <v>0.54722222222222205</v>
      </c>
      <c r="U8" s="16">
        <v>0.63541666666666696</v>
      </c>
      <c r="V8" s="30">
        <f t="shared" ref="V8:V9" si="10">(T8-U7)*24*60</f>
        <v>77.999999999999091</v>
      </c>
      <c r="W8" s="73">
        <f t="shared" si="0"/>
        <v>127.00000000000067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-96.8976377952863</v>
      </c>
      <c r="AG8" s="72">
        <f t="shared" si="2"/>
        <v>0.95425040708437847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2589</v>
      </c>
      <c r="H9" s="78">
        <f t="shared" si="3"/>
        <v>127223.46</v>
      </c>
      <c r="I9" s="73"/>
      <c r="J9" s="79">
        <v>15</v>
      </c>
      <c r="K9" s="80">
        <f>VLOOKUP(D9,產線配置圖!$A$3:$C$38,3,0)</f>
        <v>2118</v>
      </c>
      <c r="L9" s="81">
        <f t="shared" si="4"/>
        <v>141.19999999999999</v>
      </c>
      <c r="M9" s="82">
        <v>15</v>
      </c>
      <c r="N9" s="80">
        <f t="shared" si="5"/>
        <v>2017.4025974026083</v>
      </c>
      <c r="O9" s="81">
        <f t="shared" si="6"/>
        <v>134.49350649350723</v>
      </c>
      <c r="P9" s="74">
        <f t="shared" si="7"/>
        <v>0</v>
      </c>
      <c r="Q9" s="83">
        <f t="shared" si="8"/>
        <v>-6.7064935064927624</v>
      </c>
      <c r="R9" s="72">
        <f t="shared" si="9"/>
        <v>0.95250358706449889</v>
      </c>
      <c r="S9" s="417"/>
      <c r="T9" s="16">
        <v>0.64097222222222205</v>
      </c>
      <c r="U9" s="16">
        <v>0.69444444444444398</v>
      </c>
      <c r="V9" s="30">
        <f t="shared" si="10"/>
        <v>7.9999999999993321</v>
      </c>
      <c r="W9" s="73">
        <f t="shared" si="0"/>
        <v>76.999999999999574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-100.59740259739169</v>
      </c>
      <c r="AG9" s="72">
        <f t="shared" si="2"/>
        <v>0.95250358706449878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2118</v>
      </c>
      <c r="L15" s="117">
        <f t="shared" si="11"/>
        <v>141.19999999999999</v>
      </c>
      <c r="M15" s="120">
        <f t="shared" si="11"/>
        <v>15</v>
      </c>
      <c r="N15" s="120">
        <f t="shared" si="11"/>
        <v>2007.0120594253826</v>
      </c>
      <c r="O15" s="117">
        <f t="shared" si="11"/>
        <v>133.80080396169217</v>
      </c>
      <c r="P15" s="121">
        <f>M15-J15</f>
        <v>0</v>
      </c>
      <c r="Q15" s="122">
        <f>O15-L15</f>
        <v>-7.3991960383078208</v>
      </c>
      <c r="R15" s="123">
        <f>O15/L15</f>
        <v>0.94759776176835819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-110.98794057461737</v>
      </c>
      <c r="AG15" s="124">
        <f>N15/K15</f>
        <v>0.94759776176835819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4310</v>
      </c>
      <c r="H16" s="134">
        <f>F16*G16</f>
        <v>218387.7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2004.6511627906834</v>
      </c>
      <c r="O16" s="141">
        <f>N16/M16</f>
        <v>154.20393559928334</v>
      </c>
      <c r="P16" s="142">
        <f>M16-J16</f>
        <v>0</v>
      </c>
      <c r="Q16" s="143">
        <f>O16-L16</f>
        <v>-8.7191413237935933</v>
      </c>
      <c r="R16" s="144">
        <f>O16/L16</f>
        <v>0.94648307969342926</v>
      </c>
      <c r="S16" s="443">
        <f>R26</f>
        <v>0.94663662712212449</v>
      </c>
      <c r="T16" s="145">
        <v>0.29097222222222202</v>
      </c>
      <c r="U16" s="145">
        <v>0.38055555555555598</v>
      </c>
      <c r="V16" s="135"/>
      <c r="W16" s="146">
        <f t="shared" ref="W16:W78" si="12">(U16-T16)*24*60</f>
        <v>129.00000000000091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-113.34883720931657</v>
      </c>
      <c r="AG16" s="52">
        <f>N16/K16</f>
        <v>0.94648307969342937</v>
      </c>
      <c r="AH16" s="403">
        <f>AG26</f>
        <v>0.94713992151570969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2203</v>
      </c>
      <c r="H17" s="78">
        <f>F17*G17</f>
        <v>124711.83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2002.7272727272871</v>
      </c>
      <c r="O17" s="96">
        <f>N17/M17</f>
        <v>133.51515151515247</v>
      </c>
      <c r="P17" s="97">
        <f>M17-J17</f>
        <v>0</v>
      </c>
      <c r="Q17" s="98">
        <f>O17-L17</f>
        <v>-7.6848484848475209</v>
      </c>
      <c r="R17" s="99">
        <f>O17/L17</f>
        <v>0.94557472744442261</v>
      </c>
      <c r="S17" s="444"/>
      <c r="T17" s="19">
        <v>0.38750000000000001</v>
      </c>
      <c r="U17" s="19">
        <v>0.43333333333333302</v>
      </c>
      <c r="V17" s="30">
        <f>(T17-U16)*24*60</f>
        <v>9.9999999999994049</v>
      </c>
      <c r="W17" s="149">
        <f t="shared" si="12"/>
        <v>65.999999999999531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-115.27272727271293</v>
      </c>
      <c r="AG17" s="72">
        <f>N17/K17</f>
        <v>0.94557472744442261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2093</v>
      </c>
      <c r="H18" s="78">
        <f>F18*G18</f>
        <v>105466.27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1993.3333333333328</v>
      </c>
      <c r="O18" s="96">
        <f>N18/M18</f>
        <v>166.11111111111106</v>
      </c>
      <c r="P18" s="97">
        <f>M18-J18</f>
        <v>0</v>
      </c>
      <c r="Q18" s="98">
        <f>O18-L18</f>
        <v>-10.388888888888943</v>
      </c>
      <c r="R18" s="99">
        <f>O18/L18</f>
        <v>0.94113943972300884</v>
      </c>
      <c r="S18" s="444"/>
      <c r="T18" s="19">
        <v>0.44027777777777799</v>
      </c>
      <c r="U18" s="19">
        <v>0.484027777777778</v>
      </c>
      <c r="V18" s="30">
        <f>(T18-U17)*24*60</f>
        <v>10.000000000000764</v>
      </c>
      <c r="W18" s="149">
        <f t="shared" si="12"/>
        <v>63.000000000000014</v>
      </c>
      <c r="X18" s="22">
        <v>0.49305555555555602</v>
      </c>
      <c r="Y18" s="84">
        <v>0.53472222222222199</v>
      </c>
      <c r="Z18" s="90"/>
      <c r="AA18" s="90"/>
      <c r="AB18" s="409"/>
      <c r="AC18" s="409"/>
      <c r="AD18" s="92"/>
      <c r="AE18" s="92"/>
      <c r="AF18" s="307">
        <f>N18-K18</f>
        <v>-124.6666666666672</v>
      </c>
      <c r="AG18" s="72">
        <f>N18/K18</f>
        <v>0.94113943972300884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3991</v>
      </c>
      <c r="H19" s="78">
        <f t="shared" ref="H19:H20" si="13">F19*G19</f>
        <v>201106.49</v>
      </c>
      <c r="I19" s="30"/>
      <c r="J19" s="79">
        <v>12</v>
      </c>
      <c r="K19" s="80">
        <f>VLOOKUP(D19,產線配置圖!$A$3:$C$38,3,0)</f>
        <v>2118</v>
      </c>
      <c r="L19" s="81">
        <f t="shared" ref="L19:L20" si="14">K19/J19</f>
        <v>176.5</v>
      </c>
      <c r="M19" s="148">
        <v>12</v>
      </c>
      <c r="N19" s="95">
        <f t="shared" ref="N19:N20" si="15">G19/W19*60</f>
        <v>1995.5000000000073</v>
      </c>
      <c r="O19" s="96">
        <f t="shared" ref="O19:O20" si="16">N19/M19</f>
        <v>166.29166666666728</v>
      </c>
      <c r="P19" s="97">
        <f t="shared" ref="P19:P20" si="17">M19-J19</f>
        <v>0</v>
      </c>
      <c r="Q19" s="98">
        <f t="shared" ref="Q19:Q20" si="18">O19-L19</f>
        <v>-10.208333333332718</v>
      </c>
      <c r="R19" s="99">
        <f t="shared" ref="R19:R20" si="19">O19/L19</f>
        <v>0.94216241737488549</v>
      </c>
      <c r="S19" s="444"/>
      <c r="T19" s="19">
        <v>0.54166666666666696</v>
      </c>
      <c r="U19" s="19">
        <v>0.625</v>
      </c>
      <c r="V19" s="30">
        <f>(T19-U18)*24*60</f>
        <v>83.000000000000099</v>
      </c>
      <c r="W19" s="149">
        <f t="shared" si="12"/>
        <v>119.99999999999957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-122.49999999999272</v>
      </c>
      <c r="AG19" s="72">
        <f>N19/K19</f>
        <v>0.94216241737488537</v>
      </c>
      <c r="AH19" s="406"/>
    </row>
    <row r="20" spans="1:34" ht="15" customHeight="1">
      <c r="A20" s="450"/>
      <c r="B20" s="75" t="s">
        <v>81</v>
      </c>
      <c r="C20" s="76"/>
      <c r="D20" s="59" t="s">
        <v>182</v>
      </c>
      <c r="E20" s="77"/>
      <c r="F20" s="75">
        <f>VLOOKUP(D20,廠價表!$C$1:$E$43,3,0)</f>
        <v>56.61</v>
      </c>
      <c r="G20" s="147">
        <v>1356</v>
      </c>
      <c r="H20" s="78">
        <f t="shared" si="13"/>
        <v>76763.16</v>
      </c>
      <c r="I20" s="30"/>
      <c r="J20" s="79">
        <v>15</v>
      </c>
      <c r="K20" s="80">
        <v>2118</v>
      </c>
      <c r="L20" s="81">
        <f t="shared" si="14"/>
        <v>141.19999999999999</v>
      </c>
      <c r="M20" s="148">
        <v>15</v>
      </c>
      <c r="N20" s="95">
        <f t="shared" si="15"/>
        <v>2034.0000000000562</v>
      </c>
      <c r="O20" s="96">
        <f t="shared" si="16"/>
        <v>135.60000000000375</v>
      </c>
      <c r="P20" s="97">
        <f t="shared" si="17"/>
        <v>0</v>
      </c>
      <c r="Q20" s="98">
        <f t="shared" si="18"/>
        <v>-5.5999999999962427</v>
      </c>
      <c r="R20" s="99">
        <f t="shared" si="19"/>
        <v>0.96033994334280282</v>
      </c>
      <c r="S20" s="444"/>
      <c r="T20" s="19">
        <v>0.63541666666666696</v>
      </c>
      <c r="U20" s="19">
        <v>0.66319444444444398</v>
      </c>
      <c r="V20" s="30">
        <f>(T20-U19)*24*60</f>
        <v>15.000000000000426</v>
      </c>
      <c r="W20" s="149">
        <f t="shared" si="12"/>
        <v>39.999999999998899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13.4</v>
      </c>
      <c r="K26" s="155">
        <f t="shared" si="20"/>
        <v>2118</v>
      </c>
      <c r="L26" s="158">
        <f t="shared" si="20"/>
        <v>159.66461538461539</v>
      </c>
      <c r="M26" s="155">
        <f t="shared" si="20"/>
        <v>13.4</v>
      </c>
      <c r="N26" s="155">
        <f t="shared" si="20"/>
        <v>2006.0423537702732</v>
      </c>
      <c r="O26" s="158">
        <f t="shared" si="20"/>
        <v>151.14437297844358</v>
      </c>
      <c r="P26" s="159">
        <f>M26-J26</f>
        <v>0</v>
      </c>
      <c r="Q26" s="160">
        <f>O26-L26</f>
        <v>-8.5202424061718034</v>
      </c>
      <c r="R26" s="161">
        <f>O26/L26</f>
        <v>0.94663662712212449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1">N26-K26</f>
        <v>-111.95764622972683</v>
      </c>
      <c r="AG26" s="124">
        <f t="shared" ref="AG26:AG31" si="22">N26/K26</f>
        <v>0.94713992151570969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213</v>
      </c>
      <c r="E27" s="132"/>
      <c r="F27" s="129">
        <f>VLOOKUP(D27,廠價表!$C$1:$E$43,3,0)</f>
        <v>50.289000000000001</v>
      </c>
      <c r="G27" s="169">
        <v>4227</v>
      </c>
      <c r="H27" s="134">
        <f>F27*G27</f>
        <v>212571.603</v>
      </c>
      <c r="I27" s="135"/>
      <c r="J27" s="136">
        <f>VLOOKUP(D27,產線配置圖!$A$3:$C$38,2,0)</f>
        <v>18</v>
      </c>
      <c r="K27" s="137">
        <f>VLOOKUP(D27,產線配置圖!$A$3:$C$38,3,0)</f>
        <v>1565</v>
      </c>
      <c r="L27" s="138">
        <f>K27/J27</f>
        <v>86.944444444444443</v>
      </c>
      <c r="M27" s="170">
        <v>16</v>
      </c>
      <c r="N27" s="140">
        <f>G27/W27*60</f>
        <v>1207.7142857142885</v>
      </c>
      <c r="O27" s="141">
        <f>N27/M27</f>
        <v>75.482142857143032</v>
      </c>
      <c r="P27" s="142">
        <f>M27-J27</f>
        <v>-2</v>
      </c>
      <c r="Q27" s="143">
        <f>O27-L27</f>
        <v>-11.462301587301411</v>
      </c>
      <c r="R27" s="144">
        <f>O27/L27</f>
        <v>0.86816522136011154</v>
      </c>
      <c r="S27" s="443">
        <f>R37</f>
        <v>0.85451915590517502</v>
      </c>
      <c r="T27" s="171">
        <v>0.32986111111111099</v>
      </c>
      <c r="U27" s="171">
        <v>0.47569444444444398</v>
      </c>
      <c r="V27" s="135"/>
      <c r="W27" s="146">
        <f t="shared" si="12"/>
        <v>209.99999999999949</v>
      </c>
      <c r="X27" s="145">
        <v>0.47916666666666702</v>
      </c>
      <c r="Y27" s="363">
        <v>0.53125</v>
      </c>
      <c r="Z27" s="169"/>
      <c r="AA27" s="169"/>
      <c r="AB27" s="420"/>
      <c r="AC27" s="420"/>
      <c r="AD27" s="135"/>
      <c r="AE27" s="135"/>
      <c r="AF27" s="310">
        <f t="shared" si="21"/>
        <v>-357.28571428571149</v>
      </c>
      <c r="AG27" s="172">
        <f t="shared" si="22"/>
        <v>0.77170241898676584</v>
      </c>
      <c r="AH27" s="403">
        <f>AG37</f>
        <v>0.78293016887266231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2755</v>
      </c>
      <c r="H28" s="91">
        <f>F28*G28</f>
        <v>138546.19500000001</v>
      </c>
      <c r="I28" s="92"/>
      <c r="J28" s="79">
        <f>VLOOKUP(D28,產線配置圖!$A$3:$C$38,2,0)</f>
        <v>18</v>
      </c>
      <c r="K28" s="80">
        <f>VLOOKUP(D28,產線配置圖!$A$3:$C$38,3,0)</f>
        <v>1565</v>
      </c>
      <c r="L28" s="93">
        <f>K28/J28</f>
        <v>86.944444444444443</v>
      </c>
      <c r="M28" s="94">
        <v>17</v>
      </c>
      <c r="N28" s="95">
        <f>G28/W28*60</f>
        <v>1242.8571428571443</v>
      </c>
      <c r="O28" s="96">
        <f>N28/M28</f>
        <v>73.109243697479073</v>
      </c>
      <c r="P28" s="97">
        <f>M28-J28</f>
        <v>-1</v>
      </c>
      <c r="Q28" s="98">
        <f>O28-L28</f>
        <v>-13.83520074696537</v>
      </c>
      <c r="R28" s="99">
        <f>O28/L28</f>
        <v>0.8408730904502385</v>
      </c>
      <c r="S28" s="444"/>
      <c r="T28" s="19">
        <v>0.53958333333333297</v>
      </c>
      <c r="U28" s="19">
        <v>0.63194444444444398</v>
      </c>
      <c r="V28" s="92">
        <f>(T28-U27)*24*60</f>
        <v>92.000000000000156</v>
      </c>
      <c r="W28" s="149">
        <f t="shared" si="12"/>
        <v>132.99999999999986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21"/>
        <v>-322.14285714285575</v>
      </c>
      <c r="AG28" s="99">
        <f t="shared" si="22"/>
        <v>0.79415791875855868</v>
      </c>
      <c r="AH28" s="404"/>
    </row>
    <row r="29" spans="1:34" ht="15" customHeight="1">
      <c r="A29" s="44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44"/>
      <c r="T29" s="19"/>
      <c r="U29" s="19"/>
      <c r="V29" s="92"/>
      <c r="W29" s="149">
        <f t="shared" si="12"/>
        <v>0</v>
      </c>
      <c r="X29" s="22"/>
      <c r="Y29" s="84"/>
      <c r="Z29" s="90"/>
      <c r="AA29" s="90"/>
      <c r="AB29" s="409"/>
      <c r="AC29" s="409"/>
      <c r="AD29" s="92"/>
      <c r="AE29" s="92"/>
      <c r="AF29" s="312">
        <f t="shared" si="21"/>
        <v>0</v>
      </c>
      <c r="AG29" s="99" t="e">
        <f t="shared" si="22"/>
        <v>#DIV/0!</v>
      </c>
      <c r="AH29" s="404"/>
    </row>
    <row r="30" spans="1:34" ht="15" customHeight="1">
      <c r="A30" s="44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44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1"/>
        <v>0</v>
      </c>
      <c r="AG30" s="99" t="e">
        <f t="shared" si="22"/>
        <v>#DIV/0!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1"/>
        <v>0</v>
      </c>
      <c r="AG31" s="99" t="e">
        <f t="shared" si="22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23">AVERAGE(J27:J36)</f>
        <v>18</v>
      </c>
      <c r="K37" s="155">
        <f t="shared" si="23"/>
        <v>1565</v>
      </c>
      <c r="L37" s="158">
        <f t="shared" si="23"/>
        <v>86.944444444444443</v>
      </c>
      <c r="M37" s="155">
        <f t="shared" si="23"/>
        <v>16.5</v>
      </c>
      <c r="N37" s="155">
        <f t="shared" si="23"/>
        <v>1225.2857142857165</v>
      </c>
      <c r="O37" s="158">
        <f t="shared" si="23"/>
        <v>74.295693277311045</v>
      </c>
      <c r="P37" s="159">
        <f>M37-J37</f>
        <v>-1.5</v>
      </c>
      <c r="Q37" s="160">
        <f>N37-K37</f>
        <v>-339.71428571428351</v>
      </c>
      <c r="R37" s="161">
        <f>O37/L37</f>
        <v>0.85451915590517502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-339.71428571428351</v>
      </c>
      <c r="AG37" s="124">
        <f>N37/K37</f>
        <v>0.78293016887266231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3433</v>
      </c>
      <c r="H38" s="134">
        <f>F38*G38</f>
        <v>171341.03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1525.7777777777778</v>
      </c>
      <c r="O38" s="141">
        <f>N38/M38</f>
        <v>101.71851851851852</v>
      </c>
      <c r="P38" s="142">
        <f>M38-J38</f>
        <v>0</v>
      </c>
      <c r="Q38" s="143">
        <f>O38-L38</f>
        <v>-12.548148148148144</v>
      </c>
      <c r="R38" s="144">
        <f>O38/L38</f>
        <v>0.89018540127058221</v>
      </c>
      <c r="S38" s="433">
        <f>R48</f>
        <v>0.92931252490740535</v>
      </c>
      <c r="T38" s="191">
        <v>0.32986111111111099</v>
      </c>
      <c r="U38" s="191">
        <v>0.42361111111111099</v>
      </c>
      <c r="V38" s="192"/>
      <c r="W38" s="193">
        <f t="shared" si="12"/>
        <v>135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-188.22222222222217</v>
      </c>
      <c r="AG38" s="195">
        <f>N38/K38</f>
        <v>0.89018540127058221</v>
      </c>
      <c r="AH38" s="436">
        <f>AG48</f>
        <v>0.93023550715229286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2009</v>
      </c>
      <c r="H39" s="91">
        <f>F39*G39</f>
        <v>88998.7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1435.0000000000077</v>
      </c>
      <c r="O39" s="203">
        <f>N39/M39</f>
        <v>89.687500000000483</v>
      </c>
      <c r="P39" s="97">
        <f>M39-J39</f>
        <v>0</v>
      </c>
      <c r="Q39" s="98">
        <f>O39-L39</f>
        <v>-8.1249999999995168</v>
      </c>
      <c r="R39" s="99">
        <f>O39/L39</f>
        <v>0.91693290734824773</v>
      </c>
      <c r="S39" s="434"/>
      <c r="T39" s="20">
        <v>0.42777777777777798</v>
      </c>
      <c r="U39" s="20">
        <v>0.48611111111111099</v>
      </c>
      <c r="V39" s="92">
        <f>(T39-U38)*24*60</f>
        <v>6.0000000000004583</v>
      </c>
      <c r="W39" s="205">
        <f t="shared" si="12"/>
        <v>83.999999999999545</v>
      </c>
      <c r="X39" s="22">
        <v>0.50347222222222199</v>
      </c>
      <c r="Y39" s="84">
        <v>0.54513888888888895</v>
      </c>
      <c r="Z39" s="90"/>
      <c r="AA39" s="90"/>
      <c r="AB39" s="408"/>
      <c r="AC39" s="408"/>
      <c r="AD39" s="200"/>
      <c r="AE39" s="200"/>
      <c r="AF39" s="314">
        <f>N39-K39</f>
        <v>-129.99999999999227</v>
      </c>
      <c r="AG39" s="206">
        <f>N39/K39</f>
        <v>0.91693290734824773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4095</v>
      </c>
      <c r="H40" s="91">
        <f>F40*G40</f>
        <v>181408.5</v>
      </c>
      <c r="I40" s="200"/>
      <c r="J40" s="148">
        <v>16</v>
      </c>
      <c r="K40" s="95">
        <f>VLOOKUP(D40,產線配置圖!$A$3:$C$38,3,0)</f>
        <v>1565</v>
      </c>
      <c r="L40" s="96">
        <f>K40/J40</f>
        <v>97.8125</v>
      </c>
      <c r="M40" s="201">
        <v>16</v>
      </c>
      <c r="N40" s="202">
        <f>G40/W40*60</f>
        <v>1545.2830188679206</v>
      </c>
      <c r="O40" s="203">
        <f>N40/M40</f>
        <v>96.58018867924504</v>
      </c>
      <c r="P40" s="97">
        <f>M40-J40</f>
        <v>0</v>
      </c>
      <c r="Q40" s="98">
        <f>O40-L40</f>
        <v>-1.2323113207549596</v>
      </c>
      <c r="R40" s="99">
        <f>O40/L40</f>
        <v>0.98740129001145094</v>
      </c>
      <c r="S40" s="416"/>
      <c r="T40" s="20">
        <v>0.54861111111111105</v>
      </c>
      <c r="U40" s="20">
        <v>0.65902777777777799</v>
      </c>
      <c r="V40" s="92">
        <f>(T40-U39)*24*60</f>
        <v>90.000000000000085</v>
      </c>
      <c r="W40" s="205">
        <f t="shared" si="12"/>
        <v>159.0000000000004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-19.716981132079354</v>
      </c>
      <c r="AG40" s="206">
        <f>N40/K40</f>
        <v>0.98740129001145094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24">AVERAGE(J38:J47)</f>
        <v>15.666666666666666</v>
      </c>
      <c r="K48" s="155">
        <f t="shared" si="24"/>
        <v>1614.6666666666667</v>
      </c>
      <c r="L48" s="158">
        <f t="shared" si="24"/>
        <v>103.29722222222222</v>
      </c>
      <c r="M48" s="155">
        <f t="shared" si="24"/>
        <v>15.666666666666666</v>
      </c>
      <c r="N48" s="155">
        <f t="shared" si="24"/>
        <v>1502.0202655485689</v>
      </c>
      <c r="O48" s="158">
        <f t="shared" si="24"/>
        <v>95.995402399254672</v>
      </c>
      <c r="P48" s="221">
        <f>M48-J48</f>
        <v>0</v>
      </c>
      <c r="Q48" s="222">
        <f>N48-K48</f>
        <v>-112.64640111809786</v>
      </c>
      <c r="R48" s="223">
        <f>O48/L48</f>
        <v>0.92931252490740535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25">N48-K48</f>
        <v>-112.64640111809786</v>
      </c>
      <c r="AG48" s="162">
        <f t="shared" ref="AG48:AG53" si="26">N48/K48</f>
        <v>0.93023550715229286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2428</v>
      </c>
      <c r="H49" s="134">
        <f>F49*G49</f>
        <v>120234.56000000001</v>
      </c>
      <c r="I49" s="135"/>
      <c r="J49" s="136">
        <f>VLOOKUP(D49,產線配置圖!$A$3:$C$38,2,0)</f>
        <v>17</v>
      </c>
      <c r="K49" s="137">
        <v>1716</v>
      </c>
      <c r="L49" s="138">
        <f>K49/J49</f>
        <v>100.94117647058823</v>
      </c>
      <c r="M49" s="170">
        <v>17</v>
      </c>
      <c r="N49" s="140">
        <f>G49/W49*60</f>
        <v>1618.6666666666667</v>
      </c>
      <c r="O49" s="141">
        <f>N49/M49</f>
        <v>95.215686274509807</v>
      </c>
      <c r="P49" s="229">
        <f>M49-J49</f>
        <v>0</v>
      </c>
      <c r="Q49" s="230">
        <f>O49-L49</f>
        <v>-5.7254901960784252</v>
      </c>
      <c r="R49" s="52">
        <f>O49/L49</f>
        <v>0.94327894327894335</v>
      </c>
      <c r="S49" s="415">
        <f>R58</f>
        <v>0.9351451795292417</v>
      </c>
      <c r="T49" s="191">
        <v>0.29166666666666702</v>
      </c>
      <c r="U49" s="191">
        <v>0.35416666666666702</v>
      </c>
      <c r="V49" s="55"/>
      <c r="W49" s="193">
        <f t="shared" si="12"/>
        <v>90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25"/>
        <v>-97.333333333333258</v>
      </c>
      <c r="AG49" s="52">
        <f t="shared" si="26"/>
        <v>0.94327894327894335</v>
      </c>
      <c r="AH49" s="403">
        <f>AG58</f>
        <v>0.92183835033264705</v>
      </c>
    </row>
    <row r="50" spans="1:34" ht="15" customHeight="1">
      <c r="A50" s="428"/>
      <c r="B50" s="75" t="s">
        <v>81</v>
      </c>
      <c r="C50" s="76"/>
      <c r="D50" s="59" t="s">
        <v>113</v>
      </c>
      <c r="E50" s="77"/>
      <c r="F50" s="75">
        <f>VLOOKUP(D50,廠價表!$C$1:$E$43,3,0)</f>
        <v>57.21</v>
      </c>
      <c r="G50" s="202">
        <v>1996</v>
      </c>
      <c r="H50" s="231">
        <f>F50*G50</f>
        <v>114191.16</v>
      </c>
      <c r="I50" s="232"/>
      <c r="J50" s="79">
        <v>17</v>
      </c>
      <c r="K50" s="80">
        <v>1716</v>
      </c>
      <c r="L50" s="81">
        <f>K50/J50</f>
        <v>100.94117647058823</v>
      </c>
      <c r="M50" s="233">
        <v>16</v>
      </c>
      <c r="N50" s="234">
        <f>G50/W50*60</f>
        <v>1555.3246753246826</v>
      </c>
      <c r="O50" s="235">
        <f>N50/M50</f>
        <v>97.207792207792664</v>
      </c>
      <c r="P50" s="74">
        <f>M50-J50</f>
        <v>-1</v>
      </c>
      <c r="Q50" s="83">
        <f>O50-L50</f>
        <v>-3.7333842627955676</v>
      </c>
      <c r="R50" s="72">
        <f>O50/L50</f>
        <v>0.9630142584688085</v>
      </c>
      <c r="S50" s="416"/>
      <c r="T50" s="21">
        <v>0.359722222222222</v>
      </c>
      <c r="U50" s="21">
        <v>0.41319444444444398</v>
      </c>
      <c r="V50" s="30">
        <f>(T50-U49)*24*60</f>
        <v>7.9999999999991722</v>
      </c>
      <c r="W50" s="236">
        <f t="shared" si="12"/>
        <v>76.999999999999645</v>
      </c>
      <c r="X50" s="22"/>
      <c r="Y50" s="84"/>
      <c r="Z50" s="90"/>
      <c r="AA50" s="90"/>
      <c r="AB50" s="409"/>
      <c r="AC50" s="409"/>
      <c r="AD50" s="92"/>
      <c r="AE50" s="92"/>
      <c r="AF50" s="307">
        <f t="shared" si="25"/>
        <v>-160.67532467531737</v>
      </c>
      <c r="AG50" s="72">
        <f t="shared" si="26"/>
        <v>0.90636636091181977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2566</v>
      </c>
      <c r="H51" s="231">
        <f>F51*G51</f>
        <v>128223.02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1637.8723404255265</v>
      </c>
      <c r="O51" s="235">
        <f>N51/M51</f>
        <v>102.36702127659541</v>
      </c>
      <c r="P51" s="74">
        <f>M51-J51</f>
        <v>0</v>
      </c>
      <c r="Q51" s="83">
        <f>O51-L51</f>
        <v>-10.132978723404591</v>
      </c>
      <c r="R51" s="72">
        <f>O51/L51</f>
        <v>0.90992907801418144</v>
      </c>
      <c r="S51" s="416"/>
      <c r="T51" s="21">
        <v>0.41875000000000001</v>
      </c>
      <c r="U51" s="19">
        <v>0.484027777777778</v>
      </c>
      <c r="V51" s="30">
        <f>(T51-U50)*24*60</f>
        <v>8.000000000000691</v>
      </c>
      <c r="W51" s="236">
        <f t="shared" si="12"/>
        <v>94.000000000000313</v>
      </c>
      <c r="X51" s="22">
        <v>0.48749999999999999</v>
      </c>
      <c r="Y51" s="84">
        <v>0.53819444444444398</v>
      </c>
      <c r="Z51" s="90"/>
      <c r="AA51" s="90"/>
      <c r="AB51" s="409"/>
      <c r="AC51" s="409"/>
      <c r="AD51" s="92"/>
      <c r="AE51" s="92"/>
      <c r="AF51" s="307">
        <f t="shared" si="25"/>
        <v>-162.12765957447345</v>
      </c>
      <c r="AG51" s="72">
        <f t="shared" si="26"/>
        <v>0.90992907801418144</v>
      </c>
      <c r="AH51" s="405"/>
    </row>
    <row r="52" spans="1:34" ht="15" customHeight="1">
      <c r="A52" s="428"/>
      <c r="B52" s="75" t="s">
        <v>81</v>
      </c>
      <c r="C52" s="86"/>
      <c r="D52" s="59" t="s">
        <v>126</v>
      </c>
      <c r="E52" s="87"/>
      <c r="F52" s="75">
        <f>VLOOKUP(D52,廠價表!$C$1:$E$43,3,0)</f>
        <v>49.97</v>
      </c>
      <c r="G52" s="202">
        <v>3870</v>
      </c>
      <c r="H52" s="231">
        <f>F52*G52</f>
        <v>193383.9</v>
      </c>
      <c r="I52" s="232"/>
      <c r="J52" s="79">
        <f>VLOOKUP(D52,產線配置圖!$A$3:$C$38,2,0)</f>
        <v>16</v>
      </c>
      <c r="K52" s="80">
        <f>VLOOKUP(D52,產線配置圖!$A$3:$C$38,3,0)</f>
        <v>1800</v>
      </c>
      <c r="L52" s="81">
        <f>K52/J52</f>
        <v>112.5</v>
      </c>
      <c r="M52" s="108">
        <v>16</v>
      </c>
      <c r="N52" s="234">
        <f>G52/W52*60</f>
        <v>1670.5035971222985</v>
      </c>
      <c r="O52" s="235">
        <f>N52/M52</f>
        <v>104.40647482014366</v>
      </c>
      <c r="P52" s="74">
        <f>M52-J52</f>
        <v>0</v>
      </c>
      <c r="Q52" s="83">
        <f>O52-L52</f>
        <v>-8.0935251798563428</v>
      </c>
      <c r="R52" s="72">
        <f>O52/L52</f>
        <v>0.92805755395683254</v>
      </c>
      <c r="S52" s="416"/>
      <c r="T52" s="21">
        <v>0.53888888888888897</v>
      </c>
      <c r="U52" s="21">
        <v>0.63541666666666696</v>
      </c>
      <c r="V52" s="30">
        <f>(T52-U51)*24*60</f>
        <v>78.999999999999801</v>
      </c>
      <c r="W52" s="236">
        <f t="shared" si="12"/>
        <v>139.00000000000031</v>
      </c>
      <c r="X52" s="22"/>
      <c r="Y52" s="84"/>
      <c r="Z52" s="90"/>
      <c r="AA52" s="90"/>
      <c r="AB52" s="409" t="s">
        <v>232</v>
      </c>
      <c r="AC52" s="409"/>
      <c r="AD52" s="92"/>
      <c r="AE52" s="92"/>
      <c r="AF52" s="307">
        <f t="shared" si="25"/>
        <v>-129.49640287770148</v>
      </c>
      <c r="AG52" s="72">
        <f t="shared" si="26"/>
        <v>0.92805755395683254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25"/>
        <v>0</v>
      </c>
      <c r="AG53" s="72" t="e">
        <f t="shared" si="26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1758</v>
      </c>
      <c r="L58" s="117">
        <f t="shared" si="27"/>
        <v>106.72058823529412</v>
      </c>
      <c r="M58" s="120">
        <f t="shared" si="27"/>
        <v>16.25</v>
      </c>
      <c r="N58" s="120">
        <f t="shared" si="27"/>
        <v>1620.5918198847935</v>
      </c>
      <c r="O58" s="117">
        <f t="shared" si="27"/>
        <v>99.799243644760395</v>
      </c>
      <c r="P58" s="121">
        <f>M58-J58</f>
        <v>-0.25</v>
      </c>
      <c r="Q58" s="122">
        <f>N58-K58</f>
        <v>-137.40818011520651</v>
      </c>
      <c r="R58" s="123">
        <f>O58/L58</f>
        <v>0.9351451795292417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-137.40818011520651</v>
      </c>
      <c r="AG58" s="124">
        <f>N58/K58</f>
        <v>0.92183835033264705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2293</v>
      </c>
      <c r="H59" s="243">
        <f>F59*G59</f>
        <v>61888.07</v>
      </c>
      <c r="I59" s="55"/>
      <c r="J59" s="136">
        <v>14</v>
      </c>
      <c r="K59" s="137">
        <f>VLOOKUP(D59,產線配置圖!$A$3:$C$38,3,0)</f>
        <v>1565</v>
      </c>
      <c r="L59" s="138">
        <f>K59/J59</f>
        <v>111.78571428571429</v>
      </c>
      <c r="M59" s="244">
        <v>13</v>
      </c>
      <c r="N59" s="137">
        <f>G59/W59*60</f>
        <v>1375.8000000000093</v>
      </c>
      <c r="O59" s="138">
        <f>N59/M59</f>
        <v>105.83076923076995</v>
      </c>
      <c r="P59" s="56">
        <f>M59-J59</f>
        <v>-1</v>
      </c>
      <c r="Q59" s="230">
        <f>O59-L59</f>
        <v>-5.9549450549443463</v>
      </c>
      <c r="R59" s="52">
        <f>O59/L59</f>
        <v>0.94672892602605696</v>
      </c>
      <c r="S59" s="415">
        <f>R69</f>
        <v>0.91984017670575413</v>
      </c>
      <c r="T59" s="245">
        <v>0.29166666666666702</v>
      </c>
      <c r="U59" s="245">
        <v>0.36111111111111099</v>
      </c>
      <c r="V59" s="55"/>
      <c r="W59" s="54">
        <f t="shared" si="12"/>
        <v>99.999999999999318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-189.19999999999072</v>
      </c>
      <c r="AG59" s="246">
        <f>N59/K59</f>
        <v>0.87910543130991003</v>
      </c>
      <c r="AH59" s="403">
        <f>AG69</f>
        <v>0.8668401894657638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1836</v>
      </c>
      <c r="H60" s="78">
        <f>F60*G60</f>
        <v>51885.36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1296.000000000018</v>
      </c>
      <c r="O60" s="81">
        <f>N60/M60</f>
        <v>117.81818181818345</v>
      </c>
      <c r="P60" s="74">
        <f>M60-J60</f>
        <v>-1</v>
      </c>
      <c r="Q60" s="83">
        <f>O60-L60</f>
        <v>-12.59848484848321</v>
      </c>
      <c r="R60" s="72">
        <f>O60/L60</f>
        <v>0.9033981992448572</v>
      </c>
      <c r="S60" s="425"/>
      <c r="T60" s="22">
        <v>0.36805555555555602</v>
      </c>
      <c r="U60" s="22">
        <v>0.42708333333333298</v>
      </c>
      <c r="V60" s="30">
        <f>(T60-U59)*24*60</f>
        <v>10.000000000000844</v>
      </c>
      <c r="W60" s="248">
        <f t="shared" si="12"/>
        <v>84.99999999999882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-268.99999999998204</v>
      </c>
      <c r="AG60" s="249">
        <f>N60/K60</f>
        <v>0.82811501597445236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2429</v>
      </c>
      <c r="H61" s="254">
        <f>F61*G61</f>
        <v>68643.540000000008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1534.1052631579003</v>
      </c>
      <c r="O61" s="238">
        <f>N61/M61</f>
        <v>139.46411483253638</v>
      </c>
      <c r="P61" s="111">
        <f>M61-J61</f>
        <v>0</v>
      </c>
      <c r="Q61" s="255">
        <f>O61-L61</f>
        <v>-9.263157894736338</v>
      </c>
      <c r="R61" s="85">
        <f>O61/L61</f>
        <v>0.93771715351949891</v>
      </c>
      <c r="S61" s="416"/>
      <c r="T61" s="22">
        <v>0.43402777777777801</v>
      </c>
      <c r="U61" s="22">
        <v>0.5</v>
      </c>
      <c r="V61" s="30">
        <f>(T61-U60)*24*60</f>
        <v>10.000000000000844</v>
      </c>
      <c r="W61" s="256">
        <f t="shared" si="12"/>
        <v>94.999999999999659</v>
      </c>
      <c r="X61" s="22">
        <v>0.51041666666666696</v>
      </c>
      <c r="Y61" s="84">
        <v>0.55208333333333304</v>
      </c>
      <c r="Z61" s="90"/>
      <c r="AA61" s="90"/>
      <c r="AB61" s="409"/>
      <c r="AC61" s="409"/>
      <c r="AD61" s="92"/>
      <c r="AE61" s="92"/>
      <c r="AF61" s="317">
        <f>N61-K61</f>
        <v>-101.89473684209975</v>
      </c>
      <c r="AG61" s="247">
        <f>N61/K61</f>
        <v>0.93771715351949891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1391</v>
      </c>
      <c r="H62" s="254">
        <f t="shared" ref="H62:H63" si="28">F62*G62</f>
        <v>39309.660000000003</v>
      </c>
      <c r="I62" s="182"/>
      <c r="J62" s="106">
        <v>11</v>
      </c>
      <c r="K62" s="107">
        <f>VLOOKUP(D62,產線配置圖!$A$3:$C$38,3,0)</f>
        <v>1636</v>
      </c>
      <c r="L62" s="238">
        <f t="shared" ref="L62:L63" si="29">K62/J62</f>
        <v>148.72727272727272</v>
      </c>
      <c r="M62" s="108">
        <v>11</v>
      </c>
      <c r="N62" s="107">
        <f t="shared" ref="N62:N63" si="30">G62/W62*60</f>
        <v>1464.210526315803</v>
      </c>
      <c r="O62" s="238">
        <f t="shared" ref="O62:O63" si="31">N62/M62</f>
        <v>133.11004784689118</v>
      </c>
      <c r="P62" s="111">
        <f t="shared" ref="P62:P63" si="32">M62-J62</f>
        <v>0</v>
      </c>
      <c r="Q62" s="255">
        <f t="shared" ref="Q62:Q63" si="33">O62-L62</f>
        <v>-15.617224880381542</v>
      </c>
      <c r="R62" s="85">
        <f t="shared" ref="R62:R63" si="34">O62/L62</f>
        <v>0.89499420923948836</v>
      </c>
      <c r="S62" s="416"/>
      <c r="T62" s="22">
        <v>0.55416666666666703</v>
      </c>
      <c r="U62" s="22">
        <v>0.59375</v>
      </c>
      <c r="V62" s="30">
        <f t="shared" ref="V62:V63" si="35">(T62-U61)*24*60</f>
        <v>78.000000000000526</v>
      </c>
      <c r="W62" s="248">
        <f t="shared" si="12"/>
        <v>56.999999999999474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-171.78947368419699</v>
      </c>
      <c r="AG62" s="247">
        <f>N62/K62</f>
        <v>0.89499420923948836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2163</v>
      </c>
      <c r="H63" s="254">
        <f t="shared" si="28"/>
        <v>58379.369999999995</v>
      </c>
      <c r="I63" s="182"/>
      <c r="J63" s="106">
        <v>14</v>
      </c>
      <c r="K63" s="107">
        <f>VLOOKUP(D63,產線配置圖!$A$3:$C$38,3,0)</f>
        <v>1565</v>
      </c>
      <c r="L63" s="238">
        <f t="shared" si="29"/>
        <v>111.78571428571429</v>
      </c>
      <c r="M63" s="68">
        <v>12</v>
      </c>
      <c r="N63" s="107">
        <f t="shared" si="30"/>
        <v>1236.00000000001</v>
      </c>
      <c r="O63" s="238">
        <f t="shared" si="31"/>
        <v>103.00000000000084</v>
      </c>
      <c r="P63" s="111">
        <f t="shared" si="32"/>
        <v>-2</v>
      </c>
      <c r="Q63" s="255">
        <f t="shared" si="33"/>
        <v>-8.7857142857134534</v>
      </c>
      <c r="R63" s="85">
        <f t="shared" si="34"/>
        <v>0.92140575079872955</v>
      </c>
      <c r="S63" s="416"/>
      <c r="T63" s="22">
        <v>0.60416666666666696</v>
      </c>
      <c r="U63" s="22">
        <v>0.67708333333333304</v>
      </c>
      <c r="V63" s="30">
        <f t="shared" si="35"/>
        <v>15.000000000000426</v>
      </c>
      <c r="W63" s="248">
        <f t="shared" si="12"/>
        <v>104.99999999999915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36">AVERAGE(J59:J68)</f>
        <v>12.4</v>
      </c>
      <c r="K69" s="240">
        <f t="shared" si="36"/>
        <v>1593.4</v>
      </c>
      <c r="L69" s="268">
        <f t="shared" si="36"/>
        <v>130.28852813852816</v>
      </c>
      <c r="M69" s="240">
        <f t="shared" si="36"/>
        <v>11.6</v>
      </c>
      <c r="N69" s="240">
        <f t="shared" si="36"/>
        <v>1381.2231578947481</v>
      </c>
      <c r="O69" s="268">
        <f t="shared" si="36"/>
        <v>119.84462274567636</v>
      </c>
      <c r="P69" s="269">
        <f>M69-J69</f>
        <v>-0.80000000000000071</v>
      </c>
      <c r="Q69" s="222">
        <f>N69-K69</f>
        <v>-212.17684210525204</v>
      </c>
      <c r="R69" s="123">
        <f>O69/L69</f>
        <v>0.91984017670575413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-212.17684210525204</v>
      </c>
      <c r="AG69" s="124">
        <f>N69/K69</f>
        <v>0.8668401894657638</v>
      </c>
      <c r="AH69" s="407"/>
    </row>
    <row r="70" spans="1:36" ht="15" customHeight="1">
      <c r="A70" s="412" t="s">
        <v>55</v>
      </c>
      <c r="B70" s="129" t="s">
        <v>81</v>
      </c>
      <c r="C70" s="129"/>
      <c r="D70" s="131" t="s">
        <v>120</v>
      </c>
      <c r="E70" s="132"/>
      <c r="F70" s="129">
        <f>VLOOKUP(D70,廠價表!$C$1:$E$43,3,0)</f>
        <v>50.67</v>
      </c>
      <c r="G70" s="55">
        <v>2284</v>
      </c>
      <c r="H70" s="243">
        <f>F70*G70</f>
        <v>115730.28</v>
      </c>
      <c r="I70" s="55"/>
      <c r="J70" s="136">
        <f>VLOOKUP(D70,產線配置圖!$A$3:$C$38,2,0)</f>
        <v>13</v>
      </c>
      <c r="K70" s="137">
        <f>VLOOKUP(D70,產線配置圖!$A$3:$C$38,3,0)</f>
        <v>1440</v>
      </c>
      <c r="L70" s="138">
        <f>K70/J70</f>
        <v>110.76923076923077</v>
      </c>
      <c r="M70" s="244">
        <v>9</v>
      </c>
      <c r="N70" s="137">
        <f>G70/W70*60</f>
        <v>945.10344827585652</v>
      </c>
      <c r="O70" s="138">
        <f>N70/M70</f>
        <v>105.01149425287295</v>
      </c>
      <c r="P70" s="56">
        <f>M70-J70</f>
        <v>-4</v>
      </c>
      <c r="Q70" s="230">
        <f>O70-L70</f>
        <v>-5.7577365163578236</v>
      </c>
      <c r="R70" s="52">
        <f>O70/L70</f>
        <v>0.94802043422732518</v>
      </c>
      <c r="S70" s="415">
        <f>R79</f>
        <v>0.76891104550115641</v>
      </c>
      <c r="T70" s="245">
        <v>0.33333333333333298</v>
      </c>
      <c r="U70" s="245">
        <v>0.43402777777777801</v>
      </c>
      <c r="V70" s="55"/>
      <c r="W70" s="54">
        <f t="shared" si="12"/>
        <v>145.00000000000085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-494.89655172414348</v>
      </c>
      <c r="AG70" s="246">
        <f>N70/K70</f>
        <v>0.65632183908045594</v>
      </c>
      <c r="AH70" s="403">
        <f>AG79</f>
        <v>0.52016747815797293</v>
      </c>
    </row>
    <row r="71" spans="1:36" ht="15" customHeight="1">
      <c r="A71" s="413"/>
      <c r="B71" s="75" t="s">
        <v>81</v>
      </c>
      <c r="C71" s="76"/>
      <c r="D71" s="59" t="s">
        <v>147</v>
      </c>
      <c r="E71" s="77"/>
      <c r="F71" s="250">
        <f>VLOOKUP(D71,廠價表!$C$1:$E$43,3,0)</f>
        <v>56.87</v>
      </c>
      <c r="G71" s="30">
        <v>790</v>
      </c>
      <c r="H71" s="254">
        <f>F71*G71</f>
        <v>44927.299999999996</v>
      </c>
      <c r="I71" s="232"/>
      <c r="J71" s="106">
        <v>17</v>
      </c>
      <c r="K71" s="107">
        <v>1716</v>
      </c>
      <c r="L71" s="238">
        <f>K71/J71</f>
        <v>100.94117647058823</v>
      </c>
      <c r="M71" s="82">
        <v>11</v>
      </c>
      <c r="N71" s="107">
        <f>G71/W71*60</f>
        <v>817.24137931033988</v>
      </c>
      <c r="O71" s="238">
        <f>N71/M71</f>
        <v>74.294670846394538</v>
      </c>
      <c r="P71" s="111">
        <f>M71-J71</f>
        <v>-6</v>
      </c>
      <c r="Q71" s="255">
        <f>O71-L71</f>
        <v>-26.646505624193694</v>
      </c>
      <c r="R71" s="85">
        <f>O71/L71</f>
        <v>0.73601946642698557</v>
      </c>
      <c r="S71" s="416"/>
      <c r="T71" s="22">
        <v>0.43888888888888899</v>
      </c>
      <c r="U71" s="22">
        <v>0.47916666666666702</v>
      </c>
      <c r="V71" s="30">
        <f>(T71-U70)*24*60</f>
        <v>6.9999999999998153</v>
      </c>
      <c r="W71" s="73">
        <f t="shared" si="12"/>
        <v>58.000000000000355</v>
      </c>
      <c r="X71" s="271">
        <v>0.48611111111111099</v>
      </c>
      <c r="Y71" s="293">
        <v>0.52777777777777801</v>
      </c>
      <c r="Z71" s="90"/>
      <c r="AA71" s="90"/>
      <c r="AB71" s="408" t="s">
        <v>216</v>
      </c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 t="s">
        <v>81</v>
      </c>
      <c r="C72" s="76"/>
      <c r="D72" s="59" t="s">
        <v>147</v>
      </c>
      <c r="E72" s="77"/>
      <c r="F72" s="250">
        <f>VLOOKUP(D72,廠價表!$C$1:$E$43,3,0)</f>
        <v>56.87</v>
      </c>
      <c r="G72" s="202">
        <v>393</v>
      </c>
      <c r="H72" s="254">
        <f t="shared" ref="H72:H73" si="37">F72*G72</f>
        <v>22349.91</v>
      </c>
      <c r="I72" s="232"/>
      <c r="J72" s="106">
        <v>17</v>
      </c>
      <c r="K72" s="107">
        <v>1716</v>
      </c>
      <c r="L72" s="238">
        <f t="shared" ref="L72:L73" si="38">K72/J72</f>
        <v>100.94117647058823</v>
      </c>
      <c r="M72" s="82">
        <v>12</v>
      </c>
      <c r="N72" s="107">
        <f t="shared" ref="N72:N73" si="39">G72/W72*60</f>
        <v>786.00000000001114</v>
      </c>
      <c r="O72" s="238">
        <f t="shared" ref="O72:O73" si="40">N72/M72</f>
        <v>65.500000000000924</v>
      </c>
      <c r="P72" s="111">
        <f t="shared" ref="P72:P73" si="41">M72-J72</f>
        <v>-5</v>
      </c>
      <c r="Q72" s="255">
        <f t="shared" ref="Q72:Q73" si="42">O72-L72</f>
        <v>-35.441176470587308</v>
      </c>
      <c r="R72" s="85">
        <f t="shared" ref="R72:R73" si="43">O72/L72</f>
        <v>0.6488927738927831</v>
      </c>
      <c r="S72" s="416"/>
      <c r="T72" s="22">
        <v>0.54166666666666696</v>
      </c>
      <c r="U72" s="22">
        <v>0.5625</v>
      </c>
      <c r="V72" s="30">
        <f>(T72-U71)*24*60</f>
        <v>89.999999999999915</v>
      </c>
      <c r="W72" s="73">
        <f t="shared" si="12"/>
        <v>29.999999999999574</v>
      </c>
      <c r="X72" s="272"/>
      <c r="Y72" s="288"/>
      <c r="Z72" s="90"/>
      <c r="AA72" s="90"/>
      <c r="AB72" s="409" t="s">
        <v>233</v>
      </c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 t="s">
        <v>81</v>
      </c>
      <c r="C73" s="86"/>
      <c r="D73" s="59" t="s">
        <v>113</v>
      </c>
      <c r="E73" s="87"/>
      <c r="F73" s="250">
        <f>VLOOKUP(D73,廠價表!$C$1:$E$43,3,0)</f>
        <v>57.21</v>
      </c>
      <c r="G73" s="202">
        <v>1186</v>
      </c>
      <c r="H73" s="254">
        <f t="shared" si="37"/>
        <v>67851.06</v>
      </c>
      <c r="I73" s="232"/>
      <c r="J73" s="106">
        <v>17</v>
      </c>
      <c r="K73" s="107">
        <v>1716</v>
      </c>
      <c r="L73" s="238">
        <f t="shared" si="38"/>
        <v>100.94117647058823</v>
      </c>
      <c r="M73" s="82">
        <v>12</v>
      </c>
      <c r="N73" s="107">
        <f t="shared" si="39"/>
        <v>878.51851851851825</v>
      </c>
      <c r="O73" s="238">
        <f t="shared" si="40"/>
        <v>73.209876543209859</v>
      </c>
      <c r="P73" s="111">
        <f t="shared" si="41"/>
        <v>-5</v>
      </c>
      <c r="Q73" s="255">
        <f t="shared" si="42"/>
        <v>-27.731299927378373</v>
      </c>
      <c r="R73" s="85">
        <f t="shared" si="43"/>
        <v>0.72527266971711402</v>
      </c>
      <c r="S73" s="416"/>
      <c r="T73" s="22">
        <v>0.56874999999999998</v>
      </c>
      <c r="U73" s="22">
        <v>0.625</v>
      </c>
      <c r="V73" s="30">
        <f>(T73-U72)*24*60</f>
        <v>8.999999999999968</v>
      </c>
      <c r="W73" s="73">
        <f t="shared" si="12"/>
        <v>81.000000000000028</v>
      </c>
      <c r="X73" s="22"/>
      <c r="Y73" s="84"/>
      <c r="Z73" s="90"/>
      <c r="AA73" s="90"/>
      <c r="AB73" s="408" t="s">
        <v>216</v>
      </c>
      <c r="AC73" s="408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44">AVERAGE(J70:J78)</f>
        <v>16</v>
      </c>
      <c r="K79" s="240">
        <f t="shared" si="44"/>
        <v>1647</v>
      </c>
      <c r="L79" s="268">
        <f t="shared" si="44"/>
        <v>103.39819004524887</v>
      </c>
      <c r="M79" s="240">
        <f t="shared" si="44"/>
        <v>11</v>
      </c>
      <c r="N79" s="240">
        <f t="shared" si="44"/>
        <v>856.71583652618142</v>
      </c>
      <c r="O79" s="268">
        <f t="shared" si="44"/>
        <v>79.504010410619571</v>
      </c>
      <c r="P79" s="269">
        <f>M79-J79</f>
        <v>-5</v>
      </c>
      <c r="Q79" s="222">
        <f>N79-K79</f>
        <v>-790.28416347381858</v>
      </c>
      <c r="R79" s="223">
        <f>O79/L79</f>
        <v>0.76891104550115641</v>
      </c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-790.28416347381858</v>
      </c>
      <c r="AG79" s="124">
        <f>N79/K79</f>
        <v>0.52016747815797293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621C1E-DF67-419C-BBE8-681B15A2F3F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7189-46DA-4118-8059-B1CB192D5281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46139</v>
      </c>
      <c r="E3" s="399"/>
      <c r="F3" s="3" t="s">
        <v>72</v>
      </c>
      <c r="G3" s="400">
        <f>'0427'!E1</f>
        <v>65647</v>
      </c>
      <c r="H3" s="400"/>
      <c r="I3" s="3" t="s">
        <v>2</v>
      </c>
      <c r="J3" s="401">
        <f>'0427'!G1</f>
        <v>3150147.3560000006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121.77951033515275</v>
      </c>
      <c r="G6" s="397"/>
      <c r="H6" s="382">
        <f>AVERAGE(D13:H13)</f>
        <v>120.67389725066815</v>
      </c>
      <c r="I6" s="382"/>
      <c r="J6" s="382">
        <f>AVERAGE(I13)</f>
        <v>127.30757575757578</v>
      </c>
      <c r="K6" s="382"/>
      <c r="L6" s="383">
        <f>SUM(D18:J18)</f>
        <v>0</v>
      </c>
      <c r="M6" s="385">
        <f>SUM(D19:J19)</f>
        <v>0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112.26916232370807</v>
      </c>
      <c r="G7" s="389"/>
      <c r="H7" s="390">
        <f>AVERAGE(D14:H14)</f>
        <v>111.088986130441</v>
      </c>
      <c r="I7" s="390"/>
      <c r="J7" s="390">
        <f>AVERAGE(I14)</f>
        <v>118.1700432900434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0.92190518761923923</v>
      </c>
      <c r="G8" s="374"/>
      <c r="H8" s="374">
        <f>H7/H6</f>
        <v>0.92057179440954806</v>
      </c>
      <c r="I8" s="374"/>
      <c r="J8" s="374">
        <f>J7/J6</f>
        <v>0.92822475478653022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VALUE('0427'!L15)</f>
        <v>141.19999999999999</v>
      </c>
      <c r="E13" s="13">
        <f>VALUE('0427'!L26)</f>
        <v>159.66461538461539</v>
      </c>
      <c r="F13" s="13">
        <f>VALUE('0427'!L37)</f>
        <v>96.545883940620783</v>
      </c>
      <c r="G13" s="13">
        <f>VALUE('0427'!L48)</f>
        <v>103.29722222222222</v>
      </c>
      <c r="H13" s="13">
        <f>VALUE('0427'!L58)</f>
        <v>102.66176470588235</v>
      </c>
      <c r="I13" s="13">
        <f>VALUE('0427'!L69)</f>
        <v>127.30757575757578</v>
      </c>
      <c r="J13" s="13">
        <f>'0427'!L79</f>
        <v>0</v>
      </c>
    </row>
    <row r="14" spans="2:15" ht="39.950000000000003" customHeight="1">
      <c r="B14" s="368"/>
      <c r="C14" s="12" t="s">
        <v>100</v>
      </c>
      <c r="D14" s="13">
        <f>VALUE('0427'!O15)</f>
        <v>134.58038933063318</v>
      </c>
      <c r="E14" s="13">
        <f>VALUE('0427'!O26)</f>
        <v>151.13363383436874</v>
      </c>
      <c r="F14" s="13">
        <f>VALUE('0427'!O37)</f>
        <v>82.905946697048492</v>
      </c>
      <c r="G14" s="13">
        <f>VALUE('0427'!O48)</f>
        <v>93.598715762273812</v>
      </c>
      <c r="H14" s="13">
        <f>VALUE('0427'!O58)</f>
        <v>93.22624502788085</v>
      </c>
      <c r="I14" s="13">
        <f>VALUE('0427'!O69)</f>
        <v>118.1700432900434</v>
      </c>
      <c r="J14" s="13">
        <f>'0427'!O79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0.95311890460788384</v>
      </c>
      <c r="E15" s="14">
        <f t="shared" si="1"/>
        <v>0.94656936648300938</v>
      </c>
      <c r="F15" s="14">
        <f t="shared" si="1"/>
        <v>0.85872067573630229</v>
      </c>
      <c r="G15" s="14">
        <f t="shared" si="1"/>
        <v>0.90611067508587873</v>
      </c>
      <c r="H15" s="14">
        <f t="shared" si="1"/>
        <v>0.90809119924020887</v>
      </c>
      <c r="I15" s="14">
        <f t="shared" si="1"/>
        <v>0.92822475478653022</v>
      </c>
      <c r="J15" s="15">
        <f>'0427'!S70</f>
        <v>0</v>
      </c>
    </row>
    <row r="16" spans="2:15" ht="17.25" customHeight="1">
      <c r="B16" s="370" t="s">
        <v>101</v>
      </c>
      <c r="C16" s="10" t="s">
        <v>34</v>
      </c>
      <c r="D16" s="16">
        <f>'0427'!T5</f>
        <v>0.28819444444444398</v>
      </c>
      <c r="E16" s="16">
        <f>'0427'!T16</f>
        <v>0.29027777777777802</v>
      </c>
      <c r="F16" s="16">
        <f>'0427'!T27</f>
        <v>0.29513888888888901</v>
      </c>
      <c r="G16" s="16">
        <f>'0427'!T38</f>
        <v>0.33333333333333298</v>
      </c>
      <c r="H16" s="16">
        <f>'0427'!T49</f>
        <v>0.29305555555555601</v>
      </c>
      <c r="I16" s="16">
        <f>'0427'!T59</f>
        <v>0.29166666666666702</v>
      </c>
      <c r="J16" s="16">
        <f>'0427'!T70</f>
        <v>0</v>
      </c>
    </row>
    <row r="17" spans="2:10" ht="17.25" customHeight="1">
      <c r="B17" s="371"/>
      <c r="C17" s="10" t="s">
        <v>35</v>
      </c>
      <c r="D17" s="16">
        <v>0.67708333333333304</v>
      </c>
      <c r="E17" s="19">
        <v>0.63541666666666696</v>
      </c>
      <c r="F17" s="19">
        <v>0.686805555555556</v>
      </c>
      <c r="G17" s="20">
        <v>0.61111111111111105</v>
      </c>
      <c r="H17" s="21">
        <v>0.62638888888888899</v>
      </c>
      <c r="I17" s="22">
        <v>0.64236111111111105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'0427'!Z15</f>
        <v>0</v>
      </c>
      <c r="E18" s="359">
        <f>'0427'!Z26</f>
        <v>0</v>
      </c>
      <c r="F18" s="359">
        <f>'0427'!Z37</f>
        <v>0</v>
      </c>
      <c r="G18" s="360">
        <f>'0427'!Z48</f>
        <v>0</v>
      </c>
      <c r="H18" s="360">
        <f>'0427'!Z58</f>
        <v>0</v>
      </c>
      <c r="I18" s="359">
        <f>'0427'!Z69</f>
        <v>0</v>
      </c>
      <c r="J18" s="359">
        <f>'0427'!AA79</f>
        <v>0</v>
      </c>
    </row>
    <row r="19" spans="2:10" ht="17.25" customHeight="1">
      <c r="B19" s="373"/>
      <c r="C19" s="330" t="s">
        <v>37</v>
      </c>
      <c r="D19" s="358">
        <f>'0427'!AA15</f>
        <v>0</v>
      </c>
      <c r="E19" s="359">
        <f>'0427'!AA26</f>
        <v>0</v>
      </c>
      <c r="F19" s="359">
        <f>'0427'!AA37</f>
        <v>0</v>
      </c>
      <c r="G19" s="360">
        <f>'0427'!AA48</f>
        <v>0</v>
      </c>
      <c r="H19" s="360">
        <f>'0427'!AA58</f>
        <v>0</v>
      </c>
      <c r="I19" s="359">
        <f>'0427'!AA69</f>
        <v>0</v>
      </c>
      <c r="J19" s="359">
        <f>'0427'!AB79</f>
        <v>0</v>
      </c>
    </row>
    <row r="20" spans="2:10" ht="17.25" customHeight="1">
      <c r="B20" s="372" t="s">
        <v>103</v>
      </c>
      <c r="C20" s="330" t="s">
        <v>36</v>
      </c>
      <c r="D20" s="358">
        <f>'0427'!AD15</f>
        <v>0</v>
      </c>
      <c r="E20" s="359">
        <f>'0427'!AD26</f>
        <v>0</v>
      </c>
      <c r="F20" s="359">
        <f>'0427'!AD37</f>
        <v>0</v>
      </c>
      <c r="G20" s="360">
        <f>'0427'!AD48</f>
        <v>0</v>
      </c>
      <c r="H20" s="360">
        <f>'0427'!AD58</f>
        <v>0</v>
      </c>
      <c r="I20" s="359">
        <f>'0427'!AD69</f>
        <v>0</v>
      </c>
      <c r="J20" s="359">
        <f>'0427'!AD79</f>
        <v>0</v>
      </c>
    </row>
    <row r="21" spans="2:10" ht="17.25" customHeight="1">
      <c r="B21" s="373"/>
      <c r="C21" s="330" t="s">
        <v>85</v>
      </c>
      <c r="D21" s="358">
        <f>'0427'!AE15</f>
        <v>0</v>
      </c>
      <c r="E21" s="359">
        <f>'0427'!AE26</f>
        <v>0</v>
      </c>
      <c r="F21" s="359">
        <f>'0427'!AE37</f>
        <v>0</v>
      </c>
      <c r="G21" s="360">
        <f>'0427'!AE48</f>
        <v>0</v>
      </c>
      <c r="H21" s="360">
        <f>'0427'!AE58</f>
        <v>0</v>
      </c>
      <c r="I21" s="359">
        <f>'0427'!AE69</f>
        <v>0</v>
      </c>
      <c r="J21" s="359">
        <f>'0427'!AE79</f>
        <v>0</v>
      </c>
    </row>
    <row r="22" spans="2:10" ht="17.25" customHeight="1">
      <c r="B22" s="364" t="s">
        <v>104</v>
      </c>
      <c r="C22" s="365"/>
      <c r="D22" s="23">
        <f>VALUE('0427'!M15)</f>
        <v>15</v>
      </c>
      <c r="E22" s="23">
        <f>VALUE('0427'!M26)</f>
        <v>13.4</v>
      </c>
      <c r="F22" s="23">
        <f>VALUE('0427'!M37)</f>
        <v>15.666666666666666</v>
      </c>
      <c r="G22" s="23">
        <f>VALUE('0427'!M48)</f>
        <v>15.666666666666666</v>
      </c>
      <c r="H22" s="23">
        <f>VALUE('0427'!M58)</f>
        <v>16.25</v>
      </c>
      <c r="I22" s="23">
        <f>VALUE('0427'!M69)</f>
        <v>12.4</v>
      </c>
      <c r="J22" s="23">
        <f>'0427'!M79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890F-BDB7-4A0B-8500-85073753B48B}">
  <sheetPr>
    <tabColor theme="9" tint="0.79998168889431442"/>
  </sheetPr>
  <dimension ref="A1:AJ92"/>
  <sheetViews>
    <sheetView zoomScale="70" zoomScaleNormal="70" workbookViewId="0">
      <pane xSplit="5" ySplit="4" topLeftCell="F30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65647</v>
      </c>
      <c r="F1" s="30" t="s">
        <v>2</v>
      </c>
      <c r="G1" s="31">
        <f>SUM(H5:H79)</f>
        <v>3150147.3560000006</v>
      </c>
      <c r="H1" s="32" t="s">
        <v>3</v>
      </c>
      <c r="I1" s="33">
        <f>M15+M26+M48+M58+M69+M79+M37</f>
        <v>88.38333333333334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234</v>
      </c>
      <c r="B2" s="483"/>
      <c r="C2" s="28"/>
      <c r="D2" s="28" t="s">
        <v>14</v>
      </c>
      <c r="E2" s="35">
        <f>AVERAGE(O15,O26,O37,O48,O58,O69,O79)</f>
        <v>112.26916232370807</v>
      </c>
      <c r="F2" s="36" t="s">
        <v>15</v>
      </c>
      <c r="G2" s="37">
        <f>G1/E1</f>
        <v>47.986158636342871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4134</v>
      </c>
      <c r="H5" s="43">
        <f>F5*G5</f>
        <v>235100.58</v>
      </c>
      <c r="I5" s="44"/>
      <c r="J5" s="45">
        <v>15</v>
      </c>
      <c r="K5" s="46">
        <f>VLOOKUP(D5,產線配置圖!$A$3:$C$38,3,0)</f>
        <v>2118</v>
      </c>
      <c r="L5" s="47">
        <f>K5/J5</f>
        <v>141.19999999999999</v>
      </c>
      <c r="M5" s="48">
        <v>15</v>
      </c>
      <c r="N5" s="46">
        <f>G5/W5*60</f>
        <v>2016.58536585365</v>
      </c>
      <c r="O5" s="47">
        <f>N5/M5</f>
        <v>134.43902439024333</v>
      </c>
      <c r="P5" s="49">
        <f>M5-J5</f>
        <v>0</v>
      </c>
      <c r="Q5" s="50">
        <f>O5-L5</f>
        <v>-6.760975609756656</v>
      </c>
      <c r="R5" s="51">
        <f>O5/L5</f>
        <v>0.95211773647481124</v>
      </c>
      <c r="S5" s="415">
        <f>R15</f>
        <v>0.95311890460788384</v>
      </c>
      <c r="T5" s="319">
        <v>0.28819444444444398</v>
      </c>
      <c r="U5" s="320">
        <v>0.37361111111111101</v>
      </c>
      <c r="V5" s="53"/>
      <c r="W5" s="54">
        <f t="shared" ref="W5:W14" si="0">(U5-T5)*24*60</f>
        <v>123.00000000000053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-101.41463414634995</v>
      </c>
      <c r="AG5" s="52">
        <f t="shared" ref="AG5:AG11" si="2">N5/K5</f>
        <v>0.95211773647481113</v>
      </c>
      <c r="AH5" s="403">
        <f>AG15</f>
        <v>0.95311890460788362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3960</v>
      </c>
      <c r="H6" s="63">
        <f>F6*G6</f>
        <v>194594.4</v>
      </c>
      <c r="I6" s="64"/>
      <c r="J6" s="65">
        <v>15</v>
      </c>
      <c r="K6" s="66">
        <f>VLOOKUP(D6,產線配置圖!$A$3:$C$38,3,0)</f>
        <v>2118</v>
      </c>
      <c r="L6" s="67">
        <f>K6/J6</f>
        <v>141.19999999999999</v>
      </c>
      <c r="M6" s="68">
        <v>15</v>
      </c>
      <c r="N6" s="66">
        <f>G6/W6*60</f>
        <v>2030.7692307692312</v>
      </c>
      <c r="O6" s="67">
        <f>N6/M6</f>
        <v>135.38461538461542</v>
      </c>
      <c r="P6" s="69">
        <f>M6-J6</f>
        <v>0</v>
      </c>
      <c r="Q6" s="70">
        <f>O6-L6</f>
        <v>-5.8153846153845734</v>
      </c>
      <c r="R6" s="71">
        <f>O6/L6</f>
        <v>0.95881455654826786</v>
      </c>
      <c r="S6" s="416"/>
      <c r="T6" s="16">
        <v>0.37847222222222199</v>
      </c>
      <c r="U6" s="16">
        <v>0.45972222222222198</v>
      </c>
      <c r="V6" s="30">
        <f>(T6-U5)*24*60</f>
        <v>6.9999999999998153</v>
      </c>
      <c r="W6" s="73">
        <f t="shared" si="0"/>
        <v>116.99999999999999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-87.230769230768828</v>
      </c>
      <c r="AG6" s="72">
        <f t="shared" si="2"/>
        <v>0.95881455654826775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1529</v>
      </c>
      <c r="H7" s="78">
        <f>F7*G7</f>
        <v>88941.930000000008</v>
      </c>
      <c r="I7" s="73"/>
      <c r="J7" s="79">
        <v>15</v>
      </c>
      <c r="K7" s="80">
        <v>2118</v>
      </c>
      <c r="L7" s="81">
        <f>K7/J7</f>
        <v>141.19999999999999</v>
      </c>
      <c r="M7" s="82">
        <v>15</v>
      </c>
      <c r="N7" s="80">
        <f>G7/W7*60</f>
        <v>2038.6666666666665</v>
      </c>
      <c r="O7" s="81">
        <f>N7/M7</f>
        <v>135.9111111111111</v>
      </c>
      <c r="P7" s="74">
        <f>M7-J7</f>
        <v>0</v>
      </c>
      <c r="Q7" s="83">
        <f>O7-L7</f>
        <v>-5.2888888888888914</v>
      </c>
      <c r="R7" s="72">
        <f>O7/L7</f>
        <v>0.96254327982373311</v>
      </c>
      <c r="S7" s="416"/>
      <c r="T7" s="18">
        <v>0.46527777777777801</v>
      </c>
      <c r="U7" s="18">
        <v>0.49652777777777801</v>
      </c>
      <c r="V7" s="30">
        <f>(T7-U6)*24*60</f>
        <v>8.000000000000691</v>
      </c>
      <c r="W7" s="73">
        <f t="shared" si="0"/>
        <v>45</v>
      </c>
      <c r="X7" s="22">
        <v>0.5</v>
      </c>
      <c r="Y7" s="84">
        <v>0.54166666666666696</v>
      </c>
      <c r="Z7" s="90"/>
      <c r="AA7" s="90"/>
      <c r="AB7" s="409"/>
      <c r="AC7" s="409"/>
      <c r="AD7" s="92"/>
      <c r="AE7" s="92"/>
      <c r="AF7" s="307">
        <f t="shared" si="1"/>
        <v>-79.333333333333485</v>
      </c>
      <c r="AG7" s="72">
        <f t="shared" si="2"/>
        <v>0.962543279823733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3631</v>
      </c>
      <c r="H8" s="78">
        <f t="shared" ref="H8:H9" si="3">F8*G8</f>
        <v>211215.27000000002</v>
      </c>
      <c r="I8" s="73"/>
      <c r="J8" s="79">
        <v>15</v>
      </c>
      <c r="K8" s="80">
        <v>2118</v>
      </c>
      <c r="L8" s="81">
        <f t="shared" ref="L8:L9" si="4">K8/J8</f>
        <v>141.19999999999999</v>
      </c>
      <c r="M8" s="82">
        <v>15</v>
      </c>
      <c r="N8" s="80">
        <f t="shared" ref="N8:N9" si="5">G8/W8*60</f>
        <v>2017.2222222222233</v>
      </c>
      <c r="O8" s="81">
        <f t="shared" ref="O8:O9" si="6">N8/M8</f>
        <v>134.48148148148155</v>
      </c>
      <c r="P8" s="74">
        <f t="shared" ref="P8:P9" si="7">M8-J8</f>
        <v>0</v>
      </c>
      <c r="Q8" s="83">
        <f t="shared" ref="Q8:Q9" si="8">O8-L8</f>
        <v>-6.7185185185184366</v>
      </c>
      <c r="R8" s="72">
        <f t="shared" ref="R8:R9" si="9">O8/L8</f>
        <v>0.95241842408981281</v>
      </c>
      <c r="S8" s="416"/>
      <c r="T8" s="16">
        <v>0.54861111111111105</v>
      </c>
      <c r="U8" s="16">
        <v>0.62361111111111101</v>
      </c>
      <c r="V8" s="30">
        <f t="shared" ref="V8:V9" si="10">(T8-U7)*24*60</f>
        <v>74.999999999999574</v>
      </c>
      <c r="W8" s="73">
        <f t="shared" si="0"/>
        <v>107.99999999999994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-100.77777777777669</v>
      </c>
      <c r="AG8" s="72">
        <f t="shared" si="2"/>
        <v>0.9524184240898127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2322</v>
      </c>
      <c r="H9" s="78">
        <f t="shared" si="3"/>
        <v>114103.08</v>
      </c>
      <c r="I9" s="73"/>
      <c r="J9" s="79">
        <v>15</v>
      </c>
      <c r="K9" s="80">
        <f>VLOOKUP(D9,產線配置圖!$A$3:$C$38,3,0)</f>
        <v>2118</v>
      </c>
      <c r="L9" s="81">
        <f t="shared" si="4"/>
        <v>141.19999999999999</v>
      </c>
      <c r="M9" s="82">
        <v>15</v>
      </c>
      <c r="N9" s="80">
        <f t="shared" si="5"/>
        <v>1990.2857142857167</v>
      </c>
      <c r="O9" s="81">
        <f t="shared" si="6"/>
        <v>132.68571428571445</v>
      </c>
      <c r="P9" s="74">
        <f t="shared" si="7"/>
        <v>0</v>
      </c>
      <c r="Q9" s="83">
        <f t="shared" si="8"/>
        <v>-8.5142857142855348</v>
      </c>
      <c r="R9" s="72">
        <f t="shared" si="9"/>
        <v>0.93970052610279364</v>
      </c>
      <c r="S9" s="417"/>
      <c r="T9" s="16">
        <v>0.62847222222222199</v>
      </c>
      <c r="U9" s="16">
        <v>0.67708333333333304</v>
      </c>
      <c r="V9" s="30">
        <f t="shared" si="10"/>
        <v>6.9999999999998153</v>
      </c>
      <c r="W9" s="73">
        <f t="shared" si="0"/>
        <v>69.999999999999915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-127.71428571428328</v>
      </c>
      <c r="AG9" s="72">
        <f t="shared" si="2"/>
        <v>0.93970052610279353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2118</v>
      </c>
      <c r="L15" s="117">
        <f t="shared" si="11"/>
        <v>141.19999999999999</v>
      </c>
      <c r="M15" s="120">
        <f t="shared" si="11"/>
        <v>15</v>
      </c>
      <c r="N15" s="120">
        <f t="shared" si="11"/>
        <v>2018.7058399594976</v>
      </c>
      <c r="O15" s="117">
        <f t="shared" si="11"/>
        <v>134.58038933063318</v>
      </c>
      <c r="P15" s="121">
        <f>M15-J15</f>
        <v>0</v>
      </c>
      <c r="Q15" s="122">
        <f>O15-L15</f>
        <v>-6.6196106693668071</v>
      </c>
      <c r="R15" s="123">
        <f>O15/L15</f>
        <v>0.95311890460788384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-99.294160040502447</v>
      </c>
      <c r="AG15" s="124">
        <f>N15/K15</f>
        <v>0.95311890460788362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4056</v>
      </c>
      <c r="H16" s="134">
        <f>F16*G16</f>
        <v>205517.52000000002</v>
      </c>
      <c r="I16" s="135"/>
      <c r="J16" s="136">
        <v>13</v>
      </c>
      <c r="K16" s="137">
        <f>VLOOKUP(D16,產線配置圖!$A$3:$C$38,3,0)</f>
        <v>2118</v>
      </c>
      <c r="L16" s="138">
        <f>K16/J16</f>
        <v>162.92307692307693</v>
      </c>
      <c r="M16" s="139">
        <v>13</v>
      </c>
      <c r="N16" s="140">
        <f>G16/W16*60</f>
        <v>2028.0000000000089</v>
      </c>
      <c r="O16" s="141">
        <f>N16/M16</f>
        <v>156.00000000000068</v>
      </c>
      <c r="P16" s="142">
        <f>M16-J16</f>
        <v>0</v>
      </c>
      <c r="Q16" s="143">
        <f>O16-L16</f>
        <v>-6.9230769230762519</v>
      </c>
      <c r="R16" s="144">
        <f>O16/L16</f>
        <v>0.95750708215297864</v>
      </c>
      <c r="S16" s="443">
        <f>R26</f>
        <v>0.94656936648300938</v>
      </c>
      <c r="T16" s="145">
        <v>0.29027777777777802</v>
      </c>
      <c r="U16" s="145">
        <v>0.37361111111111101</v>
      </c>
      <c r="V16" s="135"/>
      <c r="W16" s="146">
        <f t="shared" ref="W16:W78" si="12">(U16-T16)*24*60</f>
        <v>119.99999999999949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-89.999999999991132</v>
      </c>
      <c r="AG16" s="52">
        <f>N16/K16</f>
        <v>0.95750708215297864</v>
      </c>
      <c r="AH16" s="403">
        <f>AG26</f>
        <v>0.94571045079710048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2246</v>
      </c>
      <c r="H17" s="78">
        <f>F17*G17</f>
        <v>127146.06</v>
      </c>
      <c r="I17" s="30"/>
      <c r="J17" s="79">
        <v>15</v>
      </c>
      <c r="K17" s="80">
        <v>2118</v>
      </c>
      <c r="L17" s="81">
        <f>K17/J17</f>
        <v>141.19999999999999</v>
      </c>
      <c r="M17" s="148">
        <v>15</v>
      </c>
      <c r="N17" s="95">
        <f>G17/W17*60</f>
        <v>1981.7647058823625</v>
      </c>
      <c r="O17" s="96">
        <f>N17/M17</f>
        <v>132.11764705882416</v>
      </c>
      <c r="P17" s="97">
        <f>M17-J17</f>
        <v>0</v>
      </c>
      <c r="Q17" s="98">
        <f>O17-L17</f>
        <v>-9.0823529411758273</v>
      </c>
      <c r="R17" s="99">
        <f>O17/L17</f>
        <v>0.9356773871021542</v>
      </c>
      <c r="S17" s="444"/>
      <c r="T17" s="19">
        <v>0.37916666666666698</v>
      </c>
      <c r="U17" s="19">
        <v>0.42638888888888898</v>
      </c>
      <c r="V17" s="30">
        <f>(T17-U16)*24*60</f>
        <v>8.0000000000006111</v>
      </c>
      <c r="W17" s="149">
        <f t="shared" si="12"/>
        <v>67.999999999999673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-136.23529411763752</v>
      </c>
      <c r="AG17" s="72">
        <f>N17/K17</f>
        <v>0.93567738710215409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2683</v>
      </c>
      <c r="H18" s="78">
        <f>F18*G18</f>
        <v>135196.37</v>
      </c>
      <c r="I18" s="30"/>
      <c r="J18" s="79">
        <v>12</v>
      </c>
      <c r="K18" s="80">
        <f>VLOOKUP(D18,產線配置圖!$A$3:$C$38,3,0)</f>
        <v>2118</v>
      </c>
      <c r="L18" s="81">
        <f>K18/J18</f>
        <v>176.5</v>
      </c>
      <c r="M18" s="148">
        <v>12</v>
      </c>
      <c r="N18" s="95">
        <f>G18/W18*60</f>
        <v>2012.2499999999852</v>
      </c>
      <c r="O18" s="96">
        <f>N18/M18</f>
        <v>167.68749999999878</v>
      </c>
      <c r="P18" s="97">
        <f>M18-J18</f>
        <v>0</v>
      </c>
      <c r="Q18" s="98">
        <f>O18-L18</f>
        <v>-8.8125000000012221</v>
      </c>
      <c r="R18" s="99">
        <f>O18/L18</f>
        <v>0.9500708215297381</v>
      </c>
      <c r="S18" s="444"/>
      <c r="T18" s="19">
        <v>0.43194444444444402</v>
      </c>
      <c r="U18" s="19">
        <v>0.48749999999999999</v>
      </c>
      <c r="V18" s="30">
        <f>(T18-U17)*24*60</f>
        <v>7.9999999999992522</v>
      </c>
      <c r="W18" s="149">
        <f t="shared" si="12"/>
        <v>80.000000000000597</v>
      </c>
      <c r="X18" s="22">
        <v>0.49305555555555602</v>
      </c>
      <c r="Y18" s="84">
        <v>0.53472222222222199</v>
      </c>
      <c r="Z18" s="90"/>
      <c r="AA18" s="90"/>
      <c r="AB18" s="409"/>
      <c r="AC18" s="409"/>
      <c r="AD18" s="92"/>
      <c r="AE18" s="92"/>
      <c r="AF18" s="307">
        <f>N18-K18</f>
        <v>-105.75000000001478</v>
      </c>
      <c r="AG18" s="72">
        <f>N18/K18</f>
        <v>0.9500708215297381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2962</v>
      </c>
      <c r="H19" s="78">
        <f t="shared" ref="H19:H20" si="13">F19*G19</f>
        <v>149255.18</v>
      </c>
      <c r="I19" s="30"/>
      <c r="J19" s="79">
        <v>12</v>
      </c>
      <c r="K19" s="80">
        <f>VLOOKUP(D19,產線配置圖!$A$3:$C$38,3,0)</f>
        <v>2118</v>
      </c>
      <c r="L19" s="81">
        <f t="shared" ref="L19:L20" si="14">K19/J19</f>
        <v>176.5</v>
      </c>
      <c r="M19" s="148">
        <v>12</v>
      </c>
      <c r="N19" s="95">
        <f t="shared" ref="N19:N20" si="15">G19/W19*60</f>
        <v>2019.5454545454581</v>
      </c>
      <c r="O19" s="96">
        <f t="shared" ref="O19:O20" si="16">N19/M19</f>
        <v>168.29545454545485</v>
      </c>
      <c r="P19" s="97">
        <f t="shared" ref="P19:P20" si="17">M19-J19</f>
        <v>0</v>
      </c>
      <c r="Q19" s="98">
        <f t="shared" ref="Q19:Q20" si="18">O19-L19</f>
        <v>-8.2045454545451548</v>
      </c>
      <c r="R19" s="99">
        <f t="shared" ref="R19:R20" si="19">O19/L19</f>
        <v>0.95351532320371013</v>
      </c>
      <c r="S19" s="444"/>
      <c r="T19" s="19">
        <v>0.54166666666666696</v>
      </c>
      <c r="U19" s="19">
        <v>0.60277777777777797</v>
      </c>
      <c r="V19" s="30">
        <f>(T19-U18)*24*60</f>
        <v>78.000000000000441</v>
      </c>
      <c r="W19" s="149">
        <f t="shared" si="12"/>
        <v>87.999999999999844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-98.454545454541858</v>
      </c>
      <c r="AG19" s="72">
        <f>N19/K19</f>
        <v>0.95351532320371013</v>
      </c>
      <c r="AH19" s="406"/>
    </row>
    <row r="20" spans="1:34" ht="15" customHeight="1">
      <c r="A20" s="450"/>
      <c r="B20" s="75" t="s">
        <v>81</v>
      </c>
      <c r="C20" s="76"/>
      <c r="D20" s="59" t="s">
        <v>182</v>
      </c>
      <c r="E20" s="77"/>
      <c r="F20" s="75">
        <f>VLOOKUP(D20,廠價表!$C$1:$E$43,3,0)</f>
        <v>56.61</v>
      </c>
      <c r="G20" s="147">
        <v>1217</v>
      </c>
      <c r="H20" s="78">
        <f t="shared" si="13"/>
        <v>68894.37</v>
      </c>
      <c r="I20" s="30"/>
      <c r="J20" s="79">
        <v>15</v>
      </c>
      <c r="K20" s="80">
        <v>2118</v>
      </c>
      <c r="L20" s="81">
        <f t="shared" si="14"/>
        <v>141.19999999999999</v>
      </c>
      <c r="M20" s="148">
        <v>15</v>
      </c>
      <c r="N20" s="95">
        <f t="shared" si="15"/>
        <v>1973.5135135134778</v>
      </c>
      <c r="O20" s="96">
        <f t="shared" si="16"/>
        <v>131.56756756756519</v>
      </c>
      <c r="P20" s="97">
        <f t="shared" si="17"/>
        <v>0</v>
      </c>
      <c r="Q20" s="98">
        <f t="shared" si="18"/>
        <v>-9.632432432434797</v>
      </c>
      <c r="R20" s="99">
        <f t="shared" si="19"/>
        <v>0.93178163999692065</v>
      </c>
      <c r="S20" s="444"/>
      <c r="T20" s="19">
        <v>0.60972222222222205</v>
      </c>
      <c r="U20" s="19">
        <v>0.63541666666666696</v>
      </c>
      <c r="V20" s="30">
        <f>(T20-U19)*24*60</f>
        <v>9.9999999999994849</v>
      </c>
      <c r="W20" s="149">
        <f t="shared" si="12"/>
        <v>37.000000000000668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9"/>
      <c r="U22" s="19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13.4</v>
      </c>
      <c r="K26" s="155">
        <f t="shared" si="20"/>
        <v>2118</v>
      </c>
      <c r="L26" s="158">
        <f t="shared" si="20"/>
        <v>159.66461538461539</v>
      </c>
      <c r="M26" s="155">
        <f t="shared" si="20"/>
        <v>13.4</v>
      </c>
      <c r="N26" s="155">
        <f t="shared" si="20"/>
        <v>2003.0147347882587</v>
      </c>
      <c r="O26" s="158">
        <f t="shared" si="20"/>
        <v>151.13363383436874</v>
      </c>
      <c r="P26" s="159">
        <f>M26-J26</f>
        <v>0</v>
      </c>
      <c r="Q26" s="160">
        <f>O26-L26</f>
        <v>-8.5309815502466506</v>
      </c>
      <c r="R26" s="161">
        <f>O26/L26</f>
        <v>0.94656936648300938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1">N26-K26</f>
        <v>-114.98526521174131</v>
      </c>
      <c r="AG26" s="124">
        <f t="shared" ref="AG26:AG31" si="22">N26/K26</f>
        <v>0.94571045079710048</v>
      </c>
      <c r="AH26" s="407"/>
    </row>
    <row r="27" spans="1:34" ht="15" customHeight="1">
      <c r="A27" s="440" t="s">
        <v>45</v>
      </c>
      <c r="B27" s="75" t="s">
        <v>81</v>
      </c>
      <c r="C27" s="173"/>
      <c r="D27" s="59" t="s">
        <v>120</v>
      </c>
      <c r="E27" s="104"/>
      <c r="F27" s="75">
        <f>VLOOKUP(D27,廠價表!$C$1:$E$43,3,0)</f>
        <v>50.67</v>
      </c>
      <c r="G27" s="90">
        <v>1386</v>
      </c>
      <c r="H27" s="91">
        <f>F27*G27</f>
        <v>70228.62</v>
      </c>
      <c r="I27" s="92"/>
      <c r="J27" s="79">
        <f>VLOOKUP(D27,產線配置圖!$A$3:$C$38,2,0)</f>
        <v>13</v>
      </c>
      <c r="K27" s="80">
        <f>VLOOKUP(D27,產線配置圖!$A$3:$C$38,3,0)</f>
        <v>1440</v>
      </c>
      <c r="L27" s="93">
        <f>K27/J27</f>
        <v>110.76923076923077</v>
      </c>
      <c r="M27" s="94">
        <v>13</v>
      </c>
      <c r="N27" s="95">
        <f>G27/W27*60</f>
        <v>1188.0000000000027</v>
      </c>
      <c r="O27" s="96">
        <f>N27/M27</f>
        <v>91.3846153846156</v>
      </c>
      <c r="P27" s="97">
        <f>M27-J27</f>
        <v>0</v>
      </c>
      <c r="Q27" s="98">
        <f>O27-L27</f>
        <v>-19.384615384615174</v>
      </c>
      <c r="R27" s="99">
        <f>O27/L27</f>
        <v>0.82500000000000195</v>
      </c>
      <c r="S27" s="443">
        <f>R37</f>
        <v>0.85872067573630229</v>
      </c>
      <c r="T27" s="19">
        <v>0.29513888888888901</v>
      </c>
      <c r="U27" s="19">
        <v>0.34375</v>
      </c>
      <c r="V27" s="135"/>
      <c r="W27" s="146">
        <f t="shared" si="12"/>
        <v>69.999999999999829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21"/>
        <v>-251.99999999999727</v>
      </c>
      <c r="AG27" s="172">
        <f t="shared" si="22"/>
        <v>0.82500000000000184</v>
      </c>
      <c r="AH27" s="403">
        <f>AG37</f>
        <v>0.8322957552776481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2308</v>
      </c>
      <c r="H28" s="91">
        <f>F28*G28</f>
        <v>116067.012</v>
      </c>
      <c r="I28" s="92"/>
      <c r="J28" s="79">
        <v>19</v>
      </c>
      <c r="K28" s="80">
        <f>VLOOKUP(D28,產線配置圖!$A$3:$C$38,3,0)</f>
        <v>1565</v>
      </c>
      <c r="L28" s="93">
        <f>K28/J28</f>
        <v>82.368421052631575</v>
      </c>
      <c r="M28" s="94">
        <v>18</v>
      </c>
      <c r="N28" s="95">
        <f>G28/W28*60</f>
        <v>1413.0612244898077</v>
      </c>
      <c r="O28" s="96">
        <f>N28/M28</f>
        <v>78.503401360544871</v>
      </c>
      <c r="P28" s="97">
        <f>M28-J28</f>
        <v>-1</v>
      </c>
      <c r="Q28" s="98">
        <f>O28-L28</f>
        <v>-3.8650196920867046</v>
      </c>
      <c r="R28" s="99">
        <f>O28/L28</f>
        <v>0.95307643824303678</v>
      </c>
      <c r="S28" s="444"/>
      <c r="T28" s="19">
        <v>0.35416666666666702</v>
      </c>
      <c r="U28" s="19">
        <v>0.422222222222222</v>
      </c>
      <c r="V28" s="92">
        <f>(T28-U27)*24*60</f>
        <v>15.000000000000506</v>
      </c>
      <c r="W28" s="149">
        <f t="shared" si="12"/>
        <v>97.999999999999176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21"/>
        <v>-151.93877551019227</v>
      </c>
      <c r="AG28" s="99">
        <f t="shared" si="22"/>
        <v>0.9029145204407717</v>
      </c>
      <c r="AH28" s="404"/>
    </row>
    <row r="29" spans="1:34" ht="15" customHeight="1">
      <c r="A29" s="441"/>
      <c r="B29" s="75" t="s">
        <v>81</v>
      </c>
      <c r="C29" s="173"/>
      <c r="D29" s="59" t="s">
        <v>113</v>
      </c>
      <c r="E29" s="89"/>
      <c r="F29" s="75">
        <f>VLOOKUP(D29,廠價表!$C$1:$E$43,3,0)</f>
        <v>57.21</v>
      </c>
      <c r="G29" s="90">
        <v>1530</v>
      </c>
      <c r="H29" s="91">
        <f t="shared" ref="H29:H32" si="23">F29*G29</f>
        <v>87531.3</v>
      </c>
      <c r="I29" s="92"/>
      <c r="J29" s="79">
        <v>17</v>
      </c>
      <c r="K29" s="80">
        <v>1716</v>
      </c>
      <c r="L29" s="93">
        <f t="shared" ref="L29:L32" si="24">K29/J29</f>
        <v>100.94117647058823</v>
      </c>
      <c r="M29" s="94">
        <v>17</v>
      </c>
      <c r="N29" s="95">
        <f t="shared" ref="N29:N32" si="25">G29/W29*60</f>
        <v>1390.9090909091026</v>
      </c>
      <c r="O29" s="96">
        <f t="shared" ref="O29:O32" si="26">N29/M29</f>
        <v>81.818181818182509</v>
      </c>
      <c r="P29" s="97">
        <f t="shared" ref="P29:P32" si="27">M29-J29</f>
        <v>0</v>
      </c>
      <c r="Q29" s="98">
        <f t="shared" ref="Q29:Q32" si="28">O29-L29</f>
        <v>-19.122994652405723</v>
      </c>
      <c r="R29" s="99">
        <f t="shared" ref="R29:R32" si="29">O29/L29</f>
        <v>0.81055308328036291</v>
      </c>
      <c r="S29" s="444"/>
      <c r="T29" s="19">
        <v>0.43055555555555602</v>
      </c>
      <c r="U29" s="19">
        <v>0.47638888888888897</v>
      </c>
      <c r="V29" s="92">
        <f>(T29-U28)*24*60</f>
        <v>12.000000000000997</v>
      </c>
      <c r="W29" s="149">
        <f t="shared" si="12"/>
        <v>65.999999999999446</v>
      </c>
      <c r="X29" s="22">
        <v>0.48611111111111099</v>
      </c>
      <c r="Y29" s="84">
        <v>0.52777777777777801</v>
      </c>
      <c r="Z29" s="90"/>
      <c r="AA29" s="90"/>
      <c r="AB29" s="409"/>
      <c r="AC29" s="409"/>
      <c r="AD29" s="92"/>
      <c r="AE29" s="92"/>
      <c r="AF29" s="312">
        <f t="shared" si="21"/>
        <v>-325.09090909089741</v>
      </c>
      <c r="AG29" s="99">
        <f t="shared" si="22"/>
        <v>0.8105530832803628</v>
      </c>
      <c r="AH29" s="404"/>
    </row>
    <row r="30" spans="1:34" ht="15" customHeight="1">
      <c r="A30" s="441"/>
      <c r="B30" s="75" t="s">
        <v>81</v>
      </c>
      <c r="C30" s="88"/>
      <c r="D30" s="59" t="s">
        <v>213</v>
      </c>
      <c r="E30" s="89"/>
      <c r="F30" s="75">
        <f>VLOOKUP(D30,廠價表!$C$1:$E$43,3,0)</f>
        <v>50.289000000000001</v>
      </c>
      <c r="G30" s="90">
        <v>2046</v>
      </c>
      <c r="H30" s="91">
        <f t="shared" si="23"/>
        <v>102891.29400000001</v>
      </c>
      <c r="I30" s="92"/>
      <c r="J30" s="79">
        <v>19</v>
      </c>
      <c r="K30" s="80">
        <f>VLOOKUP(D30,產線配置圖!$A$3:$C$38,3,0)</f>
        <v>1565</v>
      </c>
      <c r="L30" s="93">
        <f t="shared" si="24"/>
        <v>82.368421052631575</v>
      </c>
      <c r="M30" s="94">
        <v>17</v>
      </c>
      <c r="N30" s="95">
        <f t="shared" si="25"/>
        <v>1349.0109890109773</v>
      </c>
      <c r="O30" s="96">
        <f t="shared" si="26"/>
        <v>79.353587588881012</v>
      </c>
      <c r="P30" s="97">
        <f t="shared" si="27"/>
        <v>-2</v>
      </c>
      <c r="Q30" s="98">
        <f t="shared" si="28"/>
        <v>-3.0148334637505627</v>
      </c>
      <c r="R30" s="99">
        <f t="shared" si="29"/>
        <v>0.96339818798002508</v>
      </c>
      <c r="S30" s="444"/>
      <c r="T30" s="19">
        <v>0.53333333333333299</v>
      </c>
      <c r="U30" s="19">
        <v>0.59652777777777799</v>
      </c>
      <c r="V30" s="92">
        <f>(T30-U29)*24*60</f>
        <v>81.999999999999389</v>
      </c>
      <c r="W30" s="149">
        <f t="shared" si="12"/>
        <v>91.000000000000796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1"/>
        <v>-215.98901098902274</v>
      </c>
      <c r="AG30" s="99">
        <f t="shared" si="22"/>
        <v>0.86198785240318032</v>
      </c>
      <c r="AH30" s="439"/>
    </row>
    <row r="31" spans="1:34" ht="15" customHeight="1">
      <c r="A31" s="441"/>
      <c r="B31" s="75" t="s">
        <v>118</v>
      </c>
      <c r="C31" s="88"/>
      <c r="D31" s="175" t="s">
        <v>124</v>
      </c>
      <c r="E31" s="176"/>
      <c r="F31" s="75">
        <f>VLOOKUP(D31,廠價表!$C$1:$E$43,3,0)</f>
        <v>44.3</v>
      </c>
      <c r="G31" s="90">
        <v>1262</v>
      </c>
      <c r="H31" s="91">
        <f t="shared" si="23"/>
        <v>55906.6</v>
      </c>
      <c r="I31" s="92"/>
      <c r="J31" s="79">
        <v>17</v>
      </c>
      <c r="K31" s="80">
        <f>VLOOKUP(D31,產線配置圖!$A$3:$C$38,3,0)</f>
        <v>1565</v>
      </c>
      <c r="L31" s="93">
        <f t="shared" si="24"/>
        <v>92.058823529411768</v>
      </c>
      <c r="M31" s="94">
        <v>16</v>
      </c>
      <c r="N31" s="95">
        <f t="shared" si="25"/>
        <v>1221.2903225806308</v>
      </c>
      <c r="O31" s="96">
        <f t="shared" si="26"/>
        <v>76.330645161289425</v>
      </c>
      <c r="P31" s="97">
        <f t="shared" si="27"/>
        <v>-1</v>
      </c>
      <c r="Q31" s="98">
        <f t="shared" si="28"/>
        <v>-15.728178368122343</v>
      </c>
      <c r="R31" s="99">
        <f t="shared" si="29"/>
        <v>0.82915077810985316</v>
      </c>
      <c r="S31" s="444"/>
      <c r="T31" s="19">
        <v>0.60347222222222197</v>
      </c>
      <c r="U31" s="19">
        <v>0.64652777777777803</v>
      </c>
      <c r="V31" s="92">
        <f t="shared" ref="V31:V32" si="30">(T31-U30)*24*60</f>
        <v>9.999999999999325</v>
      </c>
      <c r="W31" s="149">
        <f t="shared" si="12"/>
        <v>62.000000000000739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1"/>
        <v>-343.7096774193692</v>
      </c>
      <c r="AG31" s="99">
        <f t="shared" si="22"/>
        <v>0.78037720292692059</v>
      </c>
      <c r="AH31" s="406"/>
    </row>
    <row r="32" spans="1:34" ht="15" customHeight="1">
      <c r="A32" s="441"/>
      <c r="B32" s="75" t="s">
        <v>81</v>
      </c>
      <c r="C32" s="102"/>
      <c r="D32" s="59" t="s">
        <v>120</v>
      </c>
      <c r="E32" s="178"/>
      <c r="F32" s="75">
        <f>VLOOKUP(D32,廠價表!$C$1:$E$43,3,0)</f>
        <v>50.67</v>
      </c>
      <c r="G32" s="90">
        <v>995</v>
      </c>
      <c r="H32" s="91">
        <f t="shared" si="23"/>
        <v>50416.65</v>
      </c>
      <c r="I32" s="92"/>
      <c r="J32" s="79">
        <f>VLOOKUP(D32,產線配置圖!$A$3:$C$38,2,0)</f>
        <v>13</v>
      </c>
      <c r="K32" s="80">
        <f>VLOOKUP(D32,產線配置圖!$A$3:$C$38,3,0)</f>
        <v>1440</v>
      </c>
      <c r="L32" s="93">
        <f t="shared" si="24"/>
        <v>110.76923076923077</v>
      </c>
      <c r="M32" s="94">
        <v>13</v>
      </c>
      <c r="N32" s="95">
        <f t="shared" si="25"/>
        <v>1170.5882352941073</v>
      </c>
      <c r="O32" s="96">
        <f t="shared" si="26"/>
        <v>90.045248868777492</v>
      </c>
      <c r="P32" s="97">
        <f t="shared" si="27"/>
        <v>0</v>
      </c>
      <c r="Q32" s="98">
        <f t="shared" si="28"/>
        <v>-20.723981900453282</v>
      </c>
      <c r="R32" s="99">
        <f t="shared" si="29"/>
        <v>0.81290849673201904</v>
      </c>
      <c r="S32" s="444"/>
      <c r="T32" s="19">
        <v>0.65138888888888902</v>
      </c>
      <c r="U32" s="19">
        <v>0.686805555555556</v>
      </c>
      <c r="V32" s="92">
        <f t="shared" si="30"/>
        <v>6.9999999999998153</v>
      </c>
      <c r="W32" s="149">
        <f t="shared" si="12"/>
        <v>51.000000000000455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 t="s">
        <v>235</v>
      </c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31">AVERAGE(J27:J36)</f>
        <v>16.333333333333332</v>
      </c>
      <c r="K37" s="155">
        <f t="shared" si="31"/>
        <v>1548.5</v>
      </c>
      <c r="L37" s="158">
        <f t="shared" si="31"/>
        <v>96.545883940620783</v>
      </c>
      <c r="M37" s="155">
        <f t="shared" si="31"/>
        <v>15.666666666666666</v>
      </c>
      <c r="N37" s="155">
        <f t="shared" si="31"/>
        <v>1288.809977047438</v>
      </c>
      <c r="O37" s="158">
        <f t="shared" si="31"/>
        <v>82.905946697048492</v>
      </c>
      <c r="P37" s="159">
        <f>M37-J37</f>
        <v>-0.66666666666666607</v>
      </c>
      <c r="Q37" s="160">
        <f>N37-K37</f>
        <v>-259.690022952562</v>
      </c>
      <c r="R37" s="161">
        <f>O37/L37</f>
        <v>0.85872067573630229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-259.690022952562</v>
      </c>
      <c r="AG37" s="124">
        <f>N37/K37</f>
        <v>0.8322957552776481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3276</v>
      </c>
      <c r="H38" s="134">
        <f>F38*G38</f>
        <v>163505.15999999997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1572.4799999999914</v>
      </c>
      <c r="O38" s="141">
        <f>N38/M38</f>
        <v>104.83199999999943</v>
      </c>
      <c r="P38" s="142">
        <f>M38-J38</f>
        <v>0</v>
      </c>
      <c r="Q38" s="143">
        <f>O38-L38</f>
        <v>-9.4346666666672405</v>
      </c>
      <c r="R38" s="144">
        <f>O38/L38</f>
        <v>0.91743290548424239</v>
      </c>
      <c r="S38" s="433">
        <f>R48</f>
        <v>0.90611067508587873</v>
      </c>
      <c r="T38" s="191">
        <v>0.33333333333333298</v>
      </c>
      <c r="U38" s="191">
        <v>0.42013888888888901</v>
      </c>
      <c r="V38" s="192"/>
      <c r="W38" s="193">
        <f t="shared" si="12"/>
        <v>125.00000000000068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-141.52000000000862</v>
      </c>
      <c r="AG38" s="195">
        <f>N38/K38</f>
        <v>0.91743290548424239</v>
      </c>
      <c r="AH38" s="436">
        <f>AG48</f>
        <v>0.90584359136852677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2167</v>
      </c>
      <c r="H39" s="91">
        <f>F39*G39</f>
        <v>95998.099999999991</v>
      </c>
      <c r="I39" s="200"/>
      <c r="J39" s="148">
        <v>16</v>
      </c>
      <c r="K39" s="95">
        <f>VLOOKUP(D39,產線配置圖!$A$3:$C$38,3,0)</f>
        <v>1565</v>
      </c>
      <c r="L39" s="96">
        <f>K39/J39</f>
        <v>97.8125</v>
      </c>
      <c r="M39" s="201">
        <v>16</v>
      </c>
      <c r="N39" s="202">
        <f>G39/W39*60</f>
        <v>1313.3333333333328</v>
      </c>
      <c r="O39" s="203">
        <f>N39/M39</f>
        <v>82.0833333333333</v>
      </c>
      <c r="P39" s="97">
        <f>M39-J39</f>
        <v>0</v>
      </c>
      <c r="Q39" s="98">
        <f>O39-L39</f>
        <v>-15.7291666666667</v>
      </c>
      <c r="R39" s="99">
        <f>O39/L39</f>
        <v>0.83919062832800817</v>
      </c>
      <c r="S39" s="434"/>
      <c r="T39" s="20">
        <v>0.42569444444444399</v>
      </c>
      <c r="U39" s="20">
        <v>0.49444444444444402</v>
      </c>
      <c r="V39" s="92">
        <f>(T39-U38)*24*60</f>
        <v>7.9999999999991722</v>
      </c>
      <c r="W39" s="205">
        <f t="shared" si="12"/>
        <v>99.000000000000043</v>
      </c>
      <c r="X39" s="22">
        <v>0.5</v>
      </c>
      <c r="Y39" s="84">
        <v>0.54166666666666696</v>
      </c>
      <c r="Z39" s="90"/>
      <c r="AA39" s="90"/>
      <c r="AB39" s="408"/>
      <c r="AC39" s="408"/>
      <c r="AD39" s="200"/>
      <c r="AE39" s="200"/>
      <c r="AF39" s="314">
        <f>N39-K39</f>
        <v>-251.6666666666672</v>
      </c>
      <c r="AG39" s="206">
        <f>N39/K39</f>
        <v>0.83919062832800817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2153</v>
      </c>
      <c r="H40" s="91">
        <f>F40*G40</f>
        <v>95377.9</v>
      </c>
      <c r="I40" s="200"/>
      <c r="J40" s="148">
        <v>16</v>
      </c>
      <c r="K40" s="95">
        <f>VLOOKUP(D40,產線配置圖!$A$3:$C$38,3,0)</f>
        <v>1565</v>
      </c>
      <c r="L40" s="96">
        <f>K40/J40</f>
        <v>97.8125</v>
      </c>
      <c r="M40" s="201">
        <v>16</v>
      </c>
      <c r="N40" s="202">
        <f>G40/W40*60</f>
        <v>1502.0930232558194</v>
      </c>
      <c r="O40" s="203">
        <f>N40/M40</f>
        <v>93.880813953488712</v>
      </c>
      <c r="P40" s="97">
        <f>M40-J40</f>
        <v>0</v>
      </c>
      <c r="Q40" s="98">
        <f>O40-L40</f>
        <v>-3.9316860465112882</v>
      </c>
      <c r="R40" s="99">
        <f>O40/L40</f>
        <v>0.95980384872576319</v>
      </c>
      <c r="S40" s="416"/>
      <c r="T40" s="20">
        <v>0.55138888888888904</v>
      </c>
      <c r="U40" s="20">
        <v>0.61111111111111105</v>
      </c>
      <c r="V40" s="92">
        <f>(T40-U39)*24*60</f>
        <v>82.000000000000824</v>
      </c>
      <c r="W40" s="205">
        <f t="shared" si="12"/>
        <v>85.999999999999687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-62.906976744180611</v>
      </c>
      <c r="AG40" s="206">
        <f>N40/K40</f>
        <v>0.95980384872576319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2">AVERAGE(J38:J47)</f>
        <v>15.666666666666666</v>
      </c>
      <c r="K48" s="155">
        <f t="shared" si="32"/>
        <v>1614.6666666666667</v>
      </c>
      <c r="L48" s="158">
        <f t="shared" si="32"/>
        <v>103.29722222222222</v>
      </c>
      <c r="M48" s="155">
        <f t="shared" si="32"/>
        <v>15.666666666666666</v>
      </c>
      <c r="N48" s="155">
        <f t="shared" si="32"/>
        <v>1462.6354521963813</v>
      </c>
      <c r="O48" s="158">
        <f t="shared" si="32"/>
        <v>93.598715762273812</v>
      </c>
      <c r="P48" s="221">
        <f>M48-J48</f>
        <v>0</v>
      </c>
      <c r="Q48" s="222">
        <f>N48-K48</f>
        <v>-152.03121447028548</v>
      </c>
      <c r="R48" s="223">
        <f>O48/L48</f>
        <v>0.90611067508587873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33">N48-K48</f>
        <v>-152.03121447028548</v>
      </c>
      <c r="AG48" s="162">
        <f t="shared" ref="AG48:AG53" si="34">N48/K48</f>
        <v>0.90584359136852677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2506</v>
      </c>
      <c r="H49" s="134">
        <f>F49*G49</f>
        <v>124097.12000000001</v>
      </c>
      <c r="I49" s="135"/>
      <c r="J49" s="136">
        <f>VLOOKUP(D49,產線配置圖!$A$3:$C$38,2,0)</f>
        <v>17</v>
      </c>
      <c r="K49" s="137">
        <f>VLOOKUP(D49,產線配置圖!$A$3:$C$38,3,0)</f>
        <v>1440</v>
      </c>
      <c r="L49" s="138">
        <f>K49/J49</f>
        <v>84.705882352941174</v>
      </c>
      <c r="M49" s="170">
        <v>17</v>
      </c>
      <c r="N49" s="140">
        <f>G49/W49*60</f>
        <v>1354.5945945946005</v>
      </c>
      <c r="O49" s="141">
        <f>N49/M49</f>
        <v>79.682034976152977</v>
      </c>
      <c r="P49" s="229">
        <f>M49-J49</f>
        <v>0</v>
      </c>
      <c r="Q49" s="230">
        <f>O49-L49</f>
        <v>-5.023847376788197</v>
      </c>
      <c r="R49" s="52">
        <f>O49/L49</f>
        <v>0.94069069069069489</v>
      </c>
      <c r="S49" s="415">
        <f>R58</f>
        <v>0.90809119924020887</v>
      </c>
      <c r="T49" s="191">
        <v>0.29305555555555601</v>
      </c>
      <c r="U49" s="191">
        <v>0.37013888888888902</v>
      </c>
      <c r="V49" s="55"/>
      <c r="W49" s="193">
        <f t="shared" si="12"/>
        <v>110.99999999999953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33"/>
        <v>-85.405405405399506</v>
      </c>
      <c r="AG49" s="52">
        <f t="shared" si="34"/>
        <v>0.94069069069069478</v>
      </c>
      <c r="AH49" s="403">
        <f>AG58</f>
        <v>0.89493216648320417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4491</v>
      </c>
      <c r="H50" s="231">
        <f>F50*G50</f>
        <v>224415.27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1613.5329341317397</v>
      </c>
      <c r="O50" s="235">
        <f>N50/M50</f>
        <v>100.84580838323373</v>
      </c>
      <c r="P50" s="74">
        <f>M50-J50</f>
        <v>0</v>
      </c>
      <c r="Q50" s="83">
        <f>O50-L50</f>
        <v>-11.654191616766269</v>
      </c>
      <c r="R50" s="72">
        <f>O50/L50</f>
        <v>0.89640718562874433</v>
      </c>
      <c r="S50" s="416"/>
      <c r="T50" s="21">
        <v>0.374305555555556</v>
      </c>
      <c r="U50" s="21">
        <v>0.49027777777777798</v>
      </c>
      <c r="V50" s="30">
        <f>(T50-U49)*24*60</f>
        <v>6.0000000000004583</v>
      </c>
      <c r="W50" s="236">
        <f t="shared" si="12"/>
        <v>166.99999999999966</v>
      </c>
      <c r="X50" s="22">
        <v>0.49305555555555602</v>
      </c>
      <c r="Y50" s="84">
        <v>0.53472222222222199</v>
      </c>
      <c r="Z50" s="90"/>
      <c r="AA50" s="90"/>
      <c r="AB50" s="409"/>
      <c r="AC50" s="409"/>
      <c r="AD50" s="92"/>
      <c r="AE50" s="92"/>
      <c r="AF50" s="307">
        <f t="shared" si="33"/>
        <v>-186.46706586826031</v>
      </c>
      <c r="AG50" s="72">
        <f t="shared" si="34"/>
        <v>0.89640718562874433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1441</v>
      </c>
      <c r="H51" s="231">
        <f>F51*G51</f>
        <v>72006.77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1601.1111111111118</v>
      </c>
      <c r="O51" s="235">
        <f>N51/M51</f>
        <v>100.06944444444449</v>
      </c>
      <c r="P51" s="74">
        <f>M51-J51</f>
        <v>0</v>
      </c>
      <c r="Q51" s="83">
        <f>O51-L51</f>
        <v>-12.430555555555515</v>
      </c>
      <c r="R51" s="72">
        <f>O51/L51</f>
        <v>0.8895061728395065</v>
      </c>
      <c r="S51" s="416"/>
      <c r="T51" s="21">
        <v>0.53819444444444398</v>
      </c>
      <c r="U51" s="21">
        <v>0.57569444444444395</v>
      </c>
      <c r="V51" s="30">
        <f>(T51-U50)*24*60</f>
        <v>68.999999999999034</v>
      </c>
      <c r="W51" s="236">
        <f t="shared" si="12"/>
        <v>53.999999999999972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33"/>
        <v>-198.88888888888823</v>
      </c>
      <c r="AG51" s="72">
        <f t="shared" si="34"/>
        <v>0.8895061728395065</v>
      </c>
      <c r="AH51" s="405"/>
    </row>
    <row r="52" spans="1:34" ht="15" customHeight="1">
      <c r="A52" s="428"/>
      <c r="B52" s="101" t="s">
        <v>81</v>
      </c>
      <c r="C52" s="102"/>
      <c r="D52" s="103" t="s">
        <v>113</v>
      </c>
      <c r="E52" s="104"/>
      <c r="F52" s="75">
        <f>VLOOKUP(D52,廠價表!$C$1:$E$43,3,0)</f>
        <v>57.21</v>
      </c>
      <c r="G52" s="202">
        <v>1600</v>
      </c>
      <c r="H52" s="231">
        <f>F52*G52</f>
        <v>91536</v>
      </c>
      <c r="I52" s="232"/>
      <c r="J52" s="79">
        <v>17</v>
      </c>
      <c r="K52" s="80">
        <v>1716</v>
      </c>
      <c r="L52" s="81">
        <f>K52/J52</f>
        <v>100.94117647058823</v>
      </c>
      <c r="M52" s="108">
        <v>16</v>
      </c>
      <c r="N52" s="234">
        <f>G52/W52*60</f>
        <v>1476.9230769230751</v>
      </c>
      <c r="O52" s="235">
        <f>N52/M52</f>
        <v>92.307692307692193</v>
      </c>
      <c r="P52" s="74">
        <f>M52-J52</f>
        <v>-1</v>
      </c>
      <c r="Q52" s="83">
        <f>O52-L52</f>
        <v>-8.633484162896039</v>
      </c>
      <c r="R52" s="72">
        <f>O52/L52</f>
        <v>0.91447014523937487</v>
      </c>
      <c r="S52" s="416"/>
      <c r="T52" s="21">
        <v>0.58125000000000004</v>
      </c>
      <c r="U52" s="21">
        <v>0.62638888888888899</v>
      </c>
      <c r="V52" s="30">
        <f>(T52-U51)*24*60</f>
        <v>8.0000000000007709</v>
      </c>
      <c r="W52" s="236">
        <f t="shared" si="12"/>
        <v>65.000000000000085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33"/>
        <v>-239.07692307692491</v>
      </c>
      <c r="AG52" s="72">
        <f t="shared" si="34"/>
        <v>0.86067778375470572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33"/>
        <v>0</v>
      </c>
      <c r="AG53" s="72" t="e">
        <f t="shared" si="34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1689</v>
      </c>
      <c r="L58" s="117">
        <f t="shared" si="35"/>
        <v>102.66176470588235</v>
      </c>
      <c r="M58" s="120">
        <f t="shared" si="35"/>
        <v>16.25</v>
      </c>
      <c r="N58" s="120">
        <f t="shared" si="35"/>
        <v>1511.5404291901318</v>
      </c>
      <c r="O58" s="117">
        <f t="shared" si="35"/>
        <v>93.22624502788085</v>
      </c>
      <c r="P58" s="121">
        <f>M58-J58</f>
        <v>-0.25</v>
      </c>
      <c r="Q58" s="122">
        <f>N58-K58</f>
        <v>-177.45957080986818</v>
      </c>
      <c r="R58" s="123">
        <f>O58/L58</f>
        <v>0.90809119924020887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-177.45957080986818</v>
      </c>
      <c r="AG58" s="124">
        <f>N58/K58</f>
        <v>0.89493216648320417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2613</v>
      </c>
      <c r="H59" s="243">
        <f>F59*G59</f>
        <v>70524.87</v>
      </c>
      <c r="I59" s="55"/>
      <c r="J59" s="136">
        <v>15</v>
      </c>
      <c r="K59" s="137">
        <f>VLOOKUP(D59,產線配置圖!$A$3:$C$38,3,0)</f>
        <v>1565</v>
      </c>
      <c r="L59" s="138">
        <f>K59/J59</f>
        <v>104.33333333333333</v>
      </c>
      <c r="M59" s="244">
        <v>15</v>
      </c>
      <c r="N59" s="137">
        <f>G59/W59*60</f>
        <v>1493.1428571428714</v>
      </c>
      <c r="O59" s="138">
        <f>N59/M59</f>
        <v>99.542857142858097</v>
      </c>
      <c r="P59" s="56">
        <f>M59-J59</f>
        <v>0</v>
      </c>
      <c r="Q59" s="230">
        <f>O59-L59</f>
        <v>-4.790476190475232</v>
      </c>
      <c r="R59" s="52">
        <f>O59/L59</f>
        <v>0.95408489274304886</v>
      </c>
      <c r="S59" s="415">
        <f>R69</f>
        <v>0.92822475478653022</v>
      </c>
      <c r="T59" s="245">
        <v>0.29166666666666702</v>
      </c>
      <c r="U59" s="245">
        <v>0.36458333333333298</v>
      </c>
      <c r="V59" s="55"/>
      <c r="W59" s="54">
        <f t="shared" si="12"/>
        <v>104.99999999999899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-71.857142857128565</v>
      </c>
      <c r="AG59" s="246">
        <f>N59/K59</f>
        <v>0.95408489274304886</v>
      </c>
      <c r="AH59" s="403">
        <f>AG69</f>
        <v>0.90287913835045841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1906</v>
      </c>
      <c r="H60" s="78">
        <f>F60*G60</f>
        <v>53863.560000000005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1361.4285714285802</v>
      </c>
      <c r="O60" s="81">
        <f>N60/M60</f>
        <v>123.76623376623456</v>
      </c>
      <c r="P60" s="74">
        <f>M60-J60</f>
        <v>-1</v>
      </c>
      <c r="Q60" s="83">
        <f>O60-L60</f>
        <v>-6.6504329004320937</v>
      </c>
      <c r="R60" s="72">
        <f>O60/L60</f>
        <v>0.94900626530020116</v>
      </c>
      <c r="S60" s="425"/>
      <c r="T60" s="22">
        <v>0.37013888888888902</v>
      </c>
      <c r="U60" s="22">
        <v>0.42847222222222198</v>
      </c>
      <c r="V60" s="30">
        <f>(T60-U59)*24*60</f>
        <v>8.000000000000691</v>
      </c>
      <c r="W60" s="248">
        <f t="shared" si="12"/>
        <v>83.99999999999946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-203.5714285714198</v>
      </c>
      <c r="AG60" s="249">
        <f>N60/K60</f>
        <v>0.86992240985851765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2320</v>
      </c>
      <c r="H61" s="254">
        <f>F61*G61</f>
        <v>65563.199999999997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1546.6666666666667</v>
      </c>
      <c r="O61" s="238">
        <f>N61/M61</f>
        <v>140.60606060606062</v>
      </c>
      <c r="P61" s="111">
        <f>M61-J61</f>
        <v>0</v>
      </c>
      <c r="Q61" s="255">
        <f>O61-L61</f>
        <v>-8.1212121212120962</v>
      </c>
      <c r="R61" s="85">
        <f>O61/L61</f>
        <v>0.94539527302363502</v>
      </c>
      <c r="S61" s="416"/>
      <c r="T61" s="22">
        <v>0.43402777777777801</v>
      </c>
      <c r="U61" s="22">
        <v>0.49652777777777801</v>
      </c>
      <c r="V61" s="30">
        <f>(T61-U60)*24*60</f>
        <v>8.000000000000691</v>
      </c>
      <c r="W61" s="256">
        <f t="shared" si="12"/>
        <v>90</v>
      </c>
      <c r="X61" s="22">
        <v>0.50694444444444398</v>
      </c>
      <c r="Y61" s="84">
        <v>0.54861111111111105</v>
      </c>
      <c r="Z61" s="90"/>
      <c r="AA61" s="90"/>
      <c r="AB61" s="409"/>
      <c r="AC61" s="409"/>
      <c r="AD61" s="92"/>
      <c r="AE61" s="92"/>
      <c r="AF61" s="317">
        <f>N61-K61</f>
        <v>-89.333333333333258</v>
      </c>
      <c r="AG61" s="247">
        <f>N61/K61</f>
        <v>0.94539527302363491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1412</v>
      </c>
      <c r="H62" s="254">
        <f t="shared" ref="H62:H63" si="36">F62*G62</f>
        <v>39903.120000000003</v>
      </c>
      <c r="I62" s="182"/>
      <c r="J62" s="106">
        <v>11</v>
      </c>
      <c r="K62" s="107">
        <f>VLOOKUP(D62,產線配置圖!$A$3:$C$38,3,0)</f>
        <v>1636</v>
      </c>
      <c r="L62" s="238">
        <f t="shared" ref="L62:L63" si="37">K62/J62</f>
        <v>148.72727272727272</v>
      </c>
      <c r="M62" s="108">
        <v>11</v>
      </c>
      <c r="N62" s="107">
        <f t="shared" ref="N62:N63" si="38">G62/W62*60</f>
        <v>1411.9999999999898</v>
      </c>
      <c r="O62" s="238">
        <f t="shared" ref="O62:O63" si="39">N62/M62</f>
        <v>128.36363636363544</v>
      </c>
      <c r="P62" s="111">
        <f t="shared" ref="P62:P63" si="40">M62-J62</f>
        <v>0</v>
      </c>
      <c r="Q62" s="255">
        <f t="shared" ref="Q62:Q63" si="41">O62-L62</f>
        <v>-20.363636363637283</v>
      </c>
      <c r="R62" s="85">
        <f t="shared" ref="R62:R63" si="42">O62/L62</f>
        <v>0.86308068459657084</v>
      </c>
      <c r="S62" s="416"/>
      <c r="T62" s="22">
        <v>0.54861111111111105</v>
      </c>
      <c r="U62" s="22">
        <v>0.59027777777777801</v>
      </c>
      <c r="V62" s="30">
        <f t="shared" ref="V62:V63" si="43">(T62-U61)*24*60</f>
        <v>74.999999999999574</v>
      </c>
      <c r="W62" s="248">
        <f t="shared" si="12"/>
        <v>60.000000000000426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-224.00000000001023</v>
      </c>
      <c r="AG62" s="247">
        <f>N62/K62</f>
        <v>0.86308068459657072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1495</v>
      </c>
      <c r="H63" s="254">
        <f t="shared" si="36"/>
        <v>40350.049999999996</v>
      </c>
      <c r="I63" s="182"/>
      <c r="J63" s="106">
        <v>15</v>
      </c>
      <c r="K63" s="107">
        <f>VLOOKUP(D63,產線配置圖!$A$3:$C$38,3,0)</f>
        <v>1565</v>
      </c>
      <c r="L63" s="238">
        <f t="shared" si="37"/>
        <v>104.33333333333333</v>
      </c>
      <c r="M63" s="68">
        <v>14</v>
      </c>
      <c r="N63" s="107">
        <f t="shared" si="38"/>
        <v>1379.9999999999948</v>
      </c>
      <c r="O63" s="238">
        <f t="shared" si="39"/>
        <v>98.5714285714282</v>
      </c>
      <c r="P63" s="111">
        <f t="shared" si="40"/>
        <v>-1</v>
      </c>
      <c r="Q63" s="255">
        <f t="shared" si="41"/>
        <v>-5.7619047619051287</v>
      </c>
      <c r="R63" s="85">
        <f t="shared" si="42"/>
        <v>0.94477407576448758</v>
      </c>
      <c r="S63" s="416"/>
      <c r="T63" s="22">
        <v>0.59722222222222199</v>
      </c>
      <c r="U63" s="22">
        <v>0.64236111111111105</v>
      </c>
      <c r="V63" s="30">
        <f t="shared" si="43"/>
        <v>9.999999999999325</v>
      </c>
      <c r="W63" s="248">
        <f t="shared" si="12"/>
        <v>65.000000000000256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44">AVERAGE(J59:J68)</f>
        <v>12.8</v>
      </c>
      <c r="K69" s="240">
        <f t="shared" si="44"/>
        <v>1593.4</v>
      </c>
      <c r="L69" s="268">
        <f t="shared" si="44"/>
        <v>127.30757575757578</v>
      </c>
      <c r="M69" s="240">
        <f t="shared" si="44"/>
        <v>12.4</v>
      </c>
      <c r="N69" s="240">
        <f t="shared" si="44"/>
        <v>1438.6476190476205</v>
      </c>
      <c r="O69" s="268">
        <f t="shared" si="44"/>
        <v>118.1700432900434</v>
      </c>
      <c r="P69" s="269">
        <f>M69-J69</f>
        <v>-0.40000000000000036</v>
      </c>
      <c r="Q69" s="222">
        <f>N69-K69</f>
        <v>-154.75238095237955</v>
      </c>
      <c r="R69" s="123">
        <f>O69/L69</f>
        <v>0.92822475478653022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-154.75238095237955</v>
      </c>
      <c r="AG69" s="124">
        <f>N69/K69</f>
        <v>0.90287913835045841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9" t="s">
        <v>236</v>
      </c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33D7FC-578B-4AEF-BD50-B1F9FA32071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CE14-DA20-4368-A9DE-A4D5371E3C91}">
  <dimension ref="B1:O26"/>
  <sheetViews>
    <sheetView topLeftCell="A6" zoomScale="70" zoomScaleNormal="70" workbookViewId="0">
      <selection activeCell="L85" sqref="L8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46140</v>
      </c>
      <c r="E3" s="399"/>
      <c r="F3" s="3" t="s">
        <v>72</v>
      </c>
      <c r="G3" s="400">
        <f>'0428'!E1</f>
        <v>59335</v>
      </c>
      <c r="H3" s="400"/>
      <c r="I3" s="3" t="s">
        <v>2</v>
      </c>
      <c r="J3" s="401">
        <f>'0428'!G1</f>
        <v>2807116.8469999996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122.31618593251721</v>
      </c>
      <c r="G6" s="397"/>
      <c r="H6" s="382">
        <f>AVERAGE(D13:H13)</f>
        <v>121.31790796750549</v>
      </c>
      <c r="I6" s="382"/>
      <c r="J6" s="382">
        <f>AVERAGE(I13)</f>
        <v>127.30757575757578</v>
      </c>
      <c r="K6" s="382"/>
      <c r="L6" s="383">
        <f>SUM(D18:J18)</f>
        <v>0</v>
      </c>
      <c r="M6" s="385">
        <f>SUM(D19:J19)</f>
        <v>0</v>
      </c>
      <c r="N6" s="386">
        <f>SUM(D20:J20)</f>
        <v>1</v>
      </c>
      <c r="O6" s="385">
        <f>SUM(D20:J20)</f>
        <v>1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111.08429358170065</v>
      </c>
      <c r="G7" s="389"/>
      <c r="H7" s="390">
        <f>AVERAGE(D14:H14)</f>
        <v>110.17260474328535</v>
      </c>
      <c r="I7" s="390"/>
      <c r="J7" s="390">
        <f>AVERAGE(I14)</f>
        <v>115.64273777377723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0.90817329476727404</v>
      </c>
      <c r="G8" s="374"/>
      <c r="H8" s="374">
        <f>H7/H6</f>
        <v>0.90813142584683071</v>
      </c>
      <c r="I8" s="374"/>
      <c r="J8" s="374">
        <f>J7/J6</f>
        <v>0.90837278995861803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VALUE('0428'!L15)</f>
        <v>150</v>
      </c>
      <c r="E13" s="13">
        <f>VALUE('0428'!L26)</f>
        <v>161.76923076923077</v>
      </c>
      <c r="F13" s="13">
        <f>VALUE('0428'!L37)</f>
        <v>94.111812336270532</v>
      </c>
      <c r="G13" s="13">
        <f>VALUE('0428'!L48)</f>
        <v>99.461437908496734</v>
      </c>
      <c r="H13" s="13">
        <f>VALUE('0428'!L58)</f>
        <v>101.24705882352941</v>
      </c>
      <c r="I13" s="13">
        <f>VALUE('0428'!L69)</f>
        <v>127.30757575757578</v>
      </c>
      <c r="J13" s="13">
        <f>'0428'!L79</f>
        <v>0</v>
      </c>
    </row>
    <row r="14" spans="2:15" ht="39.950000000000003" customHeight="1">
      <c r="B14" s="368"/>
      <c r="C14" s="12" t="s">
        <v>100</v>
      </c>
      <c r="D14" s="13">
        <f>VALUE('0428'!O15)</f>
        <v>142.99633699633804</v>
      </c>
      <c r="E14" s="13">
        <f>VALUE('0428'!O26)</f>
        <v>149.05163424090682</v>
      </c>
      <c r="F14" s="13">
        <f>VALUE('0428'!O37)</f>
        <v>77.665195788755113</v>
      </c>
      <c r="G14" s="13">
        <f>VALUE('0428'!O48)</f>
        <v>91.310457516339554</v>
      </c>
      <c r="H14" s="13">
        <f>VALUE('0428'!O58)</f>
        <v>89.839399174087148</v>
      </c>
      <c r="I14" s="13">
        <f>VALUE('0428'!O69)</f>
        <v>115.64273777377723</v>
      </c>
      <c r="J14" s="13">
        <f>'0428'!O79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0.95330891330892031</v>
      </c>
      <c r="E15" s="14">
        <f t="shared" si="1"/>
        <v>0.92138432959191086</v>
      </c>
      <c r="F15" s="14">
        <f t="shared" si="1"/>
        <v>0.8252438653635733</v>
      </c>
      <c r="G15" s="14">
        <f t="shared" si="1"/>
        <v>0.91804883818735883</v>
      </c>
      <c r="H15" s="14">
        <f t="shared" si="1"/>
        <v>0.88732848359254091</v>
      </c>
      <c r="I15" s="14">
        <f t="shared" si="1"/>
        <v>0.90837278995861803</v>
      </c>
      <c r="J15" s="15">
        <f>'0428'!S70</f>
        <v>0</v>
      </c>
    </row>
    <row r="16" spans="2:15" ht="17.25" customHeight="1">
      <c r="B16" s="370" t="s">
        <v>101</v>
      </c>
      <c r="C16" s="10" t="s">
        <v>34</v>
      </c>
      <c r="D16" s="16">
        <f>'0428'!T5</f>
        <v>0.29166666666666702</v>
      </c>
      <c r="E16" s="16">
        <f>'0428'!T16</f>
        <v>0.29097222222222202</v>
      </c>
      <c r="F16" s="16">
        <f>'0428'!T27</f>
        <v>0.297222222222222</v>
      </c>
      <c r="G16" s="16">
        <f>'0428'!T38</f>
        <v>0.33333333333333298</v>
      </c>
      <c r="H16" s="16">
        <f>'0428'!T49</f>
        <v>0.29236111111111102</v>
      </c>
      <c r="I16" s="16">
        <f>'0428'!T59</f>
        <v>0.29166666666666702</v>
      </c>
      <c r="J16" s="16">
        <f>'0428'!T70</f>
        <v>0</v>
      </c>
    </row>
    <row r="17" spans="2:10" ht="17.25" customHeight="1">
      <c r="B17" s="371"/>
      <c r="C17" s="10" t="s">
        <v>35</v>
      </c>
      <c r="D17" s="16">
        <v>0.63333333333333297</v>
      </c>
      <c r="E17" s="19">
        <v>0.65</v>
      </c>
      <c r="F17" s="19">
        <v>0.6</v>
      </c>
      <c r="G17" s="20">
        <v>0.625</v>
      </c>
      <c r="H17" s="21">
        <v>0.66388888888888897</v>
      </c>
      <c r="I17" s="22">
        <v>0.68611111111111101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'0428'!Z15</f>
        <v>0</v>
      </c>
      <c r="E18" s="359">
        <f>'0428'!Z26</f>
        <v>0</v>
      </c>
      <c r="F18" s="359">
        <f>'0428'!Z37</f>
        <v>0</v>
      </c>
      <c r="G18" s="360">
        <f>'0428'!Z48</f>
        <v>0</v>
      </c>
      <c r="H18" s="360">
        <f>'0428'!Z58</f>
        <v>0</v>
      </c>
      <c r="I18" s="359">
        <f>'0428'!Z69</f>
        <v>0</v>
      </c>
      <c r="J18" s="359">
        <f>'0428'!AA79</f>
        <v>0</v>
      </c>
    </row>
    <row r="19" spans="2:10" ht="17.25" customHeight="1">
      <c r="B19" s="373"/>
      <c r="C19" s="330" t="s">
        <v>37</v>
      </c>
      <c r="D19" s="358">
        <f>'0428'!AA15</f>
        <v>0</v>
      </c>
      <c r="E19" s="359">
        <f>'0428'!AA26</f>
        <v>0</v>
      </c>
      <c r="F19" s="359">
        <f>'0428'!AA37</f>
        <v>0</v>
      </c>
      <c r="G19" s="360">
        <f>'0428'!AA48</f>
        <v>0</v>
      </c>
      <c r="H19" s="360">
        <f>'0428'!AA58</f>
        <v>0</v>
      </c>
      <c r="I19" s="359">
        <f>'0428'!AA69</f>
        <v>0</v>
      </c>
      <c r="J19" s="359">
        <f>'0428'!AB79</f>
        <v>0</v>
      </c>
    </row>
    <row r="20" spans="2:10" ht="17.25" customHeight="1">
      <c r="B20" s="372" t="s">
        <v>103</v>
      </c>
      <c r="C20" s="330" t="s">
        <v>36</v>
      </c>
      <c r="D20" s="358">
        <f>'0428'!AD15</f>
        <v>0</v>
      </c>
      <c r="E20" s="359">
        <f>'0428'!AD26</f>
        <v>0</v>
      </c>
      <c r="F20" s="359">
        <f>'0428'!AD37</f>
        <v>0</v>
      </c>
      <c r="G20" s="360">
        <f>'0428'!AD48</f>
        <v>0</v>
      </c>
      <c r="H20" s="360">
        <f>'0428'!AD58</f>
        <v>1</v>
      </c>
      <c r="I20" s="359">
        <f>'0428'!AD69</f>
        <v>0</v>
      </c>
      <c r="J20" s="359">
        <f>'0428'!AD79</f>
        <v>0</v>
      </c>
    </row>
    <row r="21" spans="2:10" ht="17.25" customHeight="1">
      <c r="B21" s="373"/>
      <c r="C21" s="330" t="s">
        <v>85</v>
      </c>
      <c r="D21" s="358">
        <f>'0428'!AE15</f>
        <v>0</v>
      </c>
      <c r="E21" s="359">
        <f>'0428'!AE26</f>
        <v>0</v>
      </c>
      <c r="F21" s="359">
        <f>'0428'!AE37</f>
        <v>0</v>
      </c>
      <c r="G21" s="360">
        <f>'0428'!AE48</f>
        <v>0</v>
      </c>
      <c r="H21" s="360">
        <f>'0428'!AE58</f>
        <v>1</v>
      </c>
      <c r="I21" s="359">
        <f>'0428'!AE69</f>
        <v>0</v>
      </c>
      <c r="J21" s="359">
        <f>'0428'!AE79</f>
        <v>0</v>
      </c>
    </row>
    <row r="22" spans="2:10" ht="17.25" customHeight="1">
      <c r="B22" s="364" t="s">
        <v>104</v>
      </c>
      <c r="C22" s="365"/>
      <c r="D22" s="23">
        <f>VALUE('0428'!M15)</f>
        <v>14.6</v>
      </c>
      <c r="E22" s="23">
        <f>VALUE('0428'!M26)</f>
        <v>12.8</v>
      </c>
      <c r="F22" s="23">
        <f>VALUE('0428'!M37)</f>
        <v>16.75</v>
      </c>
      <c r="G22" s="23">
        <f>VALUE('0428'!M48)</f>
        <v>16.333333333333332</v>
      </c>
      <c r="H22" s="23">
        <f>VALUE('0428'!M58)</f>
        <v>16.399999999999999</v>
      </c>
      <c r="I22" s="23">
        <f>VALUE('0428'!M69)</f>
        <v>12.8</v>
      </c>
      <c r="J22" s="23">
        <f>'0428'!M79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90BE-A1B8-406D-809B-6E6F21FD25FE}">
  <sheetPr>
    <tabColor theme="9" tint="0.79998168889431442"/>
  </sheetPr>
  <dimension ref="A1:AJ92"/>
  <sheetViews>
    <sheetView zoomScale="70" zoomScaleNormal="70" workbookViewId="0">
      <pane xSplit="5" ySplit="4" topLeftCell="F33" activePane="bottomRight" state="frozen"/>
      <selection activeCell="L85" sqref="L85"/>
      <selection pane="topRight" activeCell="L85" sqref="L85"/>
      <selection pane="bottomLeft" activeCell="L85" sqref="L85"/>
      <selection pane="bottomRight" activeCell="AB39" sqref="AB39:AC3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59335</v>
      </c>
      <c r="F1" s="30" t="s">
        <v>2</v>
      </c>
      <c r="G1" s="31">
        <f>SUM(H5:H79)</f>
        <v>2807116.8469999996</v>
      </c>
      <c r="H1" s="32" t="s">
        <v>3</v>
      </c>
      <c r="I1" s="33">
        <f>M15+M26+M48+M58+M69+M79+M37</f>
        <v>89.683333333333337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251</v>
      </c>
      <c r="B2" s="483"/>
      <c r="C2" s="28"/>
      <c r="D2" s="28" t="s">
        <v>14</v>
      </c>
      <c r="E2" s="35">
        <f>AVERAGE(O15,O26,O37,O48,O58,O69,O79)</f>
        <v>111.08429358170065</v>
      </c>
      <c r="F2" s="36" t="s">
        <v>15</v>
      </c>
      <c r="G2" s="37">
        <f>G1/E1</f>
        <v>47.309629173337818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0</v>
      </c>
      <c r="AA2" s="339">
        <f>AA15+AA26+AA37+AA48+AA58+AA69+AA79</f>
        <v>0</v>
      </c>
      <c r="AB2" s="477"/>
      <c r="AC2" s="477"/>
      <c r="AD2" s="340">
        <f>AD15+AD26+AD37+AD48+AD58+AD69+AD79</f>
        <v>1</v>
      </c>
      <c r="AE2" s="340">
        <f>AE15+AE26+AE37+AE48+AE58+AE69+AE79</f>
        <v>1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3720</v>
      </c>
      <c r="H5" s="43">
        <f>F5*G5</f>
        <v>211556.4</v>
      </c>
      <c r="I5" s="44"/>
      <c r="J5" s="45">
        <v>15</v>
      </c>
      <c r="K5" s="46">
        <v>2250</v>
      </c>
      <c r="L5" s="47">
        <f>K5/J5</f>
        <v>150</v>
      </c>
      <c r="M5" s="48">
        <v>15</v>
      </c>
      <c r="N5" s="46">
        <f>G5/W5*60</f>
        <v>2146.1538461538535</v>
      </c>
      <c r="O5" s="47">
        <f>N5/M5</f>
        <v>143.07692307692358</v>
      </c>
      <c r="P5" s="49">
        <f>M5-J5</f>
        <v>0</v>
      </c>
      <c r="Q5" s="50">
        <f>O5-L5</f>
        <v>-6.9230769230764224</v>
      </c>
      <c r="R5" s="51">
        <f>O5/L5</f>
        <v>0.95384615384615723</v>
      </c>
      <c r="S5" s="415">
        <f>R15</f>
        <v>0.95330891330892031</v>
      </c>
      <c r="T5" s="319">
        <v>0.29166666666666702</v>
      </c>
      <c r="U5" s="320">
        <v>0.36388888888888898</v>
      </c>
      <c r="V5" s="53"/>
      <c r="W5" s="54">
        <f t="shared" ref="W5:W14" si="0">(U5-T5)*24*60</f>
        <v>103.99999999999963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-103.84615384614654</v>
      </c>
      <c r="AG5" s="52">
        <f t="shared" ref="AG5:AG11" si="2">N5/K5</f>
        <v>0.95384615384615712</v>
      </c>
      <c r="AH5" s="403">
        <f>AG15</f>
        <v>0.92775462759463456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3721</v>
      </c>
      <c r="H6" s="63">
        <f>F6*G6</f>
        <v>182849.94</v>
      </c>
      <c r="I6" s="64"/>
      <c r="J6" s="65">
        <v>15</v>
      </c>
      <c r="K6" s="66">
        <v>2250</v>
      </c>
      <c r="L6" s="67">
        <f>K6/J6</f>
        <v>150</v>
      </c>
      <c r="M6" s="68">
        <v>15</v>
      </c>
      <c r="N6" s="66">
        <f>G6/W6*60</f>
        <v>2126.2857142857056</v>
      </c>
      <c r="O6" s="67">
        <f>N6/M6</f>
        <v>141.75238095238038</v>
      </c>
      <c r="P6" s="69">
        <f>M6-J6</f>
        <v>0</v>
      </c>
      <c r="Q6" s="70">
        <f>O6-L6</f>
        <v>-8.2476190476196223</v>
      </c>
      <c r="R6" s="71">
        <f>O6/L6</f>
        <v>0.9450158730158692</v>
      </c>
      <c r="S6" s="416"/>
      <c r="T6" s="16">
        <v>0.36944444444444402</v>
      </c>
      <c r="U6" s="16">
        <v>0.44236111111111098</v>
      </c>
      <c r="V6" s="30">
        <f>(T6-U5)*24*60</f>
        <v>7.9999999999992522</v>
      </c>
      <c r="W6" s="73">
        <f t="shared" si="0"/>
        <v>105.00000000000043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-123.71428571429442</v>
      </c>
      <c r="AG6" s="72">
        <f t="shared" si="2"/>
        <v>0.9450158730158692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1644</v>
      </c>
      <c r="H7" s="78">
        <f>F7*G7</f>
        <v>95631.48</v>
      </c>
      <c r="I7" s="73"/>
      <c r="J7" s="79">
        <v>15</v>
      </c>
      <c r="K7" s="80">
        <v>2250</v>
      </c>
      <c r="L7" s="81">
        <f>K7/J7</f>
        <v>150</v>
      </c>
      <c r="M7" s="82">
        <v>14</v>
      </c>
      <c r="N7" s="80">
        <f>G7/W7*60</f>
        <v>1972.8000000000134</v>
      </c>
      <c r="O7" s="81">
        <f>N7/M7</f>
        <v>140.91428571428668</v>
      </c>
      <c r="P7" s="74">
        <f>M7-J7</f>
        <v>-1</v>
      </c>
      <c r="Q7" s="83">
        <f>O7-L7</f>
        <v>-9.0857142857133226</v>
      </c>
      <c r="R7" s="72">
        <f>O7/L7</f>
        <v>0.93942857142857783</v>
      </c>
      <c r="S7" s="416"/>
      <c r="T7" s="18">
        <v>0.44791666666666702</v>
      </c>
      <c r="U7" s="18">
        <v>0.48263888888888901</v>
      </c>
      <c r="V7" s="30">
        <f>(T7-U6)*24*60</f>
        <v>8.000000000000691</v>
      </c>
      <c r="W7" s="73">
        <f t="shared" si="0"/>
        <v>49.999999999999659</v>
      </c>
      <c r="X7" s="22">
        <v>0.49305555555555558</v>
      </c>
      <c r="Y7" s="84">
        <v>0.53472222222222221</v>
      </c>
      <c r="Z7" s="90"/>
      <c r="AA7" s="90"/>
      <c r="AB7" s="409"/>
      <c r="AC7" s="409"/>
      <c r="AD7" s="92"/>
      <c r="AE7" s="92"/>
      <c r="AF7" s="307">
        <f t="shared" si="1"/>
        <v>-277.19999999998663</v>
      </c>
      <c r="AG7" s="72">
        <f t="shared" si="2"/>
        <v>0.87680000000000591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2052</v>
      </c>
      <c r="H8" s="78">
        <f t="shared" ref="H8:H9" si="3">F8*G8</f>
        <v>119364.84</v>
      </c>
      <c r="I8" s="73"/>
      <c r="J8" s="79">
        <v>15</v>
      </c>
      <c r="K8" s="80">
        <v>2250</v>
      </c>
      <c r="L8" s="81">
        <f t="shared" ref="L8:L9" si="4">K8/J8</f>
        <v>150</v>
      </c>
      <c r="M8" s="82">
        <v>14</v>
      </c>
      <c r="N8" s="80">
        <f t="shared" ref="N8:N9" si="5">G8/W8*60</f>
        <v>2052.0000000000291</v>
      </c>
      <c r="O8" s="81">
        <f t="shared" ref="O8:O9" si="6">N8/M8</f>
        <v>146.57142857143066</v>
      </c>
      <c r="P8" s="74">
        <f t="shared" ref="P8:P9" si="7">M8-J8</f>
        <v>-1</v>
      </c>
      <c r="Q8" s="83">
        <f t="shared" ref="Q8:Q9" si="8">O8-L8</f>
        <v>-3.4285714285693416</v>
      </c>
      <c r="R8" s="72">
        <f t="shared" ref="R8:R9" si="9">O8/L8</f>
        <v>0.97714285714287108</v>
      </c>
      <c r="S8" s="416"/>
      <c r="T8" s="16">
        <v>0.54166666666666696</v>
      </c>
      <c r="U8" s="16">
        <v>0.58333333333333304</v>
      </c>
      <c r="V8" s="30">
        <f t="shared" ref="V8:V9" si="10">(T8-U7)*24*60</f>
        <v>85.000000000000256</v>
      </c>
      <c r="W8" s="73">
        <f t="shared" si="0"/>
        <v>59.999999999999147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-197.9999999999709</v>
      </c>
      <c r="AG8" s="72">
        <f t="shared" si="2"/>
        <v>0.91200000000001291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2140</v>
      </c>
      <c r="H9" s="78">
        <f t="shared" si="3"/>
        <v>105159.6</v>
      </c>
      <c r="I9" s="73"/>
      <c r="J9" s="79">
        <v>15</v>
      </c>
      <c r="K9" s="80">
        <v>2250</v>
      </c>
      <c r="L9" s="81">
        <f t="shared" si="4"/>
        <v>150</v>
      </c>
      <c r="M9" s="82">
        <v>15</v>
      </c>
      <c r="N9" s="80">
        <f t="shared" si="5"/>
        <v>2140.0000000000359</v>
      </c>
      <c r="O9" s="81">
        <f t="shared" si="6"/>
        <v>142.66666666666907</v>
      </c>
      <c r="P9" s="74">
        <f t="shared" si="7"/>
        <v>0</v>
      </c>
      <c r="Q9" s="83">
        <f t="shared" si="8"/>
        <v>-7.333333333330927</v>
      </c>
      <c r="R9" s="72">
        <f t="shared" si="9"/>
        <v>0.95111111111112712</v>
      </c>
      <c r="S9" s="417"/>
      <c r="T9" s="16">
        <v>0.59166666666666701</v>
      </c>
      <c r="U9" s="16">
        <v>0.63333333333333297</v>
      </c>
      <c r="V9" s="30">
        <f t="shared" si="10"/>
        <v>12.000000000000917</v>
      </c>
      <c r="W9" s="73">
        <f t="shared" si="0"/>
        <v>59.999999999998991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-109.99999999996407</v>
      </c>
      <c r="AG9" s="72">
        <f t="shared" si="2"/>
        <v>0.95111111111112712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14.6</v>
      </c>
      <c r="N15" s="120">
        <f t="shared" si="11"/>
        <v>2087.4479120879278</v>
      </c>
      <c r="O15" s="117">
        <f t="shared" si="11"/>
        <v>142.99633699633804</v>
      </c>
      <c r="P15" s="121">
        <f>M15-J15</f>
        <v>-0.40000000000000036</v>
      </c>
      <c r="Q15" s="122">
        <f>O15-L15</f>
        <v>-7.0036630036619556</v>
      </c>
      <c r="R15" s="123">
        <f>O15/L15</f>
        <v>0.95330891330892031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-162.55208791207224</v>
      </c>
      <c r="AG15" s="124">
        <f>N15/K15</f>
        <v>0.92775462759463456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3781</v>
      </c>
      <c r="H16" s="134">
        <f>F16*G16</f>
        <v>191583.27000000002</v>
      </c>
      <c r="I16" s="135"/>
      <c r="J16" s="136">
        <v>13</v>
      </c>
      <c r="K16" s="137">
        <v>2250</v>
      </c>
      <c r="L16" s="138">
        <f>K16/J16</f>
        <v>173.07692307692307</v>
      </c>
      <c r="M16" s="139">
        <v>13</v>
      </c>
      <c r="N16" s="140">
        <f>G16/W16*60</f>
        <v>2120.1869158878389</v>
      </c>
      <c r="O16" s="141">
        <f>N16/M16</f>
        <v>163.09130122214145</v>
      </c>
      <c r="P16" s="142">
        <f>M16-J16</f>
        <v>0</v>
      </c>
      <c r="Q16" s="143">
        <f>O16-L16</f>
        <v>-9.9856218547816127</v>
      </c>
      <c r="R16" s="144">
        <f>O16/L16</f>
        <v>0.94230529595015067</v>
      </c>
      <c r="S16" s="443">
        <f>R26</f>
        <v>0.92138432959191086</v>
      </c>
      <c r="T16" s="145">
        <v>0.29097222222222202</v>
      </c>
      <c r="U16" s="145">
        <v>0.36527777777777798</v>
      </c>
      <c r="V16" s="135"/>
      <c r="W16" s="146">
        <f t="shared" ref="W16:W78" si="12">(U16-T16)*24*60</f>
        <v>107.00000000000058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-129.81308411216105</v>
      </c>
      <c r="AG16" s="52">
        <f>N16/K16</f>
        <v>0.94230529595015067</v>
      </c>
      <c r="AH16" s="403">
        <f>AG26</f>
        <v>0.91517477488450139</v>
      </c>
    </row>
    <row r="17" spans="1:34" ht="15" customHeight="1">
      <c r="A17" s="450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2445</v>
      </c>
      <c r="H17" s="78">
        <f>F17*G17</f>
        <v>123203.55</v>
      </c>
      <c r="I17" s="30"/>
      <c r="J17" s="79">
        <v>12</v>
      </c>
      <c r="K17" s="80">
        <v>2250</v>
      </c>
      <c r="L17" s="81">
        <f>K17/J17</f>
        <v>187.5</v>
      </c>
      <c r="M17" s="148">
        <v>12</v>
      </c>
      <c r="N17" s="95">
        <f>G17/W17*60</f>
        <v>2009.5890410959082</v>
      </c>
      <c r="O17" s="96">
        <f>N17/M17</f>
        <v>167.46575342465903</v>
      </c>
      <c r="P17" s="97">
        <f>M17-J17</f>
        <v>0</v>
      </c>
      <c r="Q17" s="98">
        <f>O17-L17</f>
        <v>-20.034246575340973</v>
      </c>
      <c r="R17" s="99">
        <f>O17/L17</f>
        <v>0.89315068493151484</v>
      </c>
      <c r="S17" s="444"/>
      <c r="T17" s="19">
        <v>0.37291666666666701</v>
      </c>
      <c r="U17" s="19">
        <v>0.42361111111111099</v>
      </c>
      <c r="V17" s="30">
        <f>(T17-U16)*24*60</f>
        <v>11.000000000000201</v>
      </c>
      <c r="W17" s="149">
        <f t="shared" si="12"/>
        <v>72.999999999999346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-240.41095890409179</v>
      </c>
      <c r="AG17" s="72">
        <f>N17/K17</f>
        <v>0.89315068493151473</v>
      </c>
      <c r="AH17" s="405"/>
    </row>
    <row r="18" spans="1:34" ht="15" customHeight="1">
      <c r="A18" s="450"/>
      <c r="B18" s="75" t="s">
        <v>81</v>
      </c>
      <c r="C18" s="76"/>
      <c r="D18" s="59" t="s">
        <v>182</v>
      </c>
      <c r="E18" s="77"/>
      <c r="F18" s="75">
        <f>VLOOKUP(D18,廠價表!$C$1:$E$43,3,0)</f>
        <v>56.61</v>
      </c>
      <c r="G18" s="147">
        <v>1905</v>
      </c>
      <c r="H18" s="78">
        <f>F18*G18</f>
        <v>107842.05</v>
      </c>
      <c r="I18" s="30"/>
      <c r="J18" s="79">
        <v>15</v>
      </c>
      <c r="K18" s="80">
        <v>2250</v>
      </c>
      <c r="L18" s="81">
        <f>K18/J18</f>
        <v>150</v>
      </c>
      <c r="M18" s="148">
        <v>15</v>
      </c>
      <c r="N18" s="95">
        <f>G18/W18*60</f>
        <v>2241.1764705882151</v>
      </c>
      <c r="O18" s="96">
        <f>N18/M18</f>
        <v>149.41176470588101</v>
      </c>
      <c r="P18" s="97">
        <f>M18-J18</f>
        <v>0</v>
      </c>
      <c r="Q18" s="98">
        <f>O18-L18</f>
        <v>-0.58823529411898789</v>
      </c>
      <c r="R18" s="99">
        <f>O18/L18</f>
        <v>0.99607843137254004</v>
      </c>
      <c r="S18" s="444"/>
      <c r="T18" s="19">
        <v>0.43194444444444402</v>
      </c>
      <c r="U18" s="19">
        <v>0.46736111111111101</v>
      </c>
      <c r="V18" s="30">
        <f>(T18-U17)*24*60</f>
        <v>11.999999999999558</v>
      </c>
      <c r="W18" s="149">
        <f t="shared" si="12"/>
        <v>51.000000000000455</v>
      </c>
      <c r="X18" s="22">
        <v>0.48125000000000001</v>
      </c>
      <c r="Y18" s="84">
        <v>0.5229166666666667</v>
      </c>
      <c r="Z18" s="90"/>
      <c r="AA18" s="90"/>
      <c r="AB18" s="409"/>
      <c r="AC18" s="409"/>
      <c r="AD18" s="92"/>
      <c r="AE18" s="92"/>
      <c r="AF18" s="307">
        <f>N18-K18</f>
        <v>-8.8235294117848753</v>
      </c>
      <c r="AG18" s="72">
        <f>N18/K18</f>
        <v>0.99607843137254004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2784</v>
      </c>
      <c r="H19" s="78">
        <f t="shared" ref="H19:H20" si="13">F19*G19</f>
        <v>140285.76000000001</v>
      </c>
      <c r="I19" s="30"/>
      <c r="J19" s="79">
        <v>12</v>
      </c>
      <c r="K19" s="80"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2062.2222222222217</v>
      </c>
      <c r="O19" s="96">
        <f t="shared" ref="O19:O20" si="16">N19/M19</f>
        <v>171.85185185185182</v>
      </c>
      <c r="P19" s="97">
        <f t="shared" ref="P19:P20" si="17">M19-J19</f>
        <v>0</v>
      </c>
      <c r="Q19" s="98">
        <f t="shared" ref="Q19:Q20" si="18">O19-L19</f>
        <v>-15.648148148148181</v>
      </c>
      <c r="R19" s="99">
        <f t="shared" ref="R19:R20" si="19">O19/L19</f>
        <v>0.91654320987654303</v>
      </c>
      <c r="S19" s="444"/>
      <c r="T19" s="19">
        <v>0.54374999999999996</v>
      </c>
      <c r="U19" s="19">
        <v>0.6</v>
      </c>
      <c r="V19" s="30">
        <f>(T19-U18)*24*60</f>
        <v>110.00000000000009</v>
      </c>
      <c r="W19" s="149">
        <f t="shared" si="12"/>
        <v>81.000000000000028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-187.77777777777828</v>
      </c>
      <c r="AG19" s="72">
        <f>N19/K19</f>
        <v>0.91654320987654303</v>
      </c>
      <c r="AH19" s="406"/>
    </row>
    <row r="20" spans="1:34" ht="15" customHeight="1">
      <c r="A20" s="450"/>
      <c r="B20" s="75" t="s">
        <v>81</v>
      </c>
      <c r="C20" s="76"/>
      <c r="D20" s="59" t="s">
        <v>120</v>
      </c>
      <c r="E20" s="77"/>
      <c r="F20" s="75">
        <f>VLOOKUP(D20,廠價表!$C$1:$E$43,3,0)</f>
        <v>50.67</v>
      </c>
      <c r="G20" s="147">
        <v>897</v>
      </c>
      <c r="H20" s="78">
        <f t="shared" si="13"/>
        <v>45450.99</v>
      </c>
      <c r="I20" s="30"/>
      <c r="J20" s="79">
        <f>VLOOKUP(D20,產線配置圖!$A$3:$C$38,2,0)</f>
        <v>13</v>
      </c>
      <c r="K20" s="80">
        <f>VLOOKUP(D20,產線配置圖!$A$3:$C$38,3,0)</f>
        <v>1440</v>
      </c>
      <c r="L20" s="81">
        <f t="shared" si="14"/>
        <v>110.76923076923077</v>
      </c>
      <c r="M20" s="148">
        <v>12</v>
      </c>
      <c r="N20" s="95">
        <f t="shared" si="15"/>
        <v>1121.2500000000116</v>
      </c>
      <c r="O20" s="96">
        <f t="shared" si="16"/>
        <v>93.437500000000966</v>
      </c>
      <c r="P20" s="97">
        <f t="shared" si="17"/>
        <v>-1</v>
      </c>
      <c r="Q20" s="98">
        <f t="shared" si="18"/>
        <v>-17.331730769229807</v>
      </c>
      <c r="R20" s="99">
        <f t="shared" si="19"/>
        <v>0.84353298611111982</v>
      </c>
      <c r="S20" s="444"/>
      <c r="T20" s="19">
        <v>0.61666666666666703</v>
      </c>
      <c r="U20" s="19">
        <v>0.65</v>
      </c>
      <c r="V20" s="30">
        <f>(T20-U19)*24*60</f>
        <v>24.000000000000554</v>
      </c>
      <c r="W20" s="149">
        <f t="shared" si="12"/>
        <v>47.99999999999951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2088</v>
      </c>
      <c r="L26" s="158">
        <f t="shared" si="20"/>
        <v>161.76923076923077</v>
      </c>
      <c r="M26" s="155">
        <f t="shared" si="20"/>
        <v>12.8</v>
      </c>
      <c r="N26" s="155">
        <f t="shared" si="20"/>
        <v>1910.8849299588389</v>
      </c>
      <c r="O26" s="158">
        <f t="shared" si="20"/>
        <v>149.05163424090682</v>
      </c>
      <c r="P26" s="159">
        <f>M26-J26</f>
        <v>-0.19999999999999929</v>
      </c>
      <c r="Q26" s="160">
        <f>O26-L26</f>
        <v>-12.717596528323952</v>
      </c>
      <c r="R26" s="161">
        <f>O26/L26</f>
        <v>0.92138432959191086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1">N26-K26</f>
        <v>-177.11507004116106</v>
      </c>
      <c r="AG26" s="124">
        <f t="shared" ref="AG26:AG31" si="22">N26/K26</f>
        <v>0.91517477488450139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120</v>
      </c>
      <c r="E27" s="132"/>
      <c r="F27" s="129">
        <f>VLOOKUP(D27,廠價表!$C$1:$E$43,3,0)</f>
        <v>50.67</v>
      </c>
      <c r="G27" s="169">
        <v>1277</v>
      </c>
      <c r="H27" s="134">
        <f>F27*G27</f>
        <v>64705.590000000004</v>
      </c>
      <c r="I27" s="135"/>
      <c r="J27" s="136">
        <f>VLOOKUP(D27,產線配置圖!$A$3:$C$38,2,0)</f>
        <v>13</v>
      </c>
      <c r="K27" s="137">
        <f>VLOOKUP(D27,產線配置圖!$A$3:$C$38,3,0)</f>
        <v>1440</v>
      </c>
      <c r="L27" s="138">
        <f>K27/J27</f>
        <v>110.76923076923077</v>
      </c>
      <c r="M27" s="170">
        <v>13</v>
      </c>
      <c r="N27" s="140">
        <f>G27/W27*60</f>
        <v>1178.7692307692278</v>
      </c>
      <c r="O27" s="141">
        <f>N27/M27</f>
        <v>90.674556213017524</v>
      </c>
      <c r="P27" s="142">
        <f>M27-J27</f>
        <v>0</v>
      </c>
      <c r="Q27" s="143">
        <f>O27-L27</f>
        <v>-20.094674556213249</v>
      </c>
      <c r="R27" s="144">
        <f>O27/L27</f>
        <v>0.81858974358974146</v>
      </c>
      <c r="S27" s="443">
        <f>R37</f>
        <v>0.8252438653635733</v>
      </c>
      <c r="T27" s="171">
        <v>0.297222222222222</v>
      </c>
      <c r="U27" s="171">
        <v>0.34236111111111101</v>
      </c>
      <c r="V27" s="135"/>
      <c r="W27" s="146">
        <f t="shared" si="12"/>
        <v>65.000000000000171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21"/>
        <v>-261.23076923077224</v>
      </c>
      <c r="AG27" s="172">
        <f t="shared" si="22"/>
        <v>0.81858974358974146</v>
      </c>
      <c r="AH27" s="403">
        <f>AG37</f>
        <v>0.81514975923091981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2203</v>
      </c>
      <c r="H28" s="91">
        <f>F28*G28</f>
        <v>110786.667</v>
      </c>
      <c r="I28" s="92"/>
      <c r="J28" s="79">
        <v>19</v>
      </c>
      <c r="K28" s="80">
        <f>VLOOKUP(D28,產線配置圖!$A$3:$C$38,3,0)</f>
        <v>1565</v>
      </c>
      <c r="L28" s="93">
        <f>K28/J28</f>
        <v>82.368421052631575</v>
      </c>
      <c r="M28" s="94">
        <v>19</v>
      </c>
      <c r="N28" s="95">
        <f>G28/W28*60</f>
        <v>1283.3009708737998</v>
      </c>
      <c r="O28" s="96">
        <f>N28/M28</f>
        <v>67.542156361778936</v>
      </c>
      <c r="P28" s="97">
        <f>M28-J28</f>
        <v>0</v>
      </c>
      <c r="Q28" s="98">
        <f>O28-L28</f>
        <v>-14.826264690852639</v>
      </c>
      <c r="R28" s="99">
        <f>O28/L28</f>
        <v>0.82000062036664523</v>
      </c>
      <c r="S28" s="444"/>
      <c r="T28" s="19">
        <v>0.34930555555555598</v>
      </c>
      <c r="U28" s="19">
        <v>0.420833333333333</v>
      </c>
      <c r="V28" s="92">
        <f>(T28-U27)*24*60</f>
        <v>10.000000000000764</v>
      </c>
      <c r="W28" s="149">
        <f t="shared" si="12"/>
        <v>102.99999999999892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21"/>
        <v>-281.69902912620023</v>
      </c>
      <c r="AG28" s="99">
        <f t="shared" si="22"/>
        <v>0.82000062036664523</v>
      </c>
      <c r="AH28" s="404"/>
    </row>
    <row r="29" spans="1:34" ht="15" customHeight="1">
      <c r="A29" s="441"/>
      <c r="B29" s="75" t="s">
        <v>81</v>
      </c>
      <c r="C29" s="173"/>
      <c r="D29" s="59" t="s">
        <v>113</v>
      </c>
      <c r="E29" s="104"/>
      <c r="F29" s="75">
        <f>VLOOKUP(D29,廠價表!$C$1:$E$43,3,0)</f>
        <v>57.21</v>
      </c>
      <c r="G29" s="90">
        <v>1534</v>
      </c>
      <c r="H29" s="91">
        <f>F29*G29</f>
        <v>87760.14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17</v>
      </c>
      <c r="N29" s="95">
        <f>G29/W29*60</f>
        <v>1394.5454545454645</v>
      </c>
      <c r="O29" s="96">
        <f>N29/M29</f>
        <v>82.032085561497908</v>
      </c>
      <c r="P29" s="97">
        <f>M29-J29</f>
        <v>0</v>
      </c>
      <c r="Q29" s="98">
        <f>O29-L29</f>
        <v>-18.909090909090324</v>
      </c>
      <c r="R29" s="99">
        <f>O29/L29</f>
        <v>0.81267217630854571</v>
      </c>
      <c r="S29" s="444"/>
      <c r="T29" s="19">
        <v>0.42638888888888898</v>
      </c>
      <c r="U29" s="19">
        <v>0.47222222222222199</v>
      </c>
      <c r="V29" s="92">
        <f>(T29-U28)*24*60</f>
        <v>8.0000000000006111</v>
      </c>
      <c r="W29" s="149">
        <f t="shared" si="12"/>
        <v>65.999999999999531</v>
      </c>
      <c r="X29" s="22">
        <v>0.4861111111111111</v>
      </c>
      <c r="Y29" s="84">
        <v>0.52777777777777779</v>
      </c>
      <c r="Z29" s="90"/>
      <c r="AA29" s="90"/>
      <c r="AB29" s="409"/>
      <c r="AC29" s="409"/>
      <c r="AD29" s="92"/>
      <c r="AE29" s="92"/>
      <c r="AF29" s="312">
        <f t="shared" si="21"/>
        <v>-321.45454545453549</v>
      </c>
      <c r="AG29" s="99">
        <f t="shared" si="22"/>
        <v>0.81267217630854571</v>
      </c>
      <c r="AH29" s="404"/>
    </row>
    <row r="30" spans="1:34" ht="15" customHeight="1">
      <c r="A30" s="441"/>
      <c r="B30" s="75" t="s">
        <v>81</v>
      </c>
      <c r="C30" s="88"/>
      <c r="D30" s="59" t="s">
        <v>213</v>
      </c>
      <c r="E30" s="89"/>
      <c r="F30" s="75">
        <f>VLOOKUP(D30,廠價表!$C$1:$E$43,3,0)</f>
        <v>50.289000000000001</v>
      </c>
      <c r="G30" s="90">
        <v>1880</v>
      </c>
      <c r="H30" s="91">
        <f>F30*G30</f>
        <v>94543.32</v>
      </c>
      <c r="I30" s="92"/>
      <c r="J30" s="79">
        <v>19</v>
      </c>
      <c r="K30" s="80">
        <f>VLOOKUP(D30,產線配置圖!$A$3:$C$38,3,0)</f>
        <v>1565</v>
      </c>
      <c r="L30" s="93">
        <f>K30/J30</f>
        <v>82.368421052631575</v>
      </c>
      <c r="M30" s="94">
        <v>18</v>
      </c>
      <c r="N30" s="95">
        <f>G30/W30*60</f>
        <v>1267.4157303370696</v>
      </c>
      <c r="O30" s="96">
        <f>N30/M30</f>
        <v>70.411985018726085</v>
      </c>
      <c r="P30" s="97">
        <f>M30-J30</f>
        <v>-1</v>
      </c>
      <c r="Q30" s="98">
        <f>O30-L30</f>
        <v>-11.95643603390549</v>
      </c>
      <c r="R30" s="99">
        <f>O30/L30</f>
        <v>0.85484199064268096</v>
      </c>
      <c r="S30" s="444"/>
      <c r="T30" s="19">
        <v>0.53819444444444398</v>
      </c>
      <c r="U30" s="19">
        <v>0.6</v>
      </c>
      <c r="V30" s="92">
        <f>(T30-U29)*24*60</f>
        <v>94.999999999999659</v>
      </c>
      <c r="W30" s="149">
        <f t="shared" si="12"/>
        <v>89.000000000000639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1"/>
        <v>-297.58426966293041</v>
      </c>
      <c r="AG30" s="99">
        <f t="shared" si="22"/>
        <v>0.8098503069246451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1"/>
        <v>0</v>
      </c>
      <c r="AG31" s="99" t="e">
        <f t="shared" si="22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1571.5</v>
      </c>
      <c r="L37" s="158">
        <f t="shared" si="23"/>
        <v>94.111812336270532</v>
      </c>
      <c r="M37" s="155">
        <f t="shared" si="23"/>
        <v>16.75</v>
      </c>
      <c r="N37" s="155">
        <f t="shared" si="23"/>
        <v>1281.0078466313905</v>
      </c>
      <c r="O37" s="158">
        <f t="shared" si="23"/>
        <v>77.665195788755113</v>
      </c>
      <c r="P37" s="159">
        <f>M37-J37</f>
        <v>-0.25</v>
      </c>
      <c r="Q37" s="160">
        <f>N37-K37</f>
        <v>-290.49215336860948</v>
      </c>
      <c r="R37" s="161">
        <f>O37/L37</f>
        <v>0.8252438653635733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-290.49215336860948</v>
      </c>
      <c r="AG37" s="124">
        <f>N37/K37</f>
        <v>0.81514975923091981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3143</v>
      </c>
      <c r="H38" s="134">
        <f>F38*G38</f>
        <v>156867.12999999998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1571.4999999999868</v>
      </c>
      <c r="O38" s="141">
        <f>N38/M38</f>
        <v>104.76666666666578</v>
      </c>
      <c r="P38" s="142">
        <f>M38-J38</f>
        <v>0</v>
      </c>
      <c r="Q38" s="143">
        <f>O38-L38</f>
        <v>-9.5000000000008811</v>
      </c>
      <c r="R38" s="144">
        <f>O38/L38</f>
        <v>0.9168611435239129</v>
      </c>
      <c r="S38" s="433">
        <f>R48</f>
        <v>0.91804883818735883</v>
      </c>
      <c r="T38" s="191">
        <v>0.33333333333333298</v>
      </c>
      <c r="U38" s="191">
        <v>0.41666666666666702</v>
      </c>
      <c r="V38" s="192"/>
      <c r="W38" s="193">
        <f t="shared" si="12"/>
        <v>120.00000000000101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-142.50000000001319</v>
      </c>
      <c r="AG38" s="195">
        <f>N38/K38</f>
        <v>0.91686114352391301</v>
      </c>
      <c r="AH38" s="436">
        <f>AG48</f>
        <v>0.91810487200660329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1458</v>
      </c>
      <c r="H39" s="91">
        <f>F39*G39</f>
        <v>64589.399999999994</v>
      </c>
      <c r="I39" s="200"/>
      <c r="J39" s="148">
        <v>17</v>
      </c>
      <c r="K39" s="95">
        <f>VLOOKUP(D39,產線配置圖!$A$3:$C$38,3,0)</f>
        <v>1565</v>
      </c>
      <c r="L39" s="96">
        <f>K39/J39</f>
        <v>92.058823529411768</v>
      </c>
      <c r="M39" s="201">
        <v>17</v>
      </c>
      <c r="N39" s="202">
        <f>G39/W39*60</f>
        <v>1457.9999999999895</v>
      </c>
      <c r="O39" s="203">
        <f>N39/M39</f>
        <v>85.764705882352331</v>
      </c>
      <c r="P39" s="97">
        <f>M39-J39</f>
        <v>0</v>
      </c>
      <c r="Q39" s="98">
        <f>O39-L39</f>
        <v>-6.2941176470594371</v>
      </c>
      <c r="R39" s="99">
        <f>O39/L39</f>
        <v>0.93162939297123937</v>
      </c>
      <c r="S39" s="434"/>
      <c r="T39" s="20">
        <v>0.46875</v>
      </c>
      <c r="U39" s="20">
        <v>0.51041666666666696</v>
      </c>
      <c r="V39" s="92">
        <f>(T39-U38)*24*60</f>
        <v>74.999999999999488</v>
      </c>
      <c r="W39" s="205">
        <f t="shared" si="12"/>
        <v>60.000000000000426</v>
      </c>
      <c r="X39" s="22"/>
      <c r="Y39" s="84"/>
      <c r="Z39" s="90"/>
      <c r="AA39" s="90"/>
      <c r="AB39" s="408" t="s">
        <v>265</v>
      </c>
      <c r="AC39" s="408"/>
      <c r="AD39" s="200"/>
      <c r="AE39" s="200"/>
      <c r="AF39" s="314">
        <f>N39-K39</f>
        <v>-107.00000000001046</v>
      </c>
      <c r="AG39" s="206">
        <f>N39/K39</f>
        <v>0.93162939297123937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2363</v>
      </c>
      <c r="H40" s="91">
        <f>F40*G40</f>
        <v>104680.9</v>
      </c>
      <c r="I40" s="200"/>
      <c r="J40" s="148">
        <v>17</v>
      </c>
      <c r="K40" s="95">
        <f>VLOOKUP(D40,產線配置圖!$A$3:$C$38,3,0)</f>
        <v>1565</v>
      </c>
      <c r="L40" s="96">
        <f>K40/J40</f>
        <v>92.058823529411768</v>
      </c>
      <c r="M40" s="201">
        <v>17</v>
      </c>
      <c r="N40" s="202">
        <f>G40/W40*60</f>
        <v>1417.8000000000097</v>
      </c>
      <c r="O40" s="203">
        <f>N40/M40</f>
        <v>83.400000000000574</v>
      </c>
      <c r="P40" s="97">
        <f>M40-J40</f>
        <v>0</v>
      </c>
      <c r="Q40" s="98">
        <f>O40-L40</f>
        <v>-8.6588235294111939</v>
      </c>
      <c r="R40" s="99">
        <f>O40/L40</f>
        <v>0.90594249201278576</v>
      </c>
      <c r="S40" s="416"/>
      <c r="T40" s="20">
        <v>0.55555555555555602</v>
      </c>
      <c r="U40" s="20">
        <v>0.625</v>
      </c>
      <c r="V40" s="92">
        <f>(T40-U39)*24*60</f>
        <v>65.000000000000256</v>
      </c>
      <c r="W40" s="205">
        <f t="shared" si="12"/>
        <v>99.999999999999318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-147.19999999999027</v>
      </c>
      <c r="AG40" s="206">
        <f>N40/K40</f>
        <v>0.90594249201278576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1614.6666666666667</v>
      </c>
      <c r="L48" s="158">
        <f t="shared" si="24"/>
        <v>99.461437908496734</v>
      </c>
      <c r="M48" s="155">
        <f t="shared" si="24"/>
        <v>16.333333333333332</v>
      </c>
      <c r="N48" s="155">
        <f t="shared" si="24"/>
        <v>1482.4333333333288</v>
      </c>
      <c r="O48" s="158">
        <f t="shared" si="24"/>
        <v>91.310457516339554</v>
      </c>
      <c r="P48" s="221">
        <f>M48-J48</f>
        <v>0</v>
      </c>
      <c r="Q48" s="222">
        <f>N48-K48</f>
        <v>-132.2333333333379</v>
      </c>
      <c r="R48" s="223">
        <f>O48/L48</f>
        <v>0.91804883818735883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25">N48-K48</f>
        <v>-132.2333333333379</v>
      </c>
      <c r="AG48" s="162">
        <f t="shared" ref="AG48:AG53" si="26">N48/K48</f>
        <v>0.91810487200660329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2423</v>
      </c>
      <c r="H49" s="134">
        <f>F49*G49</f>
        <v>119986.96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1333.7614678898983</v>
      </c>
      <c r="O49" s="141">
        <f>N49/M49</f>
        <v>78.456556934699904</v>
      </c>
      <c r="P49" s="229">
        <f>M49-J49</f>
        <v>0</v>
      </c>
      <c r="Q49" s="230">
        <f>O49-L49</f>
        <v>-9.7787371829471539</v>
      </c>
      <c r="R49" s="52">
        <f>O49/L49</f>
        <v>0.8891743119265989</v>
      </c>
      <c r="S49" s="415">
        <f>R58</f>
        <v>0.88732848359254091</v>
      </c>
      <c r="T49" s="191">
        <v>0.29236111111111102</v>
      </c>
      <c r="U49" s="191">
        <v>0.36805555555555602</v>
      </c>
      <c r="V49" s="55"/>
      <c r="W49" s="193">
        <f t="shared" si="12"/>
        <v>109.00000000000081</v>
      </c>
      <c r="X49" s="55"/>
      <c r="Y49" s="290"/>
      <c r="Z49" s="169"/>
      <c r="AA49" s="169"/>
      <c r="AB49" s="420" t="s">
        <v>252</v>
      </c>
      <c r="AC49" s="420"/>
      <c r="AD49" s="135">
        <v>1</v>
      </c>
      <c r="AE49" s="135">
        <v>1</v>
      </c>
      <c r="AF49" s="229">
        <f t="shared" si="25"/>
        <v>-166.23853211010169</v>
      </c>
      <c r="AG49" s="52">
        <f t="shared" si="26"/>
        <v>0.8891743119265989</v>
      </c>
      <c r="AH49" s="403">
        <f>AG58</f>
        <v>0.87584713053598628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3746</v>
      </c>
      <c r="H50" s="231">
        <f>F50*G50</f>
        <v>187187.62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1715.7251908396988</v>
      </c>
      <c r="O50" s="235">
        <f>N50/M50</f>
        <v>107.23282442748118</v>
      </c>
      <c r="P50" s="74">
        <f>M50-J50</f>
        <v>0</v>
      </c>
      <c r="Q50" s="83">
        <f>O50-L50</f>
        <v>-5.2671755725188234</v>
      </c>
      <c r="R50" s="72">
        <f>O50/L50</f>
        <v>0.9531806615776105</v>
      </c>
      <c r="S50" s="416"/>
      <c r="T50" s="21">
        <v>0.37361111111111101</v>
      </c>
      <c r="U50" s="19">
        <v>0.46458333333333302</v>
      </c>
      <c r="V50" s="30">
        <f>(T50-U49)*24*60</f>
        <v>7.9999999999991722</v>
      </c>
      <c r="W50" s="236">
        <f t="shared" si="12"/>
        <v>130.99999999999969</v>
      </c>
      <c r="X50" s="22">
        <v>0.46875</v>
      </c>
      <c r="Y50" s="84">
        <v>0.52083333333333337</v>
      </c>
      <c r="Z50" s="90"/>
      <c r="AA50" s="90"/>
      <c r="AB50" s="409"/>
      <c r="AC50" s="409"/>
      <c r="AD50" s="92"/>
      <c r="AE50" s="92"/>
      <c r="AF50" s="307">
        <f t="shared" si="25"/>
        <v>-84.274809160301174</v>
      </c>
      <c r="AG50" s="72">
        <f t="shared" si="26"/>
        <v>0.9531806615776105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1677</v>
      </c>
      <c r="H51" s="231">
        <f>F51*G51</f>
        <v>83799.69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1458.2608695652088</v>
      </c>
      <c r="O51" s="235">
        <f>N51/M51</f>
        <v>91.141304347825553</v>
      </c>
      <c r="P51" s="74">
        <f>M51-J51</f>
        <v>0</v>
      </c>
      <c r="Q51" s="83">
        <f>O51-L51</f>
        <v>-21.358695652174447</v>
      </c>
      <c r="R51" s="72">
        <f>O51/L51</f>
        <v>0.81014492753622713</v>
      </c>
      <c r="S51" s="416"/>
      <c r="T51" s="21">
        <v>0.52500000000000002</v>
      </c>
      <c r="U51" s="21">
        <v>0.57291666666666696</v>
      </c>
      <c r="V51" s="30">
        <f>(T51-U50)*24*60</f>
        <v>87.000000000000483</v>
      </c>
      <c r="W51" s="236">
        <f t="shared" si="12"/>
        <v>69.000000000000398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25"/>
        <v>-341.73913043479115</v>
      </c>
      <c r="AG51" s="72">
        <f t="shared" si="26"/>
        <v>0.81014492753622713</v>
      </c>
      <c r="AH51" s="405"/>
    </row>
    <row r="52" spans="1:34" ht="15" customHeight="1">
      <c r="A52" s="428"/>
      <c r="B52" s="101" t="s">
        <v>81</v>
      </c>
      <c r="C52" s="102"/>
      <c r="D52" s="103" t="s">
        <v>113</v>
      </c>
      <c r="E52" s="104"/>
      <c r="F52" s="75">
        <f>VLOOKUP(D52,廠價表!$C$1:$E$43,3,0)</f>
        <v>57.21</v>
      </c>
      <c r="G52" s="202">
        <v>1300</v>
      </c>
      <c r="H52" s="231">
        <f t="shared" ref="H52:H53" si="27">F52*G52</f>
        <v>74373</v>
      </c>
      <c r="I52" s="30"/>
      <c r="J52" s="79">
        <v>17</v>
      </c>
      <c r="K52" s="80">
        <v>1716</v>
      </c>
      <c r="L52" s="81">
        <f t="shared" ref="L52:L53" si="28">K52/J52</f>
        <v>100.94117647058823</v>
      </c>
      <c r="M52" s="108">
        <v>16</v>
      </c>
      <c r="N52" s="234">
        <f t="shared" ref="N52:N53" si="29">G52/W52*60</f>
        <v>1560.0000000000107</v>
      </c>
      <c r="O52" s="235">
        <f t="shared" ref="O52:O53" si="30">N52/M52</f>
        <v>97.500000000000668</v>
      </c>
      <c r="P52" s="74">
        <f t="shared" ref="P52:P53" si="31">M52-J52</f>
        <v>-1</v>
      </c>
      <c r="Q52" s="83">
        <f t="shared" ref="Q52:Q53" si="32">O52-L52</f>
        <v>-3.441176470587564</v>
      </c>
      <c r="R52" s="72">
        <f t="shared" ref="R52:R53" si="33">O52/L52</f>
        <v>0.9659090909090976</v>
      </c>
      <c r="S52" s="416"/>
      <c r="T52" s="21">
        <v>0.57986111111111105</v>
      </c>
      <c r="U52" s="21">
        <v>0.61458333333333304</v>
      </c>
      <c r="V52" s="30">
        <f>(T52-U51)*24*60</f>
        <v>9.9999999999994849</v>
      </c>
      <c r="W52" s="236">
        <f>(U52-T52)*24*60</f>
        <v>49.999999999999659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25"/>
        <v>-155.99999999998931</v>
      </c>
      <c r="AG52" s="72">
        <f t="shared" si="26"/>
        <v>0.90909090909091528</v>
      </c>
      <c r="AH52" s="405"/>
    </row>
    <row r="53" spans="1:34" ht="15" customHeight="1">
      <c r="A53" s="428"/>
      <c r="B53" s="101" t="s">
        <v>118</v>
      </c>
      <c r="C53" s="102"/>
      <c r="D53" s="103" t="s">
        <v>124</v>
      </c>
      <c r="E53" s="104"/>
      <c r="F53" s="75">
        <f>VLOOKUP(D53,廠價表!$C$1:$E$43,3,0)</f>
        <v>44.3</v>
      </c>
      <c r="G53" s="202">
        <v>1400</v>
      </c>
      <c r="H53" s="231">
        <f t="shared" si="27"/>
        <v>62019.999999999993</v>
      </c>
      <c r="I53" s="30"/>
      <c r="J53" s="79">
        <v>17</v>
      </c>
      <c r="K53" s="80">
        <f>VLOOKUP(D53,產線配置圖!$A$3:$C$38,3,0)</f>
        <v>1565</v>
      </c>
      <c r="L53" s="81">
        <f t="shared" si="28"/>
        <v>92.058823529411768</v>
      </c>
      <c r="M53" s="108">
        <v>17</v>
      </c>
      <c r="N53" s="234">
        <f t="shared" si="29"/>
        <v>1272.7272727272834</v>
      </c>
      <c r="O53" s="235">
        <f t="shared" si="30"/>
        <v>74.866310160428441</v>
      </c>
      <c r="P53" s="74">
        <f t="shared" si="31"/>
        <v>0</v>
      </c>
      <c r="Q53" s="83">
        <f t="shared" si="32"/>
        <v>-17.192513368983327</v>
      </c>
      <c r="R53" s="72">
        <f t="shared" si="33"/>
        <v>0.81324426372350378</v>
      </c>
      <c r="S53" s="416"/>
      <c r="T53" s="21">
        <v>0.61805555555555602</v>
      </c>
      <c r="U53" s="21">
        <v>0.66388888888888897</v>
      </c>
      <c r="V53" s="30">
        <f>(T53-U52)*24*60</f>
        <v>5.0000000000011013</v>
      </c>
      <c r="W53" s="236">
        <f>(U53-T53)*24*60</f>
        <v>65.999999999999446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25"/>
        <v>-292.27272727271657</v>
      </c>
      <c r="AG53" s="72">
        <f t="shared" si="26"/>
        <v>0.81324426372350378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1676.2</v>
      </c>
      <c r="L58" s="117">
        <f t="shared" si="34"/>
        <v>101.24705882352941</v>
      </c>
      <c r="M58" s="120">
        <f t="shared" si="34"/>
        <v>16.399999999999999</v>
      </c>
      <c r="N58" s="120">
        <f t="shared" si="34"/>
        <v>1468.0949602044202</v>
      </c>
      <c r="O58" s="117">
        <f t="shared" si="34"/>
        <v>89.839399174087148</v>
      </c>
      <c r="P58" s="121">
        <f>M58-J58</f>
        <v>-0.20000000000000284</v>
      </c>
      <c r="Q58" s="122">
        <f>N58-K58</f>
        <v>-208.10503979557984</v>
      </c>
      <c r="R58" s="123">
        <f>O58/L58</f>
        <v>0.88732848359254091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1</v>
      </c>
      <c r="AE58" s="323">
        <f>SUM(AE49:AE57)</f>
        <v>1</v>
      </c>
      <c r="AF58" s="309">
        <f>N58-K58</f>
        <v>-208.10503979557984</v>
      </c>
      <c r="AG58" s="124">
        <f>N58/K58</f>
        <v>0.87584713053598628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2518</v>
      </c>
      <c r="H59" s="243">
        <f>F59*G59</f>
        <v>67960.819999999992</v>
      </c>
      <c r="I59" s="55"/>
      <c r="J59" s="136">
        <v>15</v>
      </c>
      <c r="K59" s="137">
        <f>VLOOKUP(D59,產線配置圖!$A$3:$C$38,3,0)</f>
        <v>1565</v>
      </c>
      <c r="L59" s="138">
        <f>K59/J59</f>
        <v>104.33333333333333</v>
      </c>
      <c r="M59" s="244">
        <v>15</v>
      </c>
      <c r="N59" s="137">
        <f>G59/W59*60</f>
        <v>1373.4545454545432</v>
      </c>
      <c r="O59" s="138">
        <f>N59/M59</f>
        <v>91.56363636363622</v>
      </c>
      <c r="P59" s="56">
        <f>M59-J59</f>
        <v>0</v>
      </c>
      <c r="Q59" s="230">
        <f>O59-L59</f>
        <v>-12.769696969697108</v>
      </c>
      <c r="R59" s="52">
        <f>O59/L59</f>
        <v>0.87760673830961233</v>
      </c>
      <c r="S59" s="415">
        <f>R69</f>
        <v>0.90837278995861803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/>
      <c r="AA59" s="169"/>
      <c r="AB59" s="420" t="s">
        <v>253</v>
      </c>
      <c r="AC59" s="420"/>
      <c r="AD59" s="135"/>
      <c r="AE59" s="135"/>
      <c r="AF59" s="310">
        <f>N59-K59</f>
        <v>-191.54545454545678</v>
      </c>
      <c r="AG59" s="246">
        <f>N59/K59</f>
        <v>0.87760673830961233</v>
      </c>
      <c r="AH59" s="403">
        <f>AG69</f>
        <v>0.90896955266004731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1986</v>
      </c>
      <c r="H60" s="78">
        <f>F60*G60</f>
        <v>56124.36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1489.4999999999873</v>
      </c>
      <c r="O60" s="81">
        <f>N60/M60</f>
        <v>124.12499999999893</v>
      </c>
      <c r="P60" s="74">
        <f>M60-J60</f>
        <v>0</v>
      </c>
      <c r="Q60" s="83">
        <f>O60-L60</f>
        <v>-6.291666666667723</v>
      </c>
      <c r="R60" s="72">
        <f>O60/L60</f>
        <v>0.95175718849839441</v>
      </c>
      <c r="S60" s="425"/>
      <c r="T60" s="22">
        <v>0.37708333333333299</v>
      </c>
      <c r="U60" s="22">
        <v>0.43263888888888902</v>
      </c>
      <c r="V60" s="30">
        <f>(T60-U59)*24*60</f>
        <v>12.999999999998835</v>
      </c>
      <c r="W60" s="248">
        <f t="shared" si="12"/>
        <v>80.000000000000682</v>
      </c>
      <c r="X60" s="232"/>
      <c r="Y60" s="177"/>
      <c r="Z60" s="90"/>
      <c r="AA60" s="90"/>
      <c r="AB60" s="409"/>
      <c r="AC60" s="409"/>
      <c r="AD60" s="92"/>
      <c r="AE60" s="92"/>
      <c r="AF60" s="316">
        <f>N60-K60</f>
        <v>-75.500000000012733</v>
      </c>
      <c r="AG60" s="249">
        <f>N60/K60</f>
        <v>0.95175718849839441</v>
      </c>
      <c r="AH60" s="426"/>
    </row>
    <row r="61" spans="1:34" ht="15" customHeight="1">
      <c r="A61" s="423"/>
      <c r="B61" s="250" t="s">
        <v>128</v>
      </c>
      <c r="C61" s="251"/>
      <c r="D61" s="252" t="s">
        <v>131</v>
      </c>
      <c r="E61" s="253"/>
      <c r="F61" s="250">
        <f>VLOOKUP(D61,廠價表!$C$1:$E$43,3,0)</f>
        <v>28.26</v>
      </c>
      <c r="G61" s="38">
        <v>2372</v>
      </c>
      <c r="H61" s="254">
        <f>F61*G61</f>
        <v>67032.72</v>
      </c>
      <c r="I61" s="182"/>
      <c r="J61" s="106">
        <v>11</v>
      </c>
      <c r="K61" s="107">
        <f>VLOOKUP(D61,產線配置圖!$A$3:$C$38,3,0)</f>
        <v>1636</v>
      </c>
      <c r="L61" s="238">
        <f>K61/J61</f>
        <v>148.72727272727272</v>
      </c>
      <c r="M61" s="108">
        <v>11</v>
      </c>
      <c r="N61" s="107">
        <f>G61/W61*60</f>
        <v>1409.1089108910876</v>
      </c>
      <c r="O61" s="238">
        <f>N61/M61</f>
        <v>128.10081008100795</v>
      </c>
      <c r="P61" s="111">
        <f>M61-J61</f>
        <v>0</v>
      </c>
      <c r="Q61" s="255">
        <f>O61-L61</f>
        <v>-20.62646264626477</v>
      </c>
      <c r="R61" s="85">
        <f>O61/L61</f>
        <v>0.8613135152146012</v>
      </c>
      <c r="S61" s="416"/>
      <c r="T61" s="22">
        <v>0.44027777777777799</v>
      </c>
      <c r="U61" s="22">
        <v>0.51041666666666696</v>
      </c>
      <c r="V61" s="30">
        <f>(T61-U60)*24*60</f>
        <v>11.000000000000121</v>
      </c>
      <c r="W61" s="256">
        <f t="shared" si="12"/>
        <v>101.00000000000011</v>
      </c>
      <c r="X61" s="22">
        <v>0.51736111111111116</v>
      </c>
      <c r="Y61" s="84">
        <v>0.55902777777777779</v>
      </c>
      <c r="Z61" s="90"/>
      <c r="AA61" s="90"/>
      <c r="AB61" s="409" t="s">
        <v>254</v>
      </c>
      <c r="AC61" s="409"/>
      <c r="AD61" s="92"/>
      <c r="AE61" s="92"/>
      <c r="AF61" s="317">
        <f>N61-K61</f>
        <v>-226.89108910891241</v>
      </c>
      <c r="AG61" s="247">
        <f>N61/K61</f>
        <v>0.8613135152146012</v>
      </c>
      <c r="AH61" s="405"/>
    </row>
    <row r="62" spans="1:34" ht="15" customHeight="1">
      <c r="A62" s="423"/>
      <c r="B62" s="250" t="s">
        <v>128</v>
      </c>
      <c r="C62" s="251"/>
      <c r="D62" s="257" t="s">
        <v>131</v>
      </c>
      <c r="E62" s="253"/>
      <c r="F62" s="250">
        <f>VLOOKUP(D62,廠價表!$C$1:$E$43,3,0)</f>
        <v>28.26</v>
      </c>
      <c r="G62" s="38">
        <v>1353</v>
      </c>
      <c r="H62" s="254">
        <f t="shared" ref="H62:H63" si="35">F62*G62</f>
        <v>38235.78</v>
      </c>
      <c r="I62" s="182"/>
      <c r="J62" s="106">
        <v>11</v>
      </c>
      <c r="K62" s="107">
        <f>VLOOKUP(D62,產線配置圖!$A$3:$C$38,3,0)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1503.3333333333342</v>
      </c>
      <c r="O62" s="238">
        <f t="shared" ref="O62:O63" si="38">N62/M62</f>
        <v>136.66666666666674</v>
      </c>
      <c r="P62" s="111">
        <f t="shared" ref="P62:P63" si="39">M62-J62</f>
        <v>0</v>
      </c>
      <c r="Q62" s="255">
        <f t="shared" ref="Q62:Q63" si="40">O62-L62</f>
        <v>-12.060606060605977</v>
      </c>
      <c r="R62" s="85">
        <f t="shared" ref="R62:R63" si="41">O62/L62</f>
        <v>0.9189079054604733</v>
      </c>
      <c r="S62" s="416"/>
      <c r="T62" s="22">
        <v>0.59583333333333299</v>
      </c>
      <c r="U62" s="22">
        <v>0.63333333333333297</v>
      </c>
      <c r="V62" s="30">
        <f t="shared" ref="V62:V63" si="42">(T62-U61)*24*60</f>
        <v>122.99999999999909</v>
      </c>
      <c r="W62" s="248">
        <f t="shared" si="12"/>
        <v>53.999999999999972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-132.66666666666583</v>
      </c>
      <c r="AG62" s="247">
        <f>N62/K62</f>
        <v>0.91890790546047318</v>
      </c>
      <c r="AH62" s="405"/>
    </row>
    <row r="63" spans="1:34" ht="15" customHeight="1">
      <c r="A63" s="423"/>
      <c r="B63" s="258" t="s">
        <v>128</v>
      </c>
      <c r="C63" s="58"/>
      <c r="D63" s="259" t="s">
        <v>129</v>
      </c>
      <c r="E63" s="60"/>
      <c r="F63" s="250">
        <f>VLOOKUP(D63,廠價表!$C$1:$E$43,3,0)</f>
        <v>26.99</v>
      </c>
      <c r="G63" s="260">
        <v>1613</v>
      </c>
      <c r="H63" s="254">
        <f t="shared" si="35"/>
        <v>43534.869999999995</v>
      </c>
      <c r="I63" s="182"/>
      <c r="J63" s="106">
        <v>15</v>
      </c>
      <c r="K63" s="107">
        <f>VLOOKUP(D63,產線配置圖!$A$3:$C$38,3,0)</f>
        <v>1565</v>
      </c>
      <c r="L63" s="238">
        <f t="shared" si="36"/>
        <v>104.33333333333333</v>
      </c>
      <c r="M63" s="68">
        <v>15</v>
      </c>
      <c r="N63" s="107">
        <f t="shared" si="37"/>
        <v>1466.3636363636451</v>
      </c>
      <c r="O63" s="238">
        <f t="shared" si="38"/>
        <v>97.757575757576348</v>
      </c>
      <c r="P63" s="111">
        <f t="shared" si="39"/>
        <v>0</v>
      </c>
      <c r="Q63" s="255">
        <f t="shared" si="40"/>
        <v>-6.5757575757569811</v>
      </c>
      <c r="R63" s="85">
        <f t="shared" si="41"/>
        <v>0.93697356956143474</v>
      </c>
      <c r="S63" s="416"/>
      <c r="T63" s="22">
        <v>0.64027777777777795</v>
      </c>
      <c r="U63" s="22">
        <v>0.68611111111111101</v>
      </c>
      <c r="V63" s="30">
        <f t="shared" si="42"/>
        <v>10.000000000000764</v>
      </c>
      <c r="W63" s="248">
        <f t="shared" si="12"/>
        <v>65.999999999999602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43">AVERAGE(J59:J68)</f>
        <v>12.8</v>
      </c>
      <c r="K69" s="240">
        <f t="shared" si="43"/>
        <v>1593.4</v>
      </c>
      <c r="L69" s="268">
        <f t="shared" si="43"/>
        <v>127.30757575757578</v>
      </c>
      <c r="M69" s="240">
        <f t="shared" si="43"/>
        <v>12.8</v>
      </c>
      <c r="N69" s="240">
        <f t="shared" si="43"/>
        <v>1448.3520852085194</v>
      </c>
      <c r="O69" s="268">
        <f t="shared" si="43"/>
        <v>115.64273777377723</v>
      </c>
      <c r="P69" s="269">
        <f>M69-J69</f>
        <v>0</v>
      </c>
      <c r="Q69" s="222">
        <f>N69-K69</f>
        <v>-145.04791479148071</v>
      </c>
      <c r="R69" s="123">
        <f>O69/L69</f>
        <v>0.90837278995861803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-145.04791479148071</v>
      </c>
      <c r="AG69" s="124">
        <f>N69/K69</f>
        <v>0.90896955266004731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6AB517-5894-4F34-AA77-6D4525B7533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6680-A5E6-4A8C-A5FB-106D50237178}">
  <dimension ref="B1:O26"/>
  <sheetViews>
    <sheetView topLeftCell="A5" zoomScale="70" zoomScaleNormal="70" workbookViewId="0">
      <selection activeCell="Y61" sqref="Y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46141</v>
      </c>
      <c r="E3" s="399"/>
      <c r="F3" s="3" t="s">
        <v>72</v>
      </c>
      <c r="G3" s="400">
        <f>'0429'!E1</f>
        <v>52134</v>
      </c>
      <c r="H3" s="400"/>
      <c r="I3" s="3" t="s">
        <v>2</v>
      </c>
      <c r="J3" s="401">
        <f>'0429'!G1</f>
        <v>2543581.8230000013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121.86759215157046</v>
      </c>
      <c r="G6" s="397"/>
      <c r="H6" s="382">
        <f>AVERAGE(D13:H13)</f>
        <v>123.635555026329</v>
      </c>
      <c r="I6" s="382"/>
      <c r="J6" s="382">
        <f>AVERAGE(I13)</f>
        <v>113.02777777777777</v>
      </c>
      <c r="K6" s="382"/>
      <c r="L6" s="383">
        <f>SUM(D18:J18)</f>
        <v>1</v>
      </c>
      <c r="M6" s="385">
        <f>SUM(D19:J19)</f>
        <v>15</v>
      </c>
      <c r="N6" s="386">
        <f>SUM(D20:J20)</f>
        <v>0</v>
      </c>
      <c r="O6" s="385">
        <f>SUM(D20:J20)</f>
        <v>0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104.00416469959607</v>
      </c>
      <c r="G7" s="389"/>
      <c r="H7" s="390">
        <f>AVERAGE(D14:H14)</f>
        <v>106.76555884933666</v>
      </c>
      <c r="I7" s="390"/>
      <c r="J7" s="390">
        <f>AVERAGE(I14)</f>
        <v>90.197193950893222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0.85341937805945078</v>
      </c>
      <c r="G8" s="374"/>
      <c r="H8" s="374">
        <f>H7/H6</f>
        <v>0.86355060909946357</v>
      </c>
      <c r="I8" s="374"/>
      <c r="J8" s="374">
        <f>J7/J6</f>
        <v>0.79800908877664201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VALUE('0429'!L15)</f>
        <v>150</v>
      </c>
      <c r="E13" s="13">
        <f>VALUE('0429'!L26)</f>
        <v>169.61538461538461</v>
      </c>
      <c r="F13" s="13">
        <f>VALUE('0429'!L37)</f>
        <v>94.111812336270532</v>
      </c>
      <c r="G13" s="13">
        <f>VALUE('0429'!L48)</f>
        <v>99.461437908496734</v>
      </c>
      <c r="H13" s="13">
        <f>VALUE('0429'!L58)</f>
        <v>104.98914027149321</v>
      </c>
      <c r="I13" s="13">
        <f>VALUE('0429'!L69)</f>
        <v>113.02777777777777</v>
      </c>
      <c r="J13" s="13">
        <f>'0429'!L79</f>
        <v>0</v>
      </c>
    </row>
    <row r="14" spans="2:15" ht="39.950000000000003" customHeight="1">
      <c r="B14" s="368"/>
      <c r="C14" s="12" t="s">
        <v>100</v>
      </c>
      <c r="D14" s="13">
        <f>VALUE('0429'!O15)</f>
        <v>130.64230547333301</v>
      </c>
      <c r="E14" s="13">
        <f>VALUE('0429'!O26)</f>
        <v>147.91462544103766</v>
      </c>
      <c r="F14" s="13">
        <f>VALUE('0429'!O37)</f>
        <v>73.724844285583401</v>
      </c>
      <c r="G14" s="13">
        <f>VALUE('0429'!O48)</f>
        <v>92.399451792031712</v>
      </c>
      <c r="H14" s="13">
        <f>VALUE('0429'!O58)</f>
        <v>89.146567254697487</v>
      </c>
      <c r="I14" s="13">
        <f>VALUE('0429'!O69)</f>
        <v>90.197193950893222</v>
      </c>
      <c r="J14" s="13">
        <f>'0429'!O79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0.87094870315555339</v>
      </c>
      <c r="E15" s="14">
        <f t="shared" si="1"/>
        <v>0.87205901620566417</v>
      </c>
      <c r="F15" s="14">
        <f t="shared" si="1"/>
        <v>0.78337503502915729</v>
      </c>
      <c r="G15" s="14">
        <f t="shared" si="1"/>
        <v>0.92899774761991716</v>
      </c>
      <c r="H15" s="14">
        <f t="shared" si="1"/>
        <v>0.84910274552369758</v>
      </c>
      <c r="I15" s="14">
        <f t="shared" si="1"/>
        <v>0.79800908877664201</v>
      </c>
      <c r="J15" s="15">
        <f>'0429'!S70</f>
        <v>0</v>
      </c>
    </row>
    <row r="16" spans="2:15" ht="17.25" customHeight="1">
      <c r="B16" s="370" t="s">
        <v>101</v>
      </c>
      <c r="C16" s="10" t="s">
        <v>34</v>
      </c>
      <c r="D16" s="16">
        <f>'0429'!T5</f>
        <v>0.29166666666666702</v>
      </c>
      <c r="E16" s="16">
        <f>'0429'!T16</f>
        <v>0.29166666666666702</v>
      </c>
      <c r="F16" s="16">
        <f>'0429'!T27</f>
        <v>0.29305555555555601</v>
      </c>
      <c r="G16" s="16">
        <f>'0429'!T38</f>
        <v>0.33333333333333298</v>
      </c>
      <c r="H16" s="16">
        <f>'0429'!T49</f>
        <v>0.28819444444444442</v>
      </c>
      <c r="I16" s="16">
        <f>'0429'!T59</f>
        <v>0.29166666666666702</v>
      </c>
      <c r="J16" s="16">
        <f>'0429'!T70</f>
        <v>0</v>
      </c>
    </row>
    <row r="17" spans="2:10" ht="17.25" customHeight="1">
      <c r="B17" s="371"/>
      <c r="C17" s="10" t="s">
        <v>35</v>
      </c>
      <c r="D17" s="16">
        <v>0.62986111111111098</v>
      </c>
      <c r="E17" s="19">
        <v>0.62916666666666698</v>
      </c>
      <c r="F17" s="19">
        <v>0.58194444444444404</v>
      </c>
      <c r="G17" s="20">
        <v>0.62291666666666701</v>
      </c>
      <c r="H17" s="21">
        <v>0.61388888888888904</v>
      </c>
      <c r="I17" s="22">
        <v>0.61805555555555602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'0429'!Z15</f>
        <v>0</v>
      </c>
      <c r="E18" s="359">
        <f>'0429'!Z26</f>
        <v>0</v>
      </c>
      <c r="F18" s="359">
        <f>'0429'!Z37</f>
        <v>0</v>
      </c>
      <c r="G18" s="360">
        <f>'0429'!Z48</f>
        <v>0</v>
      </c>
      <c r="H18" s="360">
        <f>'0429'!Z58</f>
        <v>0</v>
      </c>
      <c r="I18" s="359">
        <f>'0429'!Z69</f>
        <v>1</v>
      </c>
      <c r="J18" s="359">
        <f>'0429'!AA79</f>
        <v>0</v>
      </c>
    </row>
    <row r="19" spans="2:10" ht="17.25" customHeight="1">
      <c r="B19" s="373"/>
      <c r="C19" s="330" t="s">
        <v>37</v>
      </c>
      <c r="D19" s="358">
        <f>'0429'!AA15</f>
        <v>0</v>
      </c>
      <c r="E19" s="359">
        <f>'0429'!AA26</f>
        <v>0</v>
      </c>
      <c r="F19" s="359">
        <f>'0429'!AA37</f>
        <v>0</v>
      </c>
      <c r="G19" s="360">
        <f>'0429'!AA48</f>
        <v>0</v>
      </c>
      <c r="H19" s="360">
        <f>'0429'!AA58</f>
        <v>0</v>
      </c>
      <c r="I19" s="359">
        <f>'0429'!AA69</f>
        <v>15</v>
      </c>
      <c r="J19" s="359">
        <f>'0429'!AB79</f>
        <v>0</v>
      </c>
    </row>
    <row r="20" spans="2:10" ht="17.25" customHeight="1">
      <c r="B20" s="372" t="s">
        <v>103</v>
      </c>
      <c r="C20" s="330" t="s">
        <v>36</v>
      </c>
      <c r="D20" s="358">
        <f>'0429'!AD15</f>
        <v>0</v>
      </c>
      <c r="E20" s="359">
        <f>'0429'!AD26</f>
        <v>0</v>
      </c>
      <c r="F20" s="359">
        <f>'0429'!AD37</f>
        <v>0</v>
      </c>
      <c r="G20" s="360">
        <f>'0429'!AD48</f>
        <v>0</v>
      </c>
      <c r="H20" s="360">
        <f>'0429'!AD58</f>
        <v>0</v>
      </c>
      <c r="I20" s="359">
        <f>'0429'!AD69</f>
        <v>0</v>
      </c>
      <c r="J20" s="359">
        <f>'0429'!AD79</f>
        <v>0</v>
      </c>
    </row>
    <row r="21" spans="2:10" ht="17.25" customHeight="1">
      <c r="B21" s="373"/>
      <c r="C21" s="330" t="s">
        <v>85</v>
      </c>
      <c r="D21" s="358">
        <f>'0429'!AE15</f>
        <v>0</v>
      </c>
      <c r="E21" s="359">
        <f>'0429'!AE26</f>
        <v>0</v>
      </c>
      <c r="F21" s="359">
        <f>'0429'!AE37</f>
        <v>0</v>
      </c>
      <c r="G21" s="360">
        <f>'0429'!AE48</f>
        <v>0</v>
      </c>
      <c r="H21" s="360">
        <f>'0429'!AE58</f>
        <v>0</v>
      </c>
      <c r="I21" s="359">
        <f>'0429'!AE69</f>
        <v>0</v>
      </c>
      <c r="J21" s="359">
        <f>'0429'!AE79</f>
        <v>0</v>
      </c>
    </row>
    <row r="22" spans="2:10" ht="17.25" customHeight="1">
      <c r="B22" s="364" t="s">
        <v>104</v>
      </c>
      <c r="C22" s="365"/>
      <c r="D22" s="23">
        <f>VALUE('0429'!M15)</f>
        <v>15</v>
      </c>
      <c r="E22" s="23">
        <f>VALUE('0429'!M26)</f>
        <v>13.4</v>
      </c>
      <c r="F22" s="23">
        <f>VALUE('0429'!M37)</f>
        <v>17</v>
      </c>
      <c r="G22" s="23">
        <f>VALUE('0429'!M48)</f>
        <v>16.333333333333332</v>
      </c>
      <c r="H22" s="23">
        <f>VALUE('0429'!M58)</f>
        <v>15.6</v>
      </c>
      <c r="I22" s="23">
        <f>VALUE('0429'!M69)</f>
        <v>13.666666666666666</v>
      </c>
      <c r="J22" s="23">
        <f>'0429'!M79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57D1-2862-4BF1-A7DF-E23D5F0A5544}">
  <sheetPr>
    <tabColor theme="9" tint="0.79998168889431442"/>
  </sheetPr>
  <dimension ref="A1:AJ92"/>
  <sheetViews>
    <sheetView zoomScale="70" zoomScaleNormal="70" workbookViewId="0">
      <pane xSplit="5" ySplit="4" topLeftCell="O27" activePane="bottomRight" state="frozen"/>
      <selection activeCell="Y61" sqref="Y61"/>
      <selection pane="topRight" activeCell="Y61" sqref="Y61"/>
      <selection pane="bottomLeft" activeCell="Y61" sqref="Y61"/>
      <selection pane="bottomRight" activeCell="AB54" sqref="AB54:AC5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52134</v>
      </c>
      <c r="F1" s="30" t="s">
        <v>2</v>
      </c>
      <c r="G1" s="31">
        <f>SUM(H5:H79)</f>
        <v>2543581.8230000013</v>
      </c>
      <c r="H1" s="32" t="s">
        <v>3</v>
      </c>
      <c r="I1" s="33">
        <f>M15+M26+M48+M58+M69+M79+M37</f>
        <v>91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255</v>
      </c>
      <c r="B2" s="483"/>
      <c r="C2" s="28"/>
      <c r="D2" s="28" t="s">
        <v>14</v>
      </c>
      <c r="E2" s="35">
        <f>AVERAGE(O15,O26,O37,O48,O58,O69,O79)</f>
        <v>104.00416469959607</v>
      </c>
      <c r="F2" s="36" t="s">
        <v>15</v>
      </c>
      <c r="G2" s="37">
        <f>G1/E1</f>
        <v>48.789308762036313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1</v>
      </c>
      <c r="AA2" s="339">
        <f>AA15+AA26+AA37+AA48+AA58+AA69+AA79</f>
        <v>15</v>
      </c>
      <c r="AB2" s="477"/>
      <c r="AC2" s="477"/>
      <c r="AD2" s="340">
        <f>AD15+AD26+AD37+AD48+AD58+AD69+AD79</f>
        <v>0</v>
      </c>
      <c r="AE2" s="340">
        <f>AE15+AE26+AE37+AE48+AE58+AE69+AE79</f>
        <v>0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2008</v>
      </c>
      <c r="H5" s="43">
        <f>F5*G5</f>
        <v>114194.95999999999</v>
      </c>
      <c r="I5" s="44"/>
      <c r="J5" s="45">
        <v>15</v>
      </c>
      <c r="K5" s="46">
        <v>2250</v>
      </c>
      <c r="L5" s="47">
        <f>K5/J5</f>
        <v>150</v>
      </c>
      <c r="M5" s="48">
        <v>15</v>
      </c>
      <c r="N5" s="46">
        <f>G5/W5*60</f>
        <v>1853.5384615384567</v>
      </c>
      <c r="O5" s="47">
        <f>N5/M5</f>
        <v>123.56923076923044</v>
      </c>
      <c r="P5" s="49">
        <f>M5-J5</f>
        <v>0</v>
      </c>
      <c r="Q5" s="50">
        <f>O5-L5</f>
        <v>-26.430769230769556</v>
      </c>
      <c r="R5" s="51">
        <f>O5/L5</f>
        <v>0.82379487179486965</v>
      </c>
      <c r="S5" s="415">
        <f>R15</f>
        <v>0.87094870315555339</v>
      </c>
      <c r="T5" s="319">
        <v>0.29166666666666702</v>
      </c>
      <c r="U5" s="320">
        <v>0.33680555555555602</v>
      </c>
      <c r="V5" s="53"/>
      <c r="W5" s="54">
        <f t="shared" ref="W5:W14" si="0">(U5-T5)*24*60</f>
        <v>65.000000000000171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-396.46153846154334</v>
      </c>
      <c r="AG5" s="52">
        <f t="shared" ref="AG5:AG11" si="2">N5/K5</f>
        <v>0.82379487179486965</v>
      </c>
      <c r="AH5" s="403">
        <f>AG15</f>
        <v>0.87094870315555339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4742</v>
      </c>
      <c r="H6" s="63">
        <f>F6*G6</f>
        <v>233021.88</v>
      </c>
      <c r="I6" s="64"/>
      <c r="J6" s="65">
        <v>15</v>
      </c>
      <c r="K6" s="66">
        <v>2250</v>
      </c>
      <c r="L6" s="67">
        <f>K6/J6</f>
        <v>150</v>
      </c>
      <c r="M6" s="68">
        <v>15</v>
      </c>
      <c r="N6" s="66">
        <f>G6/W6*60</f>
        <v>2123.2835820895421</v>
      </c>
      <c r="O6" s="67">
        <f>N6/M6</f>
        <v>141.55223880596947</v>
      </c>
      <c r="P6" s="69">
        <f>M6-J6</f>
        <v>0</v>
      </c>
      <c r="Q6" s="70">
        <f>O6-L6</f>
        <v>-8.4477611940305337</v>
      </c>
      <c r="R6" s="71">
        <f>O6/L6</f>
        <v>0.9436815920397964</v>
      </c>
      <c r="S6" s="416"/>
      <c r="T6" s="16">
        <v>0.34375</v>
      </c>
      <c r="U6" s="16">
        <v>0.436805555555556</v>
      </c>
      <c r="V6" s="30">
        <f>(T6-U5)*24*60</f>
        <v>9.999999999999325</v>
      </c>
      <c r="W6" s="73">
        <f t="shared" si="0"/>
        <v>134.00000000000065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-126.71641791045795</v>
      </c>
      <c r="AG6" s="72">
        <f t="shared" si="2"/>
        <v>0.94368159203979651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1899</v>
      </c>
      <c r="H7" s="78">
        <f>F7*G7</f>
        <v>110464.83</v>
      </c>
      <c r="I7" s="73"/>
      <c r="J7" s="79">
        <v>15</v>
      </c>
      <c r="K7" s="80">
        <v>2250</v>
      </c>
      <c r="L7" s="81">
        <f>K7/J7</f>
        <v>150</v>
      </c>
      <c r="M7" s="82">
        <v>15</v>
      </c>
      <c r="N7" s="80">
        <f>G7/W7*60</f>
        <v>2071.6363636363317</v>
      </c>
      <c r="O7" s="81">
        <f>N7/M7</f>
        <v>138.10909090908879</v>
      </c>
      <c r="P7" s="74">
        <f>M7-J7</f>
        <v>0</v>
      </c>
      <c r="Q7" s="83">
        <f>O7-L7</f>
        <v>-11.890909090911208</v>
      </c>
      <c r="R7" s="72">
        <f>O7/L7</f>
        <v>0.92072727272725863</v>
      </c>
      <c r="S7" s="416"/>
      <c r="T7" s="18">
        <v>0.44444444444444398</v>
      </c>
      <c r="U7" s="18">
        <v>0.48263888888888901</v>
      </c>
      <c r="V7" s="30">
        <f>(T7-U6)*24*60</f>
        <v>10.999999999998682</v>
      </c>
      <c r="W7" s="73">
        <f t="shared" si="0"/>
        <v>55.000000000000846</v>
      </c>
      <c r="X7" s="22">
        <v>0.49652777777777779</v>
      </c>
      <c r="Y7" s="84">
        <v>0.53819444444444442</v>
      </c>
      <c r="Z7" s="90"/>
      <c r="AA7" s="90"/>
      <c r="AB7" s="409"/>
      <c r="AC7" s="409"/>
      <c r="AD7" s="92"/>
      <c r="AE7" s="92"/>
      <c r="AF7" s="307">
        <f t="shared" si="1"/>
        <v>-178.36363636366832</v>
      </c>
      <c r="AG7" s="72">
        <f t="shared" si="2"/>
        <v>0.92072727272725852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2240</v>
      </c>
      <c r="H8" s="78">
        <f t="shared" ref="H8:H9" si="3">F8*G8</f>
        <v>130300.8</v>
      </c>
      <c r="I8" s="73"/>
      <c r="J8" s="79">
        <v>15</v>
      </c>
      <c r="K8" s="80"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1892.9577464788588</v>
      </c>
      <c r="O8" s="81">
        <f t="shared" ref="O8:O9" si="6">N8/M8</f>
        <v>126.19718309859059</v>
      </c>
      <c r="P8" s="74">
        <f t="shared" ref="P8:P9" si="7">M8-J8</f>
        <v>0</v>
      </c>
      <c r="Q8" s="83">
        <f t="shared" ref="Q8:Q9" si="8">O8-L8</f>
        <v>-23.802816901409415</v>
      </c>
      <c r="R8" s="72">
        <f t="shared" ref="R8:R9" si="9">O8/L8</f>
        <v>0.84131455399060395</v>
      </c>
      <c r="S8" s="416"/>
      <c r="T8" s="16">
        <v>0.54861111111111105</v>
      </c>
      <c r="U8" s="16">
        <v>0.59791666666666698</v>
      </c>
      <c r="V8" s="30">
        <f t="shared" ref="V8:V9" si="10">(T8-U7)*24*60</f>
        <v>94.999999999999744</v>
      </c>
      <c r="W8" s="73">
        <f t="shared" si="0"/>
        <v>71.00000000000054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-357.04225352114122</v>
      </c>
      <c r="AG8" s="72">
        <f t="shared" si="2"/>
        <v>0.84131455399060395</v>
      </c>
      <c r="AH8" s="405"/>
    </row>
    <row r="9" spans="1:34" ht="15" customHeight="1">
      <c r="A9" s="490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1145</v>
      </c>
      <c r="H9" s="78">
        <f t="shared" si="3"/>
        <v>56265.3</v>
      </c>
      <c r="I9" s="73"/>
      <c r="J9" s="79">
        <v>15</v>
      </c>
      <c r="K9" s="80">
        <v>2250</v>
      </c>
      <c r="L9" s="81">
        <f t="shared" si="4"/>
        <v>150</v>
      </c>
      <c r="M9" s="82">
        <v>15</v>
      </c>
      <c r="N9" s="80">
        <f t="shared" si="5"/>
        <v>1856.7567567567874</v>
      </c>
      <c r="O9" s="81">
        <f t="shared" si="6"/>
        <v>123.78378378378582</v>
      </c>
      <c r="P9" s="74">
        <f t="shared" si="7"/>
        <v>0</v>
      </c>
      <c r="Q9" s="83">
        <f t="shared" si="8"/>
        <v>-26.216216216214178</v>
      </c>
      <c r="R9" s="72">
        <f t="shared" si="9"/>
        <v>0.82522522522523878</v>
      </c>
      <c r="S9" s="417"/>
      <c r="T9" s="16">
        <v>0.60416666666666696</v>
      </c>
      <c r="U9" s="16">
        <v>0.62986111111111098</v>
      </c>
      <c r="V9" s="30">
        <f t="shared" si="10"/>
        <v>8.999999999999968</v>
      </c>
      <c r="W9" s="73">
        <f t="shared" si="0"/>
        <v>36.999999999999389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-393.24324324321265</v>
      </c>
      <c r="AG9" s="72">
        <f t="shared" si="2"/>
        <v>0.82522522522523878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1959.6345820999952</v>
      </c>
      <c r="O15" s="117">
        <f t="shared" si="11"/>
        <v>130.64230547333301</v>
      </c>
      <c r="P15" s="121">
        <f>M15-J15</f>
        <v>0</v>
      </c>
      <c r="Q15" s="122">
        <f>O15-L15</f>
        <v>-19.35769452666699</v>
      </c>
      <c r="R15" s="123">
        <f>O15/L15</f>
        <v>0.87094870315555339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-290.36541790000479</v>
      </c>
      <c r="AG15" s="124">
        <f>N15/K15</f>
        <v>0.87094870315555339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3367</v>
      </c>
      <c r="H16" s="134">
        <f>F16*G16</f>
        <v>170605.89</v>
      </c>
      <c r="I16" s="135"/>
      <c r="J16" s="136">
        <v>13</v>
      </c>
      <c r="K16" s="137">
        <v>2250</v>
      </c>
      <c r="L16" s="138">
        <f>K16/J16</f>
        <v>173.07692307692307</v>
      </c>
      <c r="M16" s="139">
        <v>13</v>
      </c>
      <c r="N16" s="140">
        <f>G16/W16*60</f>
        <v>2000.198019801978</v>
      </c>
      <c r="O16" s="141">
        <f>N16/M16</f>
        <v>153.86138613861368</v>
      </c>
      <c r="P16" s="142">
        <f>M16-J16</f>
        <v>0</v>
      </c>
      <c r="Q16" s="143">
        <f>O16-L16</f>
        <v>-19.215536938309384</v>
      </c>
      <c r="R16" s="144">
        <f>O16/L16</f>
        <v>0.88897689768976795</v>
      </c>
      <c r="S16" s="443">
        <f>R26</f>
        <v>0.87205901620566417</v>
      </c>
      <c r="T16" s="145">
        <v>0.29166666666666702</v>
      </c>
      <c r="U16" s="145">
        <v>0.36180555555555599</v>
      </c>
      <c r="V16" s="135"/>
      <c r="W16" s="146">
        <f t="shared" ref="W16:W78" si="12">(U16-T16)*24*60</f>
        <v>101.00000000000011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-249.80198019802197</v>
      </c>
      <c r="AG16" s="52">
        <f>N16/K16</f>
        <v>0.88897689768976806</v>
      </c>
      <c r="AH16" s="403">
        <f>AG26</f>
        <v>0.87110979972548563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2067</v>
      </c>
      <c r="H17" s="78">
        <f>F17*G17</f>
        <v>117012.87</v>
      </c>
      <c r="I17" s="30"/>
      <c r="J17" s="79">
        <v>15</v>
      </c>
      <c r="K17" s="80">
        <v>2250</v>
      </c>
      <c r="L17" s="81">
        <f>K17/J17</f>
        <v>150</v>
      </c>
      <c r="M17" s="148">
        <v>15</v>
      </c>
      <c r="N17" s="95">
        <f>G17/W17*60</f>
        <v>2000.3225806451424</v>
      </c>
      <c r="O17" s="96">
        <f>N17/M17</f>
        <v>133.35483870967616</v>
      </c>
      <c r="P17" s="97">
        <f>M17-J17</f>
        <v>0</v>
      </c>
      <c r="Q17" s="98">
        <f>O17-L17</f>
        <v>-16.645161290323841</v>
      </c>
      <c r="R17" s="99">
        <f>O17/L17</f>
        <v>0.8890322580645077</v>
      </c>
      <c r="S17" s="444"/>
      <c r="T17" s="19">
        <v>0.36944444444444402</v>
      </c>
      <c r="U17" s="19">
        <v>0.41249999999999998</v>
      </c>
      <c r="V17" s="30">
        <f>(T17-U16)*24*60</f>
        <v>10.999999999998762</v>
      </c>
      <c r="W17" s="149">
        <f t="shared" si="12"/>
        <v>62.000000000000583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-249.67741935485765</v>
      </c>
      <c r="AG17" s="72">
        <f>N17/K17</f>
        <v>0.8890322580645077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2748</v>
      </c>
      <c r="H18" s="78">
        <f>F18*G18</f>
        <v>138471.72</v>
      </c>
      <c r="I18" s="30"/>
      <c r="J18" s="79">
        <v>12</v>
      </c>
      <c r="K18" s="80">
        <v>2250</v>
      </c>
      <c r="L18" s="81">
        <f>K18/J18</f>
        <v>187.5</v>
      </c>
      <c r="M18" s="148">
        <v>12</v>
      </c>
      <c r="N18" s="95">
        <f>G18/W18*60</f>
        <v>2035.5555555555568</v>
      </c>
      <c r="O18" s="96">
        <f>N18/M18</f>
        <v>169.62962962962973</v>
      </c>
      <c r="P18" s="97">
        <f>M18-J18</f>
        <v>0</v>
      </c>
      <c r="Q18" s="98">
        <f>O18-L18</f>
        <v>-17.870370370370267</v>
      </c>
      <c r="R18" s="99">
        <f>O18/L18</f>
        <v>0.90469135802469192</v>
      </c>
      <c r="S18" s="444"/>
      <c r="T18" s="19">
        <v>0.41875000000000001</v>
      </c>
      <c r="U18" s="19">
        <v>0.47499999999999998</v>
      </c>
      <c r="V18" s="30">
        <f>(T18-U17)*24*60</f>
        <v>9.000000000000048</v>
      </c>
      <c r="W18" s="149">
        <f t="shared" si="12"/>
        <v>80.999999999999957</v>
      </c>
      <c r="X18" s="22">
        <v>0.48611111111111099</v>
      </c>
      <c r="Y18" s="84">
        <v>0.52777777777777801</v>
      </c>
      <c r="Z18" s="90"/>
      <c r="AA18" s="90"/>
      <c r="AB18" s="409"/>
      <c r="AC18" s="409"/>
      <c r="AD18" s="92"/>
      <c r="AE18" s="92"/>
      <c r="AF18" s="307">
        <f>N18-K18</f>
        <v>-214.44444444444321</v>
      </c>
      <c r="AG18" s="72">
        <f>N18/K18</f>
        <v>0.90469135802469192</v>
      </c>
      <c r="AH18" s="405"/>
    </row>
    <row r="19" spans="1:34" ht="15" customHeight="1">
      <c r="A19" s="450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1749</v>
      </c>
      <c r="H19" s="78">
        <f t="shared" ref="H19:H20" si="13">F19*G19</f>
        <v>88132.11</v>
      </c>
      <c r="I19" s="30"/>
      <c r="J19" s="79">
        <v>12</v>
      </c>
      <c r="K19" s="80"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1907.9999999999734</v>
      </c>
      <c r="O19" s="96">
        <f t="shared" ref="O19:O20" si="16">N19/M19</f>
        <v>158.99999999999778</v>
      </c>
      <c r="P19" s="97">
        <f t="shared" ref="P19:P20" si="17">M19-J19</f>
        <v>0</v>
      </c>
      <c r="Q19" s="98">
        <f t="shared" ref="Q19:Q20" si="18">O19-L19</f>
        <v>-28.500000000002217</v>
      </c>
      <c r="R19" s="99">
        <f t="shared" ref="R19:R20" si="19">O19/L19</f>
        <v>0.84799999999998821</v>
      </c>
      <c r="S19" s="444"/>
      <c r="T19" s="19">
        <v>0.54861111111111105</v>
      </c>
      <c r="U19" s="19">
        <v>0.58680555555555602</v>
      </c>
      <c r="V19" s="30">
        <f>(T19-U18)*24*60</f>
        <v>105.99999999999994</v>
      </c>
      <c r="W19" s="149">
        <f t="shared" si="12"/>
        <v>55.000000000000767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-342.0000000000266</v>
      </c>
      <c r="AG19" s="72">
        <f>N19/K19</f>
        <v>0.84799999999998821</v>
      </c>
      <c r="AH19" s="406"/>
    </row>
    <row r="20" spans="1:34" ht="15" customHeight="1">
      <c r="A20" s="450"/>
      <c r="B20" s="75" t="s">
        <v>81</v>
      </c>
      <c r="C20" s="76"/>
      <c r="D20" s="59" t="s">
        <v>147</v>
      </c>
      <c r="E20" s="77"/>
      <c r="F20" s="75">
        <f>VLOOKUP(D20,廠價表!$C$1:$E$43,3,0)</f>
        <v>56.87</v>
      </c>
      <c r="G20" s="147">
        <v>1361</v>
      </c>
      <c r="H20" s="78">
        <f t="shared" si="13"/>
        <v>77400.069999999992</v>
      </c>
      <c r="I20" s="30"/>
      <c r="J20" s="79">
        <v>15</v>
      </c>
      <c r="K20" s="80">
        <v>2250</v>
      </c>
      <c r="L20" s="81">
        <f t="shared" si="14"/>
        <v>150</v>
      </c>
      <c r="M20" s="148">
        <v>15</v>
      </c>
      <c r="N20" s="95">
        <f t="shared" si="15"/>
        <v>1855.9090909090639</v>
      </c>
      <c r="O20" s="96">
        <f t="shared" si="16"/>
        <v>123.72727272727093</v>
      </c>
      <c r="P20" s="97">
        <f t="shared" si="17"/>
        <v>0</v>
      </c>
      <c r="Q20" s="98">
        <f t="shared" si="18"/>
        <v>-26.272727272729071</v>
      </c>
      <c r="R20" s="99">
        <f t="shared" si="19"/>
        <v>0.82484848484847284</v>
      </c>
      <c r="S20" s="444"/>
      <c r="T20" s="19">
        <v>0.59861111111111098</v>
      </c>
      <c r="U20" s="19">
        <v>0.62916666666666698</v>
      </c>
      <c r="V20" s="30">
        <f>(T20-U19)*24*60</f>
        <v>16.99999999999914</v>
      </c>
      <c r="W20" s="149">
        <f t="shared" si="12"/>
        <v>44.000000000000639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12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13.4</v>
      </c>
      <c r="K26" s="155">
        <f t="shared" si="20"/>
        <v>2250</v>
      </c>
      <c r="L26" s="158">
        <f t="shared" si="20"/>
        <v>169.61538461538461</v>
      </c>
      <c r="M26" s="155">
        <f t="shared" si="20"/>
        <v>13.4</v>
      </c>
      <c r="N26" s="155">
        <f t="shared" si="20"/>
        <v>1959.9970493823428</v>
      </c>
      <c r="O26" s="158">
        <f t="shared" si="20"/>
        <v>147.91462544103766</v>
      </c>
      <c r="P26" s="159">
        <f>M26-J26</f>
        <v>0</v>
      </c>
      <c r="Q26" s="160">
        <f>O26-L26</f>
        <v>-21.700759174346956</v>
      </c>
      <c r="R26" s="161">
        <f>O26/L26</f>
        <v>0.87205901620566417</v>
      </c>
      <c r="S26" s="44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21">N26-K26</f>
        <v>-290.00295061765723</v>
      </c>
      <c r="AG26" s="124">
        <f t="shared" ref="AG26:AG31" si="22">N26/K26</f>
        <v>0.87110979972548563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120</v>
      </c>
      <c r="E27" s="132"/>
      <c r="F27" s="129">
        <f>VLOOKUP(D27,廠價表!$C$1:$E$43,3,0)</f>
        <v>50.67</v>
      </c>
      <c r="G27" s="169">
        <v>1116</v>
      </c>
      <c r="H27" s="134">
        <f>F27*G27</f>
        <v>56547.72</v>
      </c>
      <c r="I27" s="135"/>
      <c r="J27" s="136">
        <f>VLOOKUP(D27,產線配置圖!$A$3:$C$38,2,0)</f>
        <v>13</v>
      </c>
      <c r="K27" s="137">
        <f>VLOOKUP(D27,產線配置圖!$A$3:$C$38,3,0)</f>
        <v>1440</v>
      </c>
      <c r="L27" s="138">
        <f>K27/J27</f>
        <v>110.76923076923077</v>
      </c>
      <c r="M27" s="170">
        <v>13</v>
      </c>
      <c r="N27" s="140">
        <f>G27/W27*60</f>
        <v>1312.9411764706133</v>
      </c>
      <c r="O27" s="141">
        <f>N27/M27</f>
        <v>100.9954751131241</v>
      </c>
      <c r="P27" s="142">
        <f>M27-J27</f>
        <v>0</v>
      </c>
      <c r="Q27" s="143">
        <f>O27-L27</f>
        <v>-9.7737556561066725</v>
      </c>
      <c r="R27" s="144">
        <f>O27/L27</f>
        <v>0.91176470588237035</v>
      </c>
      <c r="S27" s="443">
        <f>R37</f>
        <v>0.78337503502915729</v>
      </c>
      <c r="T27" s="171">
        <v>0.29305555555555601</v>
      </c>
      <c r="U27" s="171">
        <v>0.328472222222222</v>
      </c>
      <c r="V27" s="135"/>
      <c r="W27" s="146">
        <f t="shared" si="12"/>
        <v>50.999999999999019</v>
      </c>
      <c r="X27" s="135"/>
      <c r="Y27" s="300" t="s">
        <v>46</v>
      </c>
      <c r="Z27" s="169"/>
      <c r="AA27" s="169"/>
      <c r="AB27" s="420"/>
      <c r="AC27" s="420"/>
      <c r="AD27" s="135"/>
      <c r="AE27" s="135"/>
      <c r="AF27" s="310">
        <f t="shared" si="21"/>
        <v>-127.0588235293867</v>
      </c>
      <c r="AG27" s="172">
        <f t="shared" si="22"/>
        <v>0.91176470588237035</v>
      </c>
      <c r="AH27" s="403">
        <f>AG37</f>
        <v>0.77139468227483365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2000</v>
      </c>
      <c r="H28" s="91">
        <f>F28*G28</f>
        <v>100578</v>
      </c>
      <c r="I28" s="92"/>
      <c r="J28" s="79">
        <v>19</v>
      </c>
      <c r="K28" s="80">
        <f>VLOOKUP(D28,產線配置圖!$A$3:$C$38,3,0)</f>
        <v>1565</v>
      </c>
      <c r="L28" s="93">
        <f>K28/J28</f>
        <v>82.368421052631575</v>
      </c>
      <c r="M28" s="94">
        <v>19</v>
      </c>
      <c r="N28" s="95">
        <f>G28/W28*60</f>
        <v>1071.428571428582</v>
      </c>
      <c r="O28" s="96">
        <f>N28/M28</f>
        <v>56.390977443609579</v>
      </c>
      <c r="P28" s="97">
        <f>M28-J28</f>
        <v>0</v>
      </c>
      <c r="Q28" s="98">
        <f>O28-L28</f>
        <v>-25.977443609021996</v>
      </c>
      <c r="R28" s="99">
        <f>O28/L28</f>
        <v>0.68461889548152211</v>
      </c>
      <c r="S28" s="444"/>
      <c r="T28" s="19">
        <v>0.33541666666666697</v>
      </c>
      <c r="U28" s="19">
        <v>0.41319444444444398</v>
      </c>
      <c r="V28" s="92">
        <f>(T28-U27)*24*60</f>
        <v>10.000000000000764</v>
      </c>
      <c r="W28" s="149">
        <f t="shared" si="12"/>
        <v>111.99999999999888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21"/>
        <v>-493.57142857141798</v>
      </c>
      <c r="AG28" s="99">
        <f t="shared" si="22"/>
        <v>0.68461889548152211</v>
      </c>
      <c r="AH28" s="404"/>
    </row>
    <row r="29" spans="1:34" ht="15" customHeight="1">
      <c r="A29" s="441"/>
      <c r="B29" s="75" t="s">
        <v>81</v>
      </c>
      <c r="C29" s="173"/>
      <c r="D29" s="59" t="s">
        <v>113</v>
      </c>
      <c r="E29" s="104"/>
      <c r="F29" s="75">
        <f>VLOOKUP(D29,廠價表!$C$1:$E$43,3,0)</f>
        <v>57.21</v>
      </c>
      <c r="G29" s="90">
        <v>1385</v>
      </c>
      <c r="H29" s="91">
        <f>F29*G29</f>
        <v>79235.850000000006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17</v>
      </c>
      <c r="N29" s="95">
        <f>G29/W29*60</f>
        <v>1259.0909090909181</v>
      </c>
      <c r="O29" s="96">
        <f>N29/M29</f>
        <v>74.064171122995177</v>
      </c>
      <c r="P29" s="97">
        <f>M29-J29</f>
        <v>0</v>
      </c>
      <c r="Q29" s="98">
        <f>O29-L29</f>
        <v>-26.877005347593055</v>
      </c>
      <c r="R29" s="99">
        <f>O29/L29</f>
        <v>0.73373596100869354</v>
      </c>
      <c r="S29" s="444"/>
      <c r="T29" s="19">
        <v>0.41805555555555601</v>
      </c>
      <c r="U29" s="19">
        <v>0.46388888888888902</v>
      </c>
      <c r="V29" s="92">
        <f>(T29-U28)*24*60</f>
        <v>7.000000000001334</v>
      </c>
      <c r="W29" s="149">
        <f t="shared" si="12"/>
        <v>65.999999999999531</v>
      </c>
      <c r="X29" s="22">
        <v>0.46875</v>
      </c>
      <c r="Y29" s="84">
        <v>0.52083333333333337</v>
      </c>
      <c r="Z29" s="90"/>
      <c r="AA29" s="90"/>
      <c r="AB29" s="409"/>
      <c r="AC29" s="409"/>
      <c r="AD29" s="92"/>
      <c r="AE29" s="92"/>
      <c r="AF29" s="312">
        <f t="shared" si="21"/>
        <v>-456.9090909090819</v>
      </c>
      <c r="AG29" s="99">
        <f t="shared" si="22"/>
        <v>0.73373596100869354</v>
      </c>
      <c r="AH29" s="404"/>
    </row>
    <row r="30" spans="1:34" ht="15" customHeight="1">
      <c r="A30" s="441"/>
      <c r="B30" s="75" t="s">
        <v>81</v>
      </c>
      <c r="C30" s="88"/>
      <c r="D30" s="59" t="s">
        <v>213</v>
      </c>
      <c r="E30" s="89"/>
      <c r="F30" s="75">
        <f>VLOOKUP(D30,廠價表!$C$1:$E$43,3,0)</f>
        <v>50.289000000000001</v>
      </c>
      <c r="G30" s="90">
        <v>1527</v>
      </c>
      <c r="H30" s="91">
        <f>F30*G30</f>
        <v>76791.303</v>
      </c>
      <c r="I30" s="92"/>
      <c r="J30" s="79">
        <v>19</v>
      </c>
      <c r="K30" s="80">
        <f>VLOOKUP(D30,產線配置圖!$A$3:$C$38,3,0)</f>
        <v>1565</v>
      </c>
      <c r="L30" s="93">
        <f>K30/J30</f>
        <v>82.368421052631575</v>
      </c>
      <c r="M30" s="94">
        <v>19</v>
      </c>
      <c r="N30" s="95">
        <f t="shared" ref="N30" si="23">G30/W30*60</f>
        <v>1205.5263157894906</v>
      </c>
      <c r="O30" s="96">
        <f>N30/M30</f>
        <v>63.44875346260477</v>
      </c>
      <c r="P30" s="97">
        <f t="shared" ref="P30" si="24">M30-J30</f>
        <v>0</v>
      </c>
      <c r="Q30" s="98">
        <f t="shared" ref="Q30" si="25">O30-L30</f>
        <v>-18.919667590026805</v>
      </c>
      <c r="R30" s="99">
        <f t="shared" ref="R30" si="26">O30/L30</f>
        <v>0.77030435513705475</v>
      </c>
      <c r="S30" s="444"/>
      <c r="T30" s="19">
        <v>0.52916666666666701</v>
      </c>
      <c r="U30" s="19">
        <v>0.58194444444444404</v>
      </c>
      <c r="V30" s="92">
        <f>(T30-U29)*24*60</f>
        <v>94.000000000000313</v>
      </c>
      <c r="W30" s="149">
        <f t="shared" si="12"/>
        <v>75.999999999998934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21"/>
        <v>-359.47368421050942</v>
      </c>
      <c r="AG30" s="99">
        <f t="shared" si="22"/>
        <v>0.77030435513705464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21"/>
        <v>0</v>
      </c>
      <c r="AG31" s="99" t="e">
        <f t="shared" si="22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27">AVERAGE(J27:J36)</f>
        <v>17</v>
      </c>
      <c r="K37" s="155">
        <f t="shared" si="27"/>
        <v>1571.5</v>
      </c>
      <c r="L37" s="158">
        <f t="shared" si="27"/>
        <v>94.111812336270532</v>
      </c>
      <c r="M37" s="155">
        <f t="shared" si="27"/>
        <v>17</v>
      </c>
      <c r="N37" s="155">
        <f t="shared" si="27"/>
        <v>1212.246743194901</v>
      </c>
      <c r="O37" s="158">
        <f t="shared" si="27"/>
        <v>73.724844285583401</v>
      </c>
      <c r="P37" s="159">
        <f>M37-J37</f>
        <v>0</v>
      </c>
      <c r="Q37" s="160">
        <f>N37-K37</f>
        <v>-359.253256805099</v>
      </c>
      <c r="R37" s="161">
        <f>O37/L37</f>
        <v>0.78337503502915729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-359.253256805099</v>
      </c>
      <c r="AG37" s="124">
        <f>N37/K37</f>
        <v>0.77139468227483365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2435</v>
      </c>
      <c r="H38" s="134">
        <f>F38*G38</f>
        <v>121530.84999999999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1623.3333333333335</v>
      </c>
      <c r="O38" s="141">
        <f>N38/M38</f>
        <v>108.22222222222223</v>
      </c>
      <c r="P38" s="142">
        <f>M38-J38</f>
        <v>0</v>
      </c>
      <c r="Q38" s="143">
        <f>O38-L38</f>
        <v>-6.0444444444444372</v>
      </c>
      <c r="R38" s="144">
        <f>O38/L38</f>
        <v>0.94710229482691566</v>
      </c>
      <c r="S38" s="433">
        <f>R48</f>
        <v>0.92899774761991716</v>
      </c>
      <c r="T38" s="191">
        <v>0.33333333333333298</v>
      </c>
      <c r="U38" s="191">
        <v>0.39583333333333298</v>
      </c>
      <c r="V38" s="192"/>
      <c r="W38" s="193">
        <f t="shared" si="12"/>
        <v>90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-90.666666666666515</v>
      </c>
      <c r="AG38" s="195">
        <f>N38/K38</f>
        <v>0.94710229482691566</v>
      </c>
      <c r="AH38" s="436">
        <f>AG48</f>
        <v>0.92814359970048987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2980</v>
      </c>
      <c r="H39" s="91">
        <f>F39*G39</f>
        <v>132014</v>
      </c>
      <c r="I39" s="200"/>
      <c r="J39" s="148">
        <v>17</v>
      </c>
      <c r="K39" s="95">
        <f>VLOOKUP(D39,產線配置圖!$A$3:$C$38,3,0)</f>
        <v>1565</v>
      </c>
      <c r="L39" s="96">
        <f>K39/J39</f>
        <v>92.058823529411768</v>
      </c>
      <c r="M39" s="201">
        <v>17</v>
      </c>
      <c r="N39" s="202">
        <f>G39/W39*60</f>
        <v>1541.3793103448184</v>
      </c>
      <c r="O39" s="203">
        <f>N39/M39</f>
        <v>90.669371196754014</v>
      </c>
      <c r="P39" s="97">
        <f>M39-J39</f>
        <v>0</v>
      </c>
      <c r="Q39" s="98">
        <f>O39-L39</f>
        <v>-1.3894523326577541</v>
      </c>
      <c r="R39" s="99">
        <f>O39/L39</f>
        <v>0.98490690756857391</v>
      </c>
      <c r="S39" s="434"/>
      <c r="T39" s="20">
        <v>0.41249999999999998</v>
      </c>
      <c r="U39" s="20">
        <v>0.49305555555555602</v>
      </c>
      <c r="V39" s="92">
        <f>(T39-U38)*24*60</f>
        <v>24.000000000000476</v>
      </c>
      <c r="W39" s="205">
        <f t="shared" si="12"/>
        <v>116.00000000000071</v>
      </c>
      <c r="X39" s="22">
        <v>0.5</v>
      </c>
      <c r="Y39" s="84">
        <v>0.54166666666666663</v>
      </c>
      <c r="Z39" s="90"/>
      <c r="AA39" s="90"/>
      <c r="AB39" s="408" t="s">
        <v>265</v>
      </c>
      <c r="AC39" s="408"/>
      <c r="AD39" s="200"/>
      <c r="AE39" s="200"/>
      <c r="AF39" s="314">
        <f>N39-K39</f>
        <v>-23.62068965518165</v>
      </c>
      <c r="AG39" s="206">
        <f>N39/K39</f>
        <v>0.98490690756857402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2374</v>
      </c>
      <c r="H40" s="91">
        <f>F40*G40</f>
        <v>105168.2</v>
      </c>
      <c r="I40" s="200"/>
      <c r="J40" s="148">
        <v>17</v>
      </c>
      <c r="K40" s="95">
        <f>VLOOKUP(D40,產線配置圖!$A$3:$C$38,3,0)</f>
        <v>1565</v>
      </c>
      <c r="L40" s="96">
        <f>K40/J40</f>
        <v>92.058823529411768</v>
      </c>
      <c r="M40" s="201">
        <v>17</v>
      </c>
      <c r="N40" s="202">
        <f>G40/W40*60</f>
        <v>1331.2149532710209</v>
      </c>
      <c r="O40" s="203">
        <f>N40/M40</f>
        <v>78.30676195711888</v>
      </c>
      <c r="P40" s="97">
        <f>M40-J40</f>
        <v>0</v>
      </c>
      <c r="Q40" s="98">
        <f>O40-L40</f>
        <v>-13.752061572292888</v>
      </c>
      <c r="R40" s="99">
        <f>O40/L40</f>
        <v>0.85061658355975778</v>
      </c>
      <c r="S40" s="416"/>
      <c r="T40" s="20">
        <v>0.54861111111111105</v>
      </c>
      <c r="U40" s="20">
        <v>0.62291666666666701</v>
      </c>
      <c r="V40" s="92">
        <f>(T40-U39)*24*60</f>
        <v>79.999999999999233</v>
      </c>
      <c r="W40" s="205">
        <f t="shared" si="12"/>
        <v>107.00000000000058</v>
      </c>
      <c r="X40" s="208"/>
      <c r="Y40" s="209"/>
      <c r="Z40" s="337"/>
      <c r="AA40" s="337"/>
      <c r="AB40" s="409"/>
      <c r="AC40" s="409"/>
      <c r="AD40" s="92"/>
      <c r="AE40" s="92"/>
      <c r="AF40" s="314">
        <f>N40-K40</f>
        <v>-233.78504672897907</v>
      </c>
      <c r="AG40" s="206">
        <f>N40/K40</f>
        <v>0.85061658355975778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28">AVERAGE(J38:J47)</f>
        <v>16.333333333333332</v>
      </c>
      <c r="K48" s="155">
        <f t="shared" si="28"/>
        <v>1614.6666666666667</v>
      </c>
      <c r="L48" s="158">
        <f t="shared" si="28"/>
        <v>99.461437908496734</v>
      </c>
      <c r="M48" s="155">
        <f t="shared" si="28"/>
        <v>16.333333333333332</v>
      </c>
      <c r="N48" s="155">
        <f t="shared" si="28"/>
        <v>1498.642532316391</v>
      </c>
      <c r="O48" s="158">
        <f t="shared" si="28"/>
        <v>92.399451792031712</v>
      </c>
      <c r="P48" s="221">
        <f>M48-J48</f>
        <v>0</v>
      </c>
      <c r="Q48" s="222">
        <f>N48-K48</f>
        <v>-116.02413435027574</v>
      </c>
      <c r="R48" s="223">
        <f>O48/L48</f>
        <v>0.92899774761991716</v>
      </c>
      <c r="S48" s="419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10"/>
      <c r="AC48" s="410"/>
      <c r="AD48" s="323">
        <f>SUM(AD38:AD47)</f>
        <v>0</v>
      </c>
      <c r="AE48" s="323">
        <f>SUM(AE38:AE47)</f>
        <v>0</v>
      </c>
      <c r="AF48" s="315">
        <f t="shared" ref="AF48:AF53" si="29">N48-K48</f>
        <v>-116.02413435027574</v>
      </c>
      <c r="AG48" s="162">
        <f t="shared" ref="AG48:AG53" si="30">N48/K48</f>
        <v>0.92814359970048987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1981</v>
      </c>
      <c r="H49" s="134">
        <f>F49*G49</f>
        <v>98099.12000000001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1432.0481927710839</v>
      </c>
      <c r="O49" s="141">
        <f>N49/M49</f>
        <v>84.238128986534349</v>
      </c>
      <c r="P49" s="229">
        <f>M49-J49</f>
        <v>0</v>
      </c>
      <c r="Q49" s="230">
        <f>O49-L49</f>
        <v>-3.997165131112709</v>
      </c>
      <c r="R49" s="52">
        <f>O49/L49</f>
        <v>0.95469879518072265</v>
      </c>
      <c r="S49" s="415">
        <f>R58</f>
        <v>0.84910274552369758</v>
      </c>
      <c r="T49" s="191">
        <v>0.28819444444444442</v>
      </c>
      <c r="U49" s="191">
        <v>0.34583333333333333</v>
      </c>
      <c r="V49" s="55"/>
      <c r="W49" s="193">
        <f t="shared" si="12"/>
        <v>83.000000000000028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29"/>
        <v>-67.951807228916095</v>
      </c>
      <c r="AG49" s="52">
        <f t="shared" si="30"/>
        <v>0.95469879518072265</v>
      </c>
      <c r="AH49" s="403">
        <f>AG58</f>
        <v>0.85002668038857354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4484</v>
      </c>
      <c r="H50" s="231">
        <f>F50*G50</f>
        <v>224065.47999999998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1591.9526627218947</v>
      </c>
      <c r="O50" s="235">
        <f>N50/M50</f>
        <v>99.497041420118421</v>
      </c>
      <c r="P50" s="74">
        <f>M50-J50</f>
        <v>0</v>
      </c>
      <c r="Q50" s="83">
        <f>O50-L50</f>
        <v>-13.002958579881579</v>
      </c>
      <c r="R50" s="72">
        <f>O50/L50</f>
        <v>0.88441814595660817</v>
      </c>
      <c r="S50" s="416"/>
      <c r="T50" s="21">
        <v>0.35138888888888897</v>
      </c>
      <c r="U50" s="21">
        <v>0.46875</v>
      </c>
      <c r="V50" s="30">
        <f>(T50-U49)*24*60</f>
        <v>8.0000000000001315</v>
      </c>
      <c r="W50" s="236">
        <f t="shared" si="12"/>
        <v>168.99999999999989</v>
      </c>
      <c r="X50" s="22">
        <v>0.47569444444444442</v>
      </c>
      <c r="Y50" s="84">
        <v>0.52777777777777779</v>
      </c>
      <c r="Z50" s="90"/>
      <c r="AA50" s="90"/>
      <c r="AB50" s="409"/>
      <c r="AC50" s="409"/>
      <c r="AD50" s="92"/>
      <c r="AE50" s="92"/>
      <c r="AF50" s="307">
        <f t="shared" si="29"/>
        <v>-208.04733727810526</v>
      </c>
      <c r="AG50" s="72">
        <f t="shared" si="30"/>
        <v>0.88441814595660817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1012</v>
      </c>
      <c r="H51" s="231">
        <f>F51*G51</f>
        <v>50569.64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1641.0810810811081</v>
      </c>
      <c r="O51" s="235">
        <f>N51/M51</f>
        <v>102.56756756756926</v>
      </c>
      <c r="P51" s="74">
        <f>M51-J51</f>
        <v>0</v>
      </c>
      <c r="Q51" s="83">
        <f>O51-L51</f>
        <v>-9.932432432430744</v>
      </c>
      <c r="R51" s="72">
        <f>O51/L51</f>
        <v>0.91171171171172671</v>
      </c>
      <c r="S51" s="416"/>
      <c r="T51" s="21">
        <v>0.530555555555556</v>
      </c>
      <c r="U51" s="19">
        <v>0.55625000000000002</v>
      </c>
      <c r="V51" s="30">
        <f>(T51-U50)*24*60</f>
        <v>89.000000000000639</v>
      </c>
      <c r="W51" s="236">
        <f t="shared" si="12"/>
        <v>36.999999999999389</v>
      </c>
      <c r="X51" s="22"/>
      <c r="Y51" s="84"/>
      <c r="Z51" s="90"/>
      <c r="AA51" s="90"/>
      <c r="AB51" s="409"/>
      <c r="AC51" s="409"/>
      <c r="AD51" s="92"/>
      <c r="AE51" s="92"/>
      <c r="AF51" s="307">
        <f t="shared" si="29"/>
        <v>-158.9189189188919</v>
      </c>
      <c r="AG51" s="72">
        <f t="shared" si="30"/>
        <v>0.91171171171172671</v>
      </c>
      <c r="AH51" s="405"/>
    </row>
    <row r="52" spans="1:34" ht="15" customHeight="1">
      <c r="A52" s="428"/>
      <c r="B52" s="75" t="s">
        <v>81</v>
      </c>
      <c r="C52" s="86"/>
      <c r="D52" s="59" t="s">
        <v>113</v>
      </c>
      <c r="E52" s="87"/>
      <c r="F52" s="75">
        <f>VLOOKUP(D52,廠價表!$C$1:$E$43,3,0)</f>
        <v>57.21</v>
      </c>
      <c r="G52" s="202">
        <v>1270</v>
      </c>
      <c r="H52" s="231">
        <f>F52*G52</f>
        <v>72656.7</v>
      </c>
      <c r="I52" s="232"/>
      <c r="J52" s="79">
        <v>17</v>
      </c>
      <c r="K52" s="80">
        <v>1716</v>
      </c>
      <c r="L52" s="81">
        <f>K52/J52</f>
        <v>100.94117647058823</v>
      </c>
      <c r="M52" s="233">
        <v>16</v>
      </c>
      <c r="N52" s="234">
        <f>G52/W52*60</f>
        <v>1494.1176470588102</v>
      </c>
      <c r="O52" s="235">
        <f>N52/M52</f>
        <v>93.38235294117564</v>
      </c>
      <c r="P52" s="74">
        <f>M52-J52</f>
        <v>-1</v>
      </c>
      <c r="Q52" s="83">
        <f>O52-L52</f>
        <v>-7.5588235294125923</v>
      </c>
      <c r="R52" s="72">
        <f>O52/L52</f>
        <v>0.92511655011654192</v>
      </c>
      <c r="S52" s="416"/>
      <c r="T52" s="21">
        <v>0.563194444444444</v>
      </c>
      <c r="U52" s="21">
        <v>0.59861111111111098</v>
      </c>
      <c r="V52" s="30">
        <f>(T52-U51)*24*60</f>
        <v>9.999999999999325</v>
      </c>
      <c r="W52" s="236">
        <f t="shared" si="12"/>
        <v>51.000000000000455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29"/>
        <v>-221.88235294118977</v>
      </c>
      <c r="AG52" s="72">
        <f t="shared" si="30"/>
        <v>0.8706979295214512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29"/>
        <v>0</v>
      </c>
      <c r="AG53" s="72" t="e">
        <f t="shared" si="30"/>
        <v>#DIV/0!</v>
      </c>
      <c r="AH53" s="405"/>
    </row>
    <row r="54" spans="1:34" ht="15" customHeight="1">
      <c r="A54" s="428"/>
      <c r="B54" s="250" t="s">
        <v>81</v>
      </c>
      <c r="C54" s="251"/>
      <c r="D54" s="257" t="s">
        <v>120</v>
      </c>
      <c r="E54" s="253"/>
      <c r="F54" s="250">
        <f>VLOOKUP(D54,廠價表!$C$1:$E$43,3,0)</f>
        <v>50.67</v>
      </c>
      <c r="G54" s="38">
        <v>830</v>
      </c>
      <c r="H54" s="254">
        <f>F54*G54</f>
        <v>42056.1</v>
      </c>
      <c r="I54" s="182"/>
      <c r="J54" s="106">
        <f>VLOOKUP(D54,產線配置圖!$A$3:$C$38,2,0)</f>
        <v>13</v>
      </c>
      <c r="K54" s="107">
        <f>VLOOKUP(D54,產線配置圖!$A$3:$C$38,3,0)</f>
        <v>1440</v>
      </c>
      <c r="L54" s="238">
        <f>K54/J54</f>
        <v>110.76923076923077</v>
      </c>
      <c r="M54" s="108">
        <v>13</v>
      </c>
      <c r="N54" s="107">
        <f>G54/W54*60</f>
        <v>858.62068965516596</v>
      </c>
      <c r="O54" s="238">
        <f>N54/M54</f>
        <v>66.047745358089685</v>
      </c>
      <c r="P54" s="111">
        <f>M54-J54</f>
        <v>0</v>
      </c>
      <c r="Q54" s="255">
        <f>O54-L54</f>
        <v>-44.721485411141089</v>
      </c>
      <c r="R54" s="85">
        <f>O54/L54</f>
        <v>0.59626436781608738</v>
      </c>
      <c r="S54" s="416"/>
      <c r="T54" s="22">
        <v>0.57777777777777795</v>
      </c>
      <c r="U54" s="22">
        <v>0.61805555555555602</v>
      </c>
      <c r="V54" s="30"/>
      <c r="W54" s="236">
        <f t="shared" si="12"/>
        <v>58.000000000000433</v>
      </c>
      <c r="X54" s="30"/>
      <c r="Y54" s="151"/>
      <c r="Z54" s="90"/>
      <c r="AA54" s="90"/>
      <c r="AB54" s="409" t="s">
        <v>272</v>
      </c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6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9"/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31">AVERAGE(J49:J57)</f>
        <v>15.8</v>
      </c>
      <c r="K58" s="120">
        <f t="shared" si="31"/>
        <v>1651.2</v>
      </c>
      <c r="L58" s="117">
        <f t="shared" si="31"/>
        <v>104.98914027149321</v>
      </c>
      <c r="M58" s="120">
        <f t="shared" si="31"/>
        <v>15.6</v>
      </c>
      <c r="N58" s="120">
        <f t="shared" si="31"/>
        <v>1403.5640546576126</v>
      </c>
      <c r="O58" s="117">
        <f t="shared" si="31"/>
        <v>89.146567254697487</v>
      </c>
      <c r="P58" s="121">
        <f>M58-J58</f>
        <v>-0.20000000000000107</v>
      </c>
      <c r="Q58" s="122">
        <f>N58-K58</f>
        <v>-247.63594534238746</v>
      </c>
      <c r="R58" s="123">
        <f>O58/L58</f>
        <v>0.84910274552369758</v>
      </c>
      <c r="S58" s="419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-247.63594534238746</v>
      </c>
      <c r="AG58" s="124">
        <f>N58/K58</f>
        <v>0.85002668038857354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2118</v>
      </c>
      <c r="H59" s="243">
        <f>F59*G59</f>
        <v>57164.82</v>
      </c>
      <c r="I59" s="55"/>
      <c r="J59" s="136">
        <v>15</v>
      </c>
      <c r="K59" s="137">
        <f>VLOOKUP(D59,產線配置圖!$A$3:$C$38,3,0)</f>
        <v>1565</v>
      </c>
      <c r="L59" s="138">
        <f>K59/J59</f>
        <v>104.33333333333333</v>
      </c>
      <c r="M59" s="244">
        <v>15</v>
      </c>
      <c r="N59" s="137">
        <f>G59/W59*60</f>
        <v>1155.2727272727254</v>
      </c>
      <c r="O59" s="138">
        <f>N59/M59</f>
        <v>77.018181818181702</v>
      </c>
      <c r="P59" s="56">
        <f>M59-J59</f>
        <v>0</v>
      </c>
      <c r="Q59" s="230">
        <f>O59-L59</f>
        <v>-27.315151515151626</v>
      </c>
      <c r="R59" s="52">
        <f>O59/L59</f>
        <v>0.73819343595701314</v>
      </c>
      <c r="S59" s="415">
        <f>R69</f>
        <v>0.79800908877664201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>
        <v>1</v>
      </c>
      <c r="AA59" s="169">
        <v>15</v>
      </c>
      <c r="AB59" s="420" t="s">
        <v>256</v>
      </c>
      <c r="AC59" s="420"/>
      <c r="AD59" s="135"/>
      <c r="AE59" s="135"/>
      <c r="AF59" s="310">
        <f>N59-K59</f>
        <v>-409.72727272727457</v>
      </c>
      <c r="AG59" s="246">
        <f>N59/K59</f>
        <v>0.73819343595701303</v>
      </c>
      <c r="AH59" s="403">
        <f>AG69</f>
        <v>0.77501550047093093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1791</v>
      </c>
      <c r="H60" s="78">
        <f>F60*G60</f>
        <v>50613.66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11</v>
      </c>
      <c r="N60" s="80">
        <f>G60/W60*60</f>
        <v>1155.4838709677301</v>
      </c>
      <c r="O60" s="81">
        <f>N60/M60</f>
        <v>105.04398826979364</v>
      </c>
      <c r="P60" s="74">
        <f>M60-J60</f>
        <v>-1</v>
      </c>
      <c r="Q60" s="83">
        <f>O60-L60</f>
        <v>-25.372678396873013</v>
      </c>
      <c r="R60" s="72">
        <f>O60/L60</f>
        <v>0.80544911133388108</v>
      </c>
      <c r="S60" s="425"/>
      <c r="T60" s="22">
        <v>0.37847222222222199</v>
      </c>
      <c r="U60" s="22">
        <v>0.44305555555555598</v>
      </c>
      <c r="V60" s="30">
        <f>(T60-U59)*24*60</f>
        <v>14.999999999998987</v>
      </c>
      <c r="W60" s="248">
        <f t="shared" si="12"/>
        <v>93.000000000000952</v>
      </c>
      <c r="X60" s="272">
        <v>0.47222222222222221</v>
      </c>
      <c r="Y60" s="288">
        <v>0.51388888888888884</v>
      </c>
      <c r="Z60" s="90"/>
      <c r="AA60" s="90"/>
      <c r="AB60" s="409"/>
      <c r="AC60" s="409"/>
      <c r="AD60" s="92"/>
      <c r="AE60" s="92"/>
      <c r="AF60" s="316">
        <f>N60-K60</f>
        <v>-409.51612903226987</v>
      </c>
      <c r="AG60" s="249">
        <f>N60/K60</f>
        <v>0.73832835205605762</v>
      </c>
      <c r="AH60" s="426"/>
    </row>
    <row r="61" spans="1:34" ht="15" customHeight="1">
      <c r="A61" s="423"/>
      <c r="B61" s="250" t="s">
        <v>128</v>
      </c>
      <c r="C61" s="251"/>
      <c r="D61" s="252" t="s">
        <v>129</v>
      </c>
      <c r="E61" s="253"/>
      <c r="F61" s="250">
        <f>VLOOKUP(D61,廠價表!$C$1:$E$43,3,0)</f>
        <v>26.99</v>
      </c>
      <c r="G61" s="38">
        <v>1505</v>
      </c>
      <c r="H61" s="254">
        <f>F61*G61</f>
        <v>40619.949999999997</v>
      </c>
      <c r="I61" s="182"/>
      <c r="J61" s="106">
        <v>15</v>
      </c>
      <c r="K61" s="107">
        <f>VLOOKUP(D61,產線配置圖!$A$3:$C$38,3,0)</f>
        <v>1565</v>
      </c>
      <c r="L61" s="238">
        <f>K61/J61</f>
        <v>104.33333333333333</v>
      </c>
      <c r="M61" s="108">
        <v>15</v>
      </c>
      <c r="N61" s="107">
        <f>G61/W61*60</f>
        <v>1327.9411764705651</v>
      </c>
      <c r="O61" s="238">
        <f>N61/M61</f>
        <v>88.529411764704335</v>
      </c>
      <c r="P61" s="111">
        <f>M61-J61</f>
        <v>0</v>
      </c>
      <c r="Q61" s="255">
        <f>O61-L61</f>
        <v>-15.803921568628994</v>
      </c>
      <c r="R61" s="85">
        <f>O61/L61</f>
        <v>0.84852471339972213</v>
      </c>
      <c r="S61" s="416"/>
      <c r="T61" s="22">
        <v>0.50694444444444398</v>
      </c>
      <c r="U61" s="22">
        <v>0.55416666666666703</v>
      </c>
      <c r="V61" s="30">
        <f>(T61-U60)*24*60</f>
        <v>91.999999999998721</v>
      </c>
      <c r="W61" s="256">
        <f t="shared" si="12"/>
        <v>68.000000000001194</v>
      </c>
      <c r="X61" s="22"/>
      <c r="Y61" s="84"/>
      <c r="Z61" s="90"/>
      <c r="AA61" s="90"/>
      <c r="AB61" s="409"/>
      <c r="AC61" s="409"/>
      <c r="AD61" s="92"/>
      <c r="AE61" s="92"/>
      <c r="AF61" s="317">
        <f>N61-K61</f>
        <v>-237.0588235294349</v>
      </c>
      <c r="AG61" s="247">
        <f>N61/K61</f>
        <v>0.84852471339972213</v>
      </c>
      <c r="AH61" s="405"/>
    </row>
    <row r="62" spans="1:34" ht="15" customHeight="1">
      <c r="A62" s="423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6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0</v>
      </c>
      <c r="AG62" s="247" t="e">
        <f>N62/K62</f>
        <v>#DIV/0!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32">AVERAGE(J59:J68)</f>
        <v>14</v>
      </c>
      <c r="K69" s="240">
        <f t="shared" si="32"/>
        <v>1565</v>
      </c>
      <c r="L69" s="268">
        <f t="shared" si="32"/>
        <v>113.02777777777777</v>
      </c>
      <c r="M69" s="240">
        <f t="shared" si="32"/>
        <v>13.666666666666666</v>
      </c>
      <c r="N69" s="240">
        <f t="shared" si="32"/>
        <v>1212.899258237007</v>
      </c>
      <c r="O69" s="268">
        <f t="shared" si="32"/>
        <v>90.197193950893222</v>
      </c>
      <c r="P69" s="269">
        <f>M69-J69</f>
        <v>-0.33333333333333393</v>
      </c>
      <c r="Q69" s="222">
        <f>N69-K69</f>
        <v>-352.10074176299304</v>
      </c>
      <c r="R69" s="123">
        <f>O69/L69</f>
        <v>0.79800908877664201</v>
      </c>
      <c r="S69" s="419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15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-352.10074176299304</v>
      </c>
      <c r="AG69" s="124">
        <f>N69/K69</f>
        <v>0.77501550047093093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18" priority="1" operator="greaterThan">
      <formula>0</formula>
    </cfRule>
  </conditionalFormatting>
  <conditionalFormatting sqref="AF5:AF79 Q5:Q79">
    <cfRule type="cellIs" dxfId="17" priority="4" operator="lessThan">
      <formula>0</formula>
    </cfRule>
  </conditionalFormatting>
  <conditionalFormatting sqref="AG5:AG79 R5:R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4A105-F708-4F60-8D81-491608CEE00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7779-605A-4FAB-AE02-75A156AD6CD9}">
  <dimension ref="B1:O26"/>
  <sheetViews>
    <sheetView topLeftCell="A5" zoomScale="70" zoomScaleNormal="70" workbookViewId="0">
      <selection activeCell="V20" sqref="V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95" width="8.85546875" style="2" customWidth="1"/>
    <col min="96" max="16384" width="8.85546875" style="2"/>
  </cols>
  <sheetData>
    <row r="1" spans="2:15" ht="27.75" customHeight="1">
      <c r="B1" s="398" t="s">
        <v>70</v>
      </c>
      <c r="C1" s="398"/>
      <c r="D1" s="398"/>
      <c r="E1" s="398"/>
      <c r="F1" s="398"/>
      <c r="G1" s="398"/>
      <c r="H1" s="398"/>
      <c r="I1" s="398"/>
      <c r="J1" s="398"/>
      <c r="K1" s="398"/>
      <c r="L1" s="1"/>
      <c r="M1" s="1"/>
    </row>
    <row r="2" spans="2:15" ht="27.75" customHeight="1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1"/>
      <c r="M2" s="1"/>
    </row>
    <row r="3" spans="2:15" ht="46.5" customHeight="1">
      <c r="B3" s="393" t="s">
        <v>71</v>
      </c>
      <c r="C3" s="393"/>
      <c r="D3" s="399">
        <v>46142</v>
      </c>
      <c r="E3" s="399"/>
      <c r="F3" s="3" t="s">
        <v>72</v>
      </c>
      <c r="G3" s="400">
        <f>'0430'!E1</f>
        <v>43783</v>
      </c>
      <c r="H3" s="400"/>
      <c r="I3" s="3" t="s">
        <v>2</v>
      </c>
      <c r="J3" s="401">
        <f>'0430'!G1</f>
        <v>2119214.9880000004</v>
      </c>
      <c r="K3" s="401"/>
      <c r="L3" s="4"/>
    </row>
    <row r="4" spans="2:15" ht="24" customHeight="1">
      <c r="B4" s="393" t="s">
        <v>73</v>
      </c>
      <c r="C4" s="393"/>
      <c r="D4" s="394">
        <v>3</v>
      </c>
      <c r="E4" s="394"/>
      <c r="F4" s="402" t="s">
        <v>74</v>
      </c>
      <c r="G4" s="402"/>
      <c r="H4" s="402" t="s">
        <v>75</v>
      </c>
      <c r="I4" s="402"/>
      <c r="J4" s="394" t="s">
        <v>76</v>
      </c>
      <c r="K4" s="402"/>
      <c r="L4" s="391" t="s">
        <v>77</v>
      </c>
      <c r="M4" s="392"/>
      <c r="N4" s="392" t="s">
        <v>78</v>
      </c>
      <c r="O4" s="392"/>
    </row>
    <row r="5" spans="2:15" ht="24" customHeight="1">
      <c r="B5" s="393" t="s">
        <v>14</v>
      </c>
      <c r="C5" s="393"/>
      <c r="D5" s="394" t="s">
        <v>79</v>
      </c>
      <c r="E5" s="394"/>
      <c r="F5" s="394" t="s">
        <v>80</v>
      </c>
      <c r="G5" s="394"/>
      <c r="H5" s="395" t="s">
        <v>81</v>
      </c>
      <c r="I5" s="395"/>
      <c r="J5" s="396" t="s">
        <v>82</v>
      </c>
      <c r="K5" s="39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93"/>
      <c r="C6" s="393"/>
      <c r="D6" s="393" t="s">
        <v>86</v>
      </c>
      <c r="E6" s="393"/>
      <c r="F6" s="397">
        <f>AVERAGE(D13:I13)</f>
        <v>122.68828303476135</v>
      </c>
      <c r="G6" s="397"/>
      <c r="H6" s="382">
        <f>AVERAGE(D13:H13)</f>
        <v>123.75093964171363</v>
      </c>
      <c r="I6" s="382"/>
      <c r="J6" s="382">
        <f>AVERAGE(I13)</f>
        <v>117.375</v>
      </c>
      <c r="K6" s="382"/>
      <c r="L6" s="383">
        <f>SUM(D18:J18)</f>
        <v>7</v>
      </c>
      <c r="M6" s="385">
        <f>SUM(D19:J19)</f>
        <v>32</v>
      </c>
      <c r="N6" s="386">
        <f>SUM(D20:J20)</f>
        <v>1</v>
      </c>
      <c r="O6" s="385">
        <f>SUM(D20:J20)</f>
        <v>1</v>
      </c>
    </row>
    <row r="7" spans="2:15" ht="39.6" customHeight="1">
      <c r="B7" s="393"/>
      <c r="C7" s="393"/>
      <c r="D7" s="388" t="s">
        <v>87</v>
      </c>
      <c r="E7" s="388"/>
      <c r="F7" s="389">
        <f>AVERAGE(D14:I14)</f>
        <v>105.35058372717087</v>
      </c>
      <c r="G7" s="389"/>
      <c r="H7" s="390">
        <f>AVERAGE(D14:H14)</f>
        <v>105.6448100616461</v>
      </c>
      <c r="I7" s="390"/>
      <c r="J7" s="390">
        <f>AVERAGE(I14)</f>
        <v>103.87945205479464</v>
      </c>
      <c r="K7" s="390"/>
      <c r="L7" s="384" t="e">
        <f t="shared" ref="L7:O8" si="0">AVERAGE(K14:L14)</f>
        <v>#DIV/0!</v>
      </c>
      <c r="M7" s="385" t="e">
        <f t="shared" si="0"/>
        <v>#DIV/0!</v>
      </c>
      <c r="N7" s="387" t="e">
        <f t="shared" si="0"/>
        <v>#DIV/0!</v>
      </c>
      <c r="O7" s="385" t="e">
        <f t="shared" si="0"/>
        <v>#DIV/0!</v>
      </c>
    </row>
    <row r="8" spans="2:15" ht="39.6" customHeight="1">
      <c r="B8" s="393"/>
      <c r="C8" s="393"/>
      <c r="D8" s="388" t="s">
        <v>27</v>
      </c>
      <c r="E8" s="388"/>
      <c r="F8" s="374">
        <f>F7/F6</f>
        <v>0.8586849625837687</v>
      </c>
      <c r="G8" s="374"/>
      <c r="H8" s="374">
        <f>H7/H6</f>
        <v>0.85368895272642953</v>
      </c>
      <c r="I8" s="374"/>
      <c r="J8" s="374">
        <f>J7/J6</f>
        <v>0.88502195573839948</v>
      </c>
      <c r="K8" s="374"/>
      <c r="L8" s="384" t="e">
        <f t="shared" si="0"/>
        <v>#DIV/0!</v>
      </c>
      <c r="M8" s="385" t="e">
        <f t="shared" si="0"/>
        <v>#DIV/0!</v>
      </c>
      <c r="N8" s="387" t="e">
        <f t="shared" si="0"/>
        <v>#DIV/0!</v>
      </c>
      <c r="O8" s="385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64" t="s">
        <v>89</v>
      </c>
      <c r="C10" s="365"/>
      <c r="D10" s="375" t="s">
        <v>90</v>
      </c>
      <c r="E10" s="376"/>
      <c r="F10" s="376"/>
      <c r="G10" s="376"/>
      <c r="H10" s="376"/>
      <c r="I10" s="376"/>
      <c r="J10" s="377"/>
    </row>
    <row r="11" spans="2:15" ht="17.25" customHeight="1">
      <c r="B11" s="378" t="s">
        <v>91</v>
      </c>
      <c r="C11" s="37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0"/>
      <c r="C12" s="38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67" t="s">
        <v>14</v>
      </c>
      <c r="C13" s="12" t="s">
        <v>99</v>
      </c>
      <c r="D13" s="13">
        <f>VALUE('0430'!L15)</f>
        <v>150</v>
      </c>
      <c r="E13" s="13">
        <f>VALUE('0430'!L26)</f>
        <v>170.19230769230771</v>
      </c>
      <c r="F13" s="13">
        <f>VALUE('0430'!L37)</f>
        <v>94.111812336270532</v>
      </c>
      <c r="G13" s="13">
        <f>VALUE('0430'!L48)</f>
        <v>99.461437908496734</v>
      </c>
      <c r="H13" s="13">
        <f>VALUE('0430'!L58)</f>
        <v>104.98914027149321</v>
      </c>
      <c r="I13" s="13">
        <f>VALUE('0430'!L69)</f>
        <v>117.375</v>
      </c>
      <c r="J13" s="13">
        <f>'0430'!L79</f>
        <v>0</v>
      </c>
    </row>
    <row r="14" spans="2:15" ht="39.950000000000003" customHeight="1">
      <c r="B14" s="368"/>
      <c r="C14" s="12" t="s">
        <v>100</v>
      </c>
      <c r="D14" s="13">
        <f>VALUE('0430'!O15)</f>
        <v>138.78973480522808</v>
      </c>
      <c r="E14" s="13">
        <f>VALUE('0430'!O26)</f>
        <v>156.50666163901539</v>
      </c>
      <c r="F14" s="13">
        <f>VALUE('0430'!O37)</f>
        <v>76.423286797124845</v>
      </c>
      <c r="G14" s="13">
        <f>VALUE('0430'!O48)</f>
        <v>77.459712476592344</v>
      </c>
      <c r="H14" s="13">
        <f>VALUE('0430'!O58)</f>
        <v>79.044654590269914</v>
      </c>
      <c r="I14" s="13">
        <f>VALUE('0430'!O69)</f>
        <v>103.87945205479464</v>
      </c>
      <c r="J14" s="13">
        <f>'0430'!O79</f>
        <v>0</v>
      </c>
    </row>
    <row r="15" spans="2:15" ht="39.950000000000003" customHeight="1">
      <c r="B15" s="369"/>
      <c r="C15" s="10" t="s">
        <v>26</v>
      </c>
      <c r="D15" s="14">
        <f t="shared" ref="D15:I15" si="1">D14/D13</f>
        <v>0.92526489870152051</v>
      </c>
      <c r="E15" s="14">
        <f t="shared" si="1"/>
        <v>0.91958716443263278</v>
      </c>
      <c r="F15" s="14">
        <f t="shared" si="1"/>
        <v>0.81204776424937086</v>
      </c>
      <c r="G15" s="14">
        <f t="shared" si="1"/>
        <v>0.7787914000183096</v>
      </c>
      <c r="H15" s="14">
        <f t="shared" si="1"/>
        <v>0.75288410197347067</v>
      </c>
      <c r="I15" s="14">
        <f t="shared" si="1"/>
        <v>0.88502195573839948</v>
      </c>
      <c r="J15" s="15">
        <f>'0430'!S70</f>
        <v>0</v>
      </c>
    </row>
    <row r="16" spans="2:15" ht="17.25" customHeight="1">
      <c r="B16" s="370" t="s">
        <v>101</v>
      </c>
      <c r="C16" s="10" t="s">
        <v>34</v>
      </c>
      <c r="D16" s="16">
        <f>'0430'!T5</f>
        <v>0.29166666666666702</v>
      </c>
      <c r="E16" s="16">
        <f>'0430'!T16</f>
        <v>0.29166666666666702</v>
      </c>
      <c r="F16" s="16">
        <f>'0430'!T27</f>
        <v>0.29166666666666702</v>
      </c>
      <c r="G16" s="16">
        <f>'0430'!T38</f>
        <v>0.33333333333333298</v>
      </c>
      <c r="H16" s="16">
        <f>'0430'!T49</f>
        <v>0.28819444444444442</v>
      </c>
      <c r="I16" s="16">
        <f>'0430'!T59</f>
        <v>0.29166666666666702</v>
      </c>
      <c r="J16" s="16">
        <f>'0430'!T70</f>
        <v>0</v>
      </c>
    </row>
    <row r="17" spans="2:10" ht="17.25" customHeight="1">
      <c r="B17" s="371"/>
      <c r="C17" s="10" t="s">
        <v>35</v>
      </c>
      <c r="D17" s="16">
        <v>0.58333333333333337</v>
      </c>
      <c r="E17" s="19">
        <v>0.47083333333333299</v>
      </c>
      <c r="F17" s="19">
        <v>0.56944444444444442</v>
      </c>
      <c r="G17" s="20">
        <v>0.62152777777777779</v>
      </c>
      <c r="H17" s="19">
        <v>0.56944444444444442</v>
      </c>
      <c r="I17" s="22">
        <v>0.55277777777777803</v>
      </c>
      <c r="J17" s="22">
        <v>0</v>
      </c>
    </row>
    <row r="18" spans="2:10" ht="17.25" customHeight="1">
      <c r="B18" s="372" t="s">
        <v>102</v>
      </c>
      <c r="C18" s="330" t="s">
        <v>36</v>
      </c>
      <c r="D18" s="358">
        <f>'0430'!Z15</f>
        <v>0</v>
      </c>
      <c r="E18" s="359">
        <f>'0430'!Z26</f>
        <v>5</v>
      </c>
      <c r="F18" s="359">
        <f>'0430'!Z37</f>
        <v>0</v>
      </c>
      <c r="G18" s="360">
        <f>'0430'!Z48</f>
        <v>1</v>
      </c>
      <c r="H18" s="360">
        <f>'0430'!Z58</f>
        <v>1</v>
      </c>
      <c r="I18" s="359">
        <f>'0430'!Z69</f>
        <v>0</v>
      </c>
      <c r="J18" s="359">
        <f>'0430'!AA79</f>
        <v>0</v>
      </c>
    </row>
    <row r="19" spans="2:10" ht="17.25" customHeight="1">
      <c r="B19" s="373"/>
      <c r="C19" s="330" t="s">
        <v>37</v>
      </c>
      <c r="D19" s="358">
        <f>'0430'!AA15</f>
        <v>0</v>
      </c>
      <c r="E19" s="359">
        <f>'0430'!AA26</f>
        <v>7</v>
      </c>
      <c r="F19" s="359">
        <f>'0430'!AA37</f>
        <v>0</v>
      </c>
      <c r="G19" s="360">
        <f>'0430'!AA48</f>
        <v>20</v>
      </c>
      <c r="H19" s="360">
        <f>'0430'!AA58</f>
        <v>5</v>
      </c>
      <c r="I19" s="359">
        <f>'0430'!AA69</f>
        <v>0</v>
      </c>
      <c r="J19" s="359">
        <f>'0430'!AB79</f>
        <v>0</v>
      </c>
    </row>
    <row r="20" spans="2:10" ht="17.25" customHeight="1">
      <c r="B20" s="372" t="s">
        <v>103</v>
      </c>
      <c r="C20" s="330" t="s">
        <v>36</v>
      </c>
      <c r="D20" s="358">
        <f>'0430'!AD15</f>
        <v>0</v>
      </c>
      <c r="E20" s="359">
        <f>'0430'!AD26</f>
        <v>0</v>
      </c>
      <c r="F20" s="359">
        <f>'0430'!AD37</f>
        <v>0</v>
      </c>
      <c r="G20" s="360">
        <f>'0430'!AD48</f>
        <v>1</v>
      </c>
      <c r="H20" s="360">
        <f>'0430'!AD58</f>
        <v>0</v>
      </c>
      <c r="I20" s="359">
        <f>'0430'!AD69</f>
        <v>0</v>
      </c>
      <c r="J20" s="359">
        <f>'0430'!AD79</f>
        <v>0</v>
      </c>
    </row>
    <row r="21" spans="2:10" ht="17.25" customHeight="1">
      <c r="B21" s="373"/>
      <c r="C21" s="330" t="s">
        <v>85</v>
      </c>
      <c r="D21" s="358">
        <f>'0430'!AE15</f>
        <v>0</v>
      </c>
      <c r="E21" s="359">
        <f>'0430'!AE26</f>
        <v>0</v>
      </c>
      <c r="F21" s="359">
        <f>'0430'!AE37</f>
        <v>0</v>
      </c>
      <c r="G21" s="360">
        <f>'0430'!AE48</f>
        <v>1</v>
      </c>
      <c r="H21" s="360">
        <f>'0430'!AE58</f>
        <v>0</v>
      </c>
      <c r="I21" s="359">
        <f>'0430'!AE69</f>
        <v>0</v>
      </c>
      <c r="J21" s="359">
        <f>'0430'!AE79</f>
        <v>0</v>
      </c>
    </row>
    <row r="22" spans="2:10" ht="17.25" customHeight="1">
      <c r="B22" s="364" t="s">
        <v>104</v>
      </c>
      <c r="C22" s="365"/>
      <c r="D22" s="23">
        <f>VALUE('0430'!M15)</f>
        <v>15</v>
      </c>
      <c r="E22" s="23">
        <f>VALUE('0430'!M26)</f>
        <v>13.333333333333334</v>
      </c>
      <c r="F22" s="23">
        <f>VALUE('0430'!M37)</f>
        <v>17</v>
      </c>
      <c r="G22" s="23">
        <f>VALUE('0430'!M48)</f>
        <v>16.333333333333332</v>
      </c>
      <c r="H22" s="23">
        <f>VALUE('0430'!M58)</f>
        <v>15.6</v>
      </c>
      <c r="I22" s="23">
        <f>VALUE('0430'!M69)</f>
        <v>13.5</v>
      </c>
      <c r="J22" s="23">
        <f>'0430'!M79</f>
        <v>0</v>
      </c>
    </row>
    <row r="23" spans="2:10" ht="17.25" customHeight="1">
      <c r="B23" s="364" t="s">
        <v>105</v>
      </c>
      <c r="C23" s="365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64" t="s">
        <v>109</v>
      </c>
      <c r="C24" s="365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64" t="s">
        <v>111</v>
      </c>
      <c r="C25" s="365"/>
      <c r="D25" s="25"/>
      <c r="E25" s="25"/>
      <c r="F25" s="25"/>
      <c r="G25" s="25"/>
      <c r="H25" s="25"/>
      <c r="I25" s="25"/>
      <c r="J25" s="25"/>
    </row>
    <row r="26" spans="2:10">
      <c r="B26" s="366"/>
      <c r="C26" s="366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31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D334-7D72-468A-AB3D-316E9FA3B795}">
  <sheetPr>
    <tabColor theme="9" tint="0.79998168889431442"/>
  </sheetPr>
  <dimension ref="A1:AJ92"/>
  <sheetViews>
    <sheetView tabSelected="1" zoomScale="70" zoomScaleNormal="70" workbookViewId="0">
      <pane xSplit="5" ySplit="4" topLeftCell="F46" activePane="bottomRight" state="frozen"/>
      <selection activeCell="Y61" sqref="Y61"/>
      <selection pane="topRight" activeCell="Y61" sqref="Y61"/>
      <selection pane="bottomLeft" activeCell="Y61" sqref="Y61"/>
      <selection pane="bottomRight" activeCell="AB56" sqref="AB56:AC5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5" width="8.7109375" style="34" customWidth="1"/>
    <col min="9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43783</v>
      </c>
      <c r="F1" s="30" t="s">
        <v>2</v>
      </c>
      <c r="G1" s="31">
        <f>SUM(H5:H79)</f>
        <v>2119214.9880000004</v>
      </c>
      <c r="H1" s="32" t="s">
        <v>3</v>
      </c>
      <c r="I1" s="33">
        <f>M15+M26+M48+M58+M69+M79+M37</f>
        <v>90.76666666666668</v>
      </c>
      <c r="J1" s="454" t="s">
        <v>4</v>
      </c>
      <c r="K1" s="454"/>
      <c r="L1" s="454"/>
      <c r="M1" s="454" t="s">
        <v>5</v>
      </c>
      <c r="N1" s="454"/>
      <c r="O1" s="454"/>
      <c r="P1" s="454" t="s">
        <v>6</v>
      </c>
      <c r="Q1" s="454"/>
      <c r="R1" s="454"/>
      <c r="S1" s="454"/>
      <c r="T1" s="454" t="s">
        <v>7</v>
      </c>
      <c r="U1" s="454"/>
      <c r="V1" s="454"/>
      <c r="W1" s="454"/>
      <c r="X1" s="454"/>
      <c r="Y1" s="454"/>
      <c r="Z1" s="294" t="s">
        <v>8</v>
      </c>
      <c r="AA1" s="294" t="s">
        <v>9</v>
      </c>
      <c r="AB1" s="454" t="s">
        <v>10</v>
      </c>
      <c r="AC1" s="454"/>
      <c r="AD1" s="294" t="s">
        <v>8</v>
      </c>
      <c r="AE1" s="294" t="s">
        <v>11</v>
      </c>
      <c r="AF1" s="454" t="s">
        <v>12</v>
      </c>
      <c r="AG1" s="455"/>
      <c r="AH1" s="455"/>
    </row>
    <row r="2" spans="1:34" ht="23.25">
      <c r="A2" s="483" t="s">
        <v>271</v>
      </c>
      <c r="B2" s="483"/>
      <c r="C2" s="28"/>
      <c r="D2" s="28" t="s">
        <v>14</v>
      </c>
      <c r="E2" s="35">
        <f>AVERAGE(O15,O26,O37,O48,O58,O69,O79)</f>
        <v>105.35058372717087</v>
      </c>
      <c r="F2" s="36" t="s">
        <v>15</v>
      </c>
      <c r="G2" s="37">
        <f>G1/E1</f>
        <v>48.402690267912213</v>
      </c>
      <c r="H2" s="32" t="s">
        <v>16</v>
      </c>
      <c r="I2" s="32">
        <f>COUNT(I5:I79)</f>
        <v>0</v>
      </c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339">
        <f>Z15+Z26+Z37+Z48+Z58+Z69+Z79</f>
        <v>7</v>
      </c>
      <c r="AA2" s="339">
        <f>AA15+AA26+AA37+AA48+AA58+AA69+AA79</f>
        <v>32</v>
      </c>
      <c r="AB2" s="477"/>
      <c r="AC2" s="477"/>
      <c r="AD2" s="340">
        <f>AD15+AD26+AD37+AD48+AD58+AD69+AD79</f>
        <v>1</v>
      </c>
      <c r="AE2" s="340">
        <f>AE15+AE26+AE37+AE48+AE58+AE69+AE79</f>
        <v>1</v>
      </c>
      <c r="AF2" s="455"/>
      <c r="AG2" s="455"/>
      <c r="AH2" s="455"/>
    </row>
    <row r="3" spans="1:34" ht="32.1" customHeight="1">
      <c r="A3" s="484" t="s">
        <v>17</v>
      </c>
      <c r="B3" s="484" t="s">
        <v>18</v>
      </c>
      <c r="C3" s="30"/>
      <c r="D3" s="484" t="s">
        <v>19</v>
      </c>
      <c r="E3" s="484"/>
      <c r="F3" s="486" t="s">
        <v>20</v>
      </c>
      <c r="G3" s="475" t="s">
        <v>21</v>
      </c>
      <c r="H3" s="486" t="s">
        <v>22</v>
      </c>
      <c r="I3" s="473" t="s">
        <v>23</v>
      </c>
      <c r="J3" s="478" t="s">
        <v>24</v>
      </c>
      <c r="K3" s="492" t="s">
        <v>25</v>
      </c>
      <c r="L3" s="480" t="s">
        <v>14</v>
      </c>
      <c r="M3" s="475" t="s">
        <v>24</v>
      </c>
      <c r="N3" s="492" t="s">
        <v>25</v>
      </c>
      <c r="O3" s="480" t="s">
        <v>14</v>
      </c>
      <c r="P3" s="478" t="s">
        <v>24</v>
      </c>
      <c r="Q3" s="480" t="s">
        <v>14</v>
      </c>
      <c r="R3" s="456" t="s">
        <v>26</v>
      </c>
      <c r="S3" s="458" t="s">
        <v>27</v>
      </c>
      <c r="T3" s="475" t="s">
        <v>28</v>
      </c>
      <c r="U3" s="475"/>
      <c r="V3" s="471" t="s">
        <v>29</v>
      </c>
      <c r="W3" s="473" t="s">
        <v>30</v>
      </c>
      <c r="X3" s="475" t="s">
        <v>31</v>
      </c>
      <c r="Y3" s="476"/>
      <c r="Z3" s="465" t="s">
        <v>32</v>
      </c>
      <c r="AA3" s="466"/>
      <c r="AB3" s="460"/>
      <c r="AC3" s="461"/>
      <c r="AD3" s="465" t="s">
        <v>33</v>
      </c>
      <c r="AE3" s="466"/>
      <c r="AF3" s="463" t="s">
        <v>25</v>
      </c>
      <c r="AG3" s="467" t="s">
        <v>26</v>
      </c>
      <c r="AH3" s="469" t="s">
        <v>27</v>
      </c>
    </row>
    <row r="4" spans="1:34" ht="16.5" thickBot="1">
      <c r="A4" s="485"/>
      <c r="B4" s="485"/>
      <c r="C4" s="38"/>
      <c r="D4" s="485"/>
      <c r="E4" s="485"/>
      <c r="F4" s="487"/>
      <c r="G4" s="472"/>
      <c r="H4" s="487"/>
      <c r="I4" s="474"/>
      <c r="J4" s="479"/>
      <c r="K4" s="493"/>
      <c r="L4" s="481"/>
      <c r="M4" s="472"/>
      <c r="N4" s="493"/>
      <c r="O4" s="481"/>
      <c r="P4" s="479"/>
      <c r="Q4" s="481"/>
      <c r="R4" s="457"/>
      <c r="S4" s="459"/>
      <c r="T4" s="342" t="s">
        <v>34</v>
      </c>
      <c r="U4" s="342" t="s">
        <v>35</v>
      </c>
      <c r="V4" s="472"/>
      <c r="W4" s="474"/>
      <c r="X4" s="341" t="s">
        <v>34</v>
      </c>
      <c r="Y4" s="343" t="s">
        <v>35</v>
      </c>
      <c r="Z4" s="344" t="s">
        <v>36</v>
      </c>
      <c r="AA4" s="344" t="s">
        <v>37</v>
      </c>
      <c r="AB4" s="462"/>
      <c r="AC4" s="462"/>
      <c r="AD4" s="344" t="s">
        <v>38</v>
      </c>
      <c r="AE4" s="344" t="s">
        <v>39</v>
      </c>
      <c r="AF4" s="464"/>
      <c r="AG4" s="468"/>
      <c r="AH4" s="470"/>
    </row>
    <row r="5" spans="1:34" ht="15" customHeight="1">
      <c r="A5" s="488" t="s">
        <v>40</v>
      </c>
      <c r="B5" s="39" t="s">
        <v>81</v>
      </c>
      <c r="C5" s="40"/>
      <c r="D5" s="168" t="s">
        <v>147</v>
      </c>
      <c r="E5" s="41"/>
      <c r="F5" s="39">
        <f>VLOOKUP(D5,廠價表!$C$1:$E$43,3,0)</f>
        <v>56.87</v>
      </c>
      <c r="G5" s="42">
        <v>2485</v>
      </c>
      <c r="H5" s="43">
        <f>F5*G5</f>
        <v>141321.94999999998</v>
      </c>
      <c r="I5" s="44"/>
      <c r="J5" s="45">
        <v>15</v>
      </c>
      <c r="K5" s="46">
        <v>2250</v>
      </c>
      <c r="L5" s="47">
        <f>K5/J5</f>
        <v>150</v>
      </c>
      <c r="M5" s="48">
        <v>15</v>
      </c>
      <c r="N5" s="46">
        <f>G5/W5*60</f>
        <v>2130.000000000005</v>
      </c>
      <c r="O5" s="47">
        <f>N5/M5</f>
        <v>142.00000000000034</v>
      </c>
      <c r="P5" s="49">
        <f>M5-J5</f>
        <v>0</v>
      </c>
      <c r="Q5" s="50">
        <f>O5-L5</f>
        <v>-7.9999999999996589</v>
      </c>
      <c r="R5" s="51">
        <f>O5/L5</f>
        <v>0.94666666666666899</v>
      </c>
      <c r="S5" s="415">
        <f>R15</f>
        <v>0.92526489870152051</v>
      </c>
      <c r="T5" s="319">
        <v>0.29166666666666702</v>
      </c>
      <c r="U5" s="320">
        <v>0.34027777777777801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420"/>
      <c r="AC5" s="420"/>
      <c r="AD5" s="135"/>
      <c r="AE5" s="135"/>
      <c r="AF5" s="229">
        <f t="shared" ref="AF5:AF11" si="1">N5-K5</f>
        <v>-119.999999999995</v>
      </c>
      <c r="AG5" s="52">
        <f t="shared" ref="AG5:AG11" si="2">N5/K5</f>
        <v>0.94666666666666888</v>
      </c>
      <c r="AH5" s="403">
        <f>AG15</f>
        <v>0.92526489870152062</v>
      </c>
    </row>
    <row r="6" spans="1:34" ht="15" customHeight="1">
      <c r="A6" s="489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4852</v>
      </c>
      <c r="H6" s="63">
        <f>F6*G6</f>
        <v>238427.28</v>
      </c>
      <c r="I6" s="64"/>
      <c r="J6" s="65">
        <v>15</v>
      </c>
      <c r="K6" s="66">
        <v>2250</v>
      </c>
      <c r="L6" s="67">
        <f>K6/J6</f>
        <v>150</v>
      </c>
      <c r="M6" s="68">
        <v>15</v>
      </c>
      <c r="N6" s="66">
        <f>G6/W6*60</f>
        <v>2050.1408450704239</v>
      </c>
      <c r="O6" s="67">
        <f>N6/M6</f>
        <v>136.67605633802825</v>
      </c>
      <c r="P6" s="69">
        <f>M6-J6</f>
        <v>0</v>
      </c>
      <c r="Q6" s="70">
        <f>O6-L6</f>
        <v>-13.323943661971754</v>
      </c>
      <c r="R6" s="71">
        <f>O6/L6</f>
        <v>0.91117370892018834</v>
      </c>
      <c r="S6" s="416"/>
      <c r="T6" s="16">
        <v>0.34722222222222199</v>
      </c>
      <c r="U6" s="16">
        <v>0.44583333333333303</v>
      </c>
      <c r="V6" s="30">
        <f>(T6-U5)*24*60</f>
        <v>9.999999999999325</v>
      </c>
      <c r="W6" s="73">
        <f t="shared" si="0"/>
        <v>141.99999999999989</v>
      </c>
      <c r="X6" s="22"/>
      <c r="Y6" s="84"/>
      <c r="Z6" s="90"/>
      <c r="AA6" s="90"/>
      <c r="AB6" s="453"/>
      <c r="AC6" s="453"/>
      <c r="AD6" s="149"/>
      <c r="AE6" s="149"/>
      <c r="AF6" s="307">
        <f t="shared" si="1"/>
        <v>-199.85915492957611</v>
      </c>
      <c r="AG6" s="72">
        <f t="shared" si="2"/>
        <v>0.91117370892018845</v>
      </c>
      <c r="AH6" s="405"/>
    </row>
    <row r="7" spans="1:34" ht="15" customHeight="1">
      <c r="A7" s="489"/>
      <c r="B7" s="75" t="s">
        <v>81</v>
      </c>
      <c r="C7" s="76"/>
      <c r="D7" s="59" t="s">
        <v>181</v>
      </c>
      <c r="E7" s="77"/>
      <c r="F7" s="75">
        <f>VLOOKUP(D7,廠價表!$C$1:$E$43,3,0)</f>
        <v>58.17</v>
      </c>
      <c r="G7" s="66">
        <v>1297</v>
      </c>
      <c r="H7" s="78">
        <f>F7*G7</f>
        <v>75446.490000000005</v>
      </c>
      <c r="I7" s="73"/>
      <c r="J7" s="79">
        <v>15</v>
      </c>
      <c r="K7" s="80">
        <v>2250</v>
      </c>
      <c r="L7" s="81">
        <f>K7/J7</f>
        <v>150</v>
      </c>
      <c r="M7" s="82">
        <v>15</v>
      </c>
      <c r="N7" s="80">
        <f>G7/W7*60</f>
        <v>2103.2432432432779</v>
      </c>
      <c r="O7" s="81">
        <f>N7/M7</f>
        <v>140.21621621621853</v>
      </c>
      <c r="P7" s="74">
        <f>M7-J7</f>
        <v>0</v>
      </c>
      <c r="Q7" s="83">
        <f>O7-L7</f>
        <v>-9.7837837837814732</v>
      </c>
      <c r="R7" s="72">
        <f>O7/L7</f>
        <v>0.93477477477479021</v>
      </c>
      <c r="S7" s="416"/>
      <c r="T7" s="18">
        <v>0.452777777777778</v>
      </c>
      <c r="U7" s="18">
        <v>0.47847222222222202</v>
      </c>
      <c r="V7" s="30">
        <f>(T7-U6)*24*60</f>
        <v>10.000000000000764</v>
      </c>
      <c r="W7" s="73">
        <f t="shared" si="0"/>
        <v>36.999999999999389</v>
      </c>
      <c r="X7" s="22">
        <v>0.50347222222222221</v>
      </c>
      <c r="Y7" s="84">
        <v>0.54513888888888884</v>
      </c>
      <c r="Z7" s="90"/>
      <c r="AA7" s="90"/>
      <c r="AB7" s="409"/>
      <c r="AC7" s="409"/>
      <c r="AD7" s="92"/>
      <c r="AE7" s="92"/>
      <c r="AF7" s="307">
        <f t="shared" si="1"/>
        <v>-146.7567567567221</v>
      </c>
      <c r="AG7" s="72">
        <f t="shared" si="2"/>
        <v>0.93477477477479021</v>
      </c>
      <c r="AH7" s="405"/>
    </row>
    <row r="8" spans="1:34" ht="15" customHeight="1">
      <c r="A8" s="489"/>
      <c r="B8" s="75" t="s">
        <v>81</v>
      </c>
      <c r="C8" s="76"/>
      <c r="D8" s="59" t="s">
        <v>181</v>
      </c>
      <c r="E8" s="77"/>
      <c r="F8" s="75">
        <f>VLOOKUP(D8,廠價表!$C$1:$E$43,3,0)</f>
        <v>58.17</v>
      </c>
      <c r="G8" s="66">
        <v>1533</v>
      </c>
      <c r="H8" s="78">
        <f>F8*G8</f>
        <v>89174.61</v>
      </c>
      <c r="I8" s="73"/>
      <c r="J8" s="79">
        <v>15</v>
      </c>
      <c r="K8" s="80">
        <v>2250</v>
      </c>
      <c r="L8" s="81">
        <f>K8/J8</f>
        <v>150</v>
      </c>
      <c r="M8" s="82">
        <v>15</v>
      </c>
      <c r="N8" s="80">
        <f>G8/W8*60</f>
        <v>2043.9999999999779</v>
      </c>
      <c r="O8" s="81">
        <f>N8/M8</f>
        <v>136.2666666666652</v>
      </c>
      <c r="P8" s="74">
        <f>M8-J8</f>
        <v>0</v>
      </c>
      <c r="Q8" s="83">
        <f>O8-L8</f>
        <v>-13.733333333334798</v>
      </c>
      <c r="R8" s="72">
        <f>O8/L8</f>
        <v>0.90844444444443473</v>
      </c>
      <c r="S8" s="416"/>
      <c r="T8" s="16">
        <v>0.55208333333333304</v>
      </c>
      <c r="U8" s="16">
        <v>0.58333333333333337</v>
      </c>
      <c r="V8" s="30">
        <f>(T8-U7)*24*60</f>
        <v>105.99999999999986</v>
      </c>
      <c r="W8" s="73">
        <f t="shared" si="0"/>
        <v>45.000000000000483</v>
      </c>
      <c r="X8" s="22"/>
      <c r="Y8" s="84"/>
      <c r="Z8" s="90"/>
      <c r="AA8" s="90"/>
      <c r="AB8" s="453"/>
      <c r="AC8" s="453"/>
      <c r="AD8" s="149"/>
      <c r="AE8" s="149"/>
      <c r="AF8" s="307">
        <f t="shared" si="1"/>
        <v>-206.00000000002206</v>
      </c>
      <c r="AG8" s="72">
        <f t="shared" si="2"/>
        <v>0.90844444444443462</v>
      </c>
      <c r="AH8" s="405"/>
    </row>
    <row r="9" spans="1:34" ht="15" customHeight="1">
      <c r="A9" s="490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7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53"/>
      <c r="AC9" s="453"/>
      <c r="AD9" s="149"/>
      <c r="AE9" s="149"/>
      <c r="AF9" s="307">
        <f t="shared" si="1"/>
        <v>0</v>
      </c>
      <c r="AG9" s="72" t="e">
        <f t="shared" si="2"/>
        <v>#DIV/0!</v>
      </c>
      <c r="AH9" s="406"/>
    </row>
    <row r="10" spans="1:34" ht="15" customHeight="1">
      <c r="A10" s="490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7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9"/>
      <c r="AC10" s="409"/>
      <c r="AD10" s="92"/>
      <c r="AE10" s="92"/>
      <c r="AF10" s="307">
        <f t="shared" si="1"/>
        <v>0</v>
      </c>
      <c r="AG10" s="72" t="e">
        <f t="shared" si="2"/>
        <v>#DIV/0!</v>
      </c>
      <c r="AH10" s="406"/>
    </row>
    <row r="11" spans="1:34" ht="15" customHeight="1">
      <c r="A11" s="490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7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53"/>
      <c r="AC11" s="453"/>
      <c r="AD11" s="149"/>
      <c r="AE11" s="149"/>
      <c r="AF11" s="307">
        <f t="shared" si="1"/>
        <v>0</v>
      </c>
      <c r="AG11" s="72" t="e">
        <f t="shared" si="2"/>
        <v>#DIV/0!</v>
      </c>
      <c r="AH11" s="406"/>
    </row>
    <row r="12" spans="1:34" ht="15" customHeight="1">
      <c r="A12" s="490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7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53"/>
      <c r="AC12" s="453"/>
      <c r="AD12" s="149"/>
      <c r="AE12" s="149"/>
      <c r="AF12" s="308"/>
      <c r="AG12" s="85"/>
      <c r="AH12" s="406"/>
    </row>
    <row r="13" spans="1:34" ht="15" customHeight="1">
      <c r="A13" s="490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8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9"/>
      <c r="AC13" s="409"/>
      <c r="AD13" s="92"/>
      <c r="AE13" s="92"/>
      <c r="AF13" s="308"/>
      <c r="AG13" s="85"/>
      <c r="AH13" s="406"/>
    </row>
    <row r="14" spans="1:34" ht="15" customHeight="1">
      <c r="A14" s="490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7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9"/>
      <c r="AC14" s="409"/>
      <c r="AD14" s="92"/>
      <c r="AE14" s="92"/>
      <c r="AF14" s="308"/>
      <c r="AG14" s="85"/>
      <c r="AH14" s="406"/>
    </row>
    <row r="15" spans="1:34" ht="15" customHeight="1" thickBot="1">
      <c r="A15" s="491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2081.8460220784214</v>
      </c>
      <c r="O15" s="117">
        <f t="shared" si="3"/>
        <v>138.78973480522808</v>
      </c>
      <c r="P15" s="121">
        <f>M15-J15</f>
        <v>0</v>
      </c>
      <c r="Q15" s="122">
        <f>O15-L15</f>
        <v>-11.210265194771921</v>
      </c>
      <c r="R15" s="123">
        <f>O15/L15</f>
        <v>0.92526489870152051</v>
      </c>
      <c r="S15" s="419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0"/>
      <c r="AC15" s="410"/>
      <c r="AD15" s="323">
        <f>SUM(AD5:AD14)</f>
        <v>0</v>
      </c>
      <c r="AE15" s="323">
        <f>SUM(AE5:AE14)</f>
        <v>0</v>
      </c>
      <c r="AF15" s="309">
        <f>N15-K15</f>
        <v>-168.15397792157864</v>
      </c>
      <c r="AG15" s="124">
        <f>N15/K15</f>
        <v>0.92526489870152062</v>
      </c>
      <c r="AH15" s="407"/>
    </row>
    <row r="16" spans="1:34" ht="15" customHeight="1">
      <c r="A16" s="449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3056</v>
      </c>
      <c r="H16" s="134">
        <f>F16*G16</f>
        <v>154847.52000000002</v>
      </c>
      <c r="I16" s="135"/>
      <c r="J16" s="136">
        <v>13</v>
      </c>
      <c r="K16" s="137">
        <v>2250</v>
      </c>
      <c r="L16" s="138">
        <f>K16/J16</f>
        <v>173.07692307692307</v>
      </c>
      <c r="M16" s="139">
        <v>13</v>
      </c>
      <c r="N16" s="140">
        <f>G16/W16*60</f>
        <v>2157.1764705882488</v>
      </c>
      <c r="O16" s="141">
        <f>N16/M16</f>
        <v>165.93665158371144</v>
      </c>
      <c r="P16" s="142">
        <f>M16-J16</f>
        <v>0</v>
      </c>
      <c r="Q16" s="143">
        <f>O16-L16</f>
        <v>-7.1402714932116282</v>
      </c>
      <c r="R16" s="144">
        <f>O16/L16</f>
        <v>0.9587450980392217</v>
      </c>
      <c r="S16" s="443">
        <f>R26</f>
        <v>0.91958716443263278</v>
      </c>
      <c r="T16" s="145">
        <v>0.29166666666666702</v>
      </c>
      <c r="U16" s="145">
        <v>0.35069444444444442</v>
      </c>
      <c r="V16" s="135"/>
      <c r="W16" s="146">
        <f t="shared" ref="W16:W78" si="4">(U16-T16)*24*60</f>
        <v>84.99999999999946</v>
      </c>
      <c r="X16" s="141"/>
      <c r="Y16" s="296"/>
      <c r="Z16" s="169"/>
      <c r="AA16" s="169"/>
      <c r="AB16" s="420"/>
      <c r="AC16" s="420"/>
      <c r="AD16" s="135"/>
      <c r="AE16" s="135"/>
      <c r="AF16" s="229">
        <f>N16-K16</f>
        <v>-92.823529411751224</v>
      </c>
      <c r="AG16" s="52">
        <f>N16/K16</f>
        <v>0.9587450980392217</v>
      </c>
      <c r="AH16" s="403">
        <f>AG26</f>
        <v>0.91939651416122514</v>
      </c>
    </row>
    <row r="17" spans="1:34" ht="15" customHeight="1">
      <c r="A17" s="450"/>
      <c r="B17" s="75" t="s">
        <v>81</v>
      </c>
      <c r="C17" s="76"/>
      <c r="D17" s="59" t="s">
        <v>182</v>
      </c>
      <c r="E17" s="77"/>
      <c r="F17" s="75">
        <f>VLOOKUP(D17,廠價表!$C$1:$E$43,3,0)</f>
        <v>56.61</v>
      </c>
      <c r="G17" s="147">
        <v>1623</v>
      </c>
      <c r="H17" s="78">
        <f>F17*G17</f>
        <v>91878.03</v>
      </c>
      <c r="I17" s="30"/>
      <c r="J17" s="79">
        <v>15</v>
      </c>
      <c r="K17" s="80">
        <v>2250</v>
      </c>
      <c r="L17" s="81">
        <f>K17/J17</f>
        <v>150</v>
      </c>
      <c r="M17" s="148">
        <v>15</v>
      </c>
      <c r="N17" s="95">
        <f>G17/W17*60</f>
        <v>2028.7500000000209</v>
      </c>
      <c r="O17" s="96">
        <f>N17/M17</f>
        <v>135.25000000000139</v>
      </c>
      <c r="P17" s="97">
        <f>M17-J17</f>
        <v>0</v>
      </c>
      <c r="Q17" s="98">
        <f>O17-L17</f>
        <v>-14.749999999998607</v>
      </c>
      <c r="R17" s="99">
        <f>O17/L17</f>
        <v>0.90166666666667594</v>
      </c>
      <c r="S17" s="444"/>
      <c r="T17" s="19">
        <v>0.35555555555555601</v>
      </c>
      <c r="U17" s="19">
        <v>0.38888888888888901</v>
      </c>
      <c r="V17" s="30">
        <f>(T17-U16)*24*60</f>
        <v>7.0000000000006946</v>
      </c>
      <c r="W17" s="149">
        <f t="shared" si="4"/>
        <v>47.99999999999951</v>
      </c>
      <c r="X17" s="19"/>
      <c r="Y17" s="297"/>
      <c r="Z17" s="90"/>
      <c r="AA17" s="90"/>
      <c r="AB17" s="409"/>
      <c r="AC17" s="409"/>
      <c r="AD17" s="92"/>
      <c r="AE17" s="92"/>
      <c r="AF17" s="307">
        <f>N17-K17</f>
        <v>-221.24999999997908</v>
      </c>
      <c r="AG17" s="72">
        <f>N17/K17</f>
        <v>0.90166666666667594</v>
      </c>
      <c r="AH17" s="405"/>
    </row>
    <row r="18" spans="1:34" ht="15" customHeight="1">
      <c r="A18" s="450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3636</v>
      </c>
      <c r="H18" s="78">
        <f>F18*G18</f>
        <v>183218.04</v>
      </c>
      <c r="I18" s="30"/>
      <c r="J18" s="79">
        <v>12</v>
      </c>
      <c r="K18" s="80">
        <v>2250</v>
      </c>
      <c r="L18" s="81">
        <f>K18/J18</f>
        <v>187.5</v>
      </c>
      <c r="M18" s="148">
        <v>12</v>
      </c>
      <c r="N18" s="95">
        <f>G18/W18*60</f>
        <v>2019.9999999999998</v>
      </c>
      <c r="O18" s="96">
        <f>N18/M18</f>
        <v>168.33333333333331</v>
      </c>
      <c r="P18" s="97">
        <f>M18-J18</f>
        <v>0</v>
      </c>
      <c r="Q18" s="98">
        <f>O18-L18</f>
        <v>-19.166666666666686</v>
      </c>
      <c r="R18" s="99">
        <f>O18/L18</f>
        <v>0.89777777777777767</v>
      </c>
      <c r="S18" s="444"/>
      <c r="T18" s="19">
        <v>0.39583333333333298</v>
      </c>
      <c r="U18" s="19">
        <v>0.47083333333333299</v>
      </c>
      <c r="V18" s="30">
        <f>(T18-U17)*24*60</f>
        <v>9.999999999999325</v>
      </c>
      <c r="W18" s="149">
        <f t="shared" si="4"/>
        <v>108.00000000000001</v>
      </c>
      <c r="X18" s="22">
        <v>0.48472222222222222</v>
      </c>
      <c r="Y18" s="84">
        <v>0.52638888888888891</v>
      </c>
      <c r="Z18" s="90">
        <v>5</v>
      </c>
      <c r="AA18" s="90">
        <v>7</v>
      </c>
      <c r="AB18" s="409" t="s">
        <v>266</v>
      </c>
      <c r="AC18" s="409"/>
      <c r="AD18" s="92"/>
      <c r="AE18" s="92"/>
      <c r="AF18" s="307">
        <f>N18-K18</f>
        <v>-230.00000000000023</v>
      </c>
      <c r="AG18" s="72">
        <f>N18/K18</f>
        <v>0.89777777777777767</v>
      </c>
      <c r="AH18" s="405"/>
    </row>
    <row r="19" spans="1:34" ht="15" customHeight="1">
      <c r="A19" s="450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44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53"/>
      <c r="AC19" s="453"/>
      <c r="AD19" s="149"/>
      <c r="AE19" s="149"/>
      <c r="AF19" s="307">
        <f>N19-K19</f>
        <v>0</v>
      </c>
      <c r="AG19" s="72" t="e">
        <f>N19/K19</f>
        <v>#DIV/0!</v>
      </c>
      <c r="AH19" s="406"/>
    </row>
    <row r="20" spans="1:34" ht="15" customHeight="1">
      <c r="A20" s="450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44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9"/>
      <c r="AC20" s="409"/>
      <c r="AD20" s="92"/>
      <c r="AE20" s="92"/>
      <c r="AF20" s="307"/>
      <c r="AG20" s="72"/>
      <c r="AH20" s="406"/>
    </row>
    <row r="21" spans="1:34" ht="15" customHeight="1">
      <c r="A21" s="451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44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9"/>
      <c r="AC21" s="409"/>
      <c r="AD21" s="92"/>
      <c r="AE21" s="92"/>
      <c r="AF21" s="308"/>
      <c r="AG21" s="85"/>
      <c r="AH21" s="406"/>
    </row>
    <row r="22" spans="1:34" ht="15" customHeight="1">
      <c r="A22" s="451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44"/>
      <c r="T22" s="150"/>
      <c r="U22" s="150"/>
      <c r="V22" s="92"/>
      <c r="W22" s="149">
        <v>0</v>
      </c>
      <c r="X22" s="92"/>
      <c r="Y22" s="298"/>
      <c r="Z22" s="90"/>
      <c r="AA22" s="90"/>
      <c r="AB22" s="409"/>
      <c r="AC22" s="409"/>
      <c r="AD22" s="92"/>
      <c r="AE22" s="92"/>
      <c r="AF22" s="308"/>
      <c r="AG22" s="85"/>
      <c r="AH22" s="406"/>
    </row>
    <row r="23" spans="1:34" ht="15" customHeight="1">
      <c r="A23" s="451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44"/>
      <c r="T23" s="150"/>
      <c r="U23" s="150"/>
      <c r="W23" s="149">
        <f t="shared" si="4"/>
        <v>0</v>
      </c>
      <c r="X23" s="92"/>
      <c r="Y23" s="298"/>
      <c r="Z23" s="90"/>
      <c r="AA23" s="90"/>
      <c r="AB23" s="409"/>
      <c r="AC23" s="409"/>
      <c r="AD23" s="92"/>
      <c r="AE23" s="92"/>
      <c r="AF23" s="308"/>
      <c r="AG23" s="85"/>
      <c r="AH23" s="406"/>
    </row>
    <row r="24" spans="1:34" ht="15" customHeight="1">
      <c r="A24" s="451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44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9"/>
      <c r="AC24" s="409"/>
      <c r="AD24" s="92"/>
      <c r="AE24" s="92"/>
      <c r="AF24" s="308"/>
      <c r="AG24" s="85"/>
      <c r="AH24" s="406"/>
    </row>
    <row r="25" spans="1:34" ht="15" customHeight="1">
      <c r="A25" s="451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44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9"/>
      <c r="AC25" s="409"/>
      <c r="AD25" s="92"/>
      <c r="AE25" s="92"/>
      <c r="AF25" s="308"/>
      <c r="AG25" s="85"/>
      <c r="AH25" s="406"/>
    </row>
    <row r="26" spans="1:34" ht="15" customHeight="1" thickBot="1">
      <c r="A26" s="452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2068.6421568627566</v>
      </c>
      <c r="O26" s="158">
        <f t="shared" si="5"/>
        <v>156.50666163901539</v>
      </c>
      <c r="P26" s="159">
        <f>M26-J26</f>
        <v>0</v>
      </c>
      <c r="Q26" s="160">
        <f>O26-L26</f>
        <v>-13.685646053292317</v>
      </c>
      <c r="R26" s="161">
        <f>O26/L26</f>
        <v>0.91958716443263278</v>
      </c>
      <c r="S26" s="445"/>
      <c r="T26" s="163"/>
      <c r="U26" s="163"/>
      <c r="V26" s="164"/>
      <c r="W26" s="165"/>
      <c r="X26" s="166"/>
      <c r="Y26" s="299"/>
      <c r="Z26" s="334">
        <f>SUM(Z16:Z25)</f>
        <v>5</v>
      </c>
      <c r="AA26" s="334">
        <f>SUM(AA16:AA25)</f>
        <v>7</v>
      </c>
      <c r="AB26" s="410"/>
      <c r="AC26" s="410"/>
      <c r="AD26" s="323">
        <f>SUM(AD16:AD25)</f>
        <v>0</v>
      </c>
      <c r="AE26" s="323">
        <f>SUM(AE16:AE25)</f>
        <v>0</v>
      </c>
      <c r="AF26" s="309">
        <f t="shared" ref="AF26:AF31" si="6">N26-K26</f>
        <v>-181.35784313724344</v>
      </c>
      <c r="AG26" s="124">
        <f t="shared" ref="AG26:AG31" si="7">N26/K26</f>
        <v>0.91939651416122514</v>
      </c>
      <c r="AH26" s="407"/>
    </row>
    <row r="27" spans="1:34" ht="15" customHeight="1">
      <c r="A27" s="440" t="s">
        <v>45</v>
      </c>
      <c r="B27" s="167" t="s">
        <v>81</v>
      </c>
      <c r="C27" s="130"/>
      <c r="D27" s="168" t="s">
        <v>120</v>
      </c>
      <c r="E27" s="132"/>
      <c r="F27" s="129">
        <f>VLOOKUP(D27,廠價表!$C$1:$E$43,3,0)</f>
        <v>50.67</v>
      </c>
      <c r="G27" s="169">
        <v>982</v>
      </c>
      <c r="H27" s="134">
        <f>F27*G27</f>
        <v>49757.94</v>
      </c>
      <c r="I27" s="135"/>
      <c r="J27" s="136">
        <f>VLOOKUP(D27,產線配置圖!$A$3:$C$38,2,0)</f>
        <v>13</v>
      </c>
      <c r="K27" s="137">
        <f>VLOOKUP(D27,產線配置圖!$A$3:$C$38,3,0)</f>
        <v>1440</v>
      </c>
      <c r="L27" s="138">
        <f>K27/J27</f>
        <v>110.76923076923077</v>
      </c>
      <c r="M27" s="170">
        <v>13</v>
      </c>
      <c r="N27" s="140">
        <f>G27/W27*60</f>
        <v>1178.400000000008</v>
      </c>
      <c r="O27" s="141">
        <f>N27/M27</f>
        <v>90.646153846154462</v>
      </c>
      <c r="P27" s="142">
        <f>M27-J27</f>
        <v>0</v>
      </c>
      <c r="Q27" s="143">
        <f>O27-L27</f>
        <v>-20.123076923076312</v>
      </c>
      <c r="R27" s="144">
        <f>O27/L27</f>
        <v>0.81833333333333891</v>
      </c>
      <c r="S27" s="443">
        <f>R37</f>
        <v>0.81204776424937086</v>
      </c>
      <c r="T27" s="171">
        <v>0.29166666666666702</v>
      </c>
      <c r="U27" s="171">
        <v>0.32638888888888901</v>
      </c>
      <c r="V27" s="135"/>
      <c r="W27" s="146">
        <f t="shared" si="4"/>
        <v>49.999999999999659</v>
      </c>
      <c r="X27" s="135"/>
      <c r="Y27" s="300" t="s">
        <v>46</v>
      </c>
      <c r="Z27" s="169"/>
      <c r="AA27" s="169"/>
      <c r="AB27" s="420" t="s">
        <v>270</v>
      </c>
      <c r="AC27" s="420"/>
      <c r="AD27" s="135"/>
      <c r="AE27" s="135"/>
      <c r="AF27" s="310">
        <f t="shared" si="6"/>
        <v>-261.59999999999195</v>
      </c>
      <c r="AG27" s="172">
        <f t="shared" si="7"/>
        <v>0.81833333333333891</v>
      </c>
      <c r="AH27" s="403">
        <f>AG37</f>
        <v>0.81117917360312852</v>
      </c>
    </row>
    <row r="28" spans="1:34" ht="15" customHeight="1">
      <c r="A28" s="441"/>
      <c r="B28" s="75" t="s">
        <v>81</v>
      </c>
      <c r="C28" s="173"/>
      <c r="D28" s="59" t="s">
        <v>213</v>
      </c>
      <c r="E28" s="104"/>
      <c r="F28" s="75">
        <f>VLOOKUP(D28,廠價表!$C$1:$E$43,3,0)</f>
        <v>50.289000000000001</v>
      </c>
      <c r="G28" s="90">
        <v>2237</v>
      </c>
      <c r="H28" s="91">
        <f>F28*G28</f>
        <v>112496.493</v>
      </c>
      <c r="I28" s="92"/>
      <c r="J28" s="79">
        <v>19</v>
      </c>
      <c r="K28" s="80">
        <f>VLOOKUP(D28,產線配置圖!$A$3:$C$38,3,0)</f>
        <v>1565</v>
      </c>
      <c r="L28" s="93">
        <f>K28/J28</f>
        <v>82.368421052631575</v>
      </c>
      <c r="M28" s="94">
        <v>19</v>
      </c>
      <c r="N28" s="95">
        <f>G28/W28*60</f>
        <v>1254.3925233644941</v>
      </c>
      <c r="O28" s="96">
        <f>N28/M28</f>
        <v>66.02065912444705</v>
      </c>
      <c r="P28" s="97">
        <f>M28-J28</f>
        <v>0</v>
      </c>
      <c r="Q28" s="98">
        <f>O28-L28</f>
        <v>-16.347761928184525</v>
      </c>
      <c r="R28" s="99">
        <f>O28/L28</f>
        <v>0.8015287689229994</v>
      </c>
      <c r="S28" s="444"/>
      <c r="T28" s="19">
        <v>0.33680555555555602</v>
      </c>
      <c r="U28" s="19">
        <v>0.41111111111111109</v>
      </c>
      <c r="V28" s="92">
        <f>(T28-U27)*24*60</f>
        <v>15.000000000000506</v>
      </c>
      <c r="W28" s="149">
        <f t="shared" si="4"/>
        <v>106.9999999999993</v>
      </c>
      <c r="X28" s="174"/>
      <c r="Y28" s="301"/>
      <c r="Z28" s="335"/>
      <c r="AA28" s="335"/>
      <c r="AB28" s="409"/>
      <c r="AC28" s="409"/>
      <c r="AD28" s="92"/>
      <c r="AE28" s="92"/>
      <c r="AF28" s="311">
        <f t="shared" si="6"/>
        <v>-310.60747663550592</v>
      </c>
      <c r="AG28" s="99">
        <f t="shared" si="7"/>
        <v>0.8015287689229994</v>
      </c>
      <c r="AH28" s="404"/>
    </row>
    <row r="29" spans="1:34" ht="15" customHeight="1">
      <c r="A29" s="441"/>
      <c r="B29" s="75" t="s">
        <v>81</v>
      </c>
      <c r="C29" s="173"/>
      <c r="D29" s="59" t="s">
        <v>113</v>
      </c>
      <c r="E29" s="104"/>
      <c r="F29" s="75">
        <f>VLOOKUP(D29,廠價表!$C$1:$E$43,3,0)</f>
        <v>57.21</v>
      </c>
      <c r="G29" s="90">
        <v>1498</v>
      </c>
      <c r="H29" s="91">
        <f>F29*G29</f>
        <v>85700.58</v>
      </c>
      <c r="I29" s="92"/>
      <c r="J29" s="79">
        <v>17</v>
      </c>
      <c r="K29" s="80">
        <v>1716</v>
      </c>
      <c r="L29" s="93">
        <f>K29/J29</f>
        <v>100.94117647058823</v>
      </c>
      <c r="M29" s="94">
        <v>17</v>
      </c>
      <c r="N29" s="95">
        <f>G29/W29*60</f>
        <v>1404.3750000000136</v>
      </c>
      <c r="O29" s="96">
        <f>N29/M29</f>
        <v>82.610294117647868</v>
      </c>
      <c r="P29" s="97">
        <f>M29-J29</f>
        <v>0</v>
      </c>
      <c r="Q29" s="98">
        <f>O29-L29</f>
        <v>-18.330882352940364</v>
      </c>
      <c r="R29" s="99">
        <f>O29/L29</f>
        <v>0.81840034965035768</v>
      </c>
      <c r="S29" s="444"/>
      <c r="T29" s="19">
        <v>0.41875000000000001</v>
      </c>
      <c r="U29" s="19">
        <v>0.46319444444444402</v>
      </c>
      <c r="V29" s="92">
        <f>(T29-U28)*24*60</f>
        <v>11.000000000000041</v>
      </c>
      <c r="W29" s="149">
        <f t="shared" si="4"/>
        <v>63.999999999999375</v>
      </c>
      <c r="X29" s="22">
        <v>0.46875</v>
      </c>
      <c r="Y29" s="84">
        <v>0.52083333333333337</v>
      </c>
      <c r="Z29" s="90"/>
      <c r="AA29" s="90"/>
      <c r="AB29" s="409"/>
      <c r="AC29" s="409"/>
      <c r="AD29" s="92"/>
      <c r="AE29" s="92"/>
      <c r="AF29" s="312">
        <f t="shared" si="6"/>
        <v>-311.62499999998636</v>
      </c>
      <c r="AG29" s="99">
        <f t="shared" si="7"/>
        <v>0.81840034965035757</v>
      </c>
      <c r="AH29" s="404"/>
    </row>
    <row r="30" spans="1:34" ht="15" customHeight="1">
      <c r="A30" s="441"/>
      <c r="B30" s="75" t="s">
        <v>81</v>
      </c>
      <c r="C30" s="88"/>
      <c r="D30" s="59" t="s">
        <v>213</v>
      </c>
      <c r="E30" s="89"/>
      <c r="F30" s="75">
        <f>VLOOKUP(D30,廠價表!$C$1:$E$43,3,0)</f>
        <v>50.289000000000001</v>
      </c>
      <c r="G30" s="90">
        <v>1325</v>
      </c>
      <c r="H30" s="91">
        <f>F30*G30</f>
        <v>66632.925000000003</v>
      </c>
      <c r="I30" s="92"/>
      <c r="J30" s="79">
        <v>19</v>
      </c>
      <c r="K30" s="80">
        <f>VLOOKUP(D30,產線配置圖!$A$3:$C$38,3,0)</f>
        <v>1565</v>
      </c>
      <c r="L30" s="93">
        <f>K30/J30</f>
        <v>82.368421052631575</v>
      </c>
      <c r="M30" s="94">
        <v>19</v>
      </c>
      <c r="N30" s="95">
        <f>G30/W30*60</f>
        <v>1261.9047619047503</v>
      </c>
      <c r="O30" s="96">
        <f>N30/M30</f>
        <v>66.416040100250015</v>
      </c>
      <c r="P30" s="97">
        <f>M30-J30</f>
        <v>0</v>
      </c>
      <c r="Q30" s="98">
        <f>O30-L30</f>
        <v>-15.95238095238156</v>
      </c>
      <c r="R30" s="99">
        <f>O30/L30</f>
        <v>0.80632892134488843</v>
      </c>
      <c r="S30" s="444"/>
      <c r="T30" s="19">
        <v>0.52569444444444402</v>
      </c>
      <c r="U30" s="19">
        <v>0.56944444444444442</v>
      </c>
      <c r="V30" s="92">
        <f>(T30-U29)*24*60</f>
        <v>90</v>
      </c>
      <c r="W30" s="149">
        <f t="shared" si="4"/>
        <v>63.000000000000576</v>
      </c>
      <c r="X30" s="174"/>
      <c r="Y30" s="301"/>
      <c r="Z30" s="335"/>
      <c r="AA30" s="335"/>
      <c r="AB30" s="409"/>
      <c r="AC30" s="409"/>
      <c r="AD30" s="92"/>
      <c r="AE30" s="92"/>
      <c r="AF30" s="312">
        <f t="shared" si="6"/>
        <v>-303.09523809524967</v>
      </c>
      <c r="AG30" s="99">
        <f t="shared" si="7"/>
        <v>0.80632892134488843</v>
      </c>
      <c r="AH30" s="439"/>
    </row>
    <row r="31" spans="1:34" ht="15" customHeight="1">
      <c r="A31" s="44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44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9"/>
      <c r="AC31" s="409"/>
      <c r="AD31" s="92"/>
      <c r="AE31" s="92"/>
      <c r="AF31" s="312">
        <f t="shared" si="6"/>
        <v>0</v>
      </c>
      <c r="AG31" s="99" t="e">
        <f t="shared" si="7"/>
        <v>#DIV/0!</v>
      </c>
      <c r="AH31" s="406"/>
    </row>
    <row r="32" spans="1:34" ht="15" customHeight="1">
      <c r="A32" s="44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44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9"/>
      <c r="AC32" s="409"/>
      <c r="AD32" s="92"/>
      <c r="AE32" s="92"/>
      <c r="AF32" s="307"/>
      <c r="AG32" s="72"/>
      <c r="AH32" s="406"/>
    </row>
    <row r="33" spans="1:34" ht="15" customHeight="1">
      <c r="A33" s="44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44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9"/>
      <c r="AC33" s="409"/>
      <c r="AD33" s="92"/>
      <c r="AE33" s="92"/>
      <c r="AF33" s="307"/>
      <c r="AG33" s="112"/>
      <c r="AH33" s="406"/>
    </row>
    <row r="34" spans="1:34" ht="15" customHeight="1">
      <c r="A34" s="44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44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9"/>
      <c r="AC34" s="409"/>
      <c r="AD34" s="92"/>
      <c r="AE34" s="92"/>
      <c r="AF34" s="307"/>
      <c r="AG34" s="112"/>
      <c r="AH34" s="406"/>
    </row>
    <row r="35" spans="1:34" ht="15" customHeight="1">
      <c r="A35" s="44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44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9"/>
      <c r="AC35" s="409"/>
      <c r="AD35" s="92"/>
      <c r="AE35" s="92"/>
      <c r="AF35" s="307"/>
      <c r="AG35" s="112"/>
      <c r="AH35" s="406"/>
    </row>
    <row r="36" spans="1:34" ht="15" customHeight="1">
      <c r="A36" s="441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44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9"/>
      <c r="AC36" s="409"/>
      <c r="AD36" s="92"/>
      <c r="AE36" s="92"/>
      <c r="AF36" s="307"/>
      <c r="AG36" s="112"/>
      <c r="AH36" s="406"/>
    </row>
    <row r="37" spans="1:34" ht="15" customHeight="1" thickBot="1">
      <c r="A37" s="442"/>
      <c r="B37" s="152"/>
      <c r="C37" s="153" t="s">
        <v>47</v>
      </c>
      <c r="D37" s="446" t="s">
        <v>42</v>
      </c>
      <c r="E37" s="447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1571.5</v>
      </c>
      <c r="L37" s="158">
        <f t="shared" si="8"/>
        <v>94.111812336270532</v>
      </c>
      <c r="M37" s="155">
        <f t="shared" si="8"/>
        <v>17</v>
      </c>
      <c r="N37" s="155">
        <f t="shared" si="8"/>
        <v>1274.7680713173165</v>
      </c>
      <c r="O37" s="158">
        <f t="shared" si="8"/>
        <v>76.423286797124845</v>
      </c>
      <c r="P37" s="159">
        <f>M37-J37</f>
        <v>0</v>
      </c>
      <c r="Q37" s="160">
        <f>N37-K37</f>
        <v>-296.73192868268347</v>
      </c>
      <c r="R37" s="161">
        <f>O37/L37</f>
        <v>0.81204776424937086</v>
      </c>
      <c r="S37" s="44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8"/>
      <c r="AC37" s="448"/>
      <c r="AD37" s="324">
        <f>SUM(AD27:AD36)</f>
        <v>0</v>
      </c>
      <c r="AE37" s="324">
        <f>SUM(AE27:AE36)</f>
        <v>0</v>
      </c>
      <c r="AF37" s="309">
        <f>N37-K37</f>
        <v>-296.73192868268347</v>
      </c>
      <c r="AG37" s="124">
        <f>N37/K37</f>
        <v>0.81117917360312852</v>
      </c>
      <c r="AH37" s="407"/>
    </row>
    <row r="38" spans="1:34" ht="15" customHeight="1">
      <c r="A38" s="430" t="s">
        <v>48</v>
      </c>
      <c r="B38" s="167" t="s">
        <v>118</v>
      </c>
      <c r="C38" s="129"/>
      <c r="D38" s="184" t="s">
        <v>123</v>
      </c>
      <c r="E38" s="185"/>
      <c r="F38" s="39">
        <f>VLOOKUP(D38,廠價表!$C$1:$E$43,3,0)</f>
        <v>49.91</v>
      </c>
      <c r="G38" s="186">
        <v>2207</v>
      </c>
      <c r="H38" s="134">
        <f>F38*G38</f>
        <v>110151.37</v>
      </c>
      <c r="I38" s="135"/>
      <c r="J38" s="187">
        <f>VLOOKUP(D38,產線配置圖!$A$3:$C$38,2,0)</f>
        <v>15</v>
      </c>
      <c r="K38" s="188">
        <f>VLOOKUP(D38,產線配置圖!$A$3:$C$38,3,0)</f>
        <v>1714</v>
      </c>
      <c r="L38" s="189">
        <f>K38/J38</f>
        <v>114.26666666666667</v>
      </c>
      <c r="M38" s="190">
        <v>15</v>
      </c>
      <c r="N38" s="140">
        <f>G38/W38*60</f>
        <v>1471.3333333333333</v>
      </c>
      <c r="O38" s="141">
        <f>N38/M38</f>
        <v>98.088888888888889</v>
      </c>
      <c r="P38" s="142">
        <f>M38-J38</f>
        <v>0</v>
      </c>
      <c r="Q38" s="143">
        <f>O38-L38</f>
        <v>-16.177777777777777</v>
      </c>
      <c r="R38" s="144">
        <f>O38/L38</f>
        <v>0.85842084791909767</v>
      </c>
      <c r="S38" s="433">
        <f>R48</f>
        <v>0.7787914000183096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35"/>
      <c r="AC38" s="435"/>
      <c r="AD38" s="192"/>
      <c r="AE38" s="192"/>
      <c r="AF38" s="313">
        <f>N38-K38</f>
        <v>-242.66666666666674</v>
      </c>
      <c r="AG38" s="195">
        <f>N38/K38</f>
        <v>0.85842084791909756</v>
      </c>
      <c r="AH38" s="436">
        <f>AG48</f>
        <v>0.77503459094311145</v>
      </c>
    </row>
    <row r="39" spans="1:34" ht="15" customHeight="1">
      <c r="A39" s="431"/>
      <c r="B39" s="75" t="s">
        <v>118</v>
      </c>
      <c r="C39" s="197"/>
      <c r="D39" s="198" t="s">
        <v>124</v>
      </c>
      <c r="E39" s="176"/>
      <c r="F39" s="75">
        <f>VLOOKUP(D39,廠價表!$C$1:$E$43,3,0)</f>
        <v>44.3</v>
      </c>
      <c r="G39" s="199">
        <v>2479</v>
      </c>
      <c r="H39" s="91">
        <f>F39*G39</f>
        <v>109819.7</v>
      </c>
      <c r="I39" s="200"/>
      <c r="J39" s="148">
        <v>17</v>
      </c>
      <c r="K39" s="95">
        <f>VLOOKUP(D39,產線配置圖!$A$3:$C$38,3,0)</f>
        <v>1565</v>
      </c>
      <c r="L39" s="96">
        <f>K39/J39</f>
        <v>92.058823529411768</v>
      </c>
      <c r="M39" s="201">
        <v>17</v>
      </c>
      <c r="N39" s="202">
        <f>G39/W39*60</f>
        <v>1271.2820512820515</v>
      </c>
      <c r="O39" s="203">
        <f>N39/M39</f>
        <v>74.781297134238329</v>
      </c>
      <c r="P39" s="97">
        <f>M39-J39</f>
        <v>0</v>
      </c>
      <c r="Q39" s="98">
        <f>O39-L39</f>
        <v>-17.277526395173439</v>
      </c>
      <c r="R39" s="99">
        <f>O39/L39</f>
        <v>0.81232079954124703</v>
      </c>
      <c r="S39" s="434"/>
      <c r="T39" s="20">
        <v>0.40277777777777801</v>
      </c>
      <c r="U39" s="20">
        <v>0.484027777777778</v>
      </c>
      <c r="V39" s="92">
        <f>(T39-U38)*24*60</f>
        <v>10.000000000000844</v>
      </c>
      <c r="W39" s="205">
        <f t="shared" si="4"/>
        <v>116.99999999999999</v>
      </c>
      <c r="X39" s="22">
        <v>0.48958333333333331</v>
      </c>
      <c r="Y39" s="84">
        <v>0.53125</v>
      </c>
      <c r="Z39" s="90"/>
      <c r="AA39" s="90"/>
      <c r="AB39" s="409" t="s">
        <v>268</v>
      </c>
      <c r="AC39" s="409"/>
      <c r="AD39" s="200">
        <v>1</v>
      </c>
      <c r="AE39" s="200">
        <v>1</v>
      </c>
      <c r="AF39" s="314">
        <f>N39-K39</f>
        <v>-293.7179487179485</v>
      </c>
      <c r="AG39" s="206">
        <f>N39/K39</f>
        <v>0.81232079954124692</v>
      </c>
      <c r="AH39" s="437"/>
    </row>
    <row r="40" spans="1:34" ht="15" customHeight="1">
      <c r="A40" s="431"/>
      <c r="B40" s="75" t="s">
        <v>118</v>
      </c>
      <c r="C40" s="207"/>
      <c r="D40" s="198" t="s">
        <v>124</v>
      </c>
      <c r="E40" s="178"/>
      <c r="F40" s="75">
        <f>VLOOKUP(D40,廠價表!$C$1:$E$43,3,0)</f>
        <v>44.3</v>
      </c>
      <c r="G40" s="199">
        <v>1939</v>
      </c>
      <c r="H40" s="91">
        <f>F40*G40</f>
        <v>85897.7</v>
      </c>
      <c r="I40" s="200"/>
      <c r="J40" s="148">
        <v>17</v>
      </c>
      <c r="K40" s="95">
        <f>VLOOKUP(D40,產線配置圖!$A$3:$C$38,3,0)</f>
        <v>1565</v>
      </c>
      <c r="L40" s="96">
        <f>K40/J40</f>
        <v>92.058823529411768</v>
      </c>
      <c r="M40" s="201">
        <v>17</v>
      </c>
      <c r="N40" s="202">
        <f>G40/W40*60</f>
        <v>1011.6521739130471</v>
      </c>
      <c r="O40" s="203">
        <f>N40/M40</f>
        <v>59.508951406649828</v>
      </c>
      <c r="P40" s="97">
        <f>M40-J40</f>
        <v>0</v>
      </c>
      <c r="Q40" s="98">
        <f>O40-L40</f>
        <v>-32.54987212276194</v>
      </c>
      <c r="R40" s="99">
        <f>O40/L40</f>
        <v>0.64642311432143584</v>
      </c>
      <c r="S40" s="416"/>
      <c r="T40" s="20">
        <v>0.54166666666666696</v>
      </c>
      <c r="U40" s="20">
        <v>0.62152777777777779</v>
      </c>
      <c r="V40" s="92">
        <f>(T40-U39)*24*60</f>
        <v>83.000000000000099</v>
      </c>
      <c r="W40" s="205">
        <f t="shared" si="4"/>
        <v>114.99999999999959</v>
      </c>
      <c r="X40" s="208"/>
      <c r="Y40" s="209"/>
      <c r="Z40" s="337">
        <v>1</v>
      </c>
      <c r="AA40" s="337">
        <v>20</v>
      </c>
      <c r="AB40" s="409" t="s">
        <v>269</v>
      </c>
      <c r="AC40" s="409"/>
      <c r="AD40" s="92"/>
      <c r="AE40" s="92"/>
      <c r="AF40" s="314">
        <f>N40-K40</f>
        <v>-553.34782608695286</v>
      </c>
      <c r="AG40" s="206">
        <f>N40/K40</f>
        <v>0.64642311432143584</v>
      </c>
      <c r="AH40" s="437"/>
    </row>
    <row r="41" spans="1:34" ht="15" customHeight="1">
      <c r="A41" s="43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6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9"/>
      <c r="AC41" s="409"/>
      <c r="AD41" s="92"/>
      <c r="AE41" s="92"/>
      <c r="AF41" s="314">
        <f>N41-K41</f>
        <v>0</v>
      </c>
      <c r="AG41" s="206" t="e">
        <f>N41/K41</f>
        <v>#DIV/0!</v>
      </c>
      <c r="AH41" s="437"/>
    </row>
    <row r="42" spans="1:34" ht="15" customHeight="1">
      <c r="A42" s="43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6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9"/>
      <c r="AC42" s="409"/>
      <c r="AD42" s="92"/>
      <c r="AE42" s="92"/>
      <c r="AF42" s="314"/>
      <c r="AG42" s="206"/>
      <c r="AH42" s="437"/>
    </row>
    <row r="43" spans="1:34" ht="15" customHeight="1">
      <c r="A43" s="43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6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9"/>
      <c r="AC43" s="409"/>
      <c r="AD43" s="92"/>
      <c r="AE43" s="92"/>
      <c r="AF43" s="213"/>
      <c r="AG43" s="206"/>
      <c r="AH43" s="437"/>
    </row>
    <row r="44" spans="1:34" ht="15" customHeight="1">
      <c r="A44" s="43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6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9"/>
      <c r="AC44" s="409"/>
      <c r="AD44" s="92"/>
      <c r="AE44" s="92"/>
      <c r="AF44" s="213"/>
      <c r="AG44" s="206"/>
      <c r="AH44" s="437"/>
    </row>
    <row r="45" spans="1:34" ht="15" customHeight="1">
      <c r="A45" s="43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6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9"/>
      <c r="AC45" s="409"/>
      <c r="AD45" s="92"/>
      <c r="AE45" s="92"/>
      <c r="AF45" s="213"/>
      <c r="AG45" s="206"/>
      <c r="AH45" s="437"/>
    </row>
    <row r="46" spans="1:34" ht="15" customHeight="1">
      <c r="A46" s="43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6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9"/>
      <c r="AC46" s="409"/>
      <c r="AD46" s="92"/>
      <c r="AE46" s="92"/>
      <c r="AF46" s="213"/>
      <c r="AG46" s="206"/>
      <c r="AH46" s="437"/>
    </row>
    <row r="47" spans="1:34" ht="15" customHeight="1">
      <c r="A47" s="43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6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9"/>
      <c r="AC47" s="409"/>
      <c r="AD47" s="92"/>
      <c r="AE47" s="92"/>
      <c r="AF47" s="213"/>
      <c r="AG47" s="206"/>
      <c r="AH47" s="437"/>
    </row>
    <row r="48" spans="1:34" ht="15" customHeight="1" thickBot="1">
      <c r="A48" s="432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9">AVERAGE(J38:J47)</f>
        <v>16.333333333333332</v>
      </c>
      <c r="K48" s="155">
        <f t="shared" si="9"/>
        <v>1614.6666666666667</v>
      </c>
      <c r="L48" s="158">
        <f t="shared" si="9"/>
        <v>99.461437908496734</v>
      </c>
      <c r="M48" s="155">
        <f t="shared" si="9"/>
        <v>16.333333333333332</v>
      </c>
      <c r="N48" s="155">
        <f t="shared" si="9"/>
        <v>1251.4225195094773</v>
      </c>
      <c r="O48" s="158">
        <f t="shared" si="9"/>
        <v>77.459712476592344</v>
      </c>
      <c r="P48" s="221">
        <f>M48-J48</f>
        <v>0</v>
      </c>
      <c r="Q48" s="222">
        <f>N48-K48</f>
        <v>-363.24414715718945</v>
      </c>
      <c r="R48" s="223">
        <f>O48/L48</f>
        <v>0.7787914000183096</v>
      </c>
      <c r="S48" s="419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1</v>
      </c>
      <c r="AA48" s="334">
        <f>SUM(AA38:AA47)</f>
        <v>20</v>
      </c>
      <c r="AB48" s="410"/>
      <c r="AC48" s="410"/>
      <c r="AD48" s="323">
        <f>SUM(AD38:AD47)</f>
        <v>1</v>
      </c>
      <c r="AE48" s="323">
        <f>SUM(AE38:AE47)</f>
        <v>1</v>
      </c>
      <c r="AF48" s="315">
        <f t="shared" ref="AF48:AF53" si="10">N48-K48</f>
        <v>-363.24414715718945</v>
      </c>
      <c r="AG48" s="162">
        <f t="shared" ref="AG48:AG53" si="11">N48/K48</f>
        <v>0.77503459094311145</v>
      </c>
      <c r="AH48" s="438"/>
    </row>
    <row r="49" spans="1:34" ht="15" customHeight="1">
      <c r="A49" s="427" t="s">
        <v>50</v>
      </c>
      <c r="B49" s="129" t="s">
        <v>118</v>
      </c>
      <c r="C49" s="130"/>
      <c r="D49" s="131" t="s">
        <v>119</v>
      </c>
      <c r="E49" s="132"/>
      <c r="F49" s="129">
        <f>VLOOKUP(D49,廠價表!$C$1:$E$43,3,0)</f>
        <v>49.52</v>
      </c>
      <c r="G49" s="228">
        <v>1827</v>
      </c>
      <c r="H49" s="134">
        <f>F49*G49</f>
        <v>90473.040000000008</v>
      </c>
      <c r="I49" s="135"/>
      <c r="J49" s="136">
        <f>VLOOKUP(D49,產線配置圖!$A$3:$C$38,2,0)</f>
        <v>17</v>
      </c>
      <c r="K49" s="137">
        <v>1500</v>
      </c>
      <c r="L49" s="138">
        <f>K49/J49</f>
        <v>88.235294117647058</v>
      </c>
      <c r="M49" s="170">
        <v>17</v>
      </c>
      <c r="N49" s="140">
        <f>G49/W49*60</f>
        <v>1387.5949367088599</v>
      </c>
      <c r="O49" s="141">
        <f>N49/M49</f>
        <v>81.6232315711094</v>
      </c>
      <c r="P49" s="229">
        <f>M49-J49</f>
        <v>0</v>
      </c>
      <c r="Q49" s="230">
        <f>O49-L49</f>
        <v>-6.6120625465376577</v>
      </c>
      <c r="R49" s="52">
        <f>O49/L49</f>
        <v>0.92506329113923991</v>
      </c>
      <c r="S49" s="415">
        <f>R58</f>
        <v>0.75288410197347067</v>
      </c>
      <c r="T49" s="191">
        <v>0.28819444444444442</v>
      </c>
      <c r="U49" s="191">
        <v>0.34305555555555556</v>
      </c>
      <c r="V49" s="55"/>
      <c r="W49" s="193">
        <f t="shared" si="4"/>
        <v>79.000000000000043</v>
      </c>
      <c r="X49" s="55"/>
      <c r="Y49" s="290"/>
      <c r="Z49" s="169"/>
      <c r="AA49" s="169"/>
      <c r="AB49" s="420"/>
      <c r="AC49" s="420"/>
      <c r="AD49" s="135"/>
      <c r="AE49" s="135"/>
      <c r="AF49" s="229">
        <f t="shared" si="10"/>
        <v>-112.4050632911401</v>
      </c>
      <c r="AG49" s="52">
        <f t="shared" si="11"/>
        <v>0.92506329113923991</v>
      </c>
      <c r="AH49" s="403">
        <f>AG58</f>
        <v>0.75524866296391291</v>
      </c>
    </row>
    <row r="50" spans="1:34" ht="15" customHeight="1">
      <c r="A50" s="428"/>
      <c r="B50" s="75" t="s">
        <v>81</v>
      </c>
      <c r="C50" s="76"/>
      <c r="D50" s="59" t="s">
        <v>126</v>
      </c>
      <c r="E50" s="77"/>
      <c r="F50" s="75">
        <f>VLOOKUP(D50,廠價表!$C$1:$E$43,3,0)</f>
        <v>49.97</v>
      </c>
      <c r="G50" s="202">
        <v>4034</v>
      </c>
      <c r="H50" s="231">
        <f>F50*G50</f>
        <v>201578.97999999998</v>
      </c>
      <c r="I50" s="232"/>
      <c r="J50" s="79">
        <f>VLOOKUP(D50,產線配置圖!$A$3:$C$38,2,0)</f>
        <v>16</v>
      </c>
      <c r="K50" s="80">
        <f>VLOOKUP(D50,產線配置圖!$A$3:$C$38,3,0)</f>
        <v>1800</v>
      </c>
      <c r="L50" s="81">
        <f>K50/J50</f>
        <v>112.5</v>
      </c>
      <c r="M50" s="233">
        <v>16</v>
      </c>
      <c r="N50" s="234">
        <f>G50/W50*60</f>
        <v>1484.9079754601148</v>
      </c>
      <c r="O50" s="235">
        <f>N50/M50</f>
        <v>92.806748466257176</v>
      </c>
      <c r="P50" s="74">
        <f>M50-J50</f>
        <v>0</v>
      </c>
      <c r="Q50" s="83">
        <f>O50-L50</f>
        <v>-19.693251533742824</v>
      </c>
      <c r="R50" s="72">
        <f>O50/L50</f>
        <v>0.82494887525561933</v>
      </c>
      <c r="S50" s="416"/>
      <c r="T50" s="21">
        <v>0.34861111111111098</v>
      </c>
      <c r="U50" s="21">
        <v>0.46180555555555602</v>
      </c>
      <c r="V50" s="30">
        <f>(T50-U49)*24*60</f>
        <v>7.9999999999998117</v>
      </c>
      <c r="W50" s="236">
        <f t="shared" si="4"/>
        <v>163.00000000000085</v>
      </c>
      <c r="X50" s="22">
        <v>0.46875</v>
      </c>
      <c r="Y50" s="84">
        <v>0.52083333333333337</v>
      </c>
      <c r="Z50" s="90"/>
      <c r="AA50" s="90"/>
      <c r="AB50" s="409"/>
      <c r="AC50" s="409"/>
      <c r="AD50" s="92"/>
      <c r="AE50" s="92"/>
      <c r="AF50" s="307">
        <f t="shared" si="10"/>
        <v>-315.09202453988519</v>
      </c>
      <c r="AG50" s="72">
        <f t="shared" si="11"/>
        <v>0.82494887525561933</v>
      </c>
      <c r="AH50" s="405"/>
    </row>
    <row r="51" spans="1:34" ht="15" customHeight="1">
      <c r="A51" s="428"/>
      <c r="B51" s="75" t="s">
        <v>81</v>
      </c>
      <c r="C51" s="76"/>
      <c r="D51" s="59" t="s">
        <v>126</v>
      </c>
      <c r="E51" s="77"/>
      <c r="F51" s="75">
        <f>VLOOKUP(D51,廠價表!$C$1:$E$43,3,0)</f>
        <v>49.97</v>
      </c>
      <c r="G51" s="202">
        <v>620</v>
      </c>
      <c r="H51" s="231">
        <f>F51*G51</f>
        <v>30981.399999999998</v>
      </c>
      <c r="I51" s="232"/>
      <c r="J51" s="79">
        <f>VLOOKUP(D51,產線配置圖!$A$3:$C$38,2,0)</f>
        <v>16</v>
      </c>
      <c r="K51" s="80">
        <f>VLOOKUP(D51,產線配置圖!$A$3:$C$38,3,0)</f>
        <v>1800</v>
      </c>
      <c r="L51" s="81">
        <f>K51/J51</f>
        <v>112.5</v>
      </c>
      <c r="M51" s="233">
        <v>16</v>
      </c>
      <c r="N51" s="234">
        <f>G51/W51*60</f>
        <v>1282.7586206896526</v>
      </c>
      <c r="O51" s="235">
        <f>N51/M51</f>
        <v>80.172413793103289</v>
      </c>
      <c r="P51" s="74">
        <f>M51-J51</f>
        <v>0</v>
      </c>
      <c r="Q51" s="83">
        <f>O51-L51</f>
        <v>-32.327586206896711</v>
      </c>
      <c r="R51" s="72">
        <f>O51/L51</f>
        <v>0.71264367816091811</v>
      </c>
      <c r="S51" s="416"/>
      <c r="T51" s="21">
        <v>0.52638888888888902</v>
      </c>
      <c r="U51" s="19">
        <v>0.54652777777777795</v>
      </c>
      <c r="V51" s="30">
        <f>(T51-U50)*24*60</f>
        <v>92.999999999999517</v>
      </c>
      <c r="W51" s="236">
        <f t="shared" si="4"/>
        <v>29.000000000000057</v>
      </c>
      <c r="X51" s="22"/>
      <c r="Y51" s="84"/>
      <c r="Z51" s="90">
        <v>1</v>
      </c>
      <c r="AA51" s="90">
        <v>5</v>
      </c>
      <c r="AB51" s="409" t="s">
        <v>267</v>
      </c>
      <c r="AC51" s="409"/>
      <c r="AD51" s="92"/>
      <c r="AE51" s="92"/>
      <c r="AF51" s="307">
        <f t="shared" si="10"/>
        <v>-517.24137931034738</v>
      </c>
      <c r="AG51" s="72">
        <f t="shared" si="11"/>
        <v>0.71264367816091811</v>
      </c>
      <c r="AH51" s="405"/>
    </row>
    <row r="52" spans="1:34" ht="15" customHeight="1">
      <c r="A52" s="428"/>
      <c r="B52" s="75" t="s">
        <v>81</v>
      </c>
      <c r="C52" s="86"/>
      <c r="D52" s="59" t="s">
        <v>113</v>
      </c>
      <c r="E52" s="87"/>
      <c r="F52" s="75">
        <f>VLOOKUP(D52,廠價表!$C$1:$E$43,3,0)</f>
        <v>57.21</v>
      </c>
      <c r="G52" s="202">
        <v>560</v>
      </c>
      <c r="H52" s="231">
        <f>F52*G52</f>
        <v>32037.600000000002</v>
      </c>
      <c r="I52" s="232"/>
      <c r="J52" s="79">
        <v>17</v>
      </c>
      <c r="K52" s="80">
        <v>1716</v>
      </c>
      <c r="L52" s="81">
        <f>K52/J52</f>
        <v>100.94117647058823</v>
      </c>
      <c r="M52" s="233">
        <v>16</v>
      </c>
      <c r="N52" s="234">
        <f>G52/W52*60</f>
        <v>1344.0000000000134</v>
      </c>
      <c r="O52" s="235">
        <f>N52/M52</f>
        <v>84.000000000000838</v>
      </c>
      <c r="P52" s="74">
        <f>M52-J52</f>
        <v>-1</v>
      </c>
      <c r="Q52" s="83">
        <f>O52-L52</f>
        <v>-16.941176470587394</v>
      </c>
      <c r="R52" s="72">
        <f>O52/L52</f>
        <v>0.83216783216784052</v>
      </c>
      <c r="S52" s="416"/>
      <c r="T52" s="21">
        <v>0.55208333333333304</v>
      </c>
      <c r="U52" s="21">
        <v>0.56944444444444398</v>
      </c>
      <c r="V52" s="30">
        <f>(T52-U51)*24*60</f>
        <v>7.9999999999993321</v>
      </c>
      <c r="W52" s="236">
        <f t="shared" si="4"/>
        <v>24.999999999999751</v>
      </c>
      <c r="X52" s="22"/>
      <c r="Y52" s="84"/>
      <c r="Z52" s="90"/>
      <c r="AA52" s="90"/>
      <c r="AB52" s="409"/>
      <c r="AC52" s="409"/>
      <c r="AD52" s="92"/>
      <c r="AE52" s="92"/>
      <c r="AF52" s="307">
        <f t="shared" si="10"/>
        <v>-371.99999999998658</v>
      </c>
      <c r="AG52" s="72">
        <f t="shared" si="11"/>
        <v>0.783216783216791</v>
      </c>
      <c r="AH52" s="405"/>
    </row>
    <row r="53" spans="1:34" ht="15" customHeight="1">
      <c r="A53" s="428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6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9"/>
      <c r="AC53" s="409"/>
      <c r="AD53" s="92"/>
      <c r="AE53" s="92"/>
      <c r="AF53" s="307">
        <f t="shared" si="10"/>
        <v>0</v>
      </c>
      <c r="AG53" s="72" t="e">
        <f t="shared" si="11"/>
        <v>#DIV/0!</v>
      </c>
      <c r="AH53" s="405"/>
    </row>
    <row r="54" spans="1:34" ht="15" customHeight="1">
      <c r="A54" s="428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6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9"/>
      <c r="AC54" s="409"/>
      <c r="AD54" s="92"/>
      <c r="AE54" s="92"/>
      <c r="AF54" s="307"/>
      <c r="AG54" s="72"/>
      <c r="AH54" s="405"/>
    </row>
    <row r="55" spans="1:34" ht="15" customHeight="1">
      <c r="A55" s="428"/>
      <c r="B55" s="250" t="s">
        <v>81</v>
      </c>
      <c r="C55" s="251"/>
      <c r="D55" s="252" t="s">
        <v>120</v>
      </c>
      <c r="E55" s="253"/>
      <c r="F55" s="250">
        <f>VLOOKUP(D55,廠價表!$C$1:$E$43,3,0)</f>
        <v>50.67</v>
      </c>
      <c r="G55" s="38">
        <v>687</v>
      </c>
      <c r="H55" s="254">
        <f>F55*G55</f>
        <v>34810.29</v>
      </c>
      <c r="I55" s="182"/>
      <c r="J55" s="106">
        <f>VLOOKUP(D55,產線配置圖!$A$3:$C$38,2,0)</f>
        <v>13</v>
      </c>
      <c r="K55" s="107">
        <f>VLOOKUP(D55,產線配置圖!$A$3:$C$38,3,0)</f>
        <v>1440</v>
      </c>
      <c r="L55" s="238">
        <f>K55/J55</f>
        <v>110.76923076923077</v>
      </c>
      <c r="M55" s="108">
        <v>13</v>
      </c>
      <c r="N55" s="107">
        <f>G55/W55*60</f>
        <v>736.0714285714248</v>
      </c>
      <c r="O55" s="238">
        <f>N55/M55</f>
        <v>56.620879120878833</v>
      </c>
      <c r="P55" s="111">
        <f>M55-J55</f>
        <v>0</v>
      </c>
      <c r="Q55" s="255">
        <f>O55-L55</f>
        <v>-54.148351648351941</v>
      </c>
      <c r="R55" s="85">
        <f>O55/L55</f>
        <v>0.51116071428571164</v>
      </c>
      <c r="S55" s="416"/>
      <c r="T55" s="22">
        <v>0.51388888888888895</v>
      </c>
      <c r="U55" s="22">
        <v>0.55277777777777803</v>
      </c>
      <c r="V55" s="237"/>
      <c r="W55" s="236">
        <f t="shared" si="4"/>
        <v>56.000000000000284</v>
      </c>
      <c r="X55" s="30"/>
      <c r="Y55" s="151"/>
      <c r="Z55" s="90"/>
      <c r="AA55" s="90"/>
      <c r="AB55" s="409" t="s">
        <v>273</v>
      </c>
      <c r="AC55" s="409"/>
      <c r="AD55" s="92"/>
      <c r="AE55" s="92"/>
      <c r="AF55" s="307"/>
      <c r="AG55" s="72"/>
      <c r="AH55" s="405"/>
    </row>
    <row r="56" spans="1:34" ht="15" customHeight="1">
      <c r="A56" s="428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6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9"/>
      <c r="AC56" s="409"/>
      <c r="AD56" s="92"/>
      <c r="AE56" s="92"/>
      <c r="AF56" s="307"/>
      <c r="AG56" s="72"/>
      <c r="AH56" s="405"/>
    </row>
    <row r="57" spans="1:34" ht="15" customHeight="1">
      <c r="A57" s="428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6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9"/>
      <c r="AC57" s="409"/>
      <c r="AD57" s="92"/>
      <c r="AE57" s="92"/>
      <c r="AF57" s="307"/>
      <c r="AG57" s="72"/>
      <c r="AH57" s="405"/>
    </row>
    <row r="58" spans="1:34" ht="15" customHeight="1" thickBot="1">
      <c r="A58" s="429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12">AVERAGE(J49:J57)</f>
        <v>15.8</v>
      </c>
      <c r="K58" s="120">
        <f t="shared" si="12"/>
        <v>1651.2</v>
      </c>
      <c r="L58" s="117">
        <f t="shared" si="12"/>
        <v>104.98914027149321</v>
      </c>
      <c r="M58" s="120">
        <f t="shared" si="12"/>
        <v>15.6</v>
      </c>
      <c r="N58" s="120">
        <f t="shared" si="12"/>
        <v>1247.066592286013</v>
      </c>
      <c r="O58" s="117">
        <f t="shared" si="12"/>
        <v>79.044654590269914</v>
      </c>
      <c r="P58" s="121">
        <f>M58-J58</f>
        <v>-0.20000000000000107</v>
      </c>
      <c r="Q58" s="122">
        <f>N58-K58</f>
        <v>-404.13340771398703</v>
      </c>
      <c r="R58" s="123">
        <f>O58/L58</f>
        <v>0.75288410197347067</v>
      </c>
      <c r="S58" s="419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5</v>
      </c>
      <c r="AB58" s="410"/>
      <c r="AC58" s="410"/>
      <c r="AD58" s="323">
        <f>SUM(AD49:AD57)</f>
        <v>0</v>
      </c>
      <c r="AE58" s="323">
        <f>SUM(AE49:AE57)</f>
        <v>0</v>
      </c>
      <c r="AF58" s="309">
        <f>N58-K58</f>
        <v>-404.13340771398703</v>
      </c>
      <c r="AG58" s="124">
        <f>N58/K58</f>
        <v>0.75524866296391291</v>
      </c>
      <c r="AH58" s="407"/>
    </row>
    <row r="59" spans="1:34" ht="15" customHeight="1">
      <c r="A59" s="421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VLOOKUP(D59,廠價表!$C$1:$E$43,3,0)</f>
        <v>26.99</v>
      </c>
      <c r="G59" s="55">
        <v>3213</v>
      </c>
      <c r="H59" s="243">
        <f>F59*G59</f>
        <v>86718.87</v>
      </c>
      <c r="I59" s="55"/>
      <c r="J59" s="136">
        <v>15</v>
      </c>
      <c r="K59" s="137">
        <f>VLOOKUP(D59,產線配置圖!$A$3:$C$38,3,0)</f>
        <v>1565</v>
      </c>
      <c r="L59" s="138">
        <f>K59/J59</f>
        <v>104.33333333333333</v>
      </c>
      <c r="M59" s="244">
        <v>15</v>
      </c>
      <c r="N59" s="137">
        <f>G59/W59*60</f>
        <v>1377.000000000005</v>
      </c>
      <c r="O59" s="138">
        <f>N59/M59</f>
        <v>91.800000000000338</v>
      </c>
      <c r="P59" s="56">
        <f>M59-J59</f>
        <v>0</v>
      </c>
      <c r="Q59" s="230">
        <f>O59-L59</f>
        <v>-12.53333333333299</v>
      </c>
      <c r="R59" s="52">
        <f>O59/L59</f>
        <v>0.87987220447284675</v>
      </c>
      <c r="S59" s="415">
        <f>R69</f>
        <v>0.88502195573839948</v>
      </c>
      <c r="T59" s="245">
        <v>0.29166666666666702</v>
      </c>
      <c r="U59" s="245">
        <v>0.3888888888888889</v>
      </c>
      <c r="V59" s="55"/>
      <c r="W59" s="54">
        <f t="shared" si="4"/>
        <v>139.99999999999949</v>
      </c>
      <c r="X59" s="55"/>
      <c r="Y59" s="290"/>
      <c r="Z59" s="169"/>
      <c r="AA59" s="169"/>
      <c r="AB59" s="420"/>
      <c r="AC59" s="420"/>
      <c r="AD59" s="135"/>
      <c r="AE59" s="135"/>
      <c r="AF59" s="310">
        <f>N59-K59</f>
        <v>-187.999999999995</v>
      </c>
      <c r="AG59" s="246">
        <f>N59/K59</f>
        <v>0.87987220447284664</v>
      </c>
      <c r="AH59" s="403">
        <f>AG69</f>
        <v>0.88450698061184407</v>
      </c>
    </row>
    <row r="60" spans="1:34" ht="15" customHeight="1">
      <c r="A60" s="422"/>
      <c r="B60" s="75" t="s">
        <v>128</v>
      </c>
      <c r="C60" s="86"/>
      <c r="D60" s="175" t="s">
        <v>130</v>
      </c>
      <c r="E60" s="87"/>
      <c r="F60" s="75">
        <f>VLOOKUP(D60,廠價表!$C$1:$E$43,3,0)</f>
        <v>28.26</v>
      </c>
      <c r="G60" s="30">
        <v>1693</v>
      </c>
      <c r="H60" s="78">
        <f>F60*G60</f>
        <v>47844.18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>K60/J60</f>
        <v>130.41666666666666</v>
      </c>
      <c r="M60" s="82">
        <v>12</v>
      </c>
      <c r="N60" s="80">
        <f>G60/W60*60</f>
        <v>1391.5068493150673</v>
      </c>
      <c r="O60" s="81">
        <f>N60/M60</f>
        <v>115.95890410958894</v>
      </c>
      <c r="P60" s="74">
        <f>M60-J60</f>
        <v>0</v>
      </c>
      <c r="Q60" s="83">
        <f>O60-L60</f>
        <v>-14.457762557077714</v>
      </c>
      <c r="R60" s="72">
        <f>O60/L60</f>
        <v>0.88914175675084184</v>
      </c>
      <c r="S60" s="425"/>
      <c r="T60" s="22">
        <v>0.3972222222222222</v>
      </c>
      <c r="U60" s="22">
        <v>0.44791666666666669</v>
      </c>
      <c r="V60" s="30">
        <f>(T60-U59)*24*60</f>
        <v>11.999999999999957</v>
      </c>
      <c r="W60" s="248">
        <f t="shared" si="4"/>
        <v>73.000000000000057</v>
      </c>
      <c r="X60" s="272">
        <v>0.47222222222222221</v>
      </c>
      <c r="Y60" s="288">
        <v>0.51388888888888884</v>
      </c>
      <c r="Z60" s="90"/>
      <c r="AA60" s="90"/>
      <c r="AB60" s="409"/>
      <c r="AC60" s="409"/>
      <c r="AD60" s="92"/>
      <c r="AE60" s="92"/>
      <c r="AF60" s="316">
        <f>N60-K60</f>
        <v>-173.49315068493274</v>
      </c>
      <c r="AG60" s="249">
        <f>N60/K60</f>
        <v>0.88914175675084173</v>
      </c>
      <c r="AH60" s="426"/>
    </row>
    <row r="61" spans="1:34" ht="15" customHeight="1">
      <c r="A61" s="423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6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409"/>
      <c r="AC61" s="409"/>
      <c r="AD61" s="92"/>
      <c r="AE61" s="92"/>
      <c r="AF61" s="317">
        <f>N61-K61</f>
        <v>0</v>
      </c>
      <c r="AG61" s="247" t="e">
        <f>N61/K61</f>
        <v>#DIV/0!</v>
      </c>
      <c r="AH61" s="405"/>
    </row>
    <row r="62" spans="1:34" ht="15" customHeight="1">
      <c r="A62" s="423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6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09"/>
      <c r="AC62" s="409"/>
      <c r="AD62" s="92"/>
      <c r="AE62" s="92"/>
      <c r="AF62" s="317">
        <f>N62-K62</f>
        <v>0</v>
      </c>
      <c r="AG62" s="247" t="e">
        <f>N62/K62</f>
        <v>#DIV/0!</v>
      </c>
      <c r="AH62" s="405"/>
    </row>
    <row r="63" spans="1:34" ht="15" customHeight="1">
      <c r="A63" s="423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9"/>
      <c r="AC63" s="409"/>
      <c r="AD63" s="92"/>
      <c r="AE63" s="92"/>
      <c r="AF63" s="317"/>
      <c r="AG63" s="247"/>
      <c r="AH63" s="405"/>
    </row>
    <row r="64" spans="1:34" ht="15" customHeight="1">
      <c r="A64" s="423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9"/>
      <c r="AC64" s="409"/>
      <c r="AD64" s="92"/>
      <c r="AE64" s="92"/>
      <c r="AF64" s="307"/>
      <c r="AG64" s="262"/>
      <c r="AH64" s="405"/>
    </row>
    <row r="65" spans="1:36" ht="15" customHeight="1">
      <c r="A65" s="423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9"/>
      <c r="AC65" s="409"/>
      <c r="AD65" s="92"/>
      <c r="AE65" s="92"/>
      <c r="AF65" s="307"/>
      <c r="AG65" s="262"/>
      <c r="AH65" s="405"/>
    </row>
    <row r="66" spans="1:36" ht="15" customHeight="1">
      <c r="A66" s="423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9"/>
      <c r="AC66" s="409"/>
      <c r="AD66" s="92"/>
      <c r="AE66" s="92"/>
      <c r="AF66" s="307"/>
      <c r="AG66" s="262"/>
      <c r="AH66" s="405"/>
    </row>
    <row r="67" spans="1:36" ht="15" customHeight="1">
      <c r="A67" s="423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9"/>
      <c r="AC67" s="409"/>
      <c r="AD67" s="92"/>
      <c r="AE67" s="92"/>
      <c r="AF67" s="307"/>
      <c r="AG67" s="262"/>
      <c r="AH67" s="405"/>
    </row>
    <row r="68" spans="1:36" ht="15" customHeight="1">
      <c r="A68" s="423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9" t="s">
        <v>53</v>
      </c>
      <c r="AC68" s="409"/>
      <c r="AD68" s="92"/>
      <c r="AE68" s="92"/>
      <c r="AF68" s="307"/>
      <c r="AG68" s="262"/>
      <c r="AH68" s="405"/>
    </row>
    <row r="69" spans="1:36" ht="15" customHeight="1" thickBot="1">
      <c r="A69" s="424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13">AVERAGE(J59:J68)</f>
        <v>13.5</v>
      </c>
      <c r="K69" s="240">
        <f t="shared" si="13"/>
        <v>1565</v>
      </c>
      <c r="L69" s="268">
        <f t="shared" si="13"/>
        <v>117.375</v>
      </c>
      <c r="M69" s="240">
        <f t="shared" si="13"/>
        <v>13.5</v>
      </c>
      <c r="N69" s="240">
        <f t="shared" si="13"/>
        <v>1384.253424657536</v>
      </c>
      <c r="O69" s="268">
        <f t="shared" si="13"/>
        <v>103.87945205479464</v>
      </c>
      <c r="P69" s="269">
        <f>M69-J69</f>
        <v>0</v>
      </c>
      <c r="Q69" s="222">
        <f>N69-K69</f>
        <v>-180.74657534246398</v>
      </c>
      <c r="R69" s="123">
        <f>O69/L69</f>
        <v>0.88502195573839948</v>
      </c>
      <c r="S69" s="419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0"/>
      <c r="AC69" s="410"/>
      <c r="AD69" s="323">
        <f>SUM(AD59:AD68)</f>
        <v>0</v>
      </c>
      <c r="AE69" s="323">
        <f>SUM(AE59:AE68)</f>
        <v>0</v>
      </c>
      <c r="AF69" s="309">
        <f>N69-K69</f>
        <v>-180.74657534246398</v>
      </c>
      <c r="AG69" s="124">
        <f>N69/K69</f>
        <v>0.88450698061184407</v>
      </c>
      <c r="AH69" s="407"/>
    </row>
    <row r="70" spans="1:36" ht="15" customHeight="1">
      <c r="A70" s="412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5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0"/>
      <c r="AC70" s="420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1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6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08"/>
      <c r="AC71" s="408"/>
      <c r="AD71" s="200"/>
      <c r="AE71" s="200"/>
      <c r="AF71" s="311">
        <v>-300.31249999999704</v>
      </c>
      <c r="AG71" s="99">
        <v>0.80810702875399554</v>
      </c>
      <c r="AH71" s="404"/>
    </row>
    <row r="72" spans="1:36" ht="15" customHeight="1">
      <c r="A72" s="41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6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9"/>
      <c r="AC72" s="409"/>
      <c r="AD72" s="92"/>
      <c r="AE72" s="92"/>
      <c r="AF72" s="311">
        <v>-130.33333333333326</v>
      </c>
      <c r="AG72" s="99">
        <v>0.91671991480298198</v>
      </c>
      <c r="AH72" s="404"/>
    </row>
    <row r="73" spans="1:36" ht="15" customHeight="1">
      <c r="A73" s="41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6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9"/>
      <c r="AC73" s="409"/>
      <c r="AD73" s="92"/>
      <c r="AE73" s="92"/>
      <c r="AF73" s="311"/>
      <c r="AG73" s="99"/>
      <c r="AH73" s="404"/>
    </row>
    <row r="74" spans="1:36" ht="15" customHeight="1">
      <c r="A74" s="41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6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9"/>
      <c r="AC74" s="409"/>
      <c r="AD74" s="92"/>
      <c r="AE74" s="92"/>
      <c r="AF74" s="311"/>
      <c r="AG74" s="99"/>
      <c r="AH74" s="404"/>
    </row>
    <row r="75" spans="1:36" ht="15" customHeight="1">
      <c r="A75" s="41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6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9"/>
      <c r="AC75" s="409"/>
      <c r="AD75" s="92"/>
      <c r="AE75" s="92"/>
      <c r="AF75" s="318"/>
      <c r="AG75" s="280"/>
      <c r="AH75" s="405"/>
    </row>
    <row r="76" spans="1:36" ht="15" customHeight="1">
      <c r="A76" s="41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7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9"/>
      <c r="AC76" s="409"/>
      <c r="AD76" s="92"/>
      <c r="AE76" s="92"/>
      <c r="AF76" s="317"/>
      <c r="AG76" s="247"/>
      <c r="AH76" s="406"/>
    </row>
    <row r="77" spans="1:36" ht="15" customHeight="1">
      <c r="A77" s="41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7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9"/>
      <c r="AC77" s="409"/>
      <c r="AD77" s="92"/>
      <c r="AE77" s="92"/>
      <c r="AF77" s="307"/>
      <c r="AG77" s="262"/>
      <c r="AH77" s="406"/>
    </row>
    <row r="78" spans="1:36" ht="15" customHeight="1">
      <c r="A78" s="41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1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9"/>
      <c r="AC78" s="409"/>
      <c r="AD78" s="92"/>
      <c r="AE78" s="92"/>
      <c r="AF78" s="308"/>
      <c r="AG78" s="112"/>
      <c r="AH78" s="406"/>
    </row>
    <row r="79" spans="1:36" ht="15" customHeight="1" thickBot="1">
      <c r="A79" s="414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1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0"/>
      <c r="AC79" s="41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</mergeCells>
  <phoneticPr fontId="31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4F10B4-572B-4C55-9B9F-49800230347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757C3-0508-4B99-8836-877915CC66CE}"/>
</file>

<file path=customXml/itemProps2.xml><?xml version="1.0" encoding="utf-8"?>
<ds:datastoreItem xmlns:ds="http://schemas.openxmlformats.org/officeDocument/2006/customXml" ds:itemID="{FAF44122-C958-4A09-9D53-2DC29E2C1DB9}"/>
</file>

<file path=customXml/itemProps3.xml><?xml version="1.0" encoding="utf-8"?>
<ds:datastoreItem xmlns:ds="http://schemas.openxmlformats.org/officeDocument/2006/customXml" ds:itemID="{4119766A-DAB9-4D44-8E5D-0D551255A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91</vt:i4>
      </vt:variant>
    </vt:vector>
  </HeadingPairs>
  <TitlesOfParts>
    <vt:vector size="155" baseType="lpstr">
      <vt:lpstr>廠價表</vt:lpstr>
      <vt:lpstr>產線配置圖</vt:lpstr>
      <vt:lpstr>範本總</vt:lpstr>
      <vt:lpstr>範本</vt:lpstr>
      <vt:lpstr>0401總</vt:lpstr>
      <vt:lpstr>0401</vt:lpstr>
      <vt:lpstr>0402總</vt:lpstr>
      <vt:lpstr>0402</vt:lpstr>
      <vt:lpstr>0403總</vt:lpstr>
      <vt:lpstr>0403</vt:lpstr>
      <vt:lpstr>0404總</vt:lpstr>
      <vt:lpstr>0404</vt:lpstr>
      <vt:lpstr>0405總</vt:lpstr>
      <vt:lpstr>0405</vt:lpstr>
      <vt:lpstr>0406總</vt:lpstr>
      <vt:lpstr>0406</vt:lpstr>
      <vt:lpstr>0407總</vt:lpstr>
      <vt:lpstr>0407</vt:lpstr>
      <vt:lpstr>0408總 </vt:lpstr>
      <vt:lpstr>0408</vt:lpstr>
      <vt:lpstr>0409總</vt:lpstr>
      <vt:lpstr>0409</vt:lpstr>
      <vt:lpstr>0410總</vt:lpstr>
      <vt:lpstr>0410</vt:lpstr>
      <vt:lpstr>0411總</vt:lpstr>
      <vt:lpstr>0411</vt:lpstr>
      <vt:lpstr>0412總</vt:lpstr>
      <vt:lpstr>0412</vt:lpstr>
      <vt:lpstr>0413總</vt:lpstr>
      <vt:lpstr>0413</vt:lpstr>
      <vt:lpstr>0414總</vt:lpstr>
      <vt:lpstr>0414</vt:lpstr>
      <vt:lpstr>0415總</vt:lpstr>
      <vt:lpstr>0415</vt:lpstr>
      <vt:lpstr>0416總</vt:lpstr>
      <vt:lpstr>0416</vt:lpstr>
      <vt:lpstr>0417總</vt:lpstr>
      <vt:lpstr>0417</vt:lpstr>
      <vt:lpstr>0418總</vt:lpstr>
      <vt:lpstr>0418</vt:lpstr>
      <vt:lpstr>0419總</vt:lpstr>
      <vt:lpstr>0419</vt:lpstr>
      <vt:lpstr>0420總</vt:lpstr>
      <vt:lpstr>0420</vt:lpstr>
      <vt:lpstr>0421總</vt:lpstr>
      <vt:lpstr>0421</vt:lpstr>
      <vt:lpstr>0422總</vt:lpstr>
      <vt:lpstr>0422</vt:lpstr>
      <vt:lpstr>0423總</vt:lpstr>
      <vt:lpstr>0423</vt:lpstr>
      <vt:lpstr>0424總</vt:lpstr>
      <vt:lpstr>0424</vt:lpstr>
      <vt:lpstr>0425總</vt:lpstr>
      <vt:lpstr>0425</vt:lpstr>
      <vt:lpstr>0426總</vt:lpstr>
      <vt:lpstr>0426</vt:lpstr>
      <vt:lpstr>0427總</vt:lpstr>
      <vt:lpstr>0427</vt:lpstr>
      <vt:lpstr>0428總</vt:lpstr>
      <vt:lpstr>0428</vt:lpstr>
      <vt:lpstr>0429總</vt:lpstr>
      <vt:lpstr>0429</vt:lpstr>
      <vt:lpstr>0430總</vt:lpstr>
      <vt:lpstr>0430</vt:lpstr>
      <vt:lpstr>'0401'!_FilterDatabase</vt:lpstr>
      <vt:lpstr>'0401總'!_FilterDatabase</vt:lpstr>
      <vt:lpstr>'0402'!_FilterDatabase</vt:lpstr>
      <vt:lpstr>'0402總'!_FilterDatabase</vt:lpstr>
      <vt:lpstr>'0403'!_FilterDatabase</vt:lpstr>
      <vt:lpstr>'0403總'!_FilterDatabase</vt:lpstr>
      <vt:lpstr>'0404'!_FilterDatabase</vt:lpstr>
      <vt:lpstr>'0404總'!_FilterDatabase</vt:lpstr>
      <vt:lpstr>'0405'!_FilterDatabase</vt:lpstr>
      <vt:lpstr>'0405總'!_FilterDatabase</vt:lpstr>
      <vt:lpstr>'0406'!_FilterDatabase</vt:lpstr>
      <vt:lpstr>'0406總'!_FilterDatabase</vt:lpstr>
      <vt:lpstr>'0407'!_FilterDatabase</vt:lpstr>
      <vt:lpstr>'0407總'!_FilterDatabase</vt:lpstr>
      <vt:lpstr>'0408'!_FilterDatabase</vt:lpstr>
      <vt:lpstr>'0408總 '!_FilterDatabase</vt:lpstr>
      <vt:lpstr>'0409'!_FilterDatabase</vt:lpstr>
      <vt:lpstr>'0409總'!_FilterDatabase</vt:lpstr>
      <vt:lpstr>'0410'!_FilterDatabase</vt:lpstr>
      <vt:lpstr>'0410總'!_FilterDatabase</vt:lpstr>
      <vt:lpstr>'0411'!_FilterDatabase</vt:lpstr>
      <vt:lpstr>'0411總'!_FilterDatabase</vt:lpstr>
      <vt:lpstr>'0412'!_FilterDatabase</vt:lpstr>
      <vt:lpstr>'0412總'!_FilterDatabase</vt:lpstr>
      <vt:lpstr>'0413'!_FilterDatabase</vt:lpstr>
      <vt:lpstr>'0413總'!_FilterDatabase</vt:lpstr>
      <vt:lpstr>'0414'!_FilterDatabase</vt:lpstr>
      <vt:lpstr>'0414總'!_FilterDatabase</vt:lpstr>
      <vt:lpstr>'0415'!_FilterDatabase</vt:lpstr>
      <vt:lpstr>'0415總'!_FilterDatabase</vt:lpstr>
      <vt:lpstr>'0416'!_FilterDatabase</vt:lpstr>
      <vt:lpstr>'0416總'!_FilterDatabase</vt:lpstr>
      <vt:lpstr>'0417'!_FilterDatabase</vt:lpstr>
      <vt:lpstr>'0417總'!_FilterDatabase</vt:lpstr>
      <vt:lpstr>'0418'!_FilterDatabase</vt:lpstr>
      <vt:lpstr>'0418總'!_FilterDatabase</vt:lpstr>
      <vt:lpstr>'0419'!_FilterDatabase</vt:lpstr>
      <vt:lpstr>'0419總'!_FilterDatabase</vt:lpstr>
      <vt:lpstr>'0420'!_FilterDatabase</vt:lpstr>
      <vt:lpstr>'0420總'!_FilterDatabase</vt:lpstr>
      <vt:lpstr>'0421'!_FilterDatabase</vt:lpstr>
      <vt:lpstr>'0421總'!_FilterDatabase</vt:lpstr>
      <vt:lpstr>'0422'!_FilterDatabase</vt:lpstr>
      <vt:lpstr>'0422總'!_FilterDatabase</vt:lpstr>
      <vt:lpstr>'0423'!_FilterDatabase</vt:lpstr>
      <vt:lpstr>'0423總'!_FilterDatabase</vt:lpstr>
      <vt:lpstr>'0424'!_FilterDatabase</vt:lpstr>
      <vt:lpstr>'0424總'!_FilterDatabase</vt:lpstr>
      <vt:lpstr>'0425'!_FilterDatabase</vt:lpstr>
      <vt:lpstr>'0425總'!_FilterDatabase</vt:lpstr>
      <vt:lpstr>'0426'!_FilterDatabase</vt:lpstr>
      <vt:lpstr>'0426總'!_FilterDatabase</vt:lpstr>
      <vt:lpstr>'0427'!_FilterDatabase</vt:lpstr>
      <vt:lpstr>'0427總'!_FilterDatabase</vt:lpstr>
      <vt:lpstr>'0428'!_FilterDatabase</vt:lpstr>
      <vt:lpstr>'0428總'!_FilterDatabase</vt:lpstr>
      <vt:lpstr>'0429'!_FilterDatabase</vt:lpstr>
      <vt:lpstr>'0429總'!_FilterDatabase</vt:lpstr>
      <vt:lpstr>'0430'!_FilterDatabase</vt:lpstr>
      <vt:lpstr>'0430總'!_FilterDatabase</vt:lpstr>
      <vt:lpstr>'0401'!Print_Area</vt:lpstr>
      <vt:lpstr>'0402'!Print_Area</vt:lpstr>
      <vt:lpstr>'0403'!Print_Area</vt:lpstr>
      <vt:lpstr>'0404'!Print_Area</vt:lpstr>
      <vt:lpstr>'0405'!Print_Area</vt:lpstr>
      <vt:lpstr>'0406'!Print_Area</vt:lpstr>
      <vt:lpstr>'0407'!Print_Area</vt:lpstr>
      <vt:lpstr>'0408'!Print_Area</vt:lpstr>
      <vt:lpstr>'0409'!Print_Area</vt:lpstr>
      <vt:lpstr>'0410'!Print_Area</vt:lpstr>
      <vt:lpstr>'0411'!Print_Area</vt:lpstr>
      <vt:lpstr>'0412'!Print_Area</vt:lpstr>
      <vt:lpstr>'0413'!Print_Area</vt:lpstr>
      <vt:lpstr>'0414'!Print_Area</vt:lpstr>
      <vt:lpstr>'0415'!Print_Area</vt:lpstr>
      <vt:lpstr>'0416'!Print_Area</vt:lpstr>
      <vt:lpstr>'0417'!Print_Area</vt:lpstr>
      <vt:lpstr>'0418'!Print_Area</vt:lpstr>
      <vt:lpstr>'0419'!Print_Area</vt:lpstr>
      <vt:lpstr>'0420'!Print_Area</vt:lpstr>
      <vt:lpstr>'0421'!Print_Area</vt:lpstr>
      <vt:lpstr>'0422'!Print_Area</vt:lpstr>
      <vt:lpstr>'0423'!Print_Area</vt:lpstr>
      <vt:lpstr>'0424'!Print_Area</vt:lpstr>
      <vt:lpstr>'0425'!Print_Area</vt:lpstr>
      <vt:lpstr>'0426'!Print_Area</vt:lpstr>
      <vt:lpstr>'0427'!Print_Area</vt:lpstr>
      <vt:lpstr>'0428'!Print_Area</vt:lpstr>
      <vt:lpstr>'0429'!Print_Area</vt:lpstr>
      <vt:lpstr>'0430'!Print_Area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